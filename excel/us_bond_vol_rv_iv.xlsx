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ettings" sheetId="2" state="visible" r:id="rId2"/>
    <sheet name="BBG_Data" sheetId="3" state="visible" r:id="rId3"/>
    <sheet name="KW_TP" sheetId="4" state="visible" r:id="rId4"/>
    <sheet name="Calc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0" pivotButton="0" quotePrefix="0" xfId="0"/>
    <xf numFmtId="164" fontId="5" fillId="3" borderId="0" pivotButton="0" quotePrefix="0" xfId="0"/>
    <xf numFmtId="164" fontId="2" fillId="0" borderId="0" pivotButton="0" quotePrefix="0" xfId="0"/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5" fontId="7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5" fontId="2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3m10y Swaption IV vs. 10Y Swap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'Calc'!$E$2:$E$1501</f>
            </numRef>
          </val>
          <smooth val="0"/>
        </ser>
        <ser>
          <idx val="1"/>
          <order val="1"/>
          <tx>
            <strRef>
              <f>'Calc'!J1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'Calc'!$J$2:$J$1501</f>
            </numRef>
          </val>
          <smooth val="0"/>
        </ser>
        <ser>
          <idx val="2"/>
          <order val="2"/>
          <tx>
            <strRef>
              <f>'Calc'!K1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'Calc'!$K$2:$K$1501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MOVE vs. 10Y 公債 RV（短期）</a:t>
            </a:r>
          </a:p>
        </rich>
      </tx>
    </title>
    <plotArea>
      <lineChart>
        <grouping val="standard"/>
        <ser>
          <idx val="0"/>
          <order val="0"/>
          <tx>
            <strRef>
              <f>'Calc'!D1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'Calc'!$D$2:$D$1501</f>
            </numRef>
          </val>
          <smooth val="0"/>
        </ser>
        <ser>
          <idx val="1"/>
          <order val="1"/>
          <tx>
            <strRef>
              <f>'Calc'!H1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'Calc'!$H$2:$H$1501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IV −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'Calc'!L1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'Calc'!$L$2:$L$1501</f>
            </numRef>
          </val>
          <smooth val="0"/>
        </ser>
        <ser>
          <idx val="1"/>
          <order val="1"/>
          <tx>
            <strRef>
              <f>'Calc'!M1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'Calc'!$M$2:$M$1501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事後 VRP 與 Kim-Wright TP</a:t>
            </a:r>
          </a:p>
        </rich>
      </tx>
    </title>
    <plotArea>
      <lineChart>
        <grouping val="standard"/>
        <ser>
          <idx val="0"/>
          <order val="0"/>
          <tx>
            <strRef>
              <f>'Calc'!O1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'Calc'!$O$2:$O$1501</f>
            </numRef>
          </val>
          <smooth val="0"/>
        </ser>
        <ser>
          <idx val="1"/>
          <order val="1"/>
          <tx>
            <strRef>
              <f>'Calc'!P1</f>
            </strRef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'Calc'!$P$2:$P$1501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README</author>
  </authors>
  <commentList>
    <comment ref="B9" authorId="0" shapeId="0">
      <text>
        <t>在 VCUB 中選 Normal Vol，找到 3M expiry × 10Y tenor 的格子，右鍵或滑鼠停留取得 ticker。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美債 Vol 監控：RV、IV − RV 與 Kim-Wright TP</t>
        </is>
      </c>
    </row>
    <row r="2">
      <c r="A2" s="2" t="inlineStr"/>
    </row>
    <row r="3">
      <c r="A3" s="3" t="inlineStr">
        <is>
          <t>使用步驟</t>
        </is>
      </c>
    </row>
    <row r="4">
      <c r="A4" s="2" t="inlineStr">
        <is>
          <t>1. 在已登入 Bloomberg 的電腦上用 Excel 開啟本檔（需 Bloomberg Excel Add-in）。</t>
        </is>
      </c>
    </row>
    <row r="5">
      <c r="A5" s="2" t="inlineStr">
        <is>
          <t>2. 到 Settings 分頁，檢查黃底藍字的輸入格：起訖日期、ticker、RV 視窗。</t>
        </is>
      </c>
    </row>
    <row r="6">
      <c r="A6" s="2" t="inlineStr">
        <is>
          <t>3. 3m10y Swaption Normal Vol 的 ticker 請到 VCUB &lt;GO&gt; 找 3M × 10Y（Normal / bp）那格，取得 ticker 後填入 Settings!B9。</t>
        </is>
      </c>
    </row>
    <row r="7">
      <c r="A7" s="2" t="inlineStr">
        <is>
          <t>4. 按 Bloomberg 工具列的 Refresh Workbook（或 Ctrl+Alt+Shift+R）讓 BBG_Data 的 BDH 抓資料，Calc 與 Dashboard 會自動計算。</t>
        </is>
      </c>
    </row>
    <row r="8">
      <c r="A8" s="2" t="inlineStr"/>
    </row>
    <row r="9">
      <c r="A9" s="3" t="inlineStr">
        <is>
          <t>分頁說明</t>
        </is>
      </c>
    </row>
    <row r="10">
      <c r="A10" s="2" t="inlineStr">
        <is>
          <t>Settings：所有輸入參數（黃底藍字＝可修改）。</t>
        </is>
      </c>
    </row>
    <row r="11">
      <c r="A11" s="2" t="inlineStr">
        <is>
          <t>BBG_Data：BDH 公式抓取的原始資料。統一用 Days=W（週間日）＋ Fill=P（假日沿用前值），讓不同 ticker 的日期對齊在同一列。</t>
        </is>
      </c>
    </row>
    <row r="12">
      <c r="A12" s="2" t="inlineStr">
        <is>
          <t>KW_TP：Kim-Wright 10Y Term Premium（FRED：THREEFYTP10），使用者下載的靜態資料，最後一筆 2026-09-25。</t>
        </is>
      </c>
    </row>
    <row r="13">
      <c r="A13" s="2" t="inlineStr">
        <is>
          <t>Calc：每日變動（bp）、滾動 RV、IV − RV、事後 VRP、Kim-Wright TP 對照。</t>
        </is>
      </c>
    </row>
    <row r="14">
      <c r="A14" s="2" t="inlineStr">
        <is>
          <t>Dashboard：最新數值摘要與圖表。</t>
        </is>
      </c>
    </row>
    <row r="15">
      <c r="A15" s="2" t="inlineStr"/>
    </row>
    <row r="16">
      <c r="A16" s="3" t="inlineStr">
        <is>
          <t>計算定義</t>
        </is>
      </c>
    </row>
    <row r="17">
      <c r="A17" s="2" t="inlineStr">
        <is>
          <t>每日變動 = (今日殖利率 − 前一日殖利率) × 100，單位 bp。</t>
        </is>
      </c>
    </row>
    <row r="18">
      <c r="A18" s="2" t="inlineStr">
        <is>
          <t>RV（年化 Normal Vol，bp/y）= 最近 N 個每日變動的樣本標準差 × √252。</t>
        </is>
      </c>
    </row>
    <row r="19">
      <c r="A19" s="2" t="inlineStr">
        <is>
          <t>IV − RV（即時近似）：Swaption IV − 10Y Swap 的 RV（63 日，對應 3 個月期限）；MOVE − 10Y 公債的 RV（21 日，對應 1 個月期限）。</t>
        </is>
      </c>
    </row>
    <row r="20">
      <c r="A20" s="2" t="inlineStr">
        <is>
          <t>事後 VRP：今天的 Swaption IV − 接下來 63 個交易日實際發生的 Swap RV。最近 63 天還沒有結果，會留空。</t>
        </is>
      </c>
    </row>
    <row r="21">
      <c r="A21" s="2" t="inlineStr"/>
    </row>
    <row r="22">
      <c r="A22" s="3" t="inlineStr">
        <is>
          <t>注意事項</t>
        </is>
      </c>
    </row>
    <row r="23">
      <c r="A23" s="2" t="inlineStr">
        <is>
          <t>• Ticker 是依記憶填寫的預設值，第一次使用請先在 Terminal 確認（特別是 USOSFR10 Curncy 與 Swaption ticker）。</t>
        </is>
      </c>
    </row>
    <row r="24">
      <c r="A24" s="2" t="inlineStr">
        <is>
          <t>• Fill=P 會讓美國假日的每日變動為 0，RV 會略為低估（影響約數個百分點）。若要更精確，可改用 Days=T 但需自行對齊日期。</t>
        </is>
      </c>
    </row>
    <row r="25">
      <c r="A25" s="2" t="inlineStr">
        <is>
          <t>• MOVE 是 1 個月期、2Y/5Y/10Y/30Y 加權的公債選擇權 IV，和 10Y 單一期限的 RV 比較只是近似。</t>
        </is>
      </c>
    </row>
    <row r="26">
      <c r="A26" s="2" t="inlineStr">
        <is>
          <t>• Calc 中無法計算的格子（RV 暖機期、預留的空白列）會顯示 N/A 錯誤值，這是刻意的，讓圖表在缺資料處斷開而不是掉到 0。</t>
        </is>
      </c>
    </row>
    <row r="27">
      <c r="A27" s="2" t="inlineStr">
        <is>
          <t>• 若在 Excel 365 看到公式變成 =@BDH(...) 且只抓到一筆，把 @ 刪掉重新輸入即可。</t>
        </is>
      </c>
    </row>
    <row r="28">
      <c r="A28" s="2" t="inlineStr">
        <is>
          <t>• Kim-Wright 資料不會自動更新：到 FRED 下載新的 THREEFYTP10，貼到 KW_TP 分頁（日期在 A 欄、% 在 B 欄），C 欄公式往下複製即可。</t>
        </is>
      </c>
    </row>
    <row r="29">
      <c r="A29" s="2" t="inlineStr">
        <is>
          <t>• Calc 預留 1500 列；若起始日期太早導致資料超過，請把 Calc 最後一列公式往下複製。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4" t="inlineStr">
        <is>
          <t>參數設定</t>
        </is>
      </c>
    </row>
    <row r="2">
      <c r="A2" s="5" t="inlineStr">
        <is>
          <t>項目</t>
        </is>
      </c>
      <c r="B2" s="5" t="inlineStr">
        <is>
          <t>值</t>
        </is>
      </c>
      <c r="C2" s="5" t="inlineStr">
        <is>
          <t>說明</t>
        </is>
      </c>
    </row>
    <row r="3">
      <c r="A3" s="6" t="inlineStr">
        <is>
          <t>起始日期</t>
        </is>
      </c>
      <c r="B3" s="7" t="n">
        <v>45292</v>
      </c>
      <c r="C3" s="2" t="inlineStr">
        <is>
          <t>BDH 起始日。RV 63 日需要約 3 個月暖機，建議比觀察期早至少 3 個月。</t>
        </is>
      </c>
    </row>
    <row r="4">
      <c r="A4" s="6" t="inlineStr">
        <is>
          <t>結束日期</t>
        </is>
      </c>
      <c r="B4" s="8">
        <f>TODAY()</f>
        <v/>
      </c>
      <c r="C4" s="2" t="inlineStr">
        <is>
          <t>預設今天，可改成固定日期。</t>
        </is>
      </c>
    </row>
    <row r="5"/>
    <row r="6">
      <c r="A6" s="6" t="inlineStr">
        <is>
          <t>10Y 公債殖利率 ticker</t>
        </is>
      </c>
      <c r="B6" s="9" t="inlineStr">
        <is>
          <t>USGG10YR Index</t>
        </is>
      </c>
      <c r="C6" s="2" t="inlineStr">
        <is>
          <t>Bloomberg 10Y 公債殖利率，單位 %。</t>
        </is>
      </c>
    </row>
    <row r="7">
      <c r="A7" s="6" t="inlineStr">
        <is>
          <t>10Y SOFR Swap ticker</t>
        </is>
      </c>
      <c r="B7" s="9" t="inlineStr">
        <is>
          <t>USOSFR10 Curncy</t>
        </is>
      </c>
      <c r="C7" s="2" t="inlineStr">
        <is>
          <t>10Y SOFR OIS Swap，單位 %。請在 Terminal 確認 ticker。</t>
        </is>
      </c>
    </row>
    <row r="8">
      <c r="A8" s="6" t="inlineStr">
        <is>
          <t>MOVE ticker</t>
        </is>
      </c>
      <c r="B8" s="9" t="inlineStr">
        <is>
          <t>MOVE Index</t>
        </is>
      </c>
      <c r="C8" s="2" t="inlineStr">
        <is>
          <t>ICE BofA MOVE Index，單位 bp。</t>
        </is>
      </c>
    </row>
    <row r="9">
      <c r="A9" s="6" t="inlineStr">
        <is>
          <t>3m10y Swaption Normal Vol ticker</t>
        </is>
      </c>
      <c r="B9" s="9" t="inlineStr"/>
      <c r="C9" s="2" t="inlineStr">
        <is>
          <t>請從 VCUB &lt;GO&gt; 取得 3M×10Y Normal Vol（bp/y）的 ticker 填入；留空則略過 Swaption 相關計算。</t>
        </is>
      </c>
    </row>
    <row r="10"/>
    <row r="11">
      <c r="A11" s="6" t="inlineStr">
        <is>
          <t>短期 RV 視窗（交易日）</t>
        </is>
      </c>
      <c r="B11" s="9" t="n">
        <v>21</v>
      </c>
      <c r="C11" s="2" t="inlineStr">
        <is>
          <t>約 1 個月，對應 MOVE（1 個月期選擇權）。</t>
        </is>
      </c>
    </row>
    <row r="12">
      <c r="A12" s="6" t="inlineStr">
        <is>
          <t>長期 RV 視窗（交易日）</t>
        </is>
      </c>
      <c r="B12" s="9" t="n">
        <v>63</v>
      </c>
      <c r="C12" s="2" t="inlineStr">
        <is>
          <t>約 3 個月，對應 3m10y Swaption。</t>
        </is>
      </c>
    </row>
    <row r="13">
      <c r="A13" s="6" t="inlineStr">
        <is>
          <t>年化天數</t>
        </is>
      </c>
      <c r="B13" s="9" t="n">
        <v>252</v>
      </c>
      <c r="C13" s="2" t="inlineStr">
        <is>
          <t>年化 = 日標準差 × √年化天數。</t>
        </is>
      </c>
    </row>
    <row r="14"/>
    <row r="15"/>
    <row r="16">
      <c r="A16" s="6" t="inlineStr">
        <is>
          <t>圖例：黃底藍字＝可修改的輸入；黑字＝公式；綠字＝引用其他分頁。</t>
        </is>
      </c>
    </row>
    <row r="17">
      <c r="A17" s="6" t="inlineStr">
        <is>
          <t>範例：10Y 公債殖利率 ticker 填 USGG10YR Index；RV 視窗填整數，例如 21。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22" customWidth="1" min="5" max="5"/>
    <col width="80" customWidth="1" min="7" max="7"/>
  </cols>
  <sheetData>
    <row r="1">
      <c r="A1" s="5" t="inlineStr">
        <is>
          <t>日期</t>
        </is>
      </c>
      <c r="B1" s="5" t="inlineStr">
        <is>
          <t>10Y 公債殖利率 (%)</t>
        </is>
      </c>
      <c r="C1" s="5" t="inlineStr">
        <is>
          <t>10Y SOFR Swap (%)</t>
        </is>
      </c>
      <c r="D1" s="5" t="inlineStr">
        <is>
          <t>MOVE (bp)</t>
        </is>
      </c>
      <c r="E1" s="5" t="inlineStr">
        <is>
          <t>3m10y Swaption IV (bp/y)</t>
        </is>
      </c>
      <c r="G1" s="10" t="inlineStr">
        <is>
          <t>說明</t>
        </is>
      </c>
    </row>
    <row r="2">
      <c r="A2" s="11">
        <f>BDH(Settings!$B$6,"PX_LAST",Settings!$B$3,Settings!$B$4,"Dts=S","Days=W","Fill=P")</f>
        <v/>
      </c>
      <c r="C2" s="11">
        <f>BDH(Settings!$B$7,"PX_LAST",Settings!$B$3,Settings!$B$4,"Dts=H","Days=W","Fill=P")</f>
        <v/>
      </c>
      <c r="D2" s="11">
        <f>BDH(Settings!$B$8,"PX_LAST",Settings!$B$3,Settings!$B$4,"Dts=H","Days=W","Fill=P")</f>
        <v/>
      </c>
      <c r="E2" s="11">
        <f>IF(Settings!$B$9="","",BDH(Settings!$B$9,"PX_LAST",Settings!$B$3,Settings!$B$4,"Dts=H","Days=W","Fill=P"))</f>
        <v/>
      </c>
      <c r="G2" s="6" t="inlineStr">
        <is>
          <t>A2 的 BDH 會同時輸出日期（A 欄）與 10Y 殖利率（B 欄）。</t>
        </is>
      </c>
    </row>
    <row r="3">
      <c r="G3" s="6" t="inlineStr">
        <is>
          <t>C2、D2、E2 用相同日曆（Days=W, Fill=P）且隱藏日期（Dts=H），所以會和 A 欄日期對齊。</t>
        </is>
      </c>
    </row>
    <row r="4">
      <c r="G4" s="6" t="inlineStr">
        <is>
          <t>請勿在這些公式下方輸入任何內容，以免擋住 BDH 輸出。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</cols>
  <sheetData>
    <row r="1">
      <c r="A1" s="5" t="inlineStr">
        <is>
          <t>日期</t>
        </is>
      </c>
      <c r="B1" s="5" t="inlineStr">
        <is>
          <t>Kim-Wright 10Y TP (%)</t>
        </is>
      </c>
      <c r="C1" s="5" t="inlineStr">
        <is>
          <t>Kim-Wright 10Y TP (bp)</t>
        </is>
      </c>
      <c r="E1" s="6" t="inlineStr">
        <is>
          <t>來源：FRED 序列 THREEFYTP10（Kim-Wright 三因子模型 10Y Term Premium），由使用者下載；已刪除空值（假日）。</t>
        </is>
      </c>
    </row>
    <row r="2">
      <c r="A2" s="12" t="n">
        <v>42639</v>
      </c>
      <c r="B2" s="13" t="n">
        <v>-0.1102</v>
      </c>
      <c r="C2" s="14">
        <f>B2*100</f>
        <v/>
      </c>
    </row>
    <row r="3">
      <c r="A3" s="12" t="n">
        <v>42640</v>
      </c>
      <c r="B3" s="13" t="n">
        <v>-0.1259</v>
      </c>
      <c r="C3" s="14">
        <f>B3*100</f>
        <v/>
      </c>
    </row>
    <row r="4">
      <c r="A4" s="12" t="n">
        <v>42641</v>
      </c>
      <c r="B4" s="13" t="n">
        <v>-0.1292</v>
      </c>
      <c r="C4" s="14">
        <f>B4*100</f>
        <v/>
      </c>
    </row>
    <row r="5">
      <c r="A5" s="12" t="n">
        <v>42642</v>
      </c>
      <c r="B5" s="13" t="n">
        <v>-0.1354</v>
      </c>
      <c r="C5" s="14">
        <f>B5*100</f>
        <v/>
      </c>
    </row>
    <row r="6">
      <c r="A6" s="12" t="n">
        <v>42643</v>
      </c>
      <c r="B6" s="13" t="n">
        <v>-0.1248</v>
      </c>
      <c r="C6" s="14">
        <f>B6*100</f>
        <v/>
      </c>
    </row>
    <row r="7">
      <c r="A7" s="12" t="n">
        <v>42646</v>
      </c>
      <c r="B7" s="13" t="n">
        <v>-0.1135</v>
      </c>
      <c r="C7" s="14">
        <f>B7*100</f>
        <v/>
      </c>
    </row>
    <row r="8">
      <c r="A8" s="12" t="n">
        <v>42647</v>
      </c>
      <c r="B8" s="13" t="n">
        <v>-0.0916</v>
      </c>
      <c r="C8" s="14">
        <f>B8*100</f>
        <v/>
      </c>
    </row>
    <row r="9">
      <c r="A9" s="12" t="n">
        <v>42648</v>
      </c>
      <c r="B9" s="13" t="n">
        <v>-0.0722</v>
      </c>
      <c r="C9" s="14">
        <f>B9*100</f>
        <v/>
      </c>
    </row>
    <row r="10">
      <c r="A10" s="12" t="n">
        <v>42649</v>
      </c>
      <c r="B10" s="13" t="n">
        <v>-0.0527</v>
      </c>
      <c r="C10" s="14">
        <f>B10*100</f>
        <v/>
      </c>
    </row>
    <row r="11">
      <c r="A11" s="12" t="n">
        <v>42650</v>
      </c>
      <c r="B11" s="13" t="n">
        <v>-0.0558</v>
      </c>
      <c r="C11" s="14">
        <f>B11*100</f>
        <v/>
      </c>
    </row>
    <row r="12">
      <c r="A12" s="12" t="n">
        <v>42654</v>
      </c>
      <c r="B12" s="13" t="n">
        <v>-0.0436</v>
      </c>
      <c r="C12" s="14">
        <f>B12*100</f>
        <v/>
      </c>
    </row>
    <row r="13">
      <c r="A13" s="12" t="n">
        <v>42655</v>
      </c>
      <c r="B13" s="13" t="n">
        <v>-0.0377</v>
      </c>
      <c r="C13" s="14">
        <f>B13*100</f>
        <v/>
      </c>
    </row>
    <row r="14">
      <c r="A14" s="12" t="n">
        <v>42656</v>
      </c>
      <c r="B14" s="13" t="n">
        <v>-0.0449</v>
      </c>
      <c r="C14" s="14">
        <f>B14*100</f>
        <v/>
      </c>
    </row>
    <row r="15">
      <c r="A15" s="12" t="n">
        <v>42657</v>
      </c>
      <c r="B15" s="13" t="n">
        <v>-0.0337</v>
      </c>
      <c r="C15" s="14">
        <f>B15*100</f>
        <v/>
      </c>
    </row>
    <row r="16">
      <c r="A16" s="12" t="n">
        <v>42660</v>
      </c>
      <c r="B16" s="13" t="n">
        <v>-0.0428</v>
      </c>
      <c r="C16" s="14">
        <f>B16*100</f>
        <v/>
      </c>
    </row>
    <row r="17">
      <c r="A17" s="12" t="n">
        <v>42661</v>
      </c>
      <c r="B17" s="13" t="n">
        <v>-0.0524</v>
      </c>
      <c r="C17" s="14">
        <f>B17*100</f>
        <v/>
      </c>
    </row>
    <row r="18">
      <c r="A18" s="12" t="n">
        <v>42662</v>
      </c>
      <c r="B18" s="13" t="n">
        <v>-0.0536</v>
      </c>
      <c r="C18" s="14">
        <f>B18*100</f>
        <v/>
      </c>
    </row>
    <row r="19">
      <c r="A19" s="12" t="n">
        <v>42663</v>
      </c>
      <c r="B19" s="13" t="n">
        <v>-0.0524</v>
      </c>
      <c r="C19" s="14">
        <f>B19*100</f>
        <v/>
      </c>
    </row>
    <row r="20">
      <c r="A20" s="12" t="n">
        <v>42664</v>
      </c>
      <c r="B20" s="13" t="n">
        <v>-0.055</v>
      </c>
      <c r="C20" s="14">
        <f>B20*100</f>
        <v/>
      </c>
    </row>
    <row r="21">
      <c r="A21" s="12" t="n">
        <v>42667</v>
      </c>
      <c r="B21" s="13" t="n">
        <v>-0.0462</v>
      </c>
      <c r="C21" s="14">
        <f>B21*100</f>
        <v/>
      </c>
    </row>
    <row r="22">
      <c r="A22" s="12" t="n">
        <v>42668</v>
      </c>
      <c r="B22" s="13" t="n">
        <v>-0.0464</v>
      </c>
      <c r="C22" s="14">
        <f>B22*100</f>
        <v/>
      </c>
    </row>
    <row r="23">
      <c r="A23" s="12" t="n">
        <v>42669</v>
      </c>
      <c r="B23" s="13" t="n">
        <v>-0.035</v>
      </c>
      <c r="C23" s="14">
        <f>B23*100</f>
        <v/>
      </c>
    </row>
    <row r="24">
      <c r="A24" s="12" t="n">
        <v>42670</v>
      </c>
      <c r="B24" s="13" t="n">
        <v>-0.0102</v>
      </c>
      <c r="C24" s="14">
        <f>B24*100</f>
        <v/>
      </c>
    </row>
    <row r="25">
      <c r="A25" s="12" t="n">
        <v>42671</v>
      </c>
      <c r="B25" s="13" t="n">
        <v>-0.0031</v>
      </c>
      <c r="C25" s="14">
        <f>B25*100</f>
        <v/>
      </c>
    </row>
    <row r="26">
      <c r="A26" s="12" t="n">
        <v>42674</v>
      </c>
      <c r="B26" s="13" t="n">
        <v>-0.009900000000000001</v>
      </c>
      <c r="C26" s="14">
        <f>B26*100</f>
        <v/>
      </c>
    </row>
    <row r="27">
      <c r="A27" s="12" t="n">
        <v>42675</v>
      </c>
      <c r="B27" s="13" t="n">
        <v>-0.017</v>
      </c>
      <c r="C27" s="14">
        <f>B27*100</f>
        <v/>
      </c>
    </row>
    <row r="28">
      <c r="A28" s="12" t="n">
        <v>42676</v>
      </c>
      <c r="B28" s="13" t="n">
        <v>-0.0324</v>
      </c>
      <c r="C28" s="14">
        <f>B28*100</f>
        <v/>
      </c>
    </row>
    <row r="29">
      <c r="A29" s="12" t="n">
        <v>42677</v>
      </c>
      <c r="B29" s="13" t="n">
        <v>-0.0337</v>
      </c>
      <c r="C29" s="14">
        <f>B29*100</f>
        <v/>
      </c>
    </row>
    <row r="30">
      <c r="A30" s="12" t="n">
        <v>42678</v>
      </c>
      <c r="B30" s="13" t="n">
        <v>-0.0468</v>
      </c>
      <c r="C30" s="14">
        <f>B30*100</f>
        <v/>
      </c>
    </row>
    <row r="31">
      <c r="A31" s="12" t="n">
        <v>42681</v>
      </c>
      <c r="B31" s="13" t="n">
        <v>-0.0337</v>
      </c>
      <c r="C31" s="14">
        <f>B31*100</f>
        <v/>
      </c>
    </row>
    <row r="32">
      <c r="A32" s="12" t="n">
        <v>42682</v>
      </c>
      <c r="B32" s="13" t="n">
        <v>-0.0132</v>
      </c>
      <c r="C32" s="14">
        <f>B32*100</f>
        <v/>
      </c>
    </row>
    <row r="33">
      <c r="A33" s="12" t="n">
        <v>42683</v>
      </c>
      <c r="B33" s="13" t="n">
        <v>0.0633</v>
      </c>
      <c r="C33" s="14">
        <f>B33*100</f>
        <v/>
      </c>
    </row>
    <row r="34">
      <c r="A34" s="12" t="n">
        <v>42684</v>
      </c>
      <c r="B34" s="13" t="n">
        <v>0.1131</v>
      </c>
      <c r="C34" s="14">
        <f>B34*100</f>
        <v/>
      </c>
    </row>
    <row r="35">
      <c r="A35" s="12" t="n">
        <v>42688</v>
      </c>
      <c r="B35" s="13" t="n">
        <v>0.1593</v>
      </c>
      <c r="C35" s="14">
        <f>B35*100</f>
        <v/>
      </c>
    </row>
    <row r="36">
      <c r="A36" s="12" t="n">
        <v>42689</v>
      </c>
      <c r="B36" s="13" t="n">
        <v>0.1809</v>
      </c>
      <c r="C36" s="14">
        <f>B36*100</f>
        <v/>
      </c>
    </row>
    <row r="37">
      <c r="A37" s="12" t="n">
        <v>42690</v>
      </c>
      <c r="B37" s="13" t="n">
        <v>0.1884</v>
      </c>
      <c r="C37" s="14">
        <f>B37*100</f>
        <v/>
      </c>
    </row>
    <row r="38">
      <c r="A38" s="12" t="n">
        <v>42691</v>
      </c>
      <c r="B38" s="13" t="n">
        <v>0.2172</v>
      </c>
      <c r="C38" s="14">
        <f>B38*100</f>
        <v/>
      </c>
    </row>
    <row r="39">
      <c r="A39" s="12" t="n">
        <v>42692</v>
      </c>
      <c r="B39" s="13" t="n">
        <v>0.2498</v>
      </c>
      <c r="C39" s="14">
        <f>B39*100</f>
        <v/>
      </c>
    </row>
    <row r="40">
      <c r="A40" s="12" t="n">
        <v>42695</v>
      </c>
      <c r="B40" s="13" t="n">
        <v>0.2551</v>
      </c>
      <c r="C40" s="14">
        <f>B40*100</f>
        <v/>
      </c>
    </row>
    <row r="41">
      <c r="A41" s="12" t="n">
        <v>42696</v>
      </c>
      <c r="B41" s="13" t="n">
        <v>0.2507</v>
      </c>
      <c r="C41" s="14">
        <f>B41*100</f>
        <v/>
      </c>
    </row>
    <row r="42">
      <c r="A42" s="12" t="n">
        <v>42697</v>
      </c>
      <c r="B42" s="13" t="n">
        <v>0.2686</v>
      </c>
      <c r="C42" s="14">
        <f>B42*100</f>
        <v/>
      </c>
    </row>
    <row r="43">
      <c r="A43" s="12" t="n">
        <v>42699</v>
      </c>
      <c r="B43" s="13" t="n">
        <v>0.2746</v>
      </c>
      <c r="C43" s="14">
        <f>B43*100</f>
        <v/>
      </c>
    </row>
    <row r="44">
      <c r="A44" s="12" t="n">
        <v>42702</v>
      </c>
      <c r="B44" s="13" t="n">
        <v>0.2618</v>
      </c>
      <c r="C44" s="14">
        <f>B44*100</f>
        <v/>
      </c>
    </row>
    <row r="45">
      <c r="A45" s="12" t="n">
        <v>42703</v>
      </c>
      <c r="B45" s="13" t="n">
        <v>0.2523</v>
      </c>
      <c r="C45" s="14">
        <f>B45*100</f>
        <v/>
      </c>
    </row>
    <row r="46">
      <c r="A46" s="12" t="n">
        <v>42704</v>
      </c>
      <c r="B46" s="13" t="n">
        <v>0.2725</v>
      </c>
      <c r="C46" s="14">
        <f>B46*100</f>
        <v/>
      </c>
    </row>
    <row r="47">
      <c r="A47" s="12" t="n">
        <v>42705</v>
      </c>
      <c r="B47" s="13" t="n">
        <v>0.3092</v>
      </c>
      <c r="C47" s="14">
        <f>B47*100</f>
        <v/>
      </c>
    </row>
    <row r="48">
      <c r="A48" s="12" t="n">
        <v>42706</v>
      </c>
      <c r="B48" s="13" t="n">
        <v>0.2985</v>
      </c>
      <c r="C48" s="14">
        <f>B48*100</f>
        <v/>
      </c>
    </row>
    <row r="49">
      <c r="A49" s="12" t="n">
        <v>42709</v>
      </c>
      <c r="B49" s="13" t="n">
        <v>0.2932</v>
      </c>
      <c r="C49" s="14">
        <f>B49*100</f>
        <v/>
      </c>
    </row>
    <row r="50">
      <c r="A50" s="12" t="n">
        <v>42710</v>
      </c>
      <c r="B50" s="13" t="n">
        <v>0.2903</v>
      </c>
      <c r="C50" s="14">
        <f>B50*100</f>
        <v/>
      </c>
    </row>
    <row r="51">
      <c r="A51" s="12" t="n">
        <v>42711</v>
      </c>
      <c r="B51" s="13" t="n">
        <v>0.2707</v>
      </c>
      <c r="C51" s="14">
        <f>B51*100</f>
        <v/>
      </c>
    </row>
    <row r="52">
      <c r="A52" s="12" t="n">
        <v>42712</v>
      </c>
      <c r="B52" s="13" t="n">
        <v>0.285</v>
      </c>
      <c r="C52" s="14">
        <f>B52*100</f>
        <v/>
      </c>
    </row>
    <row r="53">
      <c r="A53" s="12" t="n">
        <v>42713</v>
      </c>
      <c r="B53" s="13" t="n">
        <v>0.3122</v>
      </c>
      <c r="C53" s="14">
        <f>B53*100</f>
        <v/>
      </c>
    </row>
    <row r="54">
      <c r="A54" s="12" t="n">
        <v>42716</v>
      </c>
      <c r="B54" s="13" t="n">
        <v>0.3211</v>
      </c>
      <c r="C54" s="14">
        <f>B54*100</f>
        <v/>
      </c>
    </row>
    <row r="55">
      <c r="A55" s="12" t="n">
        <v>42717</v>
      </c>
      <c r="B55" s="13" t="n">
        <v>0.3239</v>
      </c>
      <c r="C55" s="14">
        <f>B55*100</f>
        <v/>
      </c>
    </row>
    <row r="56">
      <c r="A56" s="12" t="n">
        <v>42718</v>
      </c>
      <c r="B56" s="13" t="n">
        <v>0.3565</v>
      </c>
      <c r="C56" s="14">
        <f>B56*100</f>
        <v/>
      </c>
    </row>
    <row r="57">
      <c r="A57" s="12" t="n">
        <v>42719</v>
      </c>
      <c r="B57" s="13" t="n">
        <v>0.3919</v>
      </c>
      <c r="C57" s="14">
        <f>B57*100</f>
        <v/>
      </c>
    </row>
    <row r="58">
      <c r="A58" s="12" t="n">
        <v>42720</v>
      </c>
      <c r="B58" s="13" t="n">
        <v>0.3994</v>
      </c>
      <c r="C58" s="14">
        <f>B58*100</f>
        <v/>
      </c>
    </row>
    <row r="59">
      <c r="A59" s="12" t="n">
        <v>42723</v>
      </c>
      <c r="B59" s="13" t="n">
        <v>0.3796</v>
      </c>
      <c r="C59" s="14">
        <f>B59*100</f>
        <v/>
      </c>
    </row>
    <row r="60">
      <c r="A60" s="12" t="n">
        <v>42724</v>
      </c>
      <c r="B60" s="13" t="n">
        <v>0.3845</v>
      </c>
      <c r="C60" s="14">
        <f>B60*100</f>
        <v/>
      </c>
    </row>
    <row r="61">
      <c r="A61" s="12" t="n">
        <v>42725</v>
      </c>
      <c r="B61" s="13" t="n">
        <v>0.3783</v>
      </c>
      <c r="C61" s="14">
        <f>B61*100</f>
        <v/>
      </c>
    </row>
    <row r="62">
      <c r="A62" s="12" t="n">
        <v>42726</v>
      </c>
      <c r="B62" s="13" t="n">
        <v>0.3802</v>
      </c>
      <c r="C62" s="14">
        <f>B62*100</f>
        <v/>
      </c>
    </row>
    <row r="63">
      <c r="A63" s="12" t="n">
        <v>42727</v>
      </c>
      <c r="B63" s="13" t="n">
        <v>0.3791</v>
      </c>
      <c r="C63" s="14">
        <f>B63*100</f>
        <v/>
      </c>
    </row>
    <row r="64">
      <c r="A64" s="12" t="n">
        <v>42731</v>
      </c>
      <c r="B64" s="13" t="n">
        <v>0.3878</v>
      </c>
      <c r="C64" s="14">
        <f>B64*100</f>
        <v/>
      </c>
    </row>
    <row r="65">
      <c r="A65" s="12" t="n">
        <v>42732</v>
      </c>
      <c r="B65" s="13" t="n">
        <v>0.3689</v>
      </c>
      <c r="C65" s="14">
        <f>B65*100</f>
        <v/>
      </c>
    </row>
    <row r="66">
      <c r="A66" s="12" t="n">
        <v>42733</v>
      </c>
      <c r="B66" s="13" t="n">
        <v>0.3509</v>
      </c>
      <c r="C66" s="14">
        <f>B66*100</f>
        <v/>
      </c>
    </row>
    <row r="67">
      <c r="A67" s="12" t="n">
        <v>42734</v>
      </c>
      <c r="B67" s="13" t="n">
        <v>0.3322</v>
      </c>
      <c r="C67" s="14">
        <f>B67*100</f>
        <v/>
      </c>
    </row>
    <row r="68">
      <c r="A68" s="12" t="n">
        <v>42738</v>
      </c>
      <c r="B68" s="13" t="n">
        <v>0.3235</v>
      </c>
      <c r="C68" s="14">
        <f>B68*100</f>
        <v/>
      </c>
    </row>
    <row r="69">
      <c r="A69" s="12" t="n">
        <v>42739</v>
      </c>
      <c r="B69" s="13" t="n">
        <v>0.3224</v>
      </c>
      <c r="C69" s="14">
        <f>B69*100</f>
        <v/>
      </c>
    </row>
    <row r="70">
      <c r="A70" s="12" t="n">
        <v>42740</v>
      </c>
      <c r="B70" s="13" t="n">
        <v>0.2894</v>
      </c>
      <c r="C70" s="14">
        <f>B70*100</f>
        <v/>
      </c>
    </row>
    <row r="71">
      <c r="A71" s="12" t="n">
        <v>42741</v>
      </c>
      <c r="B71" s="13" t="n">
        <v>0.3016</v>
      </c>
      <c r="C71" s="14">
        <f>B71*100</f>
        <v/>
      </c>
    </row>
    <row r="72">
      <c r="A72" s="12" t="n">
        <v>42744</v>
      </c>
      <c r="B72" s="13" t="n">
        <v>0.2884</v>
      </c>
      <c r="C72" s="14">
        <f>B72*100</f>
        <v/>
      </c>
    </row>
    <row r="73">
      <c r="A73" s="12" t="n">
        <v>42745</v>
      </c>
      <c r="B73" s="13" t="n">
        <v>0.2851</v>
      </c>
      <c r="C73" s="14">
        <f>B73*100</f>
        <v/>
      </c>
    </row>
    <row r="74">
      <c r="A74" s="12" t="n">
        <v>42746</v>
      </c>
      <c r="B74" s="13" t="n">
        <v>0.2815</v>
      </c>
      <c r="C74" s="14">
        <f>B74*100</f>
        <v/>
      </c>
    </row>
    <row r="75">
      <c r="A75" s="12" t="n">
        <v>42747</v>
      </c>
      <c r="B75" s="13" t="n">
        <v>0.2746</v>
      </c>
      <c r="C75" s="14">
        <f>B75*100</f>
        <v/>
      </c>
    </row>
    <row r="76">
      <c r="A76" s="12" t="n">
        <v>42748</v>
      </c>
      <c r="B76" s="13" t="n">
        <v>0.2857</v>
      </c>
      <c r="C76" s="14">
        <f>B76*100</f>
        <v/>
      </c>
    </row>
    <row r="77">
      <c r="A77" s="12" t="n">
        <v>42752</v>
      </c>
      <c r="B77" s="13" t="n">
        <v>0.2593</v>
      </c>
      <c r="C77" s="14">
        <f>B77*100</f>
        <v/>
      </c>
    </row>
    <row r="78">
      <c r="A78" s="12" t="n">
        <v>42753</v>
      </c>
      <c r="B78" s="13" t="n">
        <v>0.2903</v>
      </c>
      <c r="C78" s="14">
        <f>B78*100</f>
        <v/>
      </c>
    </row>
    <row r="79">
      <c r="A79" s="12" t="n">
        <v>42754</v>
      </c>
      <c r="B79" s="13" t="n">
        <v>0.3172</v>
      </c>
      <c r="C79" s="14">
        <f>B79*100</f>
        <v/>
      </c>
    </row>
    <row r="80">
      <c r="A80" s="12" t="n">
        <v>42755</v>
      </c>
      <c r="B80" s="13" t="n">
        <v>0.3241</v>
      </c>
      <c r="C80" s="14">
        <f>B80*100</f>
        <v/>
      </c>
    </row>
    <row r="81">
      <c r="A81" s="12" t="n">
        <v>42758</v>
      </c>
      <c r="B81" s="13" t="n">
        <v>0.2972</v>
      </c>
      <c r="C81" s="14">
        <f>B81*100</f>
        <v/>
      </c>
    </row>
    <row r="82">
      <c r="A82" s="12" t="n">
        <v>42759</v>
      </c>
      <c r="B82" s="13" t="n">
        <v>0.3174</v>
      </c>
      <c r="C82" s="14">
        <f>B82*100</f>
        <v/>
      </c>
    </row>
    <row r="83">
      <c r="A83" s="12" t="n">
        <v>42760</v>
      </c>
      <c r="B83" s="13" t="n">
        <v>0.3449</v>
      </c>
      <c r="C83" s="14">
        <f>B83*100</f>
        <v/>
      </c>
    </row>
    <row r="84">
      <c r="A84" s="12" t="n">
        <v>42761</v>
      </c>
      <c r="B84" s="13" t="n">
        <v>0.3441</v>
      </c>
      <c r="C84" s="14">
        <f>B84*100</f>
        <v/>
      </c>
    </row>
    <row r="85">
      <c r="A85" s="12" t="n">
        <v>42762</v>
      </c>
      <c r="B85" s="13" t="n">
        <v>0.3368</v>
      </c>
      <c r="C85" s="14">
        <f>B85*100</f>
        <v/>
      </c>
    </row>
    <row r="86">
      <c r="A86" s="12" t="n">
        <v>42765</v>
      </c>
      <c r="B86" s="13" t="n">
        <v>0.334</v>
      </c>
      <c r="C86" s="14">
        <f>B86*100</f>
        <v/>
      </c>
    </row>
    <row r="87">
      <c r="A87" s="12" t="n">
        <v>42766</v>
      </c>
      <c r="B87" s="13" t="n">
        <v>0.317</v>
      </c>
      <c r="C87" s="14">
        <f>B87*100</f>
        <v/>
      </c>
    </row>
    <row r="88">
      <c r="A88" s="12" t="n">
        <v>42767</v>
      </c>
      <c r="B88" s="13" t="n">
        <v>0.3243</v>
      </c>
      <c r="C88" s="14">
        <f>B88*100</f>
        <v/>
      </c>
    </row>
    <row r="89">
      <c r="A89" s="12" t="n">
        <v>42768</v>
      </c>
      <c r="B89" s="13" t="n">
        <v>0.3217</v>
      </c>
      <c r="C89" s="14">
        <f>B89*100</f>
        <v/>
      </c>
    </row>
    <row r="90">
      <c r="A90" s="12" t="n">
        <v>42769</v>
      </c>
      <c r="B90" s="13" t="n">
        <v>0.3256</v>
      </c>
      <c r="C90" s="14">
        <f>B90*100</f>
        <v/>
      </c>
    </row>
    <row r="91">
      <c r="A91" s="12" t="n">
        <v>42772</v>
      </c>
      <c r="B91" s="13" t="n">
        <v>0.2965</v>
      </c>
      <c r="C91" s="14">
        <f>B91*100</f>
        <v/>
      </c>
    </row>
    <row r="92">
      <c r="A92" s="12" t="n">
        <v>42773</v>
      </c>
      <c r="B92" s="13" t="n">
        <v>0.2801</v>
      </c>
      <c r="C92" s="14">
        <f>B92*100</f>
        <v/>
      </c>
    </row>
    <row r="93">
      <c r="A93" s="12" t="n">
        <v>42774</v>
      </c>
      <c r="B93" s="13" t="n">
        <v>0.2597</v>
      </c>
      <c r="C93" s="14">
        <f>B93*100</f>
        <v/>
      </c>
    </row>
    <row r="94">
      <c r="A94" s="12" t="n">
        <v>42775</v>
      </c>
      <c r="B94" s="13" t="n">
        <v>0.2791</v>
      </c>
      <c r="C94" s="14">
        <f>B94*100</f>
        <v/>
      </c>
    </row>
    <row r="95">
      <c r="A95" s="12" t="n">
        <v>42776</v>
      </c>
      <c r="B95" s="13" t="n">
        <v>0.2875</v>
      </c>
      <c r="C95" s="14">
        <f>B95*100</f>
        <v/>
      </c>
    </row>
    <row r="96">
      <c r="A96" s="12" t="n">
        <v>42779</v>
      </c>
      <c r="B96" s="13" t="n">
        <v>0.2988</v>
      </c>
      <c r="C96" s="14">
        <f>B96*100</f>
        <v/>
      </c>
    </row>
    <row r="97">
      <c r="A97" s="12" t="n">
        <v>42780</v>
      </c>
      <c r="B97" s="13" t="n">
        <v>0.3214</v>
      </c>
      <c r="C97" s="14">
        <f>B97*100</f>
        <v/>
      </c>
    </row>
    <row r="98">
      <c r="A98" s="12" t="n">
        <v>42781</v>
      </c>
      <c r="B98" s="13" t="n">
        <v>0.3403</v>
      </c>
      <c r="C98" s="14">
        <f>B98*100</f>
        <v/>
      </c>
    </row>
    <row r="99">
      <c r="A99" s="12" t="n">
        <v>42782</v>
      </c>
      <c r="B99" s="13" t="n">
        <v>0.3214</v>
      </c>
      <c r="C99" s="14">
        <f>B99*100</f>
        <v/>
      </c>
    </row>
    <row r="100">
      <c r="A100" s="12" t="n">
        <v>42783</v>
      </c>
      <c r="B100" s="13" t="n">
        <v>0.3056</v>
      </c>
      <c r="C100" s="14">
        <f>B100*100</f>
        <v/>
      </c>
    </row>
    <row r="101">
      <c r="A101" s="12" t="n">
        <v>42787</v>
      </c>
      <c r="B101" s="13" t="n">
        <v>0.3014</v>
      </c>
      <c r="C101" s="14">
        <f>B101*100</f>
        <v/>
      </c>
    </row>
    <row r="102">
      <c r="A102" s="12" t="n">
        <v>42788</v>
      </c>
      <c r="B102" s="13" t="n">
        <v>0.297</v>
      </c>
      <c r="C102" s="14">
        <f>B102*100</f>
        <v/>
      </c>
    </row>
    <row r="103">
      <c r="A103" s="12" t="n">
        <v>42789</v>
      </c>
      <c r="B103" s="13" t="n">
        <v>0.2805</v>
      </c>
      <c r="C103" s="14">
        <f>B103*100</f>
        <v/>
      </c>
    </row>
    <row r="104">
      <c r="A104" s="12" t="n">
        <v>42790</v>
      </c>
      <c r="B104" s="13" t="n">
        <v>0.2497</v>
      </c>
      <c r="C104" s="14">
        <f>B104*100</f>
        <v/>
      </c>
    </row>
    <row r="105">
      <c r="A105" s="12" t="n">
        <v>42793</v>
      </c>
      <c r="B105" s="13" t="n">
        <v>0.2654</v>
      </c>
      <c r="C105" s="14">
        <f>B105*100</f>
        <v/>
      </c>
    </row>
    <row r="106">
      <c r="A106" s="12" t="n">
        <v>42794</v>
      </c>
      <c r="B106" s="13" t="n">
        <v>0.2697</v>
      </c>
      <c r="C106" s="14">
        <f>B106*100</f>
        <v/>
      </c>
    </row>
    <row r="107">
      <c r="A107" s="12" t="n">
        <v>42795</v>
      </c>
      <c r="B107" s="13" t="n">
        <v>0.3007</v>
      </c>
      <c r="C107" s="14">
        <f>B107*100</f>
        <v/>
      </c>
    </row>
    <row r="108">
      <c r="A108" s="12" t="n">
        <v>42796</v>
      </c>
      <c r="B108" s="13" t="n">
        <v>0.3155</v>
      </c>
      <c r="C108" s="14">
        <f>B108*100</f>
        <v/>
      </c>
    </row>
    <row r="109">
      <c r="A109" s="12" t="n">
        <v>42797</v>
      </c>
      <c r="B109" s="13" t="n">
        <v>0.31</v>
      </c>
      <c r="C109" s="14">
        <f>B109*100</f>
        <v/>
      </c>
    </row>
    <row r="110">
      <c r="A110" s="12" t="n">
        <v>42800</v>
      </c>
      <c r="B110" s="13" t="n">
        <v>0.306</v>
      </c>
      <c r="C110" s="14">
        <f>B110*100</f>
        <v/>
      </c>
    </row>
    <row r="111">
      <c r="A111" s="12" t="n">
        <v>42801</v>
      </c>
      <c r="B111" s="13" t="n">
        <v>0.302</v>
      </c>
      <c r="C111" s="14">
        <f>B111*100</f>
        <v/>
      </c>
    </row>
    <row r="112">
      <c r="A112" s="12" t="n">
        <v>42802</v>
      </c>
      <c r="B112" s="13" t="n">
        <v>0.3253</v>
      </c>
      <c r="C112" s="14">
        <f>B112*100</f>
        <v/>
      </c>
    </row>
    <row r="113">
      <c r="A113" s="12" t="n">
        <v>42803</v>
      </c>
      <c r="B113" s="13" t="n">
        <v>0.347</v>
      </c>
      <c r="C113" s="14">
        <f>B113*100</f>
        <v/>
      </c>
    </row>
    <row r="114">
      <c r="A114" s="12" t="n">
        <v>42804</v>
      </c>
      <c r="B114" s="13" t="n">
        <v>0.3436</v>
      </c>
      <c r="C114" s="14">
        <f>B114*100</f>
        <v/>
      </c>
    </row>
    <row r="115">
      <c r="A115" s="12" t="n">
        <v>42807</v>
      </c>
      <c r="B115" s="13" t="n">
        <v>0.3511</v>
      </c>
      <c r="C115" s="14">
        <f>B115*100</f>
        <v/>
      </c>
    </row>
    <row r="116">
      <c r="A116" s="12" t="n">
        <v>42808</v>
      </c>
      <c r="B116" s="13" t="n">
        <v>0.3457</v>
      </c>
      <c r="C116" s="14">
        <f>B116*100</f>
        <v/>
      </c>
    </row>
    <row r="117">
      <c r="A117" s="12" t="n">
        <v>42809</v>
      </c>
      <c r="B117" s="13" t="n">
        <v>0.3074</v>
      </c>
      <c r="C117" s="14">
        <f>B117*100</f>
        <v/>
      </c>
    </row>
    <row r="118">
      <c r="A118" s="12" t="n">
        <v>42810</v>
      </c>
      <c r="B118" s="13" t="n">
        <v>0.3083</v>
      </c>
      <c r="C118" s="14">
        <f>B118*100</f>
        <v/>
      </c>
    </row>
    <row r="119">
      <c r="A119" s="12" t="n">
        <v>42811</v>
      </c>
      <c r="B119" s="13" t="n">
        <v>0.2997</v>
      </c>
      <c r="C119" s="14">
        <f>B119*100</f>
        <v/>
      </c>
    </row>
    <row r="120">
      <c r="A120" s="12" t="n">
        <v>42814</v>
      </c>
      <c r="B120" s="13" t="n">
        <v>0.2822</v>
      </c>
      <c r="C120" s="14">
        <f>B120*100</f>
        <v/>
      </c>
    </row>
    <row r="121">
      <c r="A121" s="12" t="n">
        <v>42815</v>
      </c>
      <c r="B121" s="13" t="n">
        <v>0.2592</v>
      </c>
      <c r="C121" s="14">
        <f>B121*100</f>
        <v/>
      </c>
    </row>
    <row r="122">
      <c r="A122" s="12" t="n">
        <v>42816</v>
      </c>
      <c r="B122" s="13" t="n">
        <v>0.2442</v>
      </c>
      <c r="C122" s="14">
        <f>B122*100</f>
        <v/>
      </c>
    </row>
    <row r="123">
      <c r="A123" s="12" t="n">
        <v>42817</v>
      </c>
      <c r="B123" s="13" t="n">
        <v>0.242</v>
      </c>
      <c r="C123" s="14">
        <f>B123*100</f>
        <v/>
      </c>
    </row>
    <row r="124">
      <c r="A124" s="12" t="n">
        <v>42818</v>
      </c>
      <c r="B124" s="13" t="n">
        <v>0.2363</v>
      </c>
      <c r="C124" s="14">
        <f>B124*100</f>
        <v/>
      </c>
    </row>
    <row r="125">
      <c r="A125" s="12" t="n">
        <v>42821</v>
      </c>
      <c r="B125" s="13" t="n">
        <v>0.2272</v>
      </c>
      <c r="C125" s="14">
        <f>B125*100</f>
        <v/>
      </c>
    </row>
    <row r="126">
      <c r="A126" s="12" t="n">
        <v>42822</v>
      </c>
      <c r="B126" s="13" t="n">
        <v>0.2411</v>
      </c>
      <c r="C126" s="14">
        <f>B126*100</f>
        <v/>
      </c>
    </row>
    <row r="127">
      <c r="A127" s="12" t="n">
        <v>42823</v>
      </c>
      <c r="B127" s="13" t="n">
        <v>0.2286</v>
      </c>
      <c r="C127" s="14">
        <f>B127*100</f>
        <v/>
      </c>
    </row>
    <row r="128">
      <c r="A128" s="12" t="n">
        <v>42824</v>
      </c>
      <c r="B128" s="13" t="n">
        <v>0.2391</v>
      </c>
      <c r="C128" s="14">
        <f>B128*100</f>
        <v/>
      </c>
    </row>
    <row r="129">
      <c r="A129" s="12" t="n">
        <v>42825</v>
      </c>
      <c r="B129" s="13" t="n">
        <v>0.2325</v>
      </c>
      <c r="C129" s="14">
        <f>B129*100</f>
        <v/>
      </c>
    </row>
    <row r="130">
      <c r="A130" s="12" t="n">
        <v>42828</v>
      </c>
      <c r="B130" s="13" t="n">
        <v>0.2076</v>
      </c>
      <c r="C130" s="14">
        <f>B130*100</f>
        <v/>
      </c>
    </row>
    <row r="131">
      <c r="A131" s="12" t="n">
        <v>42829</v>
      </c>
      <c r="B131" s="13" t="n">
        <v>0.2025</v>
      </c>
      <c r="C131" s="14">
        <f>B131*100</f>
        <v/>
      </c>
    </row>
    <row r="132">
      <c r="A132" s="12" t="n">
        <v>42830</v>
      </c>
      <c r="B132" s="13" t="n">
        <v>0.1889</v>
      </c>
      <c r="C132" s="14">
        <f>B132*100</f>
        <v/>
      </c>
    </row>
    <row r="133">
      <c r="A133" s="12" t="n">
        <v>42831</v>
      </c>
      <c r="B133" s="13" t="n">
        <v>0.1882</v>
      </c>
      <c r="C133" s="14">
        <f>B133*100</f>
        <v/>
      </c>
    </row>
    <row r="134">
      <c r="A134" s="12" t="n">
        <v>42832</v>
      </c>
      <c r="B134" s="13" t="n">
        <v>0.2047</v>
      </c>
      <c r="C134" s="14">
        <f>B134*100</f>
        <v/>
      </c>
    </row>
    <row r="135">
      <c r="A135" s="12" t="n">
        <v>42835</v>
      </c>
      <c r="B135" s="13" t="n">
        <v>0.2</v>
      </c>
      <c r="C135" s="14">
        <f>B135*100</f>
        <v/>
      </c>
    </row>
    <row r="136">
      <c r="A136" s="12" t="n">
        <v>42836</v>
      </c>
      <c r="B136" s="13" t="n">
        <v>0.1728</v>
      </c>
      <c r="C136" s="14">
        <f>B136*100</f>
        <v/>
      </c>
    </row>
    <row r="137">
      <c r="A137" s="12" t="n">
        <v>42837</v>
      </c>
      <c r="B137" s="13" t="n">
        <v>0.1573</v>
      </c>
      <c r="C137" s="14">
        <f>B137*100</f>
        <v/>
      </c>
    </row>
    <row r="138">
      <c r="A138" s="12" t="n">
        <v>42838</v>
      </c>
      <c r="B138" s="13" t="n">
        <v>0.1348</v>
      </c>
      <c r="C138" s="14">
        <f>B138*100</f>
        <v/>
      </c>
    </row>
    <row r="139">
      <c r="A139" s="12" t="n">
        <v>42842</v>
      </c>
      <c r="B139" s="13" t="n">
        <v>0.1359</v>
      </c>
      <c r="C139" s="14">
        <f>B139*100</f>
        <v/>
      </c>
    </row>
    <row r="140">
      <c r="A140" s="12" t="n">
        <v>42843</v>
      </c>
      <c r="B140" s="13" t="n">
        <v>0.1035</v>
      </c>
      <c r="C140" s="14">
        <f>B140*100</f>
        <v/>
      </c>
    </row>
    <row r="141">
      <c r="A141" s="12" t="n">
        <v>42844</v>
      </c>
      <c r="B141" s="13" t="n">
        <v>0.1086</v>
      </c>
      <c r="C141" s="14">
        <f>B141*100</f>
        <v/>
      </c>
    </row>
    <row r="142">
      <c r="A142" s="12" t="n">
        <v>42845</v>
      </c>
      <c r="B142" s="13" t="n">
        <v>0.1237</v>
      </c>
      <c r="C142" s="14">
        <f>B142*100</f>
        <v/>
      </c>
    </row>
    <row r="143">
      <c r="A143" s="12" t="n">
        <v>42846</v>
      </c>
      <c r="B143" s="13" t="n">
        <v>0.125</v>
      </c>
      <c r="C143" s="14">
        <f>B143*100</f>
        <v/>
      </c>
    </row>
    <row r="144">
      <c r="A144" s="12" t="n">
        <v>42849</v>
      </c>
      <c r="B144" s="13" t="n">
        <v>0.1412</v>
      </c>
      <c r="C144" s="14">
        <f>B144*100</f>
        <v/>
      </c>
    </row>
    <row r="145">
      <c r="A145" s="12" t="n">
        <v>42850</v>
      </c>
      <c r="B145" s="13" t="n">
        <v>0.1682</v>
      </c>
      <c r="C145" s="14">
        <f>B145*100</f>
        <v/>
      </c>
    </row>
    <row r="146">
      <c r="A146" s="12" t="n">
        <v>42851</v>
      </c>
      <c r="B146" s="13" t="n">
        <v>0.1623</v>
      </c>
      <c r="C146" s="14">
        <f>B146*100</f>
        <v/>
      </c>
    </row>
    <row r="147">
      <c r="A147" s="12" t="n">
        <v>42852</v>
      </c>
      <c r="B147" s="13" t="n">
        <v>0.1534</v>
      </c>
      <c r="C147" s="14">
        <f>B147*100</f>
        <v/>
      </c>
    </row>
    <row r="148">
      <c r="A148" s="12" t="n">
        <v>42853</v>
      </c>
      <c r="B148" s="13" t="n">
        <v>0.1504</v>
      </c>
      <c r="C148" s="14">
        <f>B148*100</f>
        <v/>
      </c>
    </row>
    <row r="149">
      <c r="A149" s="12" t="n">
        <v>42856</v>
      </c>
      <c r="B149" s="13" t="n">
        <v>0.1599</v>
      </c>
      <c r="C149" s="14">
        <f>B149*100</f>
        <v/>
      </c>
    </row>
    <row r="150">
      <c r="A150" s="12" t="n">
        <v>42857</v>
      </c>
      <c r="B150" s="13" t="n">
        <v>0.1488</v>
      </c>
      <c r="C150" s="14">
        <f>B150*100</f>
        <v/>
      </c>
    </row>
    <row r="151">
      <c r="A151" s="12" t="n">
        <v>42858</v>
      </c>
      <c r="B151" s="13" t="n">
        <v>0.1616</v>
      </c>
      <c r="C151" s="14">
        <f>B151*100</f>
        <v/>
      </c>
    </row>
    <row r="152">
      <c r="A152" s="12" t="n">
        <v>42859</v>
      </c>
      <c r="B152" s="13" t="n">
        <v>0.1751</v>
      </c>
      <c r="C152" s="14">
        <f>B152*100</f>
        <v/>
      </c>
    </row>
    <row r="153">
      <c r="A153" s="12" t="n">
        <v>42860</v>
      </c>
      <c r="B153" s="13" t="n">
        <v>0.1746</v>
      </c>
      <c r="C153" s="14">
        <f>B153*100</f>
        <v/>
      </c>
    </row>
    <row r="154">
      <c r="A154" s="12" t="n">
        <v>42863</v>
      </c>
      <c r="B154" s="13" t="n">
        <v>0.1833</v>
      </c>
      <c r="C154" s="14">
        <f>B154*100</f>
        <v/>
      </c>
    </row>
    <row r="155">
      <c r="A155" s="12" t="n">
        <v>42864</v>
      </c>
      <c r="B155" s="13" t="n">
        <v>0.1954</v>
      </c>
      <c r="C155" s="14">
        <f>B155*100</f>
        <v/>
      </c>
    </row>
    <row r="156">
      <c r="A156" s="12" t="n">
        <v>42865</v>
      </c>
      <c r="B156" s="13" t="n">
        <v>0.199</v>
      </c>
      <c r="C156" s="14">
        <f>B156*100</f>
        <v/>
      </c>
    </row>
    <row r="157">
      <c r="A157" s="12" t="n">
        <v>42866</v>
      </c>
      <c r="B157" s="13" t="n">
        <v>0.1944</v>
      </c>
      <c r="C157" s="14">
        <f>B157*100</f>
        <v/>
      </c>
    </row>
    <row r="158">
      <c r="A158" s="12" t="n">
        <v>42867</v>
      </c>
      <c r="B158" s="13" t="n">
        <v>0.1671</v>
      </c>
      <c r="C158" s="14">
        <f>B158*100</f>
        <v/>
      </c>
    </row>
    <row r="159">
      <c r="A159" s="12" t="n">
        <v>42870</v>
      </c>
      <c r="B159" s="13" t="n">
        <v>0.164</v>
      </c>
      <c r="C159" s="14">
        <f>B159*100</f>
        <v/>
      </c>
    </row>
    <row r="160">
      <c r="A160" s="12" t="n">
        <v>42871</v>
      </c>
      <c r="B160" s="13" t="n">
        <v>0.1571</v>
      </c>
      <c r="C160" s="14">
        <f>B160*100</f>
        <v/>
      </c>
    </row>
    <row r="161">
      <c r="A161" s="12" t="n">
        <v>42872</v>
      </c>
      <c r="B161" s="13" t="n">
        <v>0.1168</v>
      </c>
      <c r="C161" s="14">
        <f>B161*100</f>
        <v/>
      </c>
    </row>
    <row r="162">
      <c r="A162" s="12" t="n">
        <v>42873</v>
      </c>
      <c r="B162" s="13" t="n">
        <v>0.1088</v>
      </c>
      <c r="C162" s="14">
        <f>B162*100</f>
        <v/>
      </c>
    </row>
    <row r="163">
      <c r="A163" s="12" t="n">
        <v>42874</v>
      </c>
      <c r="B163" s="13" t="n">
        <v>0.1075</v>
      </c>
      <c r="C163" s="14">
        <f>B163*100</f>
        <v/>
      </c>
    </row>
    <row r="164">
      <c r="A164" s="12" t="n">
        <v>42877</v>
      </c>
      <c r="B164" s="13" t="n">
        <v>0.1088</v>
      </c>
      <c r="C164" s="14">
        <f>B164*100</f>
        <v/>
      </c>
    </row>
    <row r="165">
      <c r="A165" s="12" t="n">
        <v>42878</v>
      </c>
      <c r="B165" s="13" t="n">
        <v>0.1225</v>
      </c>
      <c r="C165" s="14">
        <f>B165*100</f>
        <v/>
      </c>
    </row>
    <row r="166">
      <c r="A166" s="12" t="n">
        <v>42879</v>
      </c>
      <c r="B166" s="13" t="n">
        <v>0.1122</v>
      </c>
      <c r="C166" s="14">
        <f>B166*100</f>
        <v/>
      </c>
    </row>
    <row r="167">
      <c r="A167" s="12" t="n">
        <v>42880</v>
      </c>
      <c r="B167" s="13" t="n">
        <v>0.1055</v>
      </c>
      <c r="C167" s="14">
        <f>B167*100</f>
        <v/>
      </c>
    </row>
    <row r="168">
      <c r="A168" s="12" t="n">
        <v>42881</v>
      </c>
      <c r="B168" s="13" t="n">
        <v>0.104</v>
      </c>
      <c r="C168" s="14">
        <f>B168*100</f>
        <v/>
      </c>
    </row>
    <row r="169">
      <c r="A169" s="12" t="n">
        <v>42885</v>
      </c>
      <c r="B169" s="13" t="n">
        <v>0.08939999999999999</v>
      </c>
      <c r="C169" s="14">
        <f>B169*100</f>
        <v/>
      </c>
    </row>
    <row r="170">
      <c r="A170" s="12" t="n">
        <v>42886</v>
      </c>
      <c r="B170" s="13" t="n">
        <v>0.0803</v>
      </c>
      <c r="C170" s="14">
        <f>B170*100</f>
        <v/>
      </c>
    </row>
    <row r="171">
      <c r="A171" s="12" t="n">
        <v>42887</v>
      </c>
      <c r="B171" s="13" t="n">
        <v>0.0791</v>
      </c>
      <c r="C171" s="14">
        <f>B171*100</f>
        <v/>
      </c>
    </row>
    <row r="172">
      <c r="A172" s="12" t="n">
        <v>42888</v>
      </c>
      <c r="B172" s="13" t="n">
        <v>0.0558</v>
      </c>
      <c r="C172" s="14">
        <f>B172*100</f>
        <v/>
      </c>
    </row>
    <row r="173">
      <c r="A173" s="12" t="n">
        <v>42891</v>
      </c>
      <c r="B173" s="13" t="n">
        <v>0.0599</v>
      </c>
      <c r="C173" s="14">
        <f>B173*100</f>
        <v/>
      </c>
    </row>
    <row r="174">
      <c r="A174" s="12" t="n">
        <v>42892</v>
      </c>
      <c r="B174" s="13" t="n">
        <v>0.0449</v>
      </c>
      <c r="C174" s="14">
        <f>B174*100</f>
        <v/>
      </c>
    </row>
    <row r="175">
      <c r="A175" s="12" t="n">
        <v>42893</v>
      </c>
      <c r="B175" s="13" t="n">
        <v>0.0512</v>
      </c>
      <c r="C175" s="14">
        <f>B175*100</f>
        <v/>
      </c>
    </row>
    <row r="176">
      <c r="A176" s="12" t="n">
        <v>42894</v>
      </c>
      <c r="B176" s="13" t="n">
        <v>0.0555</v>
      </c>
      <c r="C176" s="14">
        <f>B176*100</f>
        <v/>
      </c>
    </row>
    <row r="177">
      <c r="A177" s="12" t="n">
        <v>42895</v>
      </c>
      <c r="B177" s="13" t="n">
        <v>0.0622</v>
      </c>
      <c r="C177" s="14">
        <f>B177*100</f>
        <v/>
      </c>
    </row>
    <row r="178">
      <c r="A178" s="12" t="n">
        <v>42898</v>
      </c>
      <c r="B178" s="13" t="n">
        <v>0.06660000000000001</v>
      </c>
      <c r="C178" s="14">
        <f>B178*100</f>
        <v/>
      </c>
    </row>
    <row r="179">
      <c r="A179" s="12" t="n">
        <v>42899</v>
      </c>
      <c r="B179" s="13" t="n">
        <v>0.067</v>
      </c>
      <c r="C179" s="14">
        <f>B179*100</f>
        <v/>
      </c>
    </row>
    <row r="180">
      <c r="A180" s="12" t="n">
        <v>42900</v>
      </c>
      <c r="B180" s="13" t="n">
        <v>0.0444</v>
      </c>
      <c r="C180" s="14">
        <f>B180*100</f>
        <v/>
      </c>
    </row>
    <row r="181">
      <c r="A181" s="12" t="n">
        <v>42901</v>
      </c>
      <c r="B181" s="13" t="n">
        <v>0.0426</v>
      </c>
      <c r="C181" s="14">
        <f>B181*100</f>
        <v/>
      </c>
    </row>
    <row r="182">
      <c r="A182" s="12" t="n">
        <v>42902</v>
      </c>
      <c r="B182" s="13" t="n">
        <v>0.0356</v>
      </c>
      <c r="C182" s="14">
        <f>B182*100</f>
        <v/>
      </c>
    </row>
    <row r="183">
      <c r="A183" s="12" t="n">
        <v>42905</v>
      </c>
      <c r="B183" s="13" t="n">
        <v>0.0504</v>
      </c>
      <c r="C183" s="14">
        <f>B183*100</f>
        <v/>
      </c>
    </row>
    <row r="184">
      <c r="A184" s="12" t="n">
        <v>42906</v>
      </c>
      <c r="B184" s="13" t="n">
        <v>0.0414</v>
      </c>
      <c r="C184" s="14">
        <f>B184*100</f>
        <v/>
      </c>
    </row>
    <row r="185">
      <c r="A185" s="12" t="n">
        <v>42907</v>
      </c>
      <c r="B185" s="13" t="n">
        <v>0.0436</v>
      </c>
      <c r="C185" s="14">
        <f>B185*100</f>
        <v/>
      </c>
    </row>
    <row r="186">
      <c r="A186" s="12" t="n">
        <v>42908</v>
      </c>
      <c r="B186" s="13" t="n">
        <v>0.0412</v>
      </c>
      <c r="C186" s="14">
        <f>B186*100</f>
        <v/>
      </c>
    </row>
    <row r="187">
      <c r="A187" s="12" t="n">
        <v>42909</v>
      </c>
      <c r="B187" s="13" t="n">
        <v>0.0411</v>
      </c>
      <c r="C187" s="14">
        <f>B187*100</f>
        <v/>
      </c>
    </row>
    <row r="188">
      <c r="A188" s="12" t="n">
        <v>42912</v>
      </c>
      <c r="B188" s="13" t="n">
        <v>0.0376</v>
      </c>
      <c r="C188" s="14">
        <f>B188*100</f>
        <v/>
      </c>
    </row>
    <row r="189">
      <c r="A189" s="12" t="n">
        <v>42913</v>
      </c>
      <c r="B189" s="13" t="n">
        <v>0.0597</v>
      </c>
      <c r="C189" s="14">
        <f>B189*100</f>
        <v/>
      </c>
    </row>
    <row r="190">
      <c r="A190" s="12" t="n">
        <v>42914</v>
      </c>
      <c r="B190" s="13" t="n">
        <v>0.06610000000000001</v>
      </c>
      <c r="C190" s="14">
        <f>B190*100</f>
        <v/>
      </c>
    </row>
    <row r="191">
      <c r="A191" s="12" t="n">
        <v>42915</v>
      </c>
      <c r="B191" s="13" t="n">
        <v>0.0854</v>
      </c>
      <c r="C191" s="14">
        <f>B191*100</f>
        <v/>
      </c>
    </row>
    <row r="192">
      <c r="A192" s="12" t="n">
        <v>42916</v>
      </c>
      <c r="B192" s="13" t="n">
        <v>0.1051</v>
      </c>
      <c r="C192" s="14">
        <f>B192*100</f>
        <v/>
      </c>
    </row>
    <row r="193">
      <c r="A193" s="12" t="n">
        <v>42919</v>
      </c>
      <c r="B193" s="13" t="n">
        <v>0.1283</v>
      </c>
      <c r="C193" s="14">
        <f>B193*100</f>
        <v/>
      </c>
    </row>
    <row r="194">
      <c r="A194" s="12" t="n">
        <v>42921</v>
      </c>
      <c r="B194" s="13" t="n">
        <v>0.1278</v>
      </c>
      <c r="C194" s="14">
        <f>B194*100</f>
        <v/>
      </c>
    </row>
    <row r="195">
      <c r="A195" s="12" t="n">
        <v>42922</v>
      </c>
      <c r="B195" s="13" t="n">
        <v>0.1417</v>
      </c>
      <c r="C195" s="14">
        <f>B195*100</f>
        <v/>
      </c>
    </row>
    <row r="196">
      <c r="A196" s="12" t="n">
        <v>42923</v>
      </c>
      <c r="B196" s="13" t="n">
        <v>0.1533</v>
      </c>
      <c r="C196" s="14">
        <f>B196*100</f>
        <v/>
      </c>
    </row>
    <row r="197">
      <c r="A197" s="12" t="n">
        <v>42926</v>
      </c>
      <c r="B197" s="13" t="n">
        <v>0.1497</v>
      </c>
      <c r="C197" s="14">
        <f>B197*100</f>
        <v/>
      </c>
    </row>
    <row r="198">
      <c r="A198" s="12" t="n">
        <v>42927</v>
      </c>
      <c r="B198" s="13" t="n">
        <v>0.1441</v>
      </c>
      <c r="C198" s="14">
        <f>B198*100</f>
        <v/>
      </c>
    </row>
    <row r="199">
      <c r="A199" s="12" t="n">
        <v>42928</v>
      </c>
      <c r="B199" s="13" t="n">
        <v>0.1258</v>
      </c>
      <c r="C199" s="14">
        <f>B199*100</f>
        <v/>
      </c>
    </row>
    <row r="200">
      <c r="A200" s="12" t="n">
        <v>42929</v>
      </c>
      <c r="B200" s="13" t="n">
        <v>0.1295</v>
      </c>
      <c r="C200" s="14">
        <f>B200*100</f>
        <v/>
      </c>
    </row>
    <row r="201">
      <c r="A201" s="12" t="n">
        <v>42930</v>
      </c>
      <c r="B201" s="13" t="n">
        <v>0.122</v>
      </c>
      <c r="C201" s="14">
        <f>B201*100</f>
        <v/>
      </c>
    </row>
    <row r="202">
      <c r="A202" s="12" t="n">
        <v>42933</v>
      </c>
      <c r="B202" s="13" t="n">
        <v>0.1135</v>
      </c>
      <c r="C202" s="14">
        <f>B202*100</f>
        <v/>
      </c>
    </row>
    <row r="203">
      <c r="A203" s="12" t="n">
        <v>42934</v>
      </c>
      <c r="B203" s="13" t="n">
        <v>0.0968</v>
      </c>
      <c r="C203" s="14">
        <f>B203*100</f>
        <v/>
      </c>
    </row>
    <row r="204">
      <c r="A204" s="12" t="n">
        <v>42935</v>
      </c>
      <c r="B204" s="13" t="n">
        <v>0.0906</v>
      </c>
      <c r="C204" s="14">
        <f>B204*100</f>
        <v/>
      </c>
    </row>
    <row r="205">
      <c r="A205" s="12" t="n">
        <v>42936</v>
      </c>
      <c r="B205" s="13" t="n">
        <v>0.0829</v>
      </c>
      <c r="C205" s="14">
        <f>B205*100</f>
        <v/>
      </c>
    </row>
    <row r="206">
      <c r="A206" s="12" t="n">
        <v>42937</v>
      </c>
      <c r="B206" s="13" t="n">
        <v>0.0706</v>
      </c>
      <c r="C206" s="14">
        <f>B206*100</f>
        <v/>
      </c>
    </row>
    <row r="207">
      <c r="A207" s="12" t="n">
        <v>42940</v>
      </c>
      <c r="B207" s="13" t="n">
        <v>0.0723</v>
      </c>
      <c r="C207" s="14">
        <f>B207*100</f>
        <v/>
      </c>
    </row>
    <row r="208">
      <c r="A208" s="12" t="n">
        <v>42941</v>
      </c>
      <c r="B208" s="13" t="n">
        <v>0.09909999999999999</v>
      </c>
      <c r="C208" s="14">
        <f>B208*100</f>
        <v/>
      </c>
    </row>
    <row r="209">
      <c r="A209" s="12" t="n">
        <v>42942</v>
      </c>
      <c r="B209" s="13" t="n">
        <v>0.0877</v>
      </c>
      <c r="C209" s="14">
        <f>B209*100</f>
        <v/>
      </c>
    </row>
    <row r="210">
      <c r="A210" s="12" t="n">
        <v>42943</v>
      </c>
      <c r="B210" s="13" t="n">
        <v>0.0954</v>
      </c>
      <c r="C210" s="14">
        <f>B210*100</f>
        <v/>
      </c>
    </row>
    <row r="211">
      <c r="A211" s="12" t="n">
        <v>42944</v>
      </c>
      <c r="B211" s="13" t="n">
        <v>0.0946</v>
      </c>
      <c r="C211" s="14">
        <f>B211*100</f>
        <v/>
      </c>
    </row>
    <row r="212">
      <c r="A212" s="12" t="n">
        <v>42947</v>
      </c>
      <c r="B212" s="13" t="n">
        <v>0.097</v>
      </c>
      <c r="C212" s="14">
        <f>B212*100</f>
        <v/>
      </c>
    </row>
    <row r="213">
      <c r="A213" s="12" t="n">
        <v>42948</v>
      </c>
      <c r="B213" s="13" t="n">
        <v>0.0834</v>
      </c>
      <c r="C213" s="14">
        <f>B213*100</f>
        <v/>
      </c>
    </row>
    <row r="214">
      <c r="A214" s="12" t="n">
        <v>42949</v>
      </c>
      <c r="B214" s="13" t="n">
        <v>0.0829</v>
      </c>
      <c r="C214" s="14">
        <f>B214*100</f>
        <v/>
      </c>
    </row>
    <row r="215">
      <c r="A215" s="12" t="n">
        <v>42950</v>
      </c>
      <c r="B215" s="13" t="n">
        <v>0.0702</v>
      </c>
      <c r="C215" s="14">
        <f>B215*100</f>
        <v/>
      </c>
    </row>
    <row r="216">
      <c r="A216" s="12" t="n">
        <v>42951</v>
      </c>
      <c r="B216" s="13" t="n">
        <v>0.07920000000000001</v>
      </c>
      <c r="C216" s="14">
        <f>B216*100</f>
        <v/>
      </c>
    </row>
    <row r="217">
      <c r="A217" s="12" t="n">
        <v>42954</v>
      </c>
      <c r="B217" s="13" t="n">
        <v>0.08169999999999999</v>
      </c>
      <c r="C217" s="14">
        <f>B217*100</f>
        <v/>
      </c>
    </row>
    <row r="218">
      <c r="A218" s="12" t="n">
        <v>42955</v>
      </c>
      <c r="B218" s="13" t="n">
        <v>0.0898</v>
      </c>
      <c r="C218" s="14">
        <f>B218*100</f>
        <v/>
      </c>
    </row>
    <row r="219">
      <c r="A219" s="12" t="n">
        <v>42956</v>
      </c>
      <c r="B219" s="13" t="n">
        <v>0.0762</v>
      </c>
      <c r="C219" s="14">
        <f>B219*100</f>
        <v/>
      </c>
    </row>
    <row r="220">
      <c r="A220" s="12" t="n">
        <v>42957</v>
      </c>
      <c r="B220" s="13" t="n">
        <v>0.0614</v>
      </c>
      <c r="C220" s="14">
        <f>B220*100</f>
        <v/>
      </c>
    </row>
    <row r="221">
      <c r="A221" s="12" t="n">
        <v>42958</v>
      </c>
      <c r="B221" s="13" t="n">
        <v>0.0476</v>
      </c>
      <c r="C221" s="14">
        <f>B221*100</f>
        <v/>
      </c>
    </row>
    <row r="222">
      <c r="A222" s="12" t="n">
        <v>42961</v>
      </c>
      <c r="B222" s="13" t="n">
        <v>0.0594</v>
      </c>
      <c r="C222" s="14">
        <f>B222*100</f>
        <v/>
      </c>
    </row>
    <row r="223">
      <c r="A223" s="12" t="n">
        <v>42962</v>
      </c>
      <c r="B223" s="13" t="n">
        <v>0.0795</v>
      </c>
      <c r="C223" s="14">
        <f>B223*100</f>
        <v/>
      </c>
    </row>
    <row r="224">
      <c r="A224" s="12" t="n">
        <v>42963</v>
      </c>
      <c r="B224" s="13" t="n">
        <v>0.0713</v>
      </c>
      <c r="C224" s="14">
        <f>B224*100</f>
        <v/>
      </c>
    </row>
    <row r="225">
      <c r="A225" s="12" t="n">
        <v>42964</v>
      </c>
      <c r="B225" s="13" t="n">
        <v>0.0579</v>
      </c>
      <c r="C225" s="14">
        <f>B225*100</f>
        <v/>
      </c>
    </row>
    <row r="226">
      <c r="A226" s="12" t="n">
        <v>42965</v>
      </c>
      <c r="B226" s="13" t="n">
        <v>0.0553</v>
      </c>
      <c r="C226" s="14">
        <f>B226*100</f>
        <v/>
      </c>
    </row>
    <row r="227">
      <c r="A227" s="12" t="n">
        <v>42968</v>
      </c>
      <c r="B227" s="13" t="n">
        <v>0.0517</v>
      </c>
      <c r="C227" s="14">
        <f>B227*100</f>
        <v/>
      </c>
    </row>
    <row r="228">
      <c r="A228" s="12" t="n">
        <v>42969</v>
      </c>
      <c r="B228" s="13" t="n">
        <v>0.0629</v>
      </c>
      <c r="C228" s="14">
        <f>B228*100</f>
        <v/>
      </c>
    </row>
    <row r="229">
      <c r="A229" s="12" t="n">
        <v>42970</v>
      </c>
      <c r="B229" s="13" t="n">
        <v>0.0503</v>
      </c>
      <c r="C229" s="14">
        <f>B229*100</f>
        <v/>
      </c>
    </row>
    <row r="230">
      <c r="A230" s="12" t="n">
        <v>42971</v>
      </c>
      <c r="B230" s="13" t="n">
        <v>0.0548</v>
      </c>
      <c r="C230" s="14">
        <f>B230*100</f>
        <v/>
      </c>
    </row>
    <row r="231">
      <c r="A231" s="12" t="n">
        <v>42972</v>
      </c>
      <c r="B231" s="13" t="n">
        <v>0.0485</v>
      </c>
      <c r="C231" s="14">
        <f>B231*100</f>
        <v/>
      </c>
    </row>
    <row r="232">
      <c r="A232" s="12" t="n">
        <v>42975</v>
      </c>
      <c r="B232" s="13" t="n">
        <v>0.0416</v>
      </c>
      <c r="C232" s="14">
        <f>B232*100</f>
        <v/>
      </c>
    </row>
    <row r="233">
      <c r="A233" s="12" t="n">
        <v>42976</v>
      </c>
      <c r="B233" s="13" t="n">
        <v>0.0251</v>
      </c>
      <c r="C233" s="14">
        <f>B233*100</f>
        <v/>
      </c>
    </row>
    <row r="234">
      <c r="A234" s="12" t="n">
        <v>42977</v>
      </c>
      <c r="B234" s="13" t="n">
        <v>0.0262</v>
      </c>
      <c r="C234" s="14">
        <f>B234*100</f>
        <v/>
      </c>
    </row>
    <row r="235">
      <c r="A235" s="12" t="n">
        <v>42978</v>
      </c>
      <c r="B235" s="13" t="n">
        <v>0.0187</v>
      </c>
      <c r="C235" s="14">
        <f>B235*100</f>
        <v/>
      </c>
    </row>
    <row r="236">
      <c r="A236" s="12" t="n">
        <v>42979</v>
      </c>
      <c r="B236" s="13" t="n">
        <v>0.0308</v>
      </c>
      <c r="C236" s="14">
        <f>B236*100</f>
        <v/>
      </c>
    </row>
    <row r="237">
      <c r="A237" s="12" t="n">
        <v>42983</v>
      </c>
      <c r="B237" s="13" t="n">
        <v>-0.0022</v>
      </c>
      <c r="C237" s="14">
        <f>B237*100</f>
        <v/>
      </c>
    </row>
    <row r="238">
      <c r="A238" s="12" t="n">
        <v>42984</v>
      </c>
      <c r="B238" s="13" t="n">
        <v>-0.0031</v>
      </c>
      <c r="C238" s="14">
        <f>B238*100</f>
        <v/>
      </c>
    </row>
    <row r="239">
      <c r="A239" s="12" t="n">
        <v>42985</v>
      </c>
      <c r="B239" s="13" t="n">
        <v>-0.0258</v>
      </c>
      <c r="C239" s="14">
        <f>B239*100</f>
        <v/>
      </c>
    </row>
    <row r="240">
      <c r="A240" s="12" t="n">
        <v>42986</v>
      </c>
      <c r="B240" s="13" t="n">
        <v>-0.0282</v>
      </c>
      <c r="C240" s="14">
        <f>B240*100</f>
        <v/>
      </c>
    </row>
    <row r="241">
      <c r="A241" s="12" t="n">
        <v>42989</v>
      </c>
      <c r="B241" s="13" t="n">
        <v>0.0001</v>
      </c>
      <c r="C241" s="14">
        <f>B241*100</f>
        <v/>
      </c>
    </row>
    <row r="242">
      <c r="A242" s="12" t="n">
        <v>42990</v>
      </c>
      <c r="B242" s="13" t="n">
        <v>0.0211</v>
      </c>
      <c r="C242" s="14">
        <f>B242*100</f>
        <v/>
      </c>
    </row>
    <row r="243">
      <c r="A243" s="12" t="n">
        <v>42991</v>
      </c>
      <c r="B243" s="13" t="n">
        <v>0.0376</v>
      </c>
      <c r="C243" s="14">
        <f>B243*100</f>
        <v/>
      </c>
    </row>
    <row r="244">
      <c r="A244" s="12" t="n">
        <v>42992</v>
      </c>
      <c r="B244" s="13" t="n">
        <v>0.0443</v>
      </c>
      <c r="C244" s="14">
        <f>B244*100</f>
        <v/>
      </c>
    </row>
    <row r="245">
      <c r="A245" s="12" t="n">
        <v>42993</v>
      </c>
      <c r="B245" s="13" t="n">
        <v>0.0519</v>
      </c>
      <c r="C245" s="14">
        <f>B245*100</f>
        <v/>
      </c>
    </row>
    <row r="246">
      <c r="A246" s="12" t="n">
        <v>42996</v>
      </c>
      <c r="B246" s="13" t="n">
        <v>0.0626</v>
      </c>
      <c r="C246" s="14">
        <f>B246*100</f>
        <v/>
      </c>
    </row>
    <row r="247">
      <c r="A247" s="12" t="n">
        <v>42997</v>
      </c>
      <c r="B247" s="13" t="n">
        <v>0.0688</v>
      </c>
      <c r="C247" s="14">
        <f>B247*100</f>
        <v/>
      </c>
    </row>
    <row r="248">
      <c r="A248" s="12" t="n">
        <v>42998</v>
      </c>
      <c r="B248" s="13" t="n">
        <v>0.0891</v>
      </c>
      <c r="C248" s="14">
        <f>B248*100</f>
        <v/>
      </c>
    </row>
    <row r="249">
      <c r="A249" s="12" t="n">
        <v>42999</v>
      </c>
      <c r="B249" s="13" t="n">
        <v>0.0916</v>
      </c>
      <c r="C249" s="14">
        <f>B249*100</f>
        <v/>
      </c>
    </row>
    <row r="250">
      <c r="A250" s="12" t="n">
        <v>43000</v>
      </c>
      <c r="B250" s="13" t="n">
        <v>0.089</v>
      </c>
      <c r="C250" s="14">
        <f>B250*100</f>
        <v/>
      </c>
    </row>
    <row r="251">
      <c r="A251" s="12" t="n">
        <v>43003</v>
      </c>
      <c r="B251" s="13" t="n">
        <v>0.0704</v>
      </c>
      <c r="C251" s="14">
        <f>B251*100</f>
        <v/>
      </c>
    </row>
    <row r="252">
      <c r="A252" s="12" t="n">
        <v>43004</v>
      </c>
      <c r="B252" s="13" t="n">
        <v>0.0728</v>
      </c>
      <c r="C252" s="14">
        <f>B252*100</f>
        <v/>
      </c>
    </row>
    <row r="253">
      <c r="A253" s="12" t="n">
        <v>43005</v>
      </c>
      <c r="B253" s="13" t="n">
        <v>0.0946</v>
      </c>
      <c r="C253" s="14">
        <f>B253*100</f>
        <v/>
      </c>
    </row>
    <row r="254">
      <c r="A254" s="12" t="n">
        <v>43006</v>
      </c>
      <c r="B254" s="13" t="n">
        <v>0.09909999999999999</v>
      </c>
      <c r="C254" s="14">
        <f>B254*100</f>
        <v/>
      </c>
    </row>
    <row r="255">
      <c r="A255" s="12" t="n">
        <v>43007</v>
      </c>
      <c r="B255" s="13" t="n">
        <v>0.1117</v>
      </c>
      <c r="C255" s="14">
        <f>B255*100</f>
        <v/>
      </c>
    </row>
    <row r="256">
      <c r="A256" s="12" t="n">
        <v>43010</v>
      </c>
      <c r="B256" s="13" t="n">
        <v>0.121</v>
      </c>
      <c r="C256" s="14">
        <f>B256*100</f>
        <v/>
      </c>
    </row>
    <row r="257">
      <c r="A257" s="12" t="n">
        <v>43011</v>
      </c>
      <c r="B257" s="13" t="n">
        <v>0.1159</v>
      </c>
      <c r="C257" s="14">
        <f>B257*100</f>
        <v/>
      </c>
    </row>
    <row r="258">
      <c r="A258" s="12" t="n">
        <v>43012</v>
      </c>
      <c r="B258" s="13" t="n">
        <v>0.1136</v>
      </c>
      <c r="C258" s="14">
        <f>B258*100</f>
        <v/>
      </c>
    </row>
    <row r="259">
      <c r="A259" s="12" t="n">
        <v>43013</v>
      </c>
      <c r="B259" s="13" t="n">
        <v>0.1212</v>
      </c>
      <c r="C259" s="14">
        <f>B259*100</f>
        <v/>
      </c>
    </row>
    <row r="260">
      <c r="A260" s="12" t="n">
        <v>43014</v>
      </c>
      <c r="B260" s="13" t="n">
        <v>0.1318</v>
      </c>
      <c r="C260" s="14">
        <f>B260*100</f>
        <v/>
      </c>
    </row>
    <row r="261">
      <c r="A261" s="12" t="n">
        <v>43018</v>
      </c>
      <c r="B261" s="13" t="n">
        <v>0.1226</v>
      </c>
      <c r="C261" s="14">
        <f>B261*100</f>
        <v/>
      </c>
    </row>
    <row r="262">
      <c r="A262" s="12" t="n">
        <v>43019</v>
      </c>
      <c r="B262" s="13" t="n">
        <v>0.1178</v>
      </c>
      <c r="C262" s="14">
        <f>B262*100</f>
        <v/>
      </c>
    </row>
    <row r="263">
      <c r="A263" s="12" t="n">
        <v>43020</v>
      </c>
      <c r="B263" s="13" t="n">
        <v>0.111</v>
      </c>
      <c r="C263" s="14">
        <f>B263*100</f>
        <v/>
      </c>
    </row>
    <row r="264">
      <c r="A264" s="12" t="n">
        <v>43021</v>
      </c>
      <c r="B264" s="13" t="n">
        <v>0.0926</v>
      </c>
      <c r="C264" s="14">
        <f>B264*100</f>
        <v/>
      </c>
    </row>
    <row r="265">
      <c r="A265" s="12" t="n">
        <v>43024</v>
      </c>
      <c r="B265" s="13" t="n">
        <v>0.0987</v>
      </c>
      <c r="C265" s="14">
        <f>B265*100</f>
        <v/>
      </c>
    </row>
    <row r="266">
      <c r="A266" s="12" t="n">
        <v>43025</v>
      </c>
      <c r="B266" s="13" t="n">
        <v>0.1013</v>
      </c>
      <c r="C266" s="14">
        <f>B266*100</f>
        <v/>
      </c>
    </row>
    <row r="267">
      <c r="A267" s="12" t="n">
        <v>43026</v>
      </c>
      <c r="B267" s="13" t="n">
        <v>0.1162</v>
      </c>
      <c r="C267" s="14">
        <f>B267*100</f>
        <v/>
      </c>
    </row>
    <row r="268">
      <c r="A268" s="12" t="n">
        <v>43027</v>
      </c>
      <c r="B268" s="13" t="n">
        <v>0.1144</v>
      </c>
      <c r="C268" s="14">
        <f>B268*100</f>
        <v/>
      </c>
    </row>
    <row r="269">
      <c r="A269" s="12" t="n">
        <v>43028</v>
      </c>
      <c r="B269" s="13" t="n">
        <v>0.1338</v>
      </c>
      <c r="C269" s="14">
        <f>B269*100</f>
        <v/>
      </c>
    </row>
    <row r="270">
      <c r="A270" s="12" t="n">
        <v>43031</v>
      </c>
      <c r="B270" s="13" t="n">
        <v>0.1334</v>
      </c>
      <c r="C270" s="14">
        <f>B270*100</f>
        <v/>
      </c>
    </row>
    <row r="271">
      <c r="A271" s="12" t="n">
        <v>43032</v>
      </c>
      <c r="B271" s="13" t="n">
        <v>0.1479</v>
      </c>
      <c r="C271" s="14">
        <f>B271*100</f>
        <v/>
      </c>
    </row>
    <row r="272">
      <c r="A272" s="12" t="n">
        <v>43033</v>
      </c>
      <c r="B272" s="13" t="n">
        <v>0.1582</v>
      </c>
      <c r="C272" s="14">
        <f>B272*100</f>
        <v/>
      </c>
    </row>
    <row r="273">
      <c r="A273" s="12" t="n">
        <v>43034</v>
      </c>
      <c r="B273" s="13" t="n">
        <v>0.1692</v>
      </c>
      <c r="C273" s="14">
        <f>B273*100</f>
        <v/>
      </c>
    </row>
    <row r="274">
      <c r="A274" s="12" t="n">
        <v>43035</v>
      </c>
      <c r="B274" s="13" t="n">
        <v>0.159</v>
      </c>
      <c r="C274" s="14">
        <f>B274*100</f>
        <v/>
      </c>
    </row>
    <row r="275">
      <c r="A275" s="12" t="n">
        <v>43038</v>
      </c>
      <c r="B275" s="13" t="n">
        <v>0.1391</v>
      </c>
      <c r="C275" s="14">
        <f>B275*100</f>
        <v/>
      </c>
    </row>
    <row r="276">
      <c r="A276" s="12" t="n">
        <v>43039</v>
      </c>
      <c r="B276" s="13" t="n">
        <v>0.1347</v>
      </c>
      <c r="C276" s="14">
        <f>B276*100</f>
        <v/>
      </c>
    </row>
    <row r="277">
      <c r="A277" s="12" t="n">
        <v>43040</v>
      </c>
      <c r="B277" s="13" t="n">
        <v>0.1281</v>
      </c>
      <c r="C277" s="14">
        <f>B277*100</f>
        <v/>
      </c>
    </row>
    <row r="278">
      <c r="A278" s="12" t="n">
        <v>43041</v>
      </c>
      <c r="B278" s="13" t="n">
        <v>0.1182</v>
      </c>
      <c r="C278" s="14">
        <f>B278*100</f>
        <v/>
      </c>
    </row>
    <row r="279">
      <c r="A279" s="12" t="n">
        <v>43042</v>
      </c>
      <c r="B279" s="13" t="n">
        <v>0.1092</v>
      </c>
      <c r="C279" s="14">
        <f>B279*100</f>
        <v/>
      </c>
    </row>
    <row r="280">
      <c r="A280" s="12" t="n">
        <v>43045</v>
      </c>
      <c r="B280" s="13" t="n">
        <v>0.0988</v>
      </c>
      <c r="C280" s="14">
        <f>B280*100</f>
        <v/>
      </c>
    </row>
    <row r="281">
      <c r="A281" s="12" t="n">
        <v>43046</v>
      </c>
      <c r="B281" s="13" t="n">
        <v>0.0905</v>
      </c>
      <c r="C281" s="14">
        <f>B281*100</f>
        <v/>
      </c>
    </row>
    <row r="282">
      <c r="A282" s="12" t="n">
        <v>43047</v>
      </c>
      <c r="B282" s="13" t="n">
        <v>0.0927</v>
      </c>
      <c r="C282" s="14">
        <f>B282*100</f>
        <v/>
      </c>
    </row>
    <row r="283">
      <c r="A283" s="12" t="n">
        <v>43048</v>
      </c>
      <c r="B283" s="13" t="n">
        <v>0.092</v>
      </c>
      <c r="C283" s="14">
        <f>B283*100</f>
        <v/>
      </c>
    </row>
    <row r="284">
      <c r="A284" s="12" t="n">
        <v>43049</v>
      </c>
      <c r="B284" s="13" t="n">
        <v>0.1177</v>
      </c>
      <c r="C284" s="14">
        <f>B284*100</f>
        <v/>
      </c>
    </row>
    <row r="285">
      <c r="A285" s="12" t="n">
        <v>43052</v>
      </c>
      <c r="B285" s="13" t="n">
        <v>0.1278</v>
      </c>
      <c r="C285" s="14">
        <f>B285*100</f>
        <v/>
      </c>
    </row>
    <row r="286">
      <c r="A286" s="12" t="n">
        <v>43053</v>
      </c>
      <c r="B286" s="13" t="n">
        <v>0.1218</v>
      </c>
      <c r="C286" s="14">
        <f>B286*100</f>
        <v/>
      </c>
    </row>
    <row r="287">
      <c r="A287" s="12" t="n">
        <v>43054</v>
      </c>
      <c r="B287" s="13" t="n">
        <v>0.1036</v>
      </c>
      <c r="C287" s="14">
        <f>B287*100</f>
        <v/>
      </c>
    </row>
    <row r="288">
      <c r="A288" s="12" t="n">
        <v>43055</v>
      </c>
      <c r="B288" s="13" t="n">
        <v>0.11</v>
      </c>
      <c r="C288" s="14">
        <f>B288*100</f>
        <v/>
      </c>
    </row>
    <row r="289">
      <c r="A289" s="12" t="n">
        <v>43056</v>
      </c>
      <c r="B289" s="13" t="n">
        <v>0.1037</v>
      </c>
      <c r="C289" s="14">
        <f>B289*100</f>
        <v/>
      </c>
    </row>
    <row r="290">
      <c r="A290" s="12" t="n">
        <v>43059</v>
      </c>
      <c r="B290" s="13" t="n">
        <v>0.1097</v>
      </c>
      <c r="C290" s="14">
        <f>B290*100</f>
        <v/>
      </c>
    </row>
    <row r="291">
      <c r="A291" s="12" t="n">
        <v>43060</v>
      </c>
      <c r="B291" s="13" t="n">
        <v>0.1112</v>
      </c>
      <c r="C291" s="14">
        <f>B291*100</f>
        <v/>
      </c>
    </row>
    <row r="292">
      <c r="A292" s="12" t="n">
        <v>43061</v>
      </c>
      <c r="B292" s="13" t="n">
        <v>0.09379999999999999</v>
      </c>
      <c r="C292" s="14">
        <f>B292*100</f>
        <v/>
      </c>
    </row>
    <row r="293">
      <c r="A293" s="12" t="n">
        <v>43063</v>
      </c>
      <c r="B293" s="13" t="n">
        <v>0.0959</v>
      </c>
      <c r="C293" s="14">
        <f>B293*100</f>
        <v/>
      </c>
    </row>
    <row r="294">
      <c r="A294" s="12" t="n">
        <v>43066</v>
      </c>
      <c r="B294" s="13" t="n">
        <v>0.0914</v>
      </c>
      <c r="C294" s="14">
        <f>B294*100</f>
        <v/>
      </c>
    </row>
    <row r="295">
      <c r="A295" s="12" t="n">
        <v>43067</v>
      </c>
      <c r="B295" s="13" t="n">
        <v>0.09229999999999999</v>
      </c>
      <c r="C295" s="14">
        <f>B295*100</f>
        <v/>
      </c>
    </row>
    <row r="296">
      <c r="A296" s="12" t="n">
        <v>43068</v>
      </c>
      <c r="B296" s="13" t="n">
        <v>0.1056</v>
      </c>
      <c r="C296" s="14">
        <f>B296*100</f>
        <v/>
      </c>
    </row>
    <row r="297">
      <c r="A297" s="12" t="n">
        <v>43069</v>
      </c>
      <c r="B297" s="13" t="n">
        <v>0.129</v>
      </c>
      <c r="C297" s="14">
        <f>B297*100</f>
        <v/>
      </c>
    </row>
    <row r="298">
      <c r="A298" s="12" t="n">
        <v>43070</v>
      </c>
      <c r="B298" s="13" t="n">
        <v>0.1212</v>
      </c>
      <c r="C298" s="14">
        <f>B298*100</f>
        <v/>
      </c>
    </row>
    <row r="299">
      <c r="A299" s="12" t="n">
        <v>43073</v>
      </c>
      <c r="B299" s="13" t="n">
        <v>0.1236</v>
      </c>
      <c r="C299" s="14">
        <f>B299*100</f>
        <v/>
      </c>
    </row>
    <row r="300">
      <c r="A300" s="12" t="n">
        <v>43074</v>
      </c>
      <c r="B300" s="13" t="n">
        <v>0.1185</v>
      </c>
      <c r="C300" s="14">
        <f>B300*100</f>
        <v/>
      </c>
    </row>
    <row r="301">
      <c r="A301" s="12" t="n">
        <v>43075</v>
      </c>
      <c r="B301" s="13" t="n">
        <v>0.1015</v>
      </c>
      <c r="C301" s="14">
        <f>B301*100</f>
        <v/>
      </c>
    </row>
    <row r="302">
      <c r="A302" s="12" t="n">
        <v>43076</v>
      </c>
      <c r="B302" s="13" t="n">
        <v>0.1107</v>
      </c>
      <c r="C302" s="14">
        <f>B302*100</f>
        <v/>
      </c>
    </row>
    <row r="303">
      <c r="A303" s="12" t="n">
        <v>43077</v>
      </c>
      <c r="B303" s="13" t="n">
        <v>0.1171</v>
      </c>
      <c r="C303" s="14">
        <f>B303*100</f>
        <v/>
      </c>
    </row>
    <row r="304">
      <c r="A304" s="12" t="n">
        <v>43080</v>
      </c>
      <c r="B304" s="13" t="n">
        <v>0.1208</v>
      </c>
      <c r="C304" s="14">
        <f>B304*100</f>
        <v/>
      </c>
    </row>
    <row r="305">
      <c r="A305" s="12" t="n">
        <v>43081</v>
      </c>
      <c r="B305" s="13" t="n">
        <v>0.1249</v>
      </c>
      <c r="C305" s="14">
        <f>B305*100</f>
        <v/>
      </c>
    </row>
    <row r="306">
      <c r="A306" s="12" t="n">
        <v>43082</v>
      </c>
      <c r="B306" s="13" t="n">
        <v>0.1073</v>
      </c>
      <c r="C306" s="14">
        <f>B306*100</f>
        <v/>
      </c>
    </row>
    <row r="307">
      <c r="A307" s="12" t="n">
        <v>43083</v>
      </c>
      <c r="B307" s="13" t="n">
        <v>0.1047</v>
      </c>
      <c r="C307" s="14">
        <f>B307*100</f>
        <v/>
      </c>
    </row>
    <row r="308">
      <c r="A308" s="12" t="n">
        <v>43084</v>
      </c>
      <c r="B308" s="13" t="n">
        <v>0.1069</v>
      </c>
      <c r="C308" s="14">
        <f>B308*100</f>
        <v/>
      </c>
    </row>
    <row r="309">
      <c r="A309" s="12" t="n">
        <v>43087</v>
      </c>
      <c r="B309" s="13" t="n">
        <v>0.112</v>
      </c>
      <c r="C309" s="14">
        <f>B309*100</f>
        <v/>
      </c>
    </row>
    <row r="310">
      <c r="A310" s="12" t="n">
        <v>43088</v>
      </c>
      <c r="B310" s="13" t="n">
        <v>0.1379</v>
      </c>
      <c r="C310" s="14">
        <f>B310*100</f>
        <v/>
      </c>
    </row>
    <row r="311">
      <c r="A311" s="12" t="n">
        <v>43089</v>
      </c>
      <c r="B311" s="13" t="n">
        <v>0.1561</v>
      </c>
      <c r="C311" s="14">
        <f>B311*100</f>
        <v/>
      </c>
    </row>
    <row r="312">
      <c r="A312" s="12" t="n">
        <v>43090</v>
      </c>
      <c r="B312" s="13" t="n">
        <v>0.1611</v>
      </c>
      <c r="C312" s="14">
        <f>B312*100</f>
        <v/>
      </c>
    </row>
    <row r="313">
      <c r="A313" s="12" t="n">
        <v>43091</v>
      </c>
      <c r="B313" s="13" t="n">
        <v>0.1649</v>
      </c>
      <c r="C313" s="14">
        <f>B313*100</f>
        <v/>
      </c>
    </row>
    <row r="314">
      <c r="A314" s="12" t="n">
        <v>43095</v>
      </c>
      <c r="B314" s="13" t="n">
        <v>0.1538</v>
      </c>
      <c r="C314" s="14">
        <f>B314*100</f>
        <v/>
      </c>
    </row>
    <row r="315">
      <c r="A315" s="12" t="n">
        <v>43096</v>
      </c>
      <c r="B315" s="13" t="n">
        <v>0.1309</v>
      </c>
      <c r="C315" s="14">
        <f>B315*100</f>
        <v/>
      </c>
    </row>
    <row r="316">
      <c r="A316" s="12" t="n">
        <v>43097</v>
      </c>
      <c r="B316" s="13" t="n">
        <v>0.1321</v>
      </c>
      <c r="C316" s="14">
        <f>B316*100</f>
        <v/>
      </c>
    </row>
    <row r="317">
      <c r="A317" s="12" t="n">
        <v>43098</v>
      </c>
      <c r="B317" s="13" t="n">
        <v>0.1233</v>
      </c>
      <c r="C317" s="14">
        <f>B317*100</f>
        <v/>
      </c>
    </row>
    <row r="318">
      <c r="A318" s="12" t="n">
        <v>43102</v>
      </c>
      <c r="B318" s="13" t="n">
        <v>0.1341</v>
      </c>
      <c r="C318" s="14">
        <f>B318*100</f>
        <v/>
      </c>
    </row>
    <row r="319">
      <c r="A319" s="12" t="n">
        <v>43103</v>
      </c>
      <c r="B319" s="13" t="n">
        <v>0.1334</v>
      </c>
      <c r="C319" s="14">
        <f>B319*100</f>
        <v/>
      </c>
    </row>
    <row r="320">
      <c r="A320" s="12" t="n">
        <v>43104</v>
      </c>
      <c r="B320" s="13" t="n">
        <v>0.139</v>
      </c>
      <c r="C320" s="14">
        <f>B320*100</f>
        <v/>
      </c>
    </row>
    <row r="321">
      <c r="A321" s="12" t="n">
        <v>43105</v>
      </c>
      <c r="B321" s="13" t="n">
        <v>0.1485</v>
      </c>
      <c r="C321" s="14">
        <f>B321*100</f>
        <v/>
      </c>
    </row>
    <row r="322">
      <c r="A322" s="12" t="n">
        <v>43108</v>
      </c>
      <c r="B322" s="13" t="n">
        <v>0.1504</v>
      </c>
      <c r="C322" s="14">
        <f>B322*100</f>
        <v/>
      </c>
    </row>
    <row r="323">
      <c r="A323" s="12" t="n">
        <v>43109</v>
      </c>
      <c r="B323" s="13" t="n">
        <v>0.1711</v>
      </c>
      <c r="C323" s="14">
        <f>B323*100</f>
        <v/>
      </c>
    </row>
    <row r="324">
      <c r="A324" s="12" t="n">
        <v>43110</v>
      </c>
      <c r="B324" s="13" t="n">
        <v>0.178</v>
      </c>
      <c r="C324" s="14">
        <f>B324*100</f>
        <v/>
      </c>
    </row>
    <row r="325">
      <c r="A325" s="12" t="n">
        <v>43111</v>
      </c>
      <c r="B325" s="13" t="n">
        <v>0.1787</v>
      </c>
      <c r="C325" s="14">
        <f>B325*100</f>
        <v/>
      </c>
    </row>
    <row r="326">
      <c r="A326" s="12" t="n">
        <v>43112</v>
      </c>
      <c r="B326" s="13" t="n">
        <v>0.1865</v>
      </c>
      <c r="C326" s="14">
        <f>B326*100</f>
        <v/>
      </c>
    </row>
    <row r="327">
      <c r="A327" s="12" t="n">
        <v>43116</v>
      </c>
      <c r="B327" s="13" t="n">
        <v>0.1844</v>
      </c>
      <c r="C327" s="14">
        <f>B327*100</f>
        <v/>
      </c>
    </row>
    <row r="328">
      <c r="A328" s="12" t="n">
        <v>43117</v>
      </c>
      <c r="B328" s="13" t="n">
        <v>0.1952</v>
      </c>
      <c r="C328" s="14">
        <f>B328*100</f>
        <v/>
      </c>
    </row>
    <row r="329">
      <c r="A329" s="12" t="n">
        <v>43118</v>
      </c>
      <c r="B329" s="13" t="n">
        <v>0.2135</v>
      </c>
      <c r="C329" s="14">
        <f>B329*100</f>
        <v/>
      </c>
    </row>
    <row r="330">
      <c r="A330" s="12" t="n">
        <v>43119</v>
      </c>
      <c r="B330" s="13" t="n">
        <v>0.2284</v>
      </c>
      <c r="C330" s="14">
        <f>B330*100</f>
        <v/>
      </c>
    </row>
    <row r="331">
      <c r="A331" s="12" t="n">
        <v>43122</v>
      </c>
      <c r="B331" s="13" t="n">
        <v>0.2374</v>
      </c>
      <c r="C331" s="14">
        <f>B331*100</f>
        <v/>
      </c>
    </row>
    <row r="332">
      <c r="A332" s="12" t="n">
        <v>43123</v>
      </c>
      <c r="B332" s="13" t="n">
        <v>0.2268</v>
      </c>
      <c r="C332" s="14">
        <f>B332*100</f>
        <v/>
      </c>
    </row>
    <row r="333">
      <c r="A333" s="12" t="n">
        <v>43124</v>
      </c>
      <c r="B333" s="13" t="n">
        <v>0.2337</v>
      </c>
      <c r="C333" s="14">
        <f>B333*100</f>
        <v/>
      </c>
    </row>
    <row r="334">
      <c r="A334" s="12" t="n">
        <v>43125</v>
      </c>
      <c r="B334" s="13" t="n">
        <v>0.2278</v>
      </c>
      <c r="C334" s="14">
        <f>B334*100</f>
        <v/>
      </c>
    </row>
    <row r="335">
      <c r="A335" s="12" t="n">
        <v>43126</v>
      </c>
      <c r="B335" s="13" t="n">
        <v>0.2445</v>
      </c>
      <c r="C335" s="14">
        <f>B335*100</f>
        <v/>
      </c>
    </row>
    <row r="336">
      <c r="A336" s="12" t="n">
        <v>43129</v>
      </c>
      <c r="B336" s="13" t="n">
        <v>0.2568</v>
      </c>
      <c r="C336" s="14">
        <f>B336*100</f>
        <v/>
      </c>
    </row>
    <row r="337">
      <c r="A337" s="12" t="n">
        <v>43130</v>
      </c>
      <c r="B337" s="13" t="n">
        <v>0.2696</v>
      </c>
      <c r="C337" s="14">
        <f>B337*100</f>
        <v/>
      </c>
    </row>
    <row r="338">
      <c r="A338" s="12" t="n">
        <v>43131</v>
      </c>
      <c r="B338" s="13" t="n">
        <v>0.2742</v>
      </c>
      <c r="C338" s="14">
        <f>B338*100</f>
        <v/>
      </c>
    </row>
    <row r="339">
      <c r="A339" s="12" t="n">
        <v>43132</v>
      </c>
      <c r="B339" s="13" t="n">
        <v>0.2969</v>
      </c>
      <c r="C339" s="14">
        <f>B339*100</f>
        <v/>
      </c>
    </row>
    <row r="340">
      <c r="A340" s="12" t="n">
        <v>43133</v>
      </c>
      <c r="B340" s="13" t="n">
        <v>0.3204</v>
      </c>
      <c r="C340" s="14">
        <f>B340*100</f>
        <v/>
      </c>
    </row>
    <row r="341">
      <c r="A341" s="12" t="n">
        <v>43136</v>
      </c>
      <c r="B341" s="13" t="n">
        <v>0.2957</v>
      </c>
      <c r="C341" s="14">
        <f>B341*100</f>
        <v/>
      </c>
    </row>
    <row r="342">
      <c r="A342" s="12" t="n">
        <v>43137</v>
      </c>
      <c r="B342" s="13" t="n">
        <v>0.2958</v>
      </c>
      <c r="C342" s="14">
        <f>B342*100</f>
        <v/>
      </c>
    </row>
    <row r="343">
      <c r="A343" s="12" t="n">
        <v>43138</v>
      </c>
      <c r="B343" s="13" t="n">
        <v>0.3147</v>
      </c>
      <c r="C343" s="14">
        <f>B343*100</f>
        <v/>
      </c>
    </row>
    <row r="344">
      <c r="A344" s="12" t="n">
        <v>43139</v>
      </c>
      <c r="B344" s="13" t="n">
        <v>0.32</v>
      </c>
      <c r="C344" s="14">
        <f>B344*100</f>
        <v/>
      </c>
    </row>
    <row r="345">
      <c r="A345" s="12" t="n">
        <v>43140</v>
      </c>
      <c r="B345" s="13" t="n">
        <v>0.3075</v>
      </c>
      <c r="C345" s="14">
        <f>B345*100</f>
        <v/>
      </c>
    </row>
    <row r="346">
      <c r="A346" s="12" t="n">
        <v>43143</v>
      </c>
      <c r="B346" s="13" t="n">
        <v>0.3135</v>
      </c>
      <c r="C346" s="14">
        <f>B346*100</f>
        <v/>
      </c>
    </row>
    <row r="347">
      <c r="A347" s="12" t="n">
        <v>43144</v>
      </c>
      <c r="B347" s="13" t="n">
        <v>0.3046</v>
      </c>
      <c r="C347" s="14">
        <f>B347*100</f>
        <v/>
      </c>
    </row>
    <row r="348">
      <c r="A348" s="12" t="n">
        <v>43145</v>
      </c>
      <c r="B348" s="13" t="n">
        <v>0.3406</v>
      </c>
      <c r="C348" s="14">
        <f>B348*100</f>
        <v/>
      </c>
    </row>
    <row r="349">
      <c r="A349" s="12" t="n">
        <v>43146</v>
      </c>
      <c r="B349" s="13" t="n">
        <v>0.3446</v>
      </c>
      <c r="C349" s="14">
        <f>B349*100</f>
        <v/>
      </c>
    </row>
    <row r="350">
      <c r="A350" s="12" t="n">
        <v>43147</v>
      </c>
      <c r="B350" s="13" t="n">
        <v>0.3347</v>
      </c>
      <c r="C350" s="14">
        <f>B350*100</f>
        <v/>
      </c>
    </row>
    <row r="351">
      <c r="A351" s="12" t="n">
        <v>43151</v>
      </c>
      <c r="B351" s="13" t="n">
        <v>0.3309</v>
      </c>
      <c r="C351" s="14">
        <f>B351*100</f>
        <v/>
      </c>
    </row>
    <row r="352">
      <c r="A352" s="12" t="n">
        <v>43152</v>
      </c>
      <c r="B352" s="13" t="n">
        <v>0.3478</v>
      </c>
      <c r="C352" s="14">
        <f>B352*100</f>
        <v/>
      </c>
    </row>
    <row r="353">
      <c r="A353" s="12" t="n">
        <v>43153</v>
      </c>
      <c r="B353" s="13" t="n">
        <v>0.3445</v>
      </c>
      <c r="C353" s="14">
        <f>B353*100</f>
        <v/>
      </c>
    </row>
    <row r="354">
      <c r="A354" s="12" t="n">
        <v>43154</v>
      </c>
      <c r="B354" s="13" t="n">
        <v>0.3275</v>
      </c>
      <c r="C354" s="14">
        <f>B354*100</f>
        <v/>
      </c>
    </row>
    <row r="355">
      <c r="A355" s="12" t="n">
        <v>43157</v>
      </c>
      <c r="B355" s="13" t="n">
        <v>0.3115</v>
      </c>
      <c r="C355" s="14">
        <f>B355*100</f>
        <v/>
      </c>
    </row>
    <row r="356">
      <c r="A356" s="12" t="n">
        <v>43158</v>
      </c>
      <c r="B356" s="13" t="n">
        <v>0.3268</v>
      </c>
      <c r="C356" s="14">
        <f>B356*100</f>
        <v/>
      </c>
    </row>
    <row r="357">
      <c r="A357" s="12" t="n">
        <v>43159</v>
      </c>
      <c r="B357" s="13" t="n">
        <v>0.321</v>
      </c>
      <c r="C357" s="14">
        <f>B357*100</f>
        <v/>
      </c>
    </row>
    <row r="358">
      <c r="A358" s="12" t="n">
        <v>43160</v>
      </c>
      <c r="B358" s="13" t="n">
        <v>0.297</v>
      </c>
      <c r="C358" s="14">
        <f>B358*100</f>
        <v/>
      </c>
    </row>
    <row r="359">
      <c r="A359" s="12" t="n">
        <v>43161</v>
      </c>
      <c r="B359" s="13" t="n">
        <v>0.3098</v>
      </c>
      <c r="C359" s="14">
        <f>B359*100</f>
        <v/>
      </c>
    </row>
    <row r="360">
      <c r="A360" s="12" t="n">
        <v>43164</v>
      </c>
      <c r="B360" s="13" t="n">
        <v>0.3157</v>
      </c>
      <c r="C360" s="14">
        <f>B360*100</f>
        <v/>
      </c>
    </row>
    <row r="361">
      <c r="A361" s="12" t="n">
        <v>43165</v>
      </c>
      <c r="B361" s="13" t="n">
        <v>0.3174</v>
      </c>
      <c r="C361" s="14">
        <f>B361*100</f>
        <v/>
      </c>
    </row>
    <row r="362">
      <c r="A362" s="12" t="n">
        <v>43166</v>
      </c>
      <c r="B362" s="13" t="n">
        <v>0.319</v>
      </c>
      <c r="C362" s="14">
        <f>B362*100</f>
        <v/>
      </c>
    </row>
    <row r="363">
      <c r="A363" s="12" t="n">
        <v>43167</v>
      </c>
      <c r="B363" s="13" t="n">
        <v>0.3103</v>
      </c>
      <c r="C363" s="14">
        <f>B363*100</f>
        <v/>
      </c>
    </row>
    <row r="364">
      <c r="A364" s="12" t="n">
        <v>43168</v>
      </c>
      <c r="B364" s="13" t="n">
        <v>0.319</v>
      </c>
      <c r="C364" s="14">
        <f>B364*100</f>
        <v/>
      </c>
    </row>
    <row r="365">
      <c r="A365" s="12" t="n">
        <v>43171</v>
      </c>
      <c r="B365" s="13" t="n">
        <v>0.3089</v>
      </c>
      <c r="C365" s="14">
        <f>B365*100</f>
        <v/>
      </c>
    </row>
    <row r="366">
      <c r="A366" s="12" t="n">
        <v>43172</v>
      </c>
      <c r="B366" s="13" t="n">
        <v>0.2937</v>
      </c>
      <c r="C366" s="14">
        <f>B366*100</f>
        <v/>
      </c>
    </row>
    <row r="367">
      <c r="A367" s="12" t="n">
        <v>43173</v>
      </c>
      <c r="B367" s="13" t="n">
        <v>0.2775</v>
      </c>
      <c r="C367" s="14">
        <f>B367*100</f>
        <v/>
      </c>
    </row>
    <row r="368">
      <c r="A368" s="12" t="n">
        <v>43174</v>
      </c>
      <c r="B368" s="13" t="n">
        <v>0.2729</v>
      </c>
      <c r="C368" s="14">
        <f>B368*100</f>
        <v/>
      </c>
    </row>
    <row r="369">
      <c r="A369" s="12" t="n">
        <v>43175</v>
      </c>
      <c r="B369" s="13" t="n">
        <v>0.2797</v>
      </c>
      <c r="C369" s="14">
        <f>B369*100</f>
        <v/>
      </c>
    </row>
    <row r="370">
      <c r="A370" s="12" t="n">
        <v>43178</v>
      </c>
      <c r="B370" s="13" t="n">
        <v>0.2788</v>
      </c>
      <c r="C370" s="14">
        <f>B370*100</f>
        <v/>
      </c>
    </row>
    <row r="371">
      <c r="A371" s="12" t="n">
        <v>43179</v>
      </c>
      <c r="B371" s="13" t="n">
        <v>0.2913</v>
      </c>
      <c r="C371" s="14">
        <f>B371*100</f>
        <v/>
      </c>
    </row>
    <row r="372">
      <c r="A372" s="12" t="n">
        <v>43180</v>
      </c>
      <c r="B372" s="13" t="n">
        <v>0.2993</v>
      </c>
      <c r="C372" s="14">
        <f>B372*100</f>
        <v/>
      </c>
    </row>
    <row r="373">
      <c r="A373" s="12" t="n">
        <v>43181</v>
      </c>
      <c r="B373" s="13" t="n">
        <v>0.2806</v>
      </c>
      <c r="C373" s="14">
        <f>B373*100</f>
        <v/>
      </c>
    </row>
    <row r="374">
      <c r="A374" s="12" t="n">
        <v>43182</v>
      </c>
      <c r="B374" s="13" t="n">
        <v>0.2708</v>
      </c>
      <c r="C374" s="14">
        <f>B374*100</f>
        <v/>
      </c>
    </row>
    <row r="375">
      <c r="A375" s="12" t="n">
        <v>43185</v>
      </c>
      <c r="B375" s="13" t="n">
        <v>0.2779</v>
      </c>
      <c r="C375" s="14">
        <f>B375*100</f>
        <v/>
      </c>
    </row>
    <row r="376">
      <c r="A376" s="12" t="n">
        <v>43186</v>
      </c>
      <c r="B376" s="13" t="n">
        <v>0.251</v>
      </c>
      <c r="C376" s="14">
        <f>B376*100</f>
        <v/>
      </c>
    </row>
    <row r="377">
      <c r="A377" s="12" t="n">
        <v>43187</v>
      </c>
      <c r="B377" s="13" t="n">
        <v>0.2479</v>
      </c>
      <c r="C377" s="14">
        <f>B377*100</f>
        <v/>
      </c>
    </row>
    <row r="378">
      <c r="A378" s="12" t="n">
        <v>43188</v>
      </c>
      <c r="B378" s="13" t="n">
        <v>0.235</v>
      </c>
      <c r="C378" s="14">
        <f>B378*100</f>
        <v/>
      </c>
    </row>
    <row r="379">
      <c r="A379" s="12" t="n">
        <v>43192</v>
      </c>
      <c r="B379" s="13" t="n">
        <v>0.2252</v>
      </c>
      <c r="C379" s="14">
        <f>B379*100</f>
        <v/>
      </c>
    </row>
    <row r="380">
      <c r="A380" s="12" t="n">
        <v>43193</v>
      </c>
      <c r="B380" s="13" t="n">
        <v>0.2439</v>
      </c>
      <c r="C380" s="14">
        <f>B380*100</f>
        <v/>
      </c>
    </row>
    <row r="381">
      <c r="A381" s="12" t="n">
        <v>43194</v>
      </c>
      <c r="B381" s="13" t="n">
        <v>0.2548</v>
      </c>
      <c r="C381" s="14">
        <f>B381*100</f>
        <v/>
      </c>
    </row>
    <row r="382">
      <c r="A382" s="12" t="n">
        <v>43195</v>
      </c>
      <c r="B382" s="13" t="n">
        <v>0.2701</v>
      </c>
      <c r="C382" s="14">
        <f>B382*100</f>
        <v/>
      </c>
    </row>
    <row r="383">
      <c r="A383" s="12" t="n">
        <v>43196</v>
      </c>
      <c r="B383" s="13" t="n">
        <v>0.2515</v>
      </c>
      <c r="C383" s="14">
        <f>B383*100</f>
        <v/>
      </c>
    </row>
    <row r="384">
      <c r="A384" s="12" t="n">
        <v>43199</v>
      </c>
      <c r="B384" s="13" t="n">
        <v>0.2496</v>
      </c>
      <c r="C384" s="14">
        <f>B384*100</f>
        <v/>
      </c>
    </row>
    <row r="385">
      <c r="A385" s="12" t="n">
        <v>43200</v>
      </c>
      <c r="B385" s="13" t="n">
        <v>0.2569</v>
      </c>
      <c r="C385" s="14">
        <f>B385*100</f>
        <v/>
      </c>
    </row>
    <row r="386">
      <c r="A386" s="12" t="n">
        <v>43201</v>
      </c>
      <c r="B386" s="13" t="n">
        <v>0.2526</v>
      </c>
      <c r="C386" s="14">
        <f>B386*100</f>
        <v/>
      </c>
    </row>
    <row r="387">
      <c r="A387" s="12" t="n">
        <v>43202</v>
      </c>
      <c r="B387" s="13" t="n">
        <v>0.2719</v>
      </c>
      <c r="C387" s="14">
        <f>B387*100</f>
        <v/>
      </c>
    </row>
    <row r="388">
      <c r="A388" s="12" t="n">
        <v>43203</v>
      </c>
      <c r="B388" s="13" t="n">
        <v>0.2731</v>
      </c>
      <c r="C388" s="14">
        <f>B388*100</f>
        <v/>
      </c>
    </row>
    <row r="389">
      <c r="A389" s="12" t="n">
        <v>43206</v>
      </c>
      <c r="B389" s="13" t="n">
        <v>0.2736</v>
      </c>
      <c r="C389" s="14">
        <f>B389*100</f>
        <v/>
      </c>
    </row>
    <row r="390">
      <c r="A390" s="12" t="n">
        <v>43207</v>
      </c>
      <c r="B390" s="13" t="n">
        <v>0.2662</v>
      </c>
      <c r="C390" s="14">
        <f>B390*100</f>
        <v/>
      </c>
    </row>
    <row r="391">
      <c r="A391" s="12" t="n">
        <v>43208</v>
      </c>
      <c r="B391" s="13" t="n">
        <v>0.2833</v>
      </c>
      <c r="C391" s="14">
        <f>B391*100</f>
        <v/>
      </c>
    </row>
    <row r="392">
      <c r="A392" s="12" t="n">
        <v>43209</v>
      </c>
      <c r="B392" s="13" t="n">
        <v>0.3036</v>
      </c>
      <c r="C392" s="14">
        <f>B392*100</f>
        <v/>
      </c>
    </row>
    <row r="393">
      <c r="A393" s="12" t="n">
        <v>43210</v>
      </c>
      <c r="B393" s="13" t="n">
        <v>0.3251</v>
      </c>
      <c r="C393" s="14">
        <f>B393*100</f>
        <v/>
      </c>
    </row>
    <row r="394">
      <c r="A394" s="12" t="n">
        <v>43213</v>
      </c>
      <c r="B394" s="13" t="n">
        <v>0.3371</v>
      </c>
      <c r="C394" s="14">
        <f>B394*100</f>
        <v/>
      </c>
    </row>
    <row r="395">
      <c r="A395" s="12" t="n">
        <v>43214</v>
      </c>
      <c r="B395" s="13" t="n">
        <v>0.3415</v>
      </c>
      <c r="C395" s="14">
        <f>B395*100</f>
        <v/>
      </c>
    </row>
    <row r="396">
      <c r="A396" s="12" t="n">
        <v>43215</v>
      </c>
      <c r="B396" s="13" t="n">
        <v>0.3548</v>
      </c>
      <c r="C396" s="14">
        <f>B396*100</f>
        <v/>
      </c>
    </row>
    <row r="397">
      <c r="A397" s="12" t="n">
        <v>43216</v>
      </c>
      <c r="B397" s="13" t="n">
        <v>0.3513</v>
      </c>
      <c r="C397" s="14">
        <f>B397*100</f>
        <v/>
      </c>
    </row>
    <row r="398">
      <c r="A398" s="12" t="n">
        <v>43217</v>
      </c>
      <c r="B398" s="13" t="n">
        <v>0.3396</v>
      </c>
      <c r="C398" s="14">
        <f>B398*100</f>
        <v/>
      </c>
    </row>
    <row r="399">
      <c r="A399" s="12" t="n">
        <v>43220</v>
      </c>
      <c r="B399" s="13" t="n">
        <v>0.3293</v>
      </c>
      <c r="C399" s="14">
        <f>B399*100</f>
        <v/>
      </c>
    </row>
    <row r="400">
      <c r="A400" s="12" t="n">
        <v>43221</v>
      </c>
      <c r="B400" s="13" t="n">
        <v>0.3333</v>
      </c>
      <c r="C400" s="14">
        <f>B400*100</f>
        <v/>
      </c>
    </row>
    <row r="401">
      <c r="A401" s="12" t="n">
        <v>43222</v>
      </c>
      <c r="B401" s="13" t="n">
        <v>0.3324</v>
      </c>
      <c r="C401" s="14">
        <f>B401*100</f>
        <v/>
      </c>
    </row>
    <row r="402">
      <c r="A402" s="12" t="n">
        <v>43223</v>
      </c>
      <c r="B402" s="13" t="n">
        <v>0.324</v>
      </c>
      <c r="C402" s="14">
        <f>B402*100</f>
        <v/>
      </c>
    </row>
    <row r="403">
      <c r="A403" s="12" t="n">
        <v>43224</v>
      </c>
      <c r="B403" s="13" t="n">
        <v>0.3269</v>
      </c>
      <c r="C403" s="14">
        <f>B403*100</f>
        <v/>
      </c>
    </row>
    <row r="404">
      <c r="A404" s="12" t="n">
        <v>43227</v>
      </c>
      <c r="B404" s="13" t="n">
        <v>0.3264</v>
      </c>
      <c r="C404" s="14">
        <f>B404*100</f>
        <v/>
      </c>
    </row>
    <row r="405">
      <c r="A405" s="12" t="n">
        <v>43228</v>
      </c>
      <c r="B405" s="13" t="n">
        <v>0.3339</v>
      </c>
      <c r="C405" s="14">
        <f>B405*100</f>
        <v/>
      </c>
    </row>
    <row r="406">
      <c r="A406" s="12" t="n">
        <v>43229</v>
      </c>
      <c r="B406" s="13" t="n">
        <v>0.3463</v>
      </c>
      <c r="C406" s="14">
        <f>B406*100</f>
        <v/>
      </c>
    </row>
    <row r="407">
      <c r="A407" s="12" t="n">
        <v>43230</v>
      </c>
      <c r="B407" s="13" t="n">
        <v>0.3419</v>
      </c>
      <c r="C407" s="14">
        <f>B407*100</f>
        <v/>
      </c>
    </row>
    <row r="408">
      <c r="A408" s="12" t="n">
        <v>43231</v>
      </c>
      <c r="B408" s="13" t="n">
        <v>0.3386</v>
      </c>
      <c r="C408" s="14">
        <f>B408*100</f>
        <v/>
      </c>
    </row>
    <row r="409">
      <c r="A409" s="12" t="n">
        <v>43234</v>
      </c>
      <c r="B409" s="13" t="n">
        <v>0.342</v>
      </c>
      <c r="C409" s="14">
        <f>B409*100</f>
        <v/>
      </c>
    </row>
    <row r="410">
      <c r="A410" s="12" t="n">
        <v>43235</v>
      </c>
      <c r="B410" s="13" t="n">
        <v>0.3721</v>
      </c>
      <c r="C410" s="14">
        <f>B410*100</f>
        <v/>
      </c>
    </row>
    <row r="411">
      <c r="A411" s="12" t="n">
        <v>43236</v>
      </c>
      <c r="B411" s="13" t="n">
        <v>0.3866</v>
      </c>
      <c r="C411" s="14">
        <f>B411*100</f>
        <v/>
      </c>
    </row>
    <row r="412">
      <c r="A412" s="12" t="n">
        <v>43237</v>
      </c>
      <c r="B412" s="13" t="n">
        <v>0.395</v>
      </c>
      <c r="C412" s="14">
        <f>B412*100</f>
        <v/>
      </c>
    </row>
    <row r="413">
      <c r="A413" s="12" t="n">
        <v>43238</v>
      </c>
      <c r="B413" s="13" t="n">
        <v>0.381</v>
      </c>
      <c r="C413" s="14">
        <f>B413*100</f>
        <v/>
      </c>
    </row>
    <row r="414">
      <c r="A414" s="12" t="n">
        <v>43241</v>
      </c>
      <c r="B414" s="13" t="n">
        <v>0.3743</v>
      </c>
      <c r="C414" s="14">
        <f>B414*100</f>
        <v/>
      </c>
    </row>
    <row r="415">
      <c r="A415" s="12" t="n">
        <v>43242</v>
      </c>
      <c r="B415" s="13" t="n">
        <v>0.3719</v>
      </c>
      <c r="C415" s="14">
        <f>B415*100</f>
        <v/>
      </c>
    </row>
    <row r="416">
      <c r="A416" s="12" t="n">
        <v>43243</v>
      </c>
      <c r="B416" s="13" t="n">
        <v>0.3486</v>
      </c>
      <c r="C416" s="14">
        <f>B416*100</f>
        <v/>
      </c>
    </row>
    <row r="417">
      <c r="A417" s="12" t="n">
        <v>43244</v>
      </c>
      <c r="B417" s="13" t="n">
        <v>0.3338</v>
      </c>
      <c r="C417" s="14">
        <f>B417*100</f>
        <v/>
      </c>
    </row>
    <row r="418">
      <c r="A418" s="12" t="n">
        <v>43245</v>
      </c>
      <c r="B418" s="13" t="n">
        <v>0.3136</v>
      </c>
      <c r="C418" s="14">
        <f>B418*100</f>
        <v/>
      </c>
    </row>
    <row r="419">
      <c r="A419" s="12" t="n">
        <v>43249</v>
      </c>
      <c r="B419" s="13" t="n">
        <v>0.2376</v>
      </c>
      <c r="C419" s="14">
        <f>B419*100</f>
        <v/>
      </c>
    </row>
    <row r="420">
      <c r="A420" s="12" t="n">
        <v>43250</v>
      </c>
      <c r="B420" s="13" t="n">
        <v>0.2491</v>
      </c>
      <c r="C420" s="14">
        <f>B420*100</f>
        <v/>
      </c>
    </row>
    <row r="421">
      <c r="A421" s="12" t="n">
        <v>43251</v>
      </c>
      <c r="B421" s="13" t="n">
        <v>0.2481</v>
      </c>
      <c r="C421" s="14">
        <f>B421*100</f>
        <v/>
      </c>
    </row>
    <row r="422">
      <c r="A422" s="12" t="n">
        <v>43252</v>
      </c>
      <c r="B422" s="13" t="n">
        <v>0.2734</v>
      </c>
      <c r="C422" s="14">
        <f>B422*100</f>
        <v/>
      </c>
    </row>
    <row r="423">
      <c r="A423" s="12" t="n">
        <v>43255</v>
      </c>
      <c r="B423" s="13" t="n">
        <v>0.2935</v>
      </c>
      <c r="C423" s="14">
        <f>B423*100</f>
        <v/>
      </c>
    </row>
    <row r="424">
      <c r="A424" s="12" t="n">
        <v>43256</v>
      </c>
      <c r="B424" s="13" t="n">
        <v>0.2867</v>
      </c>
      <c r="C424" s="14">
        <f>B424*100</f>
        <v/>
      </c>
    </row>
    <row r="425">
      <c r="A425" s="12" t="n">
        <v>43257</v>
      </c>
      <c r="B425" s="13" t="n">
        <v>0.3083</v>
      </c>
      <c r="C425" s="14">
        <f>B425*100</f>
        <v/>
      </c>
    </row>
    <row r="426">
      <c r="A426" s="12" t="n">
        <v>43258</v>
      </c>
      <c r="B426" s="13" t="n">
        <v>0.2972</v>
      </c>
      <c r="C426" s="14">
        <f>B426*100</f>
        <v/>
      </c>
    </row>
    <row r="427">
      <c r="A427" s="12" t="n">
        <v>43259</v>
      </c>
      <c r="B427" s="13" t="n">
        <v>0.2956</v>
      </c>
      <c r="C427" s="14">
        <f>B427*100</f>
        <v/>
      </c>
    </row>
    <row r="428">
      <c r="A428" s="12" t="n">
        <v>43262</v>
      </c>
      <c r="B428" s="13" t="n">
        <v>0.3049</v>
      </c>
      <c r="C428" s="14">
        <f>B428*100</f>
        <v/>
      </c>
    </row>
    <row r="429">
      <c r="A429" s="12" t="n">
        <v>43263</v>
      </c>
      <c r="B429" s="13" t="n">
        <v>0.3137</v>
      </c>
      <c r="C429" s="14">
        <f>B429*100</f>
        <v/>
      </c>
    </row>
    <row r="430">
      <c r="A430" s="12" t="n">
        <v>43264</v>
      </c>
      <c r="B430" s="13" t="n">
        <v>0.3279</v>
      </c>
      <c r="C430" s="14">
        <f>B430*100</f>
        <v/>
      </c>
    </row>
    <row r="431">
      <c r="A431" s="12" t="n">
        <v>43265</v>
      </c>
      <c r="B431" s="13" t="n">
        <v>0.3165</v>
      </c>
      <c r="C431" s="14">
        <f>B431*100</f>
        <v/>
      </c>
    </row>
    <row r="432">
      <c r="A432" s="12" t="n">
        <v>43266</v>
      </c>
      <c r="B432" s="13" t="n">
        <v>0.3103</v>
      </c>
      <c r="C432" s="14">
        <f>B432*100</f>
        <v/>
      </c>
    </row>
    <row r="433">
      <c r="A433" s="12" t="n">
        <v>43269</v>
      </c>
      <c r="B433" s="13" t="n">
        <v>0.3045</v>
      </c>
      <c r="C433" s="14">
        <f>B433*100</f>
        <v/>
      </c>
    </row>
    <row r="434">
      <c r="A434" s="12" t="n">
        <v>43270</v>
      </c>
      <c r="B434" s="13" t="n">
        <v>0.2877</v>
      </c>
      <c r="C434" s="14">
        <f>B434*100</f>
        <v/>
      </c>
    </row>
    <row r="435">
      <c r="A435" s="12" t="n">
        <v>43271</v>
      </c>
      <c r="B435" s="13" t="n">
        <v>0.2972</v>
      </c>
      <c r="C435" s="14">
        <f>B435*100</f>
        <v/>
      </c>
    </row>
    <row r="436">
      <c r="A436" s="12" t="n">
        <v>43272</v>
      </c>
      <c r="B436" s="13" t="n">
        <v>0.2888</v>
      </c>
      <c r="C436" s="14">
        <f>B436*100</f>
        <v/>
      </c>
    </row>
    <row r="437">
      <c r="A437" s="12" t="n">
        <v>43273</v>
      </c>
      <c r="B437" s="13" t="n">
        <v>0.2883</v>
      </c>
      <c r="C437" s="14">
        <f>B437*100</f>
        <v/>
      </c>
    </row>
    <row r="438">
      <c r="A438" s="12" t="n">
        <v>43276</v>
      </c>
      <c r="B438" s="13" t="n">
        <v>0.2763</v>
      </c>
      <c r="C438" s="14">
        <f>B438*100</f>
        <v/>
      </c>
    </row>
    <row r="439">
      <c r="A439" s="12" t="n">
        <v>43277</v>
      </c>
      <c r="B439" s="13" t="n">
        <v>0.2733</v>
      </c>
      <c r="C439" s="14">
        <f>B439*100</f>
        <v/>
      </c>
    </row>
    <row r="440">
      <c r="A440" s="12" t="n">
        <v>43278</v>
      </c>
      <c r="B440" s="13" t="n">
        <v>0.2558</v>
      </c>
      <c r="C440" s="14">
        <f>B440*100</f>
        <v/>
      </c>
    </row>
    <row r="441">
      <c r="A441" s="12" t="n">
        <v>43279</v>
      </c>
      <c r="B441" s="13" t="n">
        <v>0.2571</v>
      </c>
      <c r="C441" s="14">
        <f>B441*100</f>
        <v/>
      </c>
    </row>
    <row r="442">
      <c r="A442" s="12" t="n">
        <v>43280</v>
      </c>
      <c r="B442" s="13" t="n">
        <v>0.2603</v>
      </c>
      <c r="C442" s="14">
        <f>B442*100</f>
        <v/>
      </c>
    </row>
    <row r="443">
      <c r="A443" s="12" t="n">
        <v>43283</v>
      </c>
      <c r="B443" s="13" t="n">
        <v>0.2638</v>
      </c>
      <c r="C443" s="14">
        <f>B443*100</f>
        <v/>
      </c>
    </row>
    <row r="444">
      <c r="A444" s="12" t="n">
        <v>43284</v>
      </c>
      <c r="B444" s="13" t="n">
        <v>0.2505</v>
      </c>
      <c r="C444" s="14">
        <f>B444*100</f>
        <v/>
      </c>
    </row>
    <row r="445">
      <c r="A445" s="12" t="n">
        <v>43286</v>
      </c>
      <c r="B445" s="13" t="n">
        <v>0.2507</v>
      </c>
      <c r="C445" s="14">
        <f>B445*100</f>
        <v/>
      </c>
    </row>
    <row r="446">
      <c r="A446" s="12" t="n">
        <v>43287</v>
      </c>
      <c r="B446" s="13" t="n">
        <v>0.2429</v>
      </c>
      <c r="C446" s="14">
        <f>B446*100</f>
        <v/>
      </c>
    </row>
    <row r="447">
      <c r="A447" s="12" t="n">
        <v>43290</v>
      </c>
      <c r="B447" s="13" t="n">
        <v>0.2529</v>
      </c>
      <c r="C447" s="14">
        <f>B447*100</f>
        <v/>
      </c>
    </row>
    <row r="448">
      <c r="A448" s="12" t="n">
        <v>43291</v>
      </c>
      <c r="B448" s="13" t="n">
        <v>0.2599</v>
      </c>
      <c r="C448" s="14">
        <f>B448*100</f>
        <v/>
      </c>
    </row>
    <row r="449">
      <c r="A449" s="12" t="n">
        <v>43292</v>
      </c>
      <c r="B449" s="13" t="n">
        <v>0.2534</v>
      </c>
      <c r="C449" s="14">
        <f>B449*100</f>
        <v/>
      </c>
    </row>
    <row r="450">
      <c r="A450" s="12" t="n">
        <v>43293</v>
      </c>
      <c r="B450" s="13" t="n">
        <v>0.2534</v>
      </c>
      <c r="C450" s="14">
        <f>B450*100</f>
        <v/>
      </c>
    </row>
    <row r="451">
      <c r="A451" s="12" t="n">
        <v>43294</v>
      </c>
      <c r="B451" s="13" t="n">
        <v>0.2443</v>
      </c>
      <c r="C451" s="14">
        <f>B451*100</f>
        <v/>
      </c>
    </row>
    <row r="452">
      <c r="A452" s="12" t="n">
        <v>43297</v>
      </c>
      <c r="B452" s="13" t="n">
        <v>0.2457</v>
      </c>
      <c r="C452" s="14">
        <f>B452*100</f>
        <v/>
      </c>
    </row>
    <row r="453">
      <c r="A453" s="12" t="n">
        <v>43298</v>
      </c>
      <c r="B453" s="13" t="n">
        <v>0.2495</v>
      </c>
      <c r="C453" s="14">
        <f>B453*100</f>
        <v/>
      </c>
    </row>
    <row r="454">
      <c r="A454" s="12" t="n">
        <v>43299</v>
      </c>
      <c r="B454" s="13" t="n">
        <v>0.254</v>
      </c>
      <c r="C454" s="14">
        <f>B454*100</f>
        <v/>
      </c>
    </row>
    <row r="455">
      <c r="A455" s="12" t="n">
        <v>43300</v>
      </c>
      <c r="B455" s="13" t="n">
        <v>0.2441</v>
      </c>
      <c r="C455" s="14">
        <f>B455*100</f>
        <v/>
      </c>
    </row>
    <row r="456">
      <c r="A456" s="12" t="n">
        <v>43301</v>
      </c>
      <c r="B456" s="13" t="n">
        <v>0.2591</v>
      </c>
      <c r="C456" s="14">
        <f>B456*100</f>
        <v/>
      </c>
    </row>
    <row r="457">
      <c r="A457" s="12" t="n">
        <v>43304</v>
      </c>
      <c r="B457" s="13" t="n">
        <v>0.2889</v>
      </c>
      <c r="C457" s="14">
        <f>B457*100</f>
        <v/>
      </c>
    </row>
    <row r="458">
      <c r="A458" s="12" t="n">
        <v>43305</v>
      </c>
      <c r="B458" s="13" t="n">
        <v>0.291</v>
      </c>
      <c r="C458" s="14">
        <f>B458*100</f>
        <v/>
      </c>
    </row>
    <row r="459">
      <c r="A459" s="12" t="n">
        <v>43306</v>
      </c>
      <c r="B459" s="13" t="n">
        <v>0.289</v>
      </c>
      <c r="C459" s="14">
        <f>B459*100</f>
        <v/>
      </c>
    </row>
    <row r="460">
      <c r="A460" s="12" t="n">
        <v>43307</v>
      </c>
      <c r="B460" s="13" t="n">
        <v>0.3089</v>
      </c>
      <c r="C460" s="14">
        <f>B460*100</f>
        <v/>
      </c>
    </row>
    <row r="461">
      <c r="A461" s="12" t="n">
        <v>43308</v>
      </c>
      <c r="B461" s="13" t="n">
        <v>0.3051</v>
      </c>
      <c r="C461" s="14">
        <f>B461*100</f>
        <v/>
      </c>
    </row>
    <row r="462">
      <c r="A462" s="12" t="n">
        <v>43311</v>
      </c>
      <c r="B462" s="13" t="n">
        <v>0.3056</v>
      </c>
      <c r="C462" s="14">
        <f>B462*100</f>
        <v/>
      </c>
    </row>
    <row r="463">
      <c r="A463" s="12" t="n">
        <v>43312</v>
      </c>
      <c r="B463" s="13" t="n">
        <v>0.2979</v>
      </c>
      <c r="C463" s="14">
        <f>B463*100</f>
        <v/>
      </c>
    </row>
    <row r="464">
      <c r="A464" s="12" t="n">
        <v>43313</v>
      </c>
      <c r="B464" s="13" t="n">
        <v>0.3112</v>
      </c>
      <c r="C464" s="14">
        <f>B464*100</f>
        <v/>
      </c>
    </row>
    <row r="465">
      <c r="A465" s="12" t="n">
        <v>43314</v>
      </c>
      <c r="B465" s="13" t="n">
        <v>0.3074</v>
      </c>
      <c r="C465" s="14">
        <f>B465*100</f>
        <v/>
      </c>
    </row>
    <row r="466">
      <c r="A466" s="12" t="n">
        <v>43315</v>
      </c>
      <c r="B466" s="13" t="n">
        <v>0.2933</v>
      </c>
      <c r="C466" s="14">
        <f>B466*100</f>
        <v/>
      </c>
    </row>
    <row r="467">
      <c r="A467" s="12" t="n">
        <v>43318</v>
      </c>
      <c r="B467" s="13" t="n">
        <v>0.2813</v>
      </c>
      <c r="C467" s="14">
        <f>B467*100</f>
        <v/>
      </c>
    </row>
    <row r="468">
      <c r="A468" s="12" t="n">
        <v>43319</v>
      </c>
      <c r="B468" s="13" t="n">
        <v>0.2908</v>
      </c>
      <c r="C468" s="14">
        <f>B468*100</f>
        <v/>
      </c>
    </row>
    <row r="469">
      <c r="A469" s="12" t="n">
        <v>43320</v>
      </c>
      <c r="B469" s="13" t="n">
        <v>0.2914</v>
      </c>
      <c r="C469" s="14">
        <f>B469*100</f>
        <v/>
      </c>
    </row>
    <row r="470">
      <c r="A470" s="12" t="n">
        <v>43321</v>
      </c>
      <c r="B470" s="13" t="n">
        <v>0.2767</v>
      </c>
      <c r="C470" s="14">
        <f>B470*100</f>
        <v/>
      </c>
    </row>
    <row r="471">
      <c r="A471" s="12" t="n">
        <v>43322</v>
      </c>
      <c r="B471" s="13" t="n">
        <v>0.2508</v>
      </c>
      <c r="C471" s="14">
        <f>B471*100</f>
        <v/>
      </c>
    </row>
    <row r="472">
      <c r="A472" s="12" t="n">
        <v>43325</v>
      </c>
      <c r="B472" s="13" t="n">
        <v>0.2432</v>
      </c>
      <c r="C472" s="14">
        <f>B472*100</f>
        <v/>
      </c>
    </row>
    <row r="473">
      <c r="A473" s="12" t="n">
        <v>43326</v>
      </c>
      <c r="B473" s="13" t="n">
        <v>0.2464</v>
      </c>
      <c r="C473" s="14">
        <f>B473*100</f>
        <v/>
      </c>
    </row>
    <row r="474">
      <c r="A474" s="12" t="n">
        <v>43327</v>
      </c>
      <c r="B474" s="13" t="n">
        <v>0.2337</v>
      </c>
      <c r="C474" s="14">
        <f>B474*100</f>
        <v/>
      </c>
    </row>
    <row r="475">
      <c r="A475" s="12" t="n">
        <v>43328</v>
      </c>
      <c r="B475" s="13" t="n">
        <v>0.2353</v>
      </c>
      <c r="C475" s="14">
        <f>B475*100</f>
        <v/>
      </c>
    </row>
    <row r="476">
      <c r="A476" s="12" t="n">
        <v>43329</v>
      </c>
      <c r="B476" s="13" t="n">
        <v>0.2357</v>
      </c>
      <c r="C476" s="14">
        <f>B476*100</f>
        <v/>
      </c>
    </row>
    <row r="477">
      <c r="A477" s="12" t="n">
        <v>43332</v>
      </c>
      <c r="B477" s="13" t="n">
        <v>0.2156</v>
      </c>
      <c r="C477" s="14">
        <f>B477*100</f>
        <v/>
      </c>
    </row>
    <row r="478">
      <c r="A478" s="12" t="n">
        <v>43333</v>
      </c>
      <c r="B478" s="13" t="n">
        <v>0.2183</v>
      </c>
      <c r="C478" s="14">
        <f>B478*100</f>
        <v/>
      </c>
    </row>
    <row r="479">
      <c r="A479" s="12" t="n">
        <v>43334</v>
      </c>
      <c r="B479" s="13" t="n">
        <v>0.2095</v>
      </c>
      <c r="C479" s="14">
        <f>B479*100</f>
        <v/>
      </c>
    </row>
    <row r="480">
      <c r="A480" s="12" t="n">
        <v>43335</v>
      </c>
      <c r="B480" s="13" t="n">
        <v>0.2084</v>
      </c>
      <c r="C480" s="14">
        <f>B480*100</f>
        <v/>
      </c>
    </row>
    <row r="481">
      <c r="A481" s="12" t="n">
        <v>43336</v>
      </c>
      <c r="B481" s="13" t="n">
        <v>0.2097</v>
      </c>
      <c r="C481" s="14">
        <f>B481*100</f>
        <v/>
      </c>
    </row>
    <row r="482">
      <c r="A482" s="12" t="n">
        <v>43339</v>
      </c>
      <c r="B482" s="13" t="n">
        <v>0.2165</v>
      </c>
      <c r="C482" s="14">
        <f>B482*100</f>
        <v/>
      </c>
    </row>
    <row r="483">
      <c r="A483" s="12" t="n">
        <v>43340</v>
      </c>
      <c r="B483" s="13" t="n">
        <v>0.2295</v>
      </c>
      <c r="C483" s="14">
        <f>B483*100</f>
        <v/>
      </c>
    </row>
    <row r="484">
      <c r="A484" s="12" t="n">
        <v>43341</v>
      </c>
      <c r="B484" s="13" t="n">
        <v>0.2347</v>
      </c>
      <c r="C484" s="14">
        <f>B484*100</f>
        <v/>
      </c>
    </row>
    <row r="485">
      <c r="A485" s="12" t="n">
        <v>43342</v>
      </c>
      <c r="B485" s="13" t="n">
        <v>0.2242</v>
      </c>
      <c r="C485" s="14">
        <f>B485*100</f>
        <v/>
      </c>
    </row>
    <row r="486">
      <c r="A486" s="12" t="n">
        <v>43343</v>
      </c>
      <c r="B486" s="13" t="n">
        <v>0.2206</v>
      </c>
      <c r="C486" s="14">
        <f>B486*100</f>
        <v/>
      </c>
    </row>
    <row r="487">
      <c r="A487" s="12" t="n">
        <v>43347</v>
      </c>
      <c r="B487" s="13" t="n">
        <v>0.2335</v>
      </c>
      <c r="C487" s="14">
        <f>B487*100</f>
        <v/>
      </c>
    </row>
    <row r="488">
      <c r="A488" s="12" t="n">
        <v>43348</v>
      </c>
      <c r="B488" s="13" t="n">
        <v>0.2343</v>
      </c>
      <c r="C488" s="14">
        <f>B488*100</f>
        <v/>
      </c>
    </row>
    <row r="489">
      <c r="A489" s="12" t="n">
        <v>43349</v>
      </c>
      <c r="B489" s="13" t="n">
        <v>0.2277</v>
      </c>
      <c r="C489" s="14">
        <f>B489*100</f>
        <v/>
      </c>
    </row>
    <row r="490">
      <c r="A490" s="12" t="n">
        <v>43350</v>
      </c>
      <c r="B490" s="13" t="n">
        <v>0.2523</v>
      </c>
      <c r="C490" s="14">
        <f>B490*100</f>
        <v/>
      </c>
    </row>
    <row r="491">
      <c r="A491" s="12" t="n">
        <v>43353</v>
      </c>
      <c r="B491" s="13" t="n">
        <v>0.2544</v>
      </c>
      <c r="C491" s="14">
        <f>B491*100</f>
        <v/>
      </c>
    </row>
    <row r="492">
      <c r="A492" s="12" t="n">
        <v>43354</v>
      </c>
      <c r="B492" s="13" t="n">
        <v>0.272</v>
      </c>
      <c r="C492" s="14">
        <f>B492*100</f>
        <v/>
      </c>
    </row>
    <row r="493">
      <c r="A493" s="12" t="n">
        <v>43355</v>
      </c>
      <c r="B493" s="13" t="n">
        <v>0.2709</v>
      </c>
      <c r="C493" s="14">
        <f>B493*100</f>
        <v/>
      </c>
    </row>
    <row r="494">
      <c r="A494" s="12" t="n">
        <v>43356</v>
      </c>
      <c r="B494" s="13" t="n">
        <v>0.2717</v>
      </c>
      <c r="C494" s="14">
        <f>B494*100</f>
        <v/>
      </c>
    </row>
    <row r="495">
      <c r="A495" s="12" t="n">
        <v>43357</v>
      </c>
      <c r="B495" s="13" t="n">
        <v>0.283</v>
      </c>
      <c r="C495" s="14">
        <f>B495*100</f>
        <v/>
      </c>
    </row>
    <row r="496">
      <c r="A496" s="12" t="n">
        <v>43360</v>
      </c>
      <c r="B496" s="13" t="n">
        <v>0.2829</v>
      </c>
      <c r="C496" s="14">
        <f>B496*100</f>
        <v/>
      </c>
    </row>
    <row r="497">
      <c r="A497" s="12" t="n">
        <v>43361</v>
      </c>
      <c r="B497" s="13" t="n">
        <v>0.3029</v>
      </c>
      <c r="C497" s="14">
        <f>B497*100</f>
        <v/>
      </c>
    </row>
    <row r="498">
      <c r="A498" s="12" t="n">
        <v>43362</v>
      </c>
      <c r="B498" s="13" t="n">
        <v>0.3183</v>
      </c>
      <c r="C498" s="14">
        <f>B498*100</f>
        <v/>
      </c>
    </row>
    <row r="499">
      <c r="A499" s="12" t="n">
        <v>43363</v>
      </c>
      <c r="B499" s="13" t="n">
        <v>0.3206</v>
      </c>
      <c r="C499" s="14">
        <f>B499*100</f>
        <v/>
      </c>
    </row>
    <row r="500">
      <c r="A500" s="12" t="n">
        <v>43364</v>
      </c>
      <c r="B500" s="13" t="n">
        <v>0.3188</v>
      </c>
      <c r="C500" s="14">
        <f>B500*100</f>
        <v/>
      </c>
    </row>
    <row r="501">
      <c r="A501" s="12" t="n">
        <v>43367</v>
      </c>
      <c r="B501" s="13" t="n">
        <v>0.3192</v>
      </c>
      <c r="C501" s="14">
        <f>B501*100</f>
        <v/>
      </c>
    </row>
    <row r="502">
      <c r="A502" s="12" t="n">
        <v>43368</v>
      </c>
      <c r="B502" s="13" t="n">
        <v>0.3262</v>
      </c>
      <c r="C502" s="14">
        <f>B502*100</f>
        <v/>
      </c>
    </row>
    <row r="503">
      <c r="A503" s="12" t="n">
        <v>43369</v>
      </c>
      <c r="B503" s="13" t="n">
        <v>0.3161</v>
      </c>
      <c r="C503" s="14">
        <f>B503*100</f>
        <v/>
      </c>
    </row>
    <row r="504">
      <c r="A504" s="12" t="n">
        <v>43370</v>
      </c>
      <c r="B504" s="13" t="n">
        <v>0.3136</v>
      </c>
      <c r="C504" s="14">
        <f>B504*100</f>
        <v/>
      </c>
    </row>
    <row r="505">
      <c r="A505" s="12" t="n">
        <v>43371</v>
      </c>
      <c r="B505" s="13" t="n">
        <v>0.3096</v>
      </c>
      <c r="C505" s="14">
        <f>B505*100</f>
        <v/>
      </c>
    </row>
    <row r="506">
      <c r="A506" s="12" t="n">
        <v>43374</v>
      </c>
      <c r="B506" s="13" t="n">
        <v>0.3163</v>
      </c>
      <c r="C506" s="14">
        <f>B506*100</f>
        <v/>
      </c>
    </row>
    <row r="507">
      <c r="A507" s="12" t="n">
        <v>43375</v>
      </c>
      <c r="B507" s="13" t="n">
        <v>0.3056</v>
      </c>
      <c r="C507" s="14">
        <f>B507*100</f>
        <v/>
      </c>
    </row>
    <row r="508">
      <c r="A508" s="12" t="n">
        <v>43376</v>
      </c>
      <c r="B508" s="13" t="n">
        <v>0.336</v>
      </c>
      <c r="C508" s="14">
        <f>B508*100</f>
        <v/>
      </c>
    </row>
    <row r="509">
      <c r="A509" s="12" t="n">
        <v>43377</v>
      </c>
      <c r="B509" s="13" t="n">
        <v>0.3613</v>
      </c>
      <c r="C509" s="14">
        <f>B509*100</f>
        <v/>
      </c>
    </row>
    <row r="510">
      <c r="A510" s="12" t="n">
        <v>43378</v>
      </c>
      <c r="B510" s="13" t="n">
        <v>0.3826</v>
      </c>
      <c r="C510" s="14">
        <f>B510*100</f>
        <v/>
      </c>
    </row>
    <row r="511">
      <c r="A511" s="12" t="n">
        <v>43382</v>
      </c>
      <c r="B511" s="13" t="n">
        <v>0.3767</v>
      </c>
      <c r="C511" s="14">
        <f>B511*100</f>
        <v/>
      </c>
    </row>
    <row r="512">
      <c r="A512" s="12" t="n">
        <v>43383</v>
      </c>
      <c r="B512" s="13" t="n">
        <v>0.3751</v>
      </c>
      <c r="C512" s="14">
        <f>B512*100</f>
        <v/>
      </c>
    </row>
    <row r="513">
      <c r="A513" s="12" t="n">
        <v>43384</v>
      </c>
      <c r="B513" s="13" t="n">
        <v>0.3502</v>
      </c>
      <c r="C513" s="14">
        <f>B513*100</f>
        <v/>
      </c>
    </row>
    <row r="514">
      <c r="A514" s="12" t="n">
        <v>43385</v>
      </c>
      <c r="B514" s="13" t="n">
        <v>0.3435</v>
      </c>
      <c r="C514" s="14">
        <f>B514*100</f>
        <v/>
      </c>
    </row>
    <row r="515">
      <c r="A515" s="12" t="n">
        <v>43388</v>
      </c>
      <c r="B515" s="13" t="n">
        <v>0.3427</v>
      </c>
      <c r="C515" s="14">
        <f>B515*100</f>
        <v/>
      </c>
    </row>
    <row r="516">
      <c r="A516" s="12" t="n">
        <v>43389</v>
      </c>
      <c r="B516" s="13" t="n">
        <v>0.3409</v>
      </c>
      <c r="C516" s="14">
        <f>B516*100</f>
        <v/>
      </c>
    </row>
    <row r="517">
      <c r="A517" s="12" t="n">
        <v>43390</v>
      </c>
      <c r="B517" s="13" t="n">
        <v>0.3506</v>
      </c>
      <c r="C517" s="14">
        <f>B517*100</f>
        <v/>
      </c>
    </row>
    <row r="518">
      <c r="A518" s="12" t="n">
        <v>43391</v>
      </c>
      <c r="B518" s="13" t="n">
        <v>0.3459</v>
      </c>
      <c r="C518" s="14">
        <f>B518*100</f>
        <v/>
      </c>
    </row>
    <row r="519">
      <c r="A519" s="12" t="n">
        <v>43392</v>
      </c>
      <c r="B519" s="13" t="n">
        <v>0.357</v>
      </c>
      <c r="C519" s="14">
        <f>B519*100</f>
        <v/>
      </c>
    </row>
    <row r="520">
      <c r="A520" s="12" t="n">
        <v>43395</v>
      </c>
      <c r="B520" s="13" t="n">
        <v>0.3544</v>
      </c>
      <c r="C520" s="14">
        <f>B520*100</f>
        <v/>
      </c>
    </row>
    <row r="521">
      <c r="A521" s="12" t="n">
        <v>43396</v>
      </c>
      <c r="B521" s="13" t="n">
        <v>0.342</v>
      </c>
      <c r="C521" s="14">
        <f>B521*100</f>
        <v/>
      </c>
    </row>
    <row r="522">
      <c r="A522" s="12" t="n">
        <v>43397</v>
      </c>
      <c r="B522" s="13" t="n">
        <v>0.3089</v>
      </c>
      <c r="C522" s="14">
        <f>B522*100</f>
        <v/>
      </c>
    </row>
    <row r="523">
      <c r="A523" s="12" t="n">
        <v>43398</v>
      </c>
      <c r="B523" s="13" t="n">
        <v>0.316</v>
      </c>
      <c r="C523" s="14">
        <f>B523*100</f>
        <v/>
      </c>
    </row>
    <row r="524">
      <c r="A524" s="12" t="n">
        <v>43399</v>
      </c>
      <c r="B524" s="13" t="n">
        <v>0.293</v>
      </c>
      <c r="C524" s="14">
        <f>B524*100</f>
        <v/>
      </c>
    </row>
    <row r="525">
      <c r="A525" s="12" t="n">
        <v>43402</v>
      </c>
      <c r="B525" s="13" t="n">
        <v>0.2856</v>
      </c>
      <c r="C525" s="14">
        <f>B525*100</f>
        <v/>
      </c>
    </row>
    <row r="526">
      <c r="A526" s="12" t="n">
        <v>43403</v>
      </c>
      <c r="B526" s="13" t="n">
        <v>0.2978</v>
      </c>
      <c r="C526" s="14">
        <f>B526*100</f>
        <v/>
      </c>
    </row>
    <row r="527">
      <c r="A527" s="12" t="n">
        <v>43404</v>
      </c>
      <c r="B527" s="13" t="n">
        <v>0.316</v>
      </c>
      <c r="C527" s="14">
        <f>B527*100</f>
        <v/>
      </c>
    </row>
    <row r="528">
      <c r="A528" s="12" t="n">
        <v>43405</v>
      </c>
      <c r="B528" s="13" t="n">
        <v>0.3154</v>
      </c>
      <c r="C528" s="14">
        <f>B528*100</f>
        <v/>
      </c>
    </row>
    <row r="529">
      <c r="A529" s="12" t="n">
        <v>43406</v>
      </c>
      <c r="B529" s="13" t="n">
        <v>0.346</v>
      </c>
      <c r="C529" s="14">
        <f>B529*100</f>
        <v/>
      </c>
    </row>
    <row r="530">
      <c r="A530" s="12" t="n">
        <v>43409</v>
      </c>
      <c r="B530" s="13" t="n">
        <v>0.3451</v>
      </c>
      <c r="C530" s="14">
        <f>B530*100</f>
        <v/>
      </c>
    </row>
    <row r="531">
      <c r="A531" s="12" t="n">
        <v>43410</v>
      </c>
      <c r="B531" s="13" t="n">
        <v>0.3517</v>
      </c>
      <c r="C531" s="14">
        <f>B531*100</f>
        <v/>
      </c>
    </row>
    <row r="532">
      <c r="A532" s="12" t="n">
        <v>43411</v>
      </c>
      <c r="B532" s="13" t="n">
        <v>0.3569</v>
      </c>
      <c r="C532" s="14">
        <f>B532*100</f>
        <v/>
      </c>
    </row>
    <row r="533">
      <c r="A533" s="12" t="n">
        <v>43412</v>
      </c>
      <c r="B533" s="13" t="n">
        <v>0.3671</v>
      </c>
      <c r="C533" s="14">
        <f>B533*100</f>
        <v/>
      </c>
    </row>
    <row r="534">
      <c r="A534" s="12" t="n">
        <v>43413</v>
      </c>
      <c r="B534" s="13" t="n">
        <v>0.3512</v>
      </c>
      <c r="C534" s="14">
        <f>B534*100</f>
        <v/>
      </c>
    </row>
    <row r="535">
      <c r="A535" s="12" t="n">
        <v>43417</v>
      </c>
      <c r="B535" s="13" t="n">
        <v>0.3214</v>
      </c>
      <c r="C535" s="14">
        <f>B535*100</f>
        <v/>
      </c>
    </row>
    <row r="536">
      <c r="A536" s="12" t="n">
        <v>43418</v>
      </c>
      <c r="B536" s="13" t="n">
        <v>0.3031</v>
      </c>
      <c r="C536" s="14">
        <f>B536*100</f>
        <v/>
      </c>
    </row>
    <row r="537">
      <c r="A537" s="12" t="n">
        <v>43419</v>
      </c>
      <c r="B537" s="13" t="n">
        <v>0.2935</v>
      </c>
      <c r="C537" s="14">
        <f>B537*100</f>
        <v/>
      </c>
    </row>
    <row r="538">
      <c r="A538" s="12" t="n">
        <v>43420</v>
      </c>
      <c r="B538" s="13" t="n">
        <v>0.278</v>
      </c>
      <c r="C538" s="14">
        <f>B538*100</f>
        <v/>
      </c>
    </row>
    <row r="539">
      <c r="A539" s="12" t="n">
        <v>43423</v>
      </c>
      <c r="B539" s="13" t="n">
        <v>0.2638</v>
      </c>
      <c r="C539" s="14">
        <f>B539*100</f>
        <v/>
      </c>
    </row>
    <row r="540">
      <c r="A540" s="12" t="n">
        <v>43424</v>
      </c>
      <c r="B540" s="13" t="n">
        <v>0.2612</v>
      </c>
      <c r="C540" s="14">
        <f>B540*100</f>
        <v/>
      </c>
    </row>
    <row r="541">
      <c r="A541" s="12" t="n">
        <v>43425</v>
      </c>
      <c r="B541" s="13" t="n">
        <v>0.2632</v>
      </c>
      <c r="C541" s="14">
        <f>B541*100</f>
        <v/>
      </c>
    </row>
    <row r="542">
      <c r="A542" s="12" t="n">
        <v>43427</v>
      </c>
      <c r="B542" s="13" t="n">
        <v>0.2569</v>
      </c>
      <c r="C542" s="14">
        <f>B542*100</f>
        <v/>
      </c>
    </row>
    <row r="543">
      <c r="A543" s="12" t="n">
        <v>43430</v>
      </c>
      <c r="B543" s="13" t="n">
        <v>0.2619</v>
      </c>
      <c r="C543" s="14">
        <f>B543*100</f>
        <v/>
      </c>
    </row>
    <row r="544">
      <c r="A544" s="12" t="n">
        <v>43431</v>
      </c>
      <c r="B544" s="13" t="n">
        <v>0.2596</v>
      </c>
      <c r="C544" s="14">
        <f>B544*100</f>
        <v/>
      </c>
    </row>
    <row r="545">
      <c r="A545" s="12" t="n">
        <v>43432</v>
      </c>
      <c r="B545" s="13" t="n">
        <v>0.2516</v>
      </c>
      <c r="C545" s="14">
        <f>B545*100</f>
        <v/>
      </c>
    </row>
    <row r="546">
      <c r="A546" s="12" t="n">
        <v>43433</v>
      </c>
      <c r="B546" s="13" t="n">
        <v>0.2469</v>
      </c>
      <c r="C546" s="14">
        <f>B546*100</f>
        <v/>
      </c>
    </row>
    <row r="547">
      <c r="A547" s="12" t="n">
        <v>43434</v>
      </c>
      <c r="B547" s="13" t="n">
        <v>0.238</v>
      </c>
      <c r="C547" s="14">
        <f>B547*100</f>
        <v/>
      </c>
    </row>
    <row r="548">
      <c r="A548" s="12" t="n">
        <v>43437</v>
      </c>
      <c r="B548" s="13" t="n">
        <v>0.2277</v>
      </c>
      <c r="C548" s="14">
        <f>B548*100</f>
        <v/>
      </c>
    </row>
    <row r="549">
      <c r="A549" s="12" t="n">
        <v>43438</v>
      </c>
      <c r="B549" s="13" t="n">
        <v>0.1935</v>
      </c>
      <c r="C549" s="14">
        <f>B549*100</f>
        <v/>
      </c>
    </row>
    <row r="550">
      <c r="A550" s="12" t="n">
        <v>43440</v>
      </c>
      <c r="B550" s="13" t="n">
        <v>0.1682</v>
      </c>
      <c r="C550" s="14">
        <f>B550*100</f>
        <v/>
      </c>
    </row>
    <row r="551">
      <c r="A551" s="12" t="n">
        <v>43441</v>
      </c>
      <c r="B551" s="13" t="n">
        <v>0.1482</v>
      </c>
      <c r="C551" s="14">
        <f>B551*100</f>
        <v/>
      </c>
    </row>
    <row r="552">
      <c r="A552" s="12" t="n">
        <v>43444</v>
      </c>
      <c r="B552" s="13" t="n">
        <v>0.1409</v>
      </c>
      <c r="C552" s="14">
        <f>B552*100</f>
        <v/>
      </c>
    </row>
    <row r="553">
      <c r="A553" s="12" t="n">
        <v>43445</v>
      </c>
      <c r="B553" s="13" t="n">
        <v>0.1564</v>
      </c>
      <c r="C553" s="14">
        <f>B553*100</f>
        <v/>
      </c>
    </row>
    <row r="554">
      <c r="A554" s="12" t="n">
        <v>43446</v>
      </c>
      <c r="B554" s="13" t="n">
        <v>0.1647</v>
      </c>
      <c r="C554" s="14">
        <f>B554*100</f>
        <v/>
      </c>
    </row>
    <row r="555">
      <c r="A555" s="12" t="n">
        <v>43447</v>
      </c>
      <c r="B555" s="13" t="n">
        <v>0.1616</v>
      </c>
      <c r="C555" s="14">
        <f>B555*100</f>
        <v/>
      </c>
    </row>
    <row r="556">
      <c r="A556" s="12" t="n">
        <v>43448</v>
      </c>
      <c r="B556" s="13" t="n">
        <v>0.154</v>
      </c>
      <c r="C556" s="14">
        <f>B556*100</f>
        <v/>
      </c>
    </row>
    <row r="557">
      <c r="A557" s="12" t="n">
        <v>43451</v>
      </c>
      <c r="B557" s="13" t="n">
        <v>0.1383</v>
      </c>
      <c r="C557" s="14">
        <f>B557*100</f>
        <v/>
      </c>
    </row>
    <row r="558">
      <c r="A558" s="12" t="n">
        <v>43452</v>
      </c>
      <c r="B558" s="13" t="n">
        <v>0.1231</v>
      </c>
      <c r="C558" s="14">
        <f>B558*100</f>
        <v/>
      </c>
    </row>
    <row r="559">
      <c r="A559" s="12" t="n">
        <v>43453</v>
      </c>
      <c r="B559" s="13" t="n">
        <v>0.1022</v>
      </c>
      <c r="C559" s="14">
        <f>B559*100</f>
        <v/>
      </c>
    </row>
    <row r="560">
      <c r="A560" s="12" t="n">
        <v>43454</v>
      </c>
      <c r="B560" s="13" t="n">
        <v>0.1073</v>
      </c>
      <c r="C560" s="14">
        <f>B560*100</f>
        <v/>
      </c>
    </row>
    <row r="561">
      <c r="A561" s="12" t="n">
        <v>43455</v>
      </c>
      <c r="B561" s="13" t="n">
        <v>0.106</v>
      </c>
      <c r="C561" s="14">
        <f>B561*100</f>
        <v/>
      </c>
    </row>
    <row r="562">
      <c r="A562" s="12" t="n">
        <v>43458</v>
      </c>
      <c r="B562" s="13" t="n">
        <v>0.08169999999999999</v>
      </c>
      <c r="C562" s="14">
        <f>B562*100</f>
        <v/>
      </c>
    </row>
    <row r="563">
      <c r="A563" s="12" t="n">
        <v>43460</v>
      </c>
      <c r="B563" s="13" t="n">
        <v>0.1042</v>
      </c>
      <c r="C563" s="14">
        <f>B563*100</f>
        <v/>
      </c>
    </row>
    <row r="564">
      <c r="A564" s="12" t="n">
        <v>43461</v>
      </c>
      <c r="B564" s="13" t="n">
        <v>0.09229999999999999</v>
      </c>
      <c r="C564" s="14">
        <f>B564*100</f>
        <v/>
      </c>
    </row>
    <row r="565">
      <c r="A565" s="12" t="n">
        <v>43462</v>
      </c>
      <c r="B565" s="13" t="n">
        <v>0.07340000000000001</v>
      </c>
      <c r="C565" s="14">
        <f>B565*100</f>
        <v/>
      </c>
    </row>
    <row r="566">
      <c r="A566" s="12" t="n">
        <v>43465</v>
      </c>
      <c r="B566" s="13" t="n">
        <v>0.0497</v>
      </c>
      <c r="C566" s="14">
        <f>B566*100</f>
        <v/>
      </c>
    </row>
    <row r="567">
      <c r="A567" s="12" t="n">
        <v>43467</v>
      </c>
      <c r="B567" s="13" t="n">
        <v>0.0327</v>
      </c>
      <c r="C567" s="14">
        <f>B567*100</f>
        <v/>
      </c>
    </row>
    <row r="568">
      <c r="A568" s="12" t="n">
        <v>43468</v>
      </c>
      <c r="B568" s="13" t="n">
        <v>-0.0143</v>
      </c>
      <c r="C568" s="14">
        <f>B568*100</f>
        <v/>
      </c>
    </row>
    <row r="569">
      <c r="A569" s="12" t="n">
        <v>43469</v>
      </c>
      <c r="B569" s="13" t="n">
        <v>0.0184</v>
      </c>
      <c r="C569" s="14">
        <f>B569*100</f>
        <v/>
      </c>
    </row>
    <row r="570">
      <c r="A570" s="12" t="n">
        <v>43472</v>
      </c>
      <c r="B570" s="13" t="n">
        <v>0.0371</v>
      </c>
      <c r="C570" s="14">
        <f>B570*100</f>
        <v/>
      </c>
    </row>
    <row r="571">
      <c r="A571" s="12" t="n">
        <v>43473</v>
      </c>
      <c r="B571" s="13" t="n">
        <v>0.0535</v>
      </c>
      <c r="C571" s="14">
        <f>B571*100</f>
        <v/>
      </c>
    </row>
    <row r="572">
      <c r="A572" s="12" t="n">
        <v>43474</v>
      </c>
      <c r="B572" s="13" t="n">
        <v>0.0587</v>
      </c>
      <c r="C572" s="14">
        <f>B572*100</f>
        <v/>
      </c>
    </row>
    <row r="573">
      <c r="A573" s="12" t="n">
        <v>43475</v>
      </c>
      <c r="B573" s="13" t="n">
        <v>0.0618</v>
      </c>
      <c r="C573" s="14">
        <f>B573*100</f>
        <v/>
      </c>
    </row>
    <row r="574">
      <c r="A574" s="12" t="n">
        <v>43476</v>
      </c>
      <c r="B574" s="13" t="n">
        <v>0.0524</v>
      </c>
      <c r="C574" s="14">
        <f>B574*100</f>
        <v/>
      </c>
    </row>
    <row r="575">
      <c r="A575" s="12" t="n">
        <v>43479</v>
      </c>
      <c r="B575" s="13" t="n">
        <v>0.0495</v>
      </c>
      <c r="C575" s="14">
        <f>B575*100</f>
        <v/>
      </c>
    </row>
    <row r="576">
      <c r="A576" s="12" t="n">
        <v>43480</v>
      </c>
      <c r="B576" s="13" t="n">
        <v>0.0508</v>
      </c>
      <c r="C576" s="14">
        <f>B576*100</f>
        <v/>
      </c>
    </row>
    <row r="577">
      <c r="A577" s="12" t="n">
        <v>43481</v>
      </c>
      <c r="B577" s="13" t="n">
        <v>0.0587</v>
      </c>
      <c r="C577" s="14">
        <f>B577*100</f>
        <v/>
      </c>
    </row>
    <row r="578">
      <c r="A578" s="12" t="n">
        <v>43482</v>
      </c>
      <c r="B578" s="13" t="n">
        <v>0.0738</v>
      </c>
      <c r="C578" s="14">
        <f>B578*100</f>
        <v/>
      </c>
    </row>
    <row r="579">
      <c r="A579" s="12" t="n">
        <v>43483</v>
      </c>
      <c r="B579" s="13" t="n">
        <v>0.09420000000000001</v>
      </c>
      <c r="C579" s="14">
        <f>B579*100</f>
        <v/>
      </c>
    </row>
    <row r="580">
      <c r="A580" s="12" t="n">
        <v>43487</v>
      </c>
      <c r="B580" s="13" t="n">
        <v>0.07920000000000001</v>
      </c>
      <c r="C580" s="14">
        <f>B580*100</f>
        <v/>
      </c>
    </row>
    <row r="581">
      <c r="A581" s="12" t="n">
        <v>43488</v>
      </c>
      <c r="B581" s="13" t="n">
        <v>0.08160000000000001</v>
      </c>
      <c r="C581" s="14">
        <f>B581*100</f>
        <v/>
      </c>
    </row>
    <row r="582">
      <c r="A582" s="12" t="n">
        <v>43489</v>
      </c>
      <c r="B582" s="13" t="n">
        <v>0.0703</v>
      </c>
      <c r="C582" s="14">
        <f>B582*100</f>
        <v/>
      </c>
    </row>
    <row r="583">
      <c r="A583" s="12" t="n">
        <v>43490</v>
      </c>
      <c r="B583" s="13" t="n">
        <v>0.08169999999999999</v>
      </c>
      <c r="C583" s="14">
        <f>B583*100</f>
        <v/>
      </c>
    </row>
    <row r="584">
      <c r="A584" s="12" t="n">
        <v>43493</v>
      </c>
      <c r="B584" s="13" t="n">
        <v>0.0793</v>
      </c>
      <c r="C584" s="14">
        <f>B584*100</f>
        <v/>
      </c>
    </row>
    <row r="585">
      <c r="A585" s="12" t="n">
        <v>43494</v>
      </c>
      <c r="B585" s="13" t="n">
        <v>0.0641</v>
      </c>
      <c r="C585" s="14">
        <f>B585*100</f>
        <v/>
      </c>
    </row>
    <row r="586">
      <c r="A586" s="12" t="n">
        <v>43495</v>
      </c>
      <c r="B586" s="13" t="n">
        <v>0.048</v>
      </c>
      <c r="C586" s="14">
        <f>B586*100</f>
        <v/>
      </c>
    </row>
    <row r="587">
      <c r="A587" s="12" t="n">
        <v>43496</v>
      </c>
      <c r="B587" s="13" t="n">
        <v>0.0182</v>
      </c>
      <c r="C587" s="14">
        <f>B587*100</f>
        <v/>
      </c>
    </row>
    <row r="588">
      <c r="A588" s="12" t="n">
        <v>43497</v>
      </c>
      <c r="B588" s="13" t="n">
        <v>0.0421</v>
      </c>
      <c r="C588" s="14">
        <f>B588*100</f>
        <v/>
      </c>
    </row>
    <row r="589">
      <c r="A589" s="12" t="n">
        <v>43500</v>
      </c>
      <c r="B589" s="13" t="n">
        <v>0.059</v>
      </c>
      <c r="C589" s="14">
        <f>B589*100</f>
        <v/>
      </c>
    </row>
    <row r="590">
      <c r="A590" s="12" t="n">
        <v>43501</v>
      </c>
      <c r="B590" s="13" t="n">
        <v>0.0549</v>
      </c>
      <c r="C590" s="14">
        <f>B590*100</f>
        <v/>
      </c>
    </row>
    <row r="591">
      <c r="A591" s="12" t="n">
        <v>43502</v>
      </c>
      <c r="B591" s="13" t="n">
        <v>0.0496</v>
      </c>
      <c r="C591" s="14">
        <f>B591*100</f>
        <v/>
      </c>
    </row>
    <row r="592">
      <c r="A592" s="12" t="n">
        <v>43503</v>
      </c>
      <c r="B592" s="13" t="n">
        <v>0.0302</v>
      </c>
      <c r="C592" s="14">
        <f>B592*100</f>
        <v/>
      </c>
    </row>
    <row r="593">
      <c r="A593" s="12" t="n">
        <v>43504</v>
      </c>
      <c r="B593" s="13" t="n">
        <v>0.0182</v>
      </c>
      <c r="C593" s="14">
        <f>B593*100</f>
        <v/>
      </c>
    </row>
    <row r="594">
      <c r="A594" s="12" t="n">
        <v>43507</v>
      </c>
      <c r="B594" s="13" t="n">
        <v>0.0231</v>
      </c>
      <c r="C594" s="14">
        <f>B594*100</f>
        <v/>
      </c>
    </row>
    <row r="595">
      <c r="A595" s="12" t="n">
        <v>43508</v>
      </c>
      <c r="B595" s="13" t="n">
        <v>0.0351</v>
      </c>
      <c r="C595" s="14">
        <f>B595*100</f>
        <v/>
      </c>
    </row>
    <row r="596">
      <c r="A596" s="12" t="n">
        <v>43509</v>
      </c>
      <c r="B596" s="13" t="n">
        <v>0.0497</v>
      </c>
      <c r="C596" s="14">
        <f>B596*100</f>
        <v/>
      </c>
    </row>
    <row r="597">
      <c r="A597" s="12" t="n">
        <v>43510</v>
      </c>
      <c r="B597" s="13" t="n">
        <v>0.0336</v>
      </c>
      <c r="C597" s="14">
        <f>B597*100</f>
        <v/>
      </c>
    </row>
    <row r="598">
      <c r="A598" s="12" t="n">
        <v>43511</v>
      </c>
      <c r="B598" s="13" t="n">
        <v>0.0337</v>
      </c>
      <c r="C598" s="14">
        <f>B598*100</f>
        <v/>
      </c>
    </row>
    <row r="599">
      <c r="A599" s="12" t="n">
        <v>43515</v>
      </c>
      <c r="B599" s="13" t="n">
        <v>0.0243</v>
      </c>
      <c r="C599" s="14">
        <f>B599*100</f>
        <v/>
      </c>
    </row>
    <row r="600">
      <c r="A600" s="12" t="n">
        <v>43516</v>
      </c>
      <c r="B600" s="13" t="n">
        <v>0.0211</v>
      </c>
      <c r="C600" s="14">
        <f>B600*100</f>
        <v/>
      </c>
    </row>
    <row r="601">
      <c r="A601" s="12" t="n">
        <v>43517</v>
      </c>
      <c r="B601" s="13" t="n">
        <v>0.0351</v>
      </c>
      <c r="C601" s="14">
        <f>B601*100</f>
        <v/>
      </c>
    </row>
    <row r="602">
      <c r="A602" s="12" t="n">
        <v>43518</v>
      </c>
      <c r="B602" s="13" t="n">
        <v>0.0245</v>
      </c>
      <c r="C602" s="14">
        <f>B602*100</f>
        <v/>
      </c>
    </row>
    <row r="603">
      <c r="A603" s="12" t="n">
        <v>43521</v>
      </c>
      <c r="B603" s="13" t="n">
        <v>0.0268</v>
      </c>
      <c r="C603" s="14">
        <f>B603*100</f>
        <v/>
      </c>
    </row>
    <row r="604">
      <c r="A604" s="12" t="n">
        <v>43522</v>
      </c>
      <c r="B604" s="13" t="n">
        <v>0.0158</v>
      </c>
      <c r="C604" s="14">
        <f>B604*100</f>
        <v/>
      </c>
    </row>
    <row r="605">
      <c r="A605" s="12" t="n">
        <v>43523</v>
      </c>
      <c r="B605" s="13" t="n">
        <v>0.0319</v>
      </c>
      <c r="C605" s="14">
        <f>B605*100</f>
        <v/>
      </c>
    </row>
    <row r="606">
      <c r="A606" s="12" t="n">
        <v>43524</v>
      </c>
      <c r="B606" s="13" t="n">
        <v>0.052</v>
      </c>
      <c r="C606" s="14">
        <f>B606*100</f>
        <v/>
      </c>
    </row>
    <row r="607">
      <c r="A607" s="12" t="n">
        <v>43525</v>
      </c>
      <c r="B607" s="13" t="n">
        <v>0.0728</v>
      </c>
      <c r="C607" s="14">
        <f>B607*100</f>
        <v/>
      </c>
    </row>
    <row r="608">
      <c r="A608" s="12" t="n">
        <v>43528</v>
      </c>
      <c r="B608" s="13" t="n">
        <v>0.0619</v>
      </c>
      <c r="C608" s="14">
        <f>B608*100</f>
        <v/>
      </c>
    </row>
    <row r="609">
      <c r="A609" s="12" t="n">
        <v>43529</v>
      </c>
      <c r="B609" s="13" t="n">
        <v>0.0574</v>
      </c>
      <c r="C609" s="14">
        <f>B609*100</f>
        <v/>
      </c>
    </row>
    <row r="610">
      <c r="A610" s="12" t="n">
        <v>43530</v>
      </c>
      <c r="B610" s="13" t="n">
        <v>0.0415</v>
      </c>
      <c r="C610" s="14">
        <f>B610*100</f>
        <v/>
      </c>
    </row>
    <row r="611">
      <c r="A611" s="12" t="n">
        <v>43531</v>
      </c>
      <c r="B611" s="13" t="n">
        <v>0.0184</v>
      </c>
      <c r="C611" s="14">
        <f>B611*100</f>
        <v/>
      </c>
    </row>
    <row r="612">
      <c r="A612" s="12" t="n">
        <v>43532</v>
      </c>
      <c r="B612" s="13" t="n">
        <v>0.0042</v>
      </c>
      <c r="C612" s="14">
        <f>B612*100</f>
        <v/>
      </c>
    </row>
    <row r="613">
      <c r="A613" s="12" t="n">
        <v>43535</v>
      </c>
      <c r="B613" s="13" t="n">
        <v>0.0063</v>
      </c>
      <c r="C613" s="14">
        <f>B613*100</f>
        <v/>
      </c>
    </row>
    <row r="614">
      <c r="A614" s="12" t="n">
        <v>43536</v>
      </c>
      <c r="B614" s="13" t="n">
        <v>-0.0064</v>
      </c>
      <c r="C614" s="14">
        <f>B614*100</f>
        <v/>
      </c>
    </row>
    <row r="615">
      <c r="A615" s="12" t="n">
        <v>43537</v>
      </c>
      <c r="B615" s="13" t="n">
        <v>-0.0073</v>
      </c>
      <c r="C615" s="14">
        <f>B615*100</f>
        <v/>
      </c>
    </row>
    <row r="616">
      <c r="A616" s="12" t="n">
        <v>43538</v>
      </c>
      <c r="B616" s="13" t="n">
        <v>0.0005999999999999999</v>
      </c>
      <c r="C616" s="14">
        <f>B616*100</f>
        <v/>
      </c>
    </row>
    <row r="617">
      <c r="A617" s="12" t="n">
        <v>43539</v>
      </c>
      <c r="B617" s="13" t="n">
        <v>-0.0109</v>
      </c>
      <c r="C617" s="14">
        <f>B617*100</f>
        <v/>
      </c>
    </row>
    <row r="618">
      <c r="A618" s="12" t="n">
        <v>43542</v>
      </c>
      <c r="B618" s="13" t="n">
        <v>-0.0072</v>
      </c>
      <c r="C618" s="14">
        <f>B618*100</f>
        <v/>
      </c>
    </row>
    <row r="619">
      <c r="A619" s="12" t="n">
        <v>43543</v>
      </c>
      <c r="B619" s="13" t="n">
        <v>-0.0046</v>
      </c>
      <c r="C619" s="14">
        <f>B619*100</f>
        <v/>
      </c>
    </row>
    <row r="620">
      <c r="A620" s="12" t="n">
        <v>43544</v>
      </c>
      <c r="B620" s="13" t="n">
        <v>-0.0326</v>
      </c>
      <c r="C620" s="14">
        <f>B620*100</f>
        <v/>
      </c>
    </row>
    <row r="621">
      <c r="A621" s="12" t="n">
        <v>43545</v>
      </c>
      <c r="B621" s="13" t="n">
        <v>-0.0408</v>
      </c>
      <c r="C621" s="14">
        <f>B621*100</f>
        <v/>
      </c>
    </row>
    <row r="622">
      <c r="A622" s="12" t="n">
        <v>43546</v>
      </c>
      <c r="B622" s="13" t="n">
        <v>-0.0806</v>
      </c>
      <c r="C622" s="14">
        <f>B622*100</f>
        <v/>
      </c>
    </row>
    <row r="623">
      <c r="A623" s="12" t="n">
        <v>43549</v>
      </c>
      <c r="B623" s="13" t="n">
        <v>-0.101</v>
      </c>
      <c r="C623" s="14">
        <f>B623*100</f>
        <v/>
      </c>
    </row>
    <row r="624">
      <c r="A624" s="12" t="n">
        <v>43550</v>
      </c>
      <c r="B624" s="13" t="n">
        <v>-0.1151</v>
      </c>
      <c r="C624" s="14">
        <f>B624*100</f>
        <v/>
      </c>
    </row>
    <row r="625">
      <c r="A625" s="12" t="n">
        <v>43551</v>
      </c>
      <c r="B625" s="13" t="n">
        <v>-0.1227</v>
      </c>
      <c r="C625" s="14">
        <f>B625*100</f>
        <v/>
      </c>
    </row>
    <row r="626">
      <c r="A626" s="12" t="n">
        <v>43552</v>
      </c>
      <c r="B626" s="13" t="n">
        <v>-0.1167</v>
      </c>
      <c r="C626" s="14">
        <f>B626*100</f>
        <v/>
      </c>
    </row>
    <row r="627">
      <c r="A627" s="12" t="n">
        <v>43553</v>
      </c>
      <c r="B627" s="13" t="n">
        <v>-0.105</v>
      </c>
      <c r="C627" s="14">
        <f>B627*100</f>
        <v/>
      </c>
    </row>
    <row r="628">
      <c r="A628" s="12" t="n">
        <v>43556</v>
      </c>
      <c r="B628" s="13" t="n">
        <v>-0.07049999999999999</v>
      </c>
      <c r="C628" s="14">
        <f>B628*100</f>
        <v/>
      </c>
    </row>
    <row r="629">
      <c r="A629" s="12" t="n">
        <v>43557</v>
      </c>
      <c r="B629" s="13" t="n">
        <v>-0.06850000000000001</v>
      </c>
      <c r="C629" s="14">
        <f>B629*100</f>
        <v/>
      </c>
    </row>
    <row r="630">
      <c r="A630" s="12" t="n">
        <v>43558</v>
      </c>
      <c r="B630" s="13" t="n">
        <v>-0.0526</v>
      </c>
      <c r="C630" s="14">
        <f>B630*100</f>
        <v/>
      </c>
    </row>
    <row r="631">
      <c r="A631" s="12" t="n">
        <v>43559</v>
      </c>
      <c r="B631" s="13" t="n">
        <v>-0.0513</v>
      </c>
      <c r="C631" s="14">
        <f>B631*100</f>
        <v/>
      </c>
    </row>
    <row r="632">
      <c r="A632" s="12" t="n">
        <v>43560</v>
      </c>
      <c r="B632" s="13" t="n">
        <v>-0.0535</v>
      </c>
      <c r="C632" s="14">
        <f>B632*100</f>
        <v/>
      </c>
    </row>
    <row r="633">
      <c r="A633" s="12" t="n">
        <v>43563</v>
      </c>
      <c r="B633" s="13" t="n">
        <v>-0.0475</v>
      </c>
      <c r="C633" s="14">
        <f>B633*100</f>
        <v/>
      </c>
    </row>
    <row r="634">
      <c r="A634" s="12" t="n">
        <v>43564</v>
      </c>
      <c r="B634" s="13" t="n">
        <v>-0.0523</v>
      </c>
      <c r="C634" s="14">
        <f>B634*100</f>
        <v/>
      </c>
    </row>
    <row r="635">
      <c r="A635" s="12" t="n">
        <v>43565</v>
      </c>
      <c r="B635" s="13" t="n">
        <v>-0.066</v>
      </c>
      <c r="C635" s="14">
        <f>B635*100</f>
        <v/>
      </c>
    </row>
    <row r="636">
      <c r="A636" s="12" t="n">
        <v>43566</v>
      </c>
      <c r="B636" s="13" t="n">
        <v>-0.0564</v>
      </c>
      <c r="C636" s="14">
        <f>B636*100</f>
        <v/>
      </c>
    </row>
    <row r="637">
      <c r="A637" s="12" t="n">
        <v>43567</v>
      </c>
      <c r="B637" s="13" t="n">
        <v>-0.0306</v>
      </c>
      <c r="C637" s="14">
        <f>B637*100</f>
        <v/>
      </c>
    </row>
    <row r="638">
      <c r="A638" s="12" t="n">
        <v>43570</v>
      </c>
      <c r="B638" s="13" t="n">
        <v>-0.0276</v>
      </c>
      <c r="C638" s="14">
        <f>B638*100</f>
        <v/>
      </c>
    </row>
    <row r="639">
      <c r="A639" s="12" t="n">
        <v>43571</v>
      </c>
      <c r="B639" s="13" t="n">
        <v>-0.011</v>
      </c>
      <c r="C639" s="14">
        <f>B639*100</f>
        <v/>
      </c>
    </row>
    <row r="640">
      <c r="A640" s="12" t="n">
        <v>43572</v>
      </c>
      <c r="B640" s="13" t="n">
        <v>-0.0073</v>
      </c>
      <c r="C640" s="14">
        <f>B640*100</f>
        <v/>
      </c>
    </row>
    <row r="641">
      <c r="A641" s="12" t="n">
        <v>43573</v>
      </c>
      <c r="B641" s="13" t="n">
        <v>-0.0164</v>
      </c>
      <c r="C641" s="14">
        <f>B641*100</f>
        <v/>
      </c>
    </row>
    <row r="642">
      <c r="A642" s="12" t="n">
        <v>43577</v>
      </c>
      <c r="B642" s="13" t="n">
        <v>-0.0106</v>
      </c>
      <c r="C642" s="14">
        <f>B642*100</f>
        <v/>
      </c>
    </row>
    <row r="643">
      <c r="A643" s="12" t="n">
        <v>43578</v>
      </c>
      <c r="B643" s="13" t="n">
        <v>-0.018</v>
      </c>
      <c r="C643" s="14">
        <f>B643*100</f>
        <v/>
      </c>
    </row>
    <row r="644">
      <c r="A644" s="12" t="n">
        <v>43579</v>
      </c>
      <c r="B644" s="13" t="n">
        <v>-0.0385</v>
      </c>
      <c r="C644" s="14">
        <f>B644*100</f>
        <v/>
      </c>
    </row>
    <row r="645">
      <c r="A645" s="12" t="n">
        <v>43580</v>
      </c>
      <c r="B645" s="13" t="n">
        <v>-0.0381</v>
      </c>
      <c r="C645" s="14">
        <f>B645*100</f>
        <v/>
      </c>
    </row>
    <row r="646">
      <c r="A646" s="12" t="n">
        <v>43581</v>
      </c>
      <c r="B646" s="13" t="n">
        <v>-0.0511</v>
      </c>
      <c r="C646" s="14">
        <f>B646*100</f>
        <v/>
      </c>
    </row>
    <row r="647">
      <c r="A647" s="12" t="n">
        <v>43584</v>
      </c>
      <c r="B647" s="13" t="n">
        <v>-0.0433</v>
      </c>
      <c r="C647" s="14">
        <f>B647*100</f>
        <v/>
      </c>
    </row>
    <row r="648">
      <c r="A648" s="12" t="n">
        <v>43585</v>
      </c>
      <c r="B648" s="13" t="n">
        <v>-0.0546</v>
      </c>
      <c r="C648" s="14">
        <f>B648*100</f>
        <v/>
      </c>
    </row>
    <row r="649">
      <c r="A649" s="12" t="n">
        <v>43586</v>
      </c>
      <c r="B649" s="13" t="n">
        <v>-0.0475</v>
      </c>
      <c r="C649" s="14">
        <f>B649*100</f>
        <v/>
      </c>
    </row>
    <row r="650">
      <c r="A650" s="12" t="n">
        <v>43587</v>
      </c>
      <c r="B650" s="13" t="n">
        <v>-0.0351</v>
      </c>
      <c r="C650" s="14">
        <f>B650*100</f>
        <v/>
      </c>
    </row>
    <row r="651">
      <c r="A651" s="12" t="n">
        <v>43588</v>
      </c>
      <c r="B651" s="13" t="n">
        <v>-0.0372</v>
      </c>
      <c r="C651" s="14">
        <f>B651*100</f>
        <v/>
      </c>
    </row>
    <row r="652">
      <c r="A652" s="12" t="n">
        <v>43591</v>
      </c>
      <c r="B652" s="13" t="n">
        <v>-0.0505</v>
      </c>
      <c r="C652" s="14">
        <f>B652*100</f>
        <v/>
      </c>
    </row>
    <row r="653">
      <c r="A653" s="12" t="n">
        <v>43592</v>
      </c>
      <c r="B653" s="13" t="n">
        <v>-0.0733</v>
      </c>
      <c r="C653" s="14">
        <f>B653*100</f>
        <v/>
      </c>
    </row>
    <row r="654">
      <c r="A654" s="12" t="n">
        <v>43593</v>
      </c>
      <c r="B654" s="13" t="n">
        <v>-0.0654</v>
      </c>
      <c r="C654" s="14">
        <f>B654*100</f>
        <v/>
      </c>
    </row>
    <row r="655">
      <c r="A655" s="12" t="n">
        <v>43594</v>
      </c>
      <c r="B655" s="13" t="n">
        <v>-0.0786</v>
      </c>
      <c r="C655" s="14">
        <f>B655*100</f>
        <v/>
      </c>
    </row>
    <row r="656">
      <c r="A656" s="12" t="n">
        <v>43595</v>
      </c>
      <c r="B656" s="13" t="n">
        <v>-0.0747</v>
      </c>
      <c r="C656" s="14">
        <f>B656*100</f>
        <v/>
      </c>
    </row>
    <row r="657">
      <c r="A657" s="12" t="n">
        <v>43598</v>
      </c>
      <c r="B657" s="13" t="n">
        <v>-0.1033</v>
      </c>
      <c r="C657" s="14">
        <f>B657*100</f>
        <v/>
      </c>
    </row>
    <row r="658">
      <c r="A658" s="12" t="n">
        <v>43599</v>
      </c>
      <c r="B658" s="13" t="n">
        <v>-0.0998</v>
      </c>
      <c r="C658" s="14">
        <f>B658*100</f>
        <v/>
      </c>
    </row>
    <row r="659">
      <c r="A659" s="12" t="n">
        <v>43600</v>
      </c>
      <c r="B659" s="13" t="n">
        <v>-0.1189</v>
      </c>
      <c r="C659" s="14">
        <f>B659*100</f>
        <v/>
      </c>
    </row>
    <row r="660">
      <c r="A660" s="12" t="n">
        <v>43601</v>
      </c>
      <c r="B660" s="13" t="n">
        <v>-0.1123</v>
      </c>
      <c r="C660" s="14">
        <f>B660*100</f>
        <v/>
      </c>
    </row>
    <row r="661">
      <c r="A661" s="12" t="n">
        <v>43602</v>
      </c>
      <c r="B661" s="13" t="n">
        <v>-0.1128</v>
      </c>
      <c r="C661" s="14">
        <f>B661*100</f>
        <v/>
      </c>
    </row>
    <row r="662">
      <c r="A662" s="12" t="n">
        <v>43605</v>
      </c>
      <c r="B662" s="13" t="n">
        <v>-0.1013</v>
      </c>
      <c r="C662" s="14">
        <f>B662*100</f>
        <v/>
      </c>
    </row>
    <row r="663">
      <c r="A663" s="12" t="n">
        <v>43606</v>
      </c>
      <c r="B663" s="13" t="n">
        <v>-0.0886</v>
      </c>
      <c r="C663" s="14">
        <f>B663*100</f>
        <v/>
      </c>
    </row>
    <row r="664">
      <c r="A664" s="12" t="n">
        <v>43607</v>
      </c>
      <c r="B664" s="13" t="n">
        <v>-0.1011</v>
      </c>
      <c r="C664" s="14">
        <f>B664*100</f>
        <v/>
      </c>
    </row>
    <row r="665">
      <c r="A665" s="12" t="n">
        <v>43608</v>
      </c>
      <c r="B665" s="13" t="n">
        <v>-0.1376</v>
      </c>
      <c r="C665" s="14">
        <f>B665*100</f>
        <v/>
      </c>
    </row>
    <row r="666">
      <c r="A666" s="12" t="n">
        <v>43609</v>
      </c>
      <c r="B666" s="13" t="n">
        <v>-0.1384</v>
      </c>
      <c r="C666" s="14">
        <f>B666*100</f>
        <v/>
      </c>
    </row>
    <row r="667">
      <c r="A667" s="12" t="n">
        <v>43613</v>
      </c>
      <c r="B667" s="13" t="n">
        <v>-0.1628</v>
      </c>
      <c r="C667" s="14">
        <f>B667*100</f>
        <v/>
      </c>
    </row>
    <row r="668">
      <c r="A668" s="12" t="n">
        <v>43614</v>
      </c>
      <c r="B668" s="13" t="n">
        <v>-0.1745</v>
      </c>
      <c r="C668" s="14">
        <f>B668*100</f>
        <v/>
      </c>
    </row>
    <row r="669">
      <c r="A669" s="12" t="n">
        <v>43615</v>
      </c>
      <c r="B669" s="13" t="n">
        <v>-0.1915</v>
      </c>
      <c r="C669" s="14">
        <f>B669*100</f>
        <v/>
      </c>
    </row>
    <row r="670">
      <c r="A670" s="12" t="n">
        <v>43616</v>
      </c>
      <c r="B670" s="13" t="n">
        <v>-0.2298</v>
      </c>
      <c r="C670" s="14">
        <f>B670*100</f>
        <v/>
      </c>
    </row>
    <row r="671">
      <c r="A671" s="12" t="n">
        <v>43619</v>
      </c>
      <c r="B671" s="13" t="n">
        <v>-0.2718</v>
      </c>
      <c r="C671" s="14">
        <f>B671*100</f>
        <v/>
      </c>
    </row>
    <row r="672">
      <c r="A672" s="12" t="n">
        <v>43620</v>
      </c>
      <c r="B672" s="13" t="n">
        <v>-0.2538</v>
      </c>
      <c r="C672" s="14">
        <f>B672*100</f>
        <v/>
      </c>
    </row>
    <row r="673">
      <c r="A673" s="12" t="n">
        <v>43621</v>
      </c>
      <c r="B673" s="13" t="n">
        <v>-0.2525</v>
      </c>
      <c r="C673" s="14">
        <f>B673*100</f>
        <v/>
      </c>
    </row>
    <row r="674">
      <c r="A674" s="12" t="n">
        <v>43622</v>
      </c>
      <c r="B674" s="13" t="n">
        <v>-0.241</v>
      </c>
      <c r="C674" s="14">
        <f>B674*100</f>
        <v/>
      </c>
    </row>
    <row r="675">
      <c r="A675" s="12" t="n">
        <v>43623</v>
      </c>
      <c r="B675" s="13" t="n">
        <v>-0.2477</v>
      </c>
      <c r="C675" s="14">
        <f>B675*100</f>
        <v/>
      </c>
    </row>
    <row r="676">
      <c r="A676" s="12" t="n">
        <v>43626</v>
      </c>
      <c r="B676" s="13" t="n">
        <v>-0.2238</v>
      </c>
      <c r="C676" s="14">
        <f>B676*100</f>
        <v/>
      </c>
    </row>
    <row r="677">
      <c r="A677" s="12" t="n">
        <v>43627</v>
      </c>
      <c r="B677" s="13" t="n">
        <v>-0.2141</v>
      </c>
      <c r="C677" s="14">
        <f>B677*100</f>
        <v/>
      </c>
    </row>
    <row r="678">
      <c r="A678" s="12" t="n">
        <v>43628</v>
      </c>
      <c r="B678" s="13" t="n">
        <v>-0.2237</v>
      </c>
      <c r="C678" s="14">
        <f>B678*100</f>
        <v/>
      </c>
    </row>
    <row r="679">
      <c r="A679" s="12" t="n">
        <v>43629</v>
      </c>
      <c r="B679" s="13" t="n">
        <v>-0.2359</v>
      </c>
      <c r="C679" s="14">
        <f>B679*100</f>
        <v/>
      </c>
    </row>
    <row r="680">
      <c r="A680" s="12" t="n">
        <v>43630</v>
      </c>
      <c r="B680" s="13" t="n">
        <v>-0.2359</v>
      </c>
      <c r="C680" s="14">
        <f>B680*100</f>
        <v/>
      </c>
    </row>
    <row r="681">
      <c r="A681" s="12" t="n">
        <v>43633</v>
      </c>
      <c r="B681" s="13" t="n">
        <v>-0.2378</v>
      </c>
      <c r="C681" s="14">
        <f>B681*100</f>
        <v/>
      </c>
    </row>
    <row r="682">
      <c r="A682" s="12" t="n">
        <v>43634</v>
      </c>
      <c r="B682" s="13" t="n">
        <v>-0.2491</v>
      </c>
      <c r="C682" s="14">
        <f>B682*100</f>
        <v/>
      </c>
    </row>
    <row r="683">
      <c r="A683" s="12" t="n">
        <v>43635</v>
      </c>
      <c r="B683" s="13" t="n">
        <v>-0.2678</v>
      </c>
      <c r="C683" s="14">
        <f>B683*100</f>
        <v/>
      </c>
    </row>
    <row r="684">
      <c r="A684" s="12" t="n">
        <v>43636</v>
      </c>
      <c r="B684" s="13" t="n">
        <v>-0.2728</v>
      </c>
      <c r="C684" s="14">
        <f>B684*100</f>
        <v/>
      </c>
    </row>
    <row r="685">
      <c r="A685" s="12" t="n">
        <v>43637</v>
      </c>
      <c r="B685" s="13" t="n">
        <v>-0.2448</v>
      </c>
      <c r="C685" s="14">
        <f>B685*100</f>
        <v/>
      </c>
    </row>
    <row r="686">
      <c r="A686" s="12" t="n">
        <v>43640</v>
      </c>
      <c r="B686" s="13" t="n">
        <v>-0.2584</v>
      </c>
      <c r="C686" s="14">
        <f>B686*100</f>
        <v/>
      </c>
    </row>
    <row r="687">
      <c r="A687" s="12" t="n">
        <v>43641</v>
      </c>
      <c r="B687" s="13" t="n">
        <v>-0.2686</v>
      </c>
      <c r="C687" s="14">
        <f>B687*100</f>
        <v/>
      </c>
    </row>
    <row r="688">
      <c r="A688" s="12" t="n">
        <v>43642</v>
      </c>
      <c r="B688" s="13" t="n">
        <v>-0.2492</v>
      </c>
      <c r="C688" s="14">
        <f>B688*100</f>
        <v/>
      </c>
    </row>
    <row r="689">
      <c r="A689" s="12" t="n">
        <v>43643</v>
      </c>
      <c r="B689" s="13" t="n">
        <v>-0.2617</v>
      </c>
      <c r="C689" s="14">
        <f>B689*100</f>
        <v/>
      </c>
    </row>
    <row r="690">
      <c r="A690" s="12" t="n">
        <v>43644</v>
      </c>
      <c r="B690" s="13" t="n">
        <v>-0.268</v>
      </c>
      <c r="C690" s="14">
        <f>B690*100</f>
        <v/>
      </c>
    </row>
    <row r="691">
      <c r="A691" s="12" t="n">
        <v>43647</v>
      </c>
      <c r="B691" s="13" t="n">
        <v>-0.2605</v>
      </c>
      <c r="C691" s="14">
        <f>B691*100</f>
        <v/>
      </c>
    </row>
    <row r="692">
      <c r="A692" s="12" t="n">
        <v>43648</v>
      </c>
      <c r="B692" s="13" t="n">
        <v>-0.279</v>
      </c>
      <c r="C692" s="14">
        <f>B692*100</f>
        <v/>
      </c>
    </row>
    <row r="693">
      <c r="A693" s="12" t="n">
        <v>43649</v>
      </c>
      <c r="B693" s="13" t="n">
        <v>-0.293</v>
      </c>
      <c r="C693" s="14">
        <f>B693*100</f>
        <v/>
      </c>
    </row>
    <row r="694">
      <c r="A694" s="12" t="n">
        <v>43651</v>
      </c>
      <c r="B694" s="13" t="n">
        <v>-0.261</v>
      </c>
      <c r="C694" s="14">
        <f>B694*100</f>
        <v/>
      </c>
    </row>
    <row r="695">
      <c r="A695" s="12" t="n">
        <v>43654</v>
      </c>
      <c r="B695" s="13" t="n">
        <v>-0.2542</v>
      </c>
      <c r="C695" s="14">
        <f>B695*100</f>
        <v/>
      </c>
    </row>
    <row r="696">
      <c r="A696" s="12" t="n">
        <v>43655</v>
      </c>
      <c r="B696" s="13" t="n">
        <v>-0.245</v>
      </c>
      <c r="C696" s="14">
        <f>B696*100</f>
        <v/>
      </c>
    </row>
    <row r="697">
      <c r="A697" s="12" t="n">
        <v>43656</v>
      </c>
      <c r="B697" s="13" t="n">
        <v>-0.25</v>
      </c>
      <c r="C697" s="14">
        <f>B697*100</f>
        <v/>
      </c>
    </row>
    <row r="698">
      <c r="A698" s="12" t="n">
        <v>43657</v>
      </c>
      <c r="B698" s="13" t="n">
        <v>-0.2223</v>
      </c>
      <c r="C698" s="14">
        <f>B698*100</f>
        <v/>
      </c>
    </row>
    <row r="699">
      <c r="A699" s="12" t="n">
        <v>43658</v>
      </c>
      <c r="B699" s="13" t="n">
        <v>-0.2167</v>
      </c>
      <c r="C699" s="14">
        <f>B699*100</f>
        <v/>
      </c>
    </row>
    <row r="700">
      <c r="A700" s="12" t="n">
        <v>43661</v>
      </c>
      <c r="B700" s="13" t="n">
        <v>-0.2203</v>
      </c>
      <c r="C700" s="14">
        <f>B700*100</f>
        <v/>
      </c>
    </row>
    <row r="701">
      <c r="A701" s="12" t="n">
        <v>43662</v>
      </c>
      <c r="B701" s="13" t="n">
        <v>-0.2059</v>
      </c>
      <c r="C701" s="14">
        <f>B701*100</f>
        <v/>
      </c>
    </row>
    <row r="702">
      <c r="A702" s="12" t="n">
        <v>43663</v>
      </c>
      <c r="B702" s="13" t="n">
        <v>-0.2246</v>
      </c>
      <c r="C702" s="14">
        <f>B702*100</f>
        <v/>
      </c>
    </row>
    <row r="703">
      <c r="A703" s="12" t="n">
        <v>43664</v>
      </c>
      <c r="B703" s="13" t="n">
        <v>-0.2418</v>
      </c>
      <c r="C703" s="14">
        <f>B703*100</f>
        <v/>
      </c>
    </row>
    <row r="704">
      <c r="A704" s="12" t="n">
        <v>43665</v>
      </c>
      <c r="B704" s="13" t="n">
        <v>-0.2372</v>
      </c>
      <c r="C704" s="14">
        <f>B704*100</f>
        <v/>
      </c>
    </row>
    <row r="705">
      <c r="A705" s="12" t="n">
        <v>43668</v>
      </c>
      <c r="B705" s="13" t="n">
        <v>-0.2363</v>
      </c>
      <c r="C705" s="14">
        <f>B705*100</f>
        <v/>
      </c>
    </row>
    <row r="706">
      <c r="A706" s="12" t="n">
        <v>43669</v>
      </c>
      <c r="B706" s="13" t="n">
        <v>-0.2277</v>
      </c>
      <c r="C706" s="14">
        <f>B706*100</f>
        <v/>
      </c>
    </row>
    <row r="707">
      <c r="A707" s="12" t="n">
        <v>43670</v>
      </c>
      <c r="B707" s="13" t="n">
        <v>-0.235</v>
      </c>
      <c r="C707" s="14">
        <f>B707*100</f>
        <v/>
      </c>
    </row>
    <row r="708">
      <c r="A708" s="12" t="n">
        <v>43671</v>
      </c>
      <c r="B708" s="13" t="n">
        <v>-0.227</v>
      </c>
      <c r="C708" s="14">
        <f>B708*100</f>
        <v/>
      </c>
    </row>
    <row r="709">
      <c r="A709" s="12" t="n">
        <v>43672</v>
      </c>
      <c r="B709" s="13" t="n">
        <v>-0.2268</v>
      </c>
      <c r="C709" s="14">
        <f>B709*100</f>
        <v/>
      </c>
    </row>
    <row r="710">
      <c r="A710" s="12" t="n">
        <v>43675</v>
      </c>
      <c r="B710" s="13" t="n">
        <v>-0.2357</v>
      </c>
      <c r="C710" s="14">
        <f>B710*100</f>
        <v/>
      </c>
    </row>
    <row r="711">
      <c r="A711" s="12" t="n">
        <v>43676</v>
      </c>
      <c r="B711" s="13" t="n">
        <v>-0.2347</v>
      </c>
      <c r="C711" s="14">
        <f>B711*100</f>
        <v/>
      </c>
    </row>
    <row r="712">
      <c r="A712" s="12" t="n">
        <v>43677</v>
      </c>
      <c r="B712" s="13" t="n">
        <v>-0.2398</v>
      </c>
      <c r="C712" s="14">
        <f>B712*100</f>
        <v/>
      </c>
    </row>
    <row r="713">
      <c r="A713" s="12" t="n">
        <v>43678</v>
      </c>
      <c r="B713" s="13" t="n">
        <v>-0.2996</v>
      </c>
      <c r="C713" s="14">
        <f>B713*100</f>
        <v/>
      </c>
    </row>
    <row r="714">
      <c r="A714" s="12" t="n">
        <v>43679</v>
      </c>
      <c r="B714" s="13" t="n">
        <v>-0.3223</v>
      </c>
      <c r="C714" s="14">
        <f>B714*100</f>
        <v/>
      </c>
    </row>
    <row r="715">
      <c r="A715" s="12" t="n">
        <v>43682</v>
      </c>
      <c r="B715" s="13" t="n">
        <v>-0.3719</v>
      </c>
      <c r="C715" s="14">
        <f>B715*100</f>
        <v/>
      </c>
    </row>
    <row r="716">
      <c r="A716" s="12" t="n">
        <v>43683</v>
      </c>
      <c r="B716" s="13" t="n">
        <v>-0.391</v>
      </c>
      <c r="C716" s="14">
        <f>B716*100</f>
        <v/>
      </c>
    </row>
    <row r="717">
      <c r="A717" s="12" t="n">
        <v>43684</v>
      </c>
      <c r="B717" s="13" t="n">
        <v>-0.399</v>
      </c>
      <c r="C717" s="14">
        <f>B717*100</f>
        <v/>
      </c>
    </row>
    <row r="718">
      <c r="A718" s="12" t="n">
        <v>43685</v>
      </c>
      <c r="B718" s="13" t="n">
        <v>-0.3943</v>
      </c>
      <c r="C718" s="14">
        <f>B718*100</f>
        <v/>
      </c>
    </row>
    <row r="719">
      <c r="A719" s="12" t="n">
        <v>43686</v>
      </c>
      <c r="B719" s="13" t="n">
        <v>-0.3813</v>
      </c>
      <c r="C719" s="14">
        <f>B719*100</f>
        <v/>
      </c>
    </row>
    <row r="720">
      <c r="A720" s="12" t="n">
        <v>43689</v>
      </c>
      <c r="B720" s="13" t="n">
        <v>-0.4119</v>
      </c>
      <c r="C720" s="14">
        <f>B720*100</f>
        <v/>
      </c>
    </row>
    <row r="721">
      <c r="A721" s="12" t="n">
        <v>43690</v>
      </c>
      <c r="B721" s="13" t="n">
        <v>-0.3974</v>
      </c>
      <c r="C721" s="14">
        <f>B721*100</f>
        <v/>
      </c>
    </row>
    <row r="722">
      <c r="A722" s="12" t="n">
        <v>43691</v>
      </c>
      <c r="B722" s="13" t="n">
        <v>-0.422</v>
      </c>
      <c r="C722" s="14">
        <f>B722*100</f>
        <v/>
      </c>
    </row>
    <row r="723">
      <c r="A723" s="12" t="n">
        <v>43692</v>
      </c>
      <c r="B723" s="13" t="n">
        <v>-0.4539</v>
      </c>
      <c r="C723" s="14">
        <f>B723*100</f>
        <v/>
      </c>
    </row>
    <row r="724">
      <c r="A724" s="12" t="n">
        <v>43693</v>
      </c>
      <c r="B724" s="13" t="n">
        <v>-0.4504</v>
      </c>
      <c r="C724" s="14">
        <f>B724*100</f>
        <v/>
      </c>
    </row>
    <row r="725">
      <c r="A725" s="12" t="n">
        <v>43696</v>
      </c>
      <c r="B725" s="13" t="n">
        <v>-0.4303</v>
      </c>
      <c r="C725" s="14">
        <f>B725*100</f>
        <v/>
      </c>
    </row>
    <row r="726">
      <c r="A726" s="12" t="n">
        <v>43697</v>
      </c>
      <c r="B726" s="13" t="n">
        <v>-0.4469</v>
      </c>
      <c r="C726" s="14">
        <f>B726*100</f>
        <v/>
      </c>
    </row>
    <row r="727">
      <c r="A727" s="12" t="n">
        <v>43698</v>
      </c>
      <c r="B727" s="13" t="n">
        <v>-0.4336</v>
      </c>
      <c r="C727" s="14">
        <f>B727*100</f>
        <v/>
      </c>
    </row>
    <row r="728">
      <c r="A728" s="12" t="n">
        <v>43699</v>
      </c>
      <c r="B728" s="13" t="n">
        <v>-0.4231</v>
      </c>
      <c r="C728" s="14">
        <f>B728*100</f>
        <v/>
      </c>
    </row>
    <row r="729">
      <c r="A729" s="12" t="n">
        <v>43700</v>
      </c>
      <c r="B729" s="13" t="n">
        <v>-0.4583</v>
      </c>
      <c r="C729" s="14">
        <f>B729*100</f>
        <v/>
      </c>
    </row>
    <row r="730">
      <c r="A730" s="12" t="n">
        <v>43703</v>
      </c>
      <c r="B730" s="13" t="n">
        <v>-0.4583</v>
      </c>
      <c r="C730" s="14">
        <f>B730*100</f>
        <v/>
      </c>
    </row>
    <row r="731">
      <c r="A731" s="12" t="n">
        <v>43704</v>
      </c>
      <c r="B731" s="13" t="n">
        <v>-0.4786</v>
      </c>
      <c r="C731" s="14">
        <f>B731*100</f>
        <v/>
      </c>
    </row>
    <row r="732">
      <c r="A732" s="12" t="n">
        <v>43705</v>
      </c>
      <c r="B732" s="13" t="n">
        <v>-0.491</v>
      </c>
      <c r="C732" s="14">
        <f>B732*100</f>
        <v/>
      </c>
    </row>
    <row r="733">
      <c r="A733" s="12" t="n">
        <v>43706</v>
      </c>
      <c r="B733" s="13" t="n">
        <v>-0.4814</v>
      </c>
      <c r="C733" s="14">
        <f>B733*100</f>
        <v/>
      </c>
    </row>
    <row r="734">
      <c r="A734" s="12" t="n">
        <v>43707</v>
      </c>
      <c r="B734" s="13" t="n">
        <v>-0.4838</v>
      </c>
      <c r="C734" s="14">
        <f>B734*100</f>
        <v/>
      </c>
    </row>
    <row r="735">
      <c r="A735" s="12" t="n">
        <v>43711</v>
      </c>
      <c r="B735" s="13" t="n">
        <v>-0.4967</v>
      </c>
      <c r="C735" s="14">
        <f>B735*100</f>
        <v/>
      </c>
    </row>
    <row r="736">
      <c r="A736" s="12" t="n">
        <v>43712</v>
      </c>
      <c r="B736" s="13" t="n">
        <v>-0.5043</v>
      </c>
      <c r="C736" s="14">
        <f>B736*100</f>
        <v/>
      </c>
    </row>
    <row r="737">
      <c r="A737" s="12" t="n">
        <v>43713</v>
      </c>
      <c r="B737" s="13" t="n">
        <v>-0.4616</v>
      </c>
      <c r="C737" s="14">
        <f>B737*100</f>
        <v/>
      </c>
    </row>
    <row r="738">
      <c r="A738" s="12" t="n">
        <v>43714</v>
      </c>
      <c r="B738" s="13" t="n">
        <v>-0.4557</v>
      </c>
      <c r="C738" s="14">
        <f>B738*100</f>
        <v/>
      </c>
    </row>
    <row r="739">
      <c r="A739" s="12" t="n">
        <v>43717</v>
      </c>
      <c r="B739" s="13" t="n">
        <v>-0.4246</v>
      </c>
      <c r="C739" s="14">
        <f>B739*100</f>
        <v/>
      </c>
    </row>
    <row r="740">
      <c r="A740" s="12" t="n">
        <v>43718</v>
      </c>
      <c r="B740" s="13" t="n">
        <v>-0.3798</v>
      </c>
      <c r="C740" s="14">
        <f>B740*100</f>
        <v/>
      </c>
    </row>
    <row r="741">
      <c r="A741" s="12" t="n">
        <v>43719</v>
      </c>
      <c r="B741" s="13" t="n">
        <v>-0.3596</v>
      </c>
      <c r="C741" s="14">
        <f>B741*100</f>
        <v/>
      </c>
    </row>
    <row r="742">
      <c r="A742" s="12" t="n">
        <v>43720</v>
      </c>
      <c r="B742" s="13" t="n">
        <v>-0.3348</v>
      </c>
      <c r="C742" s="14">
        <f>B742*100</f>
        <v/>
      </c>
    </row>
    <row r="743">
      <c r="A743" s="12" t="n">
        <v>43721</v>
      </c>
      <c r="B743" s="13" t="n">
        <v>-0.2862</v>
      </c>
      <c r="C743" s="14">
        <f>B743*100</f>
        <v/>
      </c>
    </row>
    <row r="744">
      <c r="A744" s="12" t="n">
        <v>43724</v>
      </c>
      <c r="B744" s="13" t="n">
        <v>-0.2994</v>
      </c>
      <c r="C744" s="14">
        <f>B744*100</f>
        <v/>
      </c>
    </row>
    <row r="745">
      <c r="A745" s="12" t="n">
        <v>43725</v>
      </c>
      <c r="B745" s="13" t="n">
        <v>-0.3146</v>
      </c>
      <c r="C745" s="14">
        <f>B745*100</f>
        <v/>
      </c>
    </row>
    <row r="746">
      <c r="A746" s="12" t="n">
        <v>43726</v>
      </c>
      <c r="B746" s="13" t="n">
        <v>-0.312</v>
      </c>
      <c r="C746" s="14">
        <f>B746*100</f>
        <v/>
      </c>
    </row>
    <row r="747">
      <c r="A747" s="12" t="n">
        <v>43727</v>
      </c>
      <c r="B747" s="13" t="n">
        <v>-0.3195</v>
      </c>
      <c r="C747" s="14">
        <f>B747*100</f>
        <v/>
      </c>
    </row>
    <row r="748">
      <c r="A748" s="12" t="n">
        <v>43728</v>
      </c>
      <c r="B748" s="13" t="n">
        <v>-0.3399</v>
      </c>
      <c r="C748" s="14">
        <f>B748*100</f>
        <v/>
      </c>
    </row>
    <row r="749">
      <c r="A749" s="12" t="n">
        <v>43731</v>
      </c>
      <c r="B749" s="13" t="n">
        <v>-0.3567</v>
      </c>
      <c r="C749" s="14">
        <f>B749*100</f>
        <v/>
      </c>
    </row>
    <row r="750">
      <c r="A750" s="12" t="n">
        <v>43732</v>
      </c>
      <c r="B750" s="13" t="n">
        <v>-0.3907</v>
      </c>
      <c r="C750" s="14">
        <f>B750*100</f>
        <v/>
      </c>
    </row>
    <row r="751">
      <c r="A751" s="12" t="n">
        <v>43733</v>
      </c>
      <c r="B751" s="13" t="n">
        <v>-0.3628</v>
      </c>
      <c r="C751" s="14">
        <f>B751*100</f>
        <v/>
      </c>
    </row>
    <row r="752">
      <c r="A752" s="12" t="n">
        <v>43734</v>
      </c>
      <c r="B752" s="13" t="n">
        <v>-0.3579</v>
      </c>
      <c r="C752" s="14">
        <f>B752*100</f>
        <v/>
      </c>
    </row>
    <row r="753">
      <c r="A753" s="12" t="n">
        <v>43735</v>
      </c>
      <c r="B753" s="13" t="n">
        <v>-0.3619</v>
      </c>
      <c r="C753" s="14">
        <f>B753*100</f>
        <v/>
      </c>
    </row>
    <row r="754">
      <c r="A754" s="12" t="n">
        <v>43738</v>
      </c>
      <c r="B754" s="13" t="n">
        <v>-0.3677</v>
      </c>
      <c r="C754" s="14">
        <f>B754*100</f>
        <v/>
      </c>
    </row>
    <row r="755">
      <c r="A755" s="12" t="n">
        <v>43739</v>
      </c>
      <c r="B755" s="13" t="n">
        <v>-0.3801</v>
      </c>
      <c r="C755" s="14">
        <f>B755*100</f>
        <v/>
      </c>
    </row>
    <row r="756">
      <c r="A756" s="12" t="n">
        <v>43740</v>
      </c>
      <c r="B756" s="13" t="n">
        <v>-0.4011</v>
      </c>
      <c r="C756" s="14">
        <f>B756*100</f>
        <v/>
      </c>
    </row>
    <row r="757">
      <c r="A757" s="12" t="n">
        <v>43741</v>
      </c>
      <c r="B757" s="13" t="n">
        <v>-0.4267</v>
      </c>
      <c r="C757" s="14">
        <f>B757*100</f>
        <v/>
      </c>
    </row>
    <row r="758">
      <c r="A758" s="12" t="n">
        <v>43742</v>
      </c>
      <c r="B758" s="13" t="n">
        <v>-0.4325</v>
      </c>
      <c r="C758" s="14">
        <f>B758*100</f>
        <v/>
      </c>
    </row>
    <row r="759">
      <c r="A759" s="12" t="n">
        <v>43745</v>
      </c>
      <c r="B759" s="13" t="n">
        <v>-0.4193</v>
      </c>
      <c r="C759" s="14">
        <f>B759*100</f>
        <v/>
      </c>
    </row>
    <row r="760">
      <c r="A760" s="12" t="n">
        <v>43746</v>
      </c>
      <c r="B760" s="13" t="n">
        <v>-0.4255</v>
      </c>
      <c r="C760" s="14">
        <f>B760*100</f>
        <v/>
      </c>
    </row>
    <row r="761">
      <c r="A761" s="12" t="n">
        <v>43747</v>
      </c>
      <c r="B761" s="13" t="n">
        <v>-0.4046</v>
      </c>
      <c r="C761" s="14">
        <f>B761*100</f>
        <v/>
      </c>
    </row>
    <row r="762">
      <c r="A762" s="12" t="n">
        <v>43748</v>
      </c>
      <c r="B762" s="13" t="n">
        <v>-0.3669</v>
      </c>
      <c r="C762" s="14">
        <f>B762*100</f>
        <v/>
      </c>
    </row>
    <row r="763">
      <c r="A763" s="12" t="n">
        <v>43749</v>
      </c>
      <c r="B763" s="13" t="n">
        <v>-0.3152</v>
      </c>
      <c r="C763" s="14">
        <f>B763*100</f>
        <v/>
      </c>
    </row>
    <row r="764">
      <c r="A764" s="12" t="n">
        <v>43753</v>
      </c>
      <c r="B764" s="13" t="n">
        <v>-0.2986</v>
      </c>
      <c r="C764" s="14">
        <f>B764*100</f>
        <v/>
      </c>
    </row>
    <row r="765">
      <c r="A765" s="12" t="n">
        <v>43754</v>
      </c>
      <c r="B765" s="13" t="n">
        <v>-0.3006</v>
      </c>
      <c r="C765" s="14">
        <f>B765*100</f>
        <v/>
      </c>
    </row>
    <row r="766">
      <c r="A766" s="12" t="n">
        <v>43755</v>
      </c>
      <c r="B766" s="13" t="n">
        <v>-0.2951</v>
      </c>
      <c r="C766" s="14">
        <f>B766*100</f>
        <v/>
      </c>
    </row>
    <row r="767">
      <c r="A767" s="12" t="n">
        <v>43756</v>
      </c>
      <c r="B767" s="13" t="n">
        <v>-0.2953</v>
      </c>
      <c r="C767" s="14">
        <f>B767*100</f>
        <v/>
      </c>
    </row>
    <row r="768">
      <c r="A768" s="12" t="n">
        <v>43759</v>
      </c>
      <c r="B768" s="13" t="n">
        <v>-0.2787</v>
      </c>
      <c r="C768" s="14">
        <f>B768*100</f>
        <v/>
      </c>
    </row>
    <row r="769">
      <c r="A769" s="12" t="n">
        <v>43760</v>
      </c>
      <c r="B769" s="13" t="n">
        <v>-0.2791</v>
      </c>
      <c r="C769" s="14">
        <f>B769*100</f>
        <v/>
      </c>
    </row>
    <row r="770">
      <c r="A770" s="12" t="n">
        <v>43761</v>
      </c>
      <c r="B770" s="13" t="n">
        <v>-0.2828</v>
      </c>
      <c r="C770" s="14">
        <f>B770*100</f>
        <v/>
      </c>
    </row>
    <row r="771">
      <c r="A771" s="12" t="n">
        <v>43762</v>
      </c>
      <c r="B771" s="13" t="n">
        <v>-0.2821</v>
      </c>
      <c r="C771" s="14">
        <f>B771*100</f>
        <v/>
      </c>
    </row>
    <row r="772">
      <c r="A772" s="12" t="n">
        <v>43763</v>
      </c>
      <c r="B772" s="13" t="n">
        <v>-0.2698</v>
      </c>
      <c r="C772" s="14">
        <f>B772*100</f>
        <v/>
      </c>
    </row>
    <row r="773">
      <c r="A773" s="12" t="n">
        <v>43766</v>
      </c>
      <c r="B773" s="13" t="n">
        <v>-0.2484</v>
      </c>
      <c r="C773" s="14">
        <f>B773*100</f>
        <v/>
      </c>
    </row>
    <row r="774">
      <c r="A774" s="12" t="n">
        <v>43767</v>
      </c>
      <c r="B774" s="13" t="n">
        <v>-0.2436</v>
      </c>
      <c r="C774" s="14">
        <f>B774*100</f>
        <v/>
      </c>
    </row>
    <row r="775">
      <c r="A775" s="12" t="n">
        <v>43768</v>
      </c>
      <c r="B775" s="13" t="n">
        <v>-0.2618</v>
      </c>
      <c r="C775" s="14">
        <f>B775*100</f>
        <v/>
      </c>
    </row>
    <row r="776">
      <c r="A776" s="12" t="n">
        <v>43769</v>
      </c>
      <c r="B776" s="13" t="n">
        <v>-0.2973</v>
      </c>
      <c r="C776" s="14">
        <f>B776*100</f>
        <v/>
      </c>
    </row>
    <row r="777">
      <c r="A777" s="12" t="n">
        <v>43770</v>
      </c>
      <c r="B777" s="13" t="n">
        <v>-0.2878</v>
      </c>
      <c r="C777" s="14">
        <f>B777*100</f>
        <v/>
      </c>
    </row>
    <row r="778">
      <c r="A778" s="12" t="n">
        <v>43773</v>
      </c>
      <c r="B778" s="13" t="n">
        <v>-0.2626</v>
      </c>
      <c r="C778" s="14">
        <f>B778*100</f>
        <v/>
      </c>
    </row>
    <row r="779">
      <c r="A779" s="12" t="n">
        <v>43774</v>
      </c>
      <c r="B779" s="13" t="n">
        <v>-0.2293</v>
      </c>
      <c r="C779" s="14">
        <f>B779*100</f>
        <v/>
      </c>
    </row>
    <row r="780">
      <c r="A780" s="12" t="n">
        <v>43775</v>
      </c>
      <c r="B780" s="13" t="n">
        <v>-0.2353</v>
      </c>
      <c r="C780" s="14">
        <f>B780*100</f>
        <v/>
      </c>
    </row>
    <row r="781">
      <c r="A781" s="12" t="n">
        <v>43776</v>
      </c>
      <c r="B781" s="13" t="n">
        <v>-0.1912</v>
      </c>
      <c r="C781" s="14">
        <f>B781*100</f>
        <v/>
      </c>
    </row>
    <row r="782">
      <c r="A782" s="12" t="n">
        <v>43777</v>
      </c>
      <c r="B782" s="13" t="n">
        <v>-0.173</v>
      </c>
      <c r="C782" s="14">
        <f>B782*100</f>
        <v/>
      </c>
    </row>
    <row r="783">
      <c r="A783" s="12" t="n">
        <v>43781</v>
      </c>
      <c r="B783" s="13" t="n">
        <v>-0.1783</v>
      </c>
      <c r="C783" s="14">
        <f>B783*100</f>
        <v/>
      </c>
    </row>
    <row r="784">
      <c r="A784" s="12" t="n">
        <v>43782</v>
      </c>
      <c r="B784" s="13" t="n">
        <v>-0.196</v>
      </c>
      <c r="C784" s="14">
        <f>B784*100</f>
        <v/>
      </c>
    </row>
    <row r="785">
      <c r="A785" s="12" t="n">
        <v>43783</v>
      </c>
      <c r="B785" s="13" t="n">
        <v>-0.2227</v>
      </c>
      <c r="C785" s="14">
        <f>B785*100</f>
        <v/>
      </c>
    </row>
    <row r="786">
      <c r="A786" s="12" t="n">
        <v>43784</v>
      </c>
      <c r="B786" s="13" t="n">
        <v>-0.2231</v>
      </c>
      <c r="C786" s="14">
        <f>B786*100</f>
        <v/>
      </c>
    </row>
    <row r="787">
      <c r="A787" s="12" t="n">
        <v>43787</v>
      </c>
      <c r="B787" s="13" t="n">
        <v>-0.2335</v>
      </c>
      <c r="C787" s="14">
        <f>B787*100</f>
        <v/>
      </c>
    </row>
    <row r="788">
      <c r="A788" s="12" t="n">
        <v>43788</v>
      </c>
      <c r="B788" s="13" t="n">
        <v>-0.2429</v>
      </c>
      <c r="C788" s="14">
        <f>B788*100</f>
        <v/>
      </c>
    </row>
    <row r="789">
      <c r="A789" s="12" t="n">
        <v>43789</v>
      </c>
      <c r="B789" s="13" t="n">
        <v>-0.266</v>
      </c>
      <c r="C789" s="14">
        <f>B789*100</f>
        <v/>
      </c>
    </row>
    <row r="790">
      <c r="A790" s="12" t="n">
        <v>43790</v>
      </c>
      <c r="B790" s="13" t="n">
        <v>-0.2559</v>
      </c>
      <c r="C790" s="14">
        <f>B790*100</f>
        <v/>
      </c>
    </row>
    <row r="791">
      <c r="A791" s="12" t="n">
        <v>43791</v>
      </c>
      <c r="B791" s="13" t="n">
        <v>-0.2539</v>
      </c>
      <c r="C791" s="14">
        <f>B791*100</f>
        <v/>
      </c>
    </row>
    <row r="792">
      <c r="A792" s="12" t="n">
        <v>43794</v>
      </c>
      <c r="B792" s="13" t="n">
        <v>-0.2586</v>
      </c>
      <c r="C792" s="14">
        <f>B792*100</f>
        <v/>
      </c>
    </row>
    <row r="793">
      <c r="A793" s="12" t="n">
        <v>43795</v>
      </c>
      <c r="B793" s="13" t="n">
        <v>-0.2715</v>
      </c>
      <c r="C793" s="14">
        <f>B793*100</f>
        <v/>
      </c>
    </row>
    <row r="794">
      <c r="A794" s="12" t="n">
        <v>43796</v>
      </c>
      <c r="B794" s="13" t="n">
        <v>-0.2612</v>
      </c>
      <c r="C794" s="14">
        <f>B794*100</f>
        <v/>
      </c>
    </row>
    <row r="795">
      <c r="A795" s="12" t="n">
        <v>43798</v>
      </c>
      <c r="B795" s="13" t="n">
        <v>-0.2569</v>
      </c>
      <c r="C795" s="14">
        <f>B795*100</f>
        <v/>
      </c>
    </row>
    <row r="796">
      <c r="A796" s="12" t="n">
        <v>43801</v>
      </c>
      <c r="B796" s="13" t="n">
        <v>-0.2392</v>
      </c>
      <c r="C796" s="14">
        <f>B796*100</f>
        <v/>
      </c>
    </row>
    <row r="797">
      <c r="A797" s="12" t="n">
        <v>43802</v>
      </c>
      <c r="B797" s="13" t="n">
        <v>-0.2759</v>
      </c>
      <c r="C797" s="14">
        <f>B797*100</f>
        <v/>
      </c>
    </row>
    <row r="798">
      <c r="A798" s="12" t="n">
        <v>43803</v>
      </c>
      <c r="B798" s="13" t="n">
        <v>-0.2605</v>
      </c>
      <c r="C798" s="14">
        <f>B798*100</f>
        <v/>
      </c>
    </row>
    <row r="799">
      <c r="A799" s="12" t="n">
        <v>43804</v>
      </c>
      <c r="B799" s="13" t="n">
        <v>-0.2453</v>
      </c>
      <c r="C799" s="14">
        <f>B799*100</f>
        <v/>
      </c>
    </row>
    <row r="800">
      <c r="A800" s="12" t="n">
        <v>43805</v>
      </c>
      <c r="B800" s="13" t="n">
        <v>-0.2216</v>
      </c>
      <c r="C800" s="14">
        <f>B800*100</f>
        <v/>
      </c>
    </row>
    <row r="801">
      <c r="A801" s="12" t="n">
        <v>43808</v>
      </c>
      <c r="B801" s="13" t="n">
        <v>-0.218</v>
      </c>
      <c r="C801" s="14">
        <f>B801*100</f>
        <v/>
      </c>
    </row>
    <row r="802">
      <c r="A802" s="12" t="n">
        <v>43809</v>
      </c>
      <c r="B802" s="13" t="n">
        <v>-0.2118</v>
      </c>
      <c r="C802" s="14">
        <f>B802*100</f>
        <v/>
      </c>
    </row>
    <row r="803">
      <c r="A803" s="12" t="n">
        <v>43810</v>
      </c>
      <c r="B803" s="13" t="n">
        <v>-0.2311</v>
      </c>
      <c r="C803" s="14">
        <f>B803*100</f>
        <v/>
      </c>
    </row>
    <row r="804">
      <c r="A804" s="12" t="n">
        <v>43811</v>
      </c>
      <c r="B804" s="13" t="n">
        <v>-0.1952</v>
      </c>
      <c r="C804" s="14">
        <f>B804*100</f>
        <v/>
      </c>
    </row>
    <row r="805">
      <c r="A805" s="12" t="n">
        <v>43812</v>
      </c>
      <c r="B805" s="13" t="n">
        <v>-0.2164</v>
      </c>
      <c r="C805" s="14">
        <f>B805*100</f>
        <v/>
      </c>
    </row>
    <row r="806">
      <c r="A806" s="12" t="n">
        <v>43815</v>
      </c>
      <c r="B806" s="13" t="n">
        <v>-0.1979</v>
      </c>
      <c r="C806" s="14">
        <f>B806*100</f>
        <v/>
      </c>
    </row>
    <row r="807">
      <c r="A807" s="12" t="n">
        <v>43816</v>
      </c>
      <c r="B807" s="13" t="n">
        <v>-0.1934</v>
      </c>
      <c r="C807" s="14">
        <f>B807*100</f>
        <v/>
      </c>
    </row>
    <row r="808">
      <c r="A808" s="12" t="n">
        <v>43817</v>
      </c>
      <c r="B808" s="13" t="n">
        <v>-0.1788</v>
      </c>
      <c r="C808" s="14">
        <f>B808*100</f>
        <v/>
      </c>
    </row>
    <row r="809">
      <c r="A809" s="12" t="n">
        <v>43818</v>
      </c>
      <c r="B809" s="13" t="n">
        <v>-0.1771</v>
      </c>
      <c r="C809" s="14">
        <f>B809*100</f>
        <v/>
      </c>
    </row>
    <row r="810">
      <c r="A810" s="12" t="n">
        <v>43819</v>
      </c>
      <c r="B810" s="13" t="n">
        <v>-0.1749</v>
      </c>
      <c r="C810" s="14">
        <f>B810*100</f>
        <v/>
      </c>
    </row>
    <row r="811">
      <c r="A811" s="12" t="n">
        <v>43822</v>
      </c>
      <c r="B811" s="13" t="n">
        <v>-0.1713</v>
      </c>
      <c r="C811" s="14">
        <f>B811*100</f>
        <v/>
      </c>
    </row>
    <row r="812">
      <c r="A812" s="12" t="n">
        <v>43823</v>
      </c>
      <c r="B812" s="13" t="n">
        <v>-0.1823</v>
      </c>
      <c r="C812" s="14">
        <f>B812*100</f>
        <v/>
      </c>
    </row>
    <row r="813">
      <c r="A813" s="12" t="n">
        <v>43825</v>
      </c>
      <c r="B813" s="13" t="n">
        <v>-0.1855</v>
      </c>
      <c r="C813" s="14">
        <f>B813*100</f>
        <v/>
      </c>
    </row>
    <row r="814">
      <c r="A814" s="12" t="n">
        <v>43826</v>
      </c>
      <c r="B814" s="13" t="n">
        <v>-0.1986</v>
      </c>
      <c r="C814" s="14">
        <f>B814*100</f>
        <v/>
      </c>
    </row>
    <row r="815">
      <c r="A815" s="12" t="n">
        <v>43829</v>
      </c>
      <c r="B815" s="13" t="n">
        <v>-0.1981</v>
      </c>
      <c r="C815" s="14">
        <f>B815*100</f>
        <v/>
      </c>
    </row>
    <row r="816">
      <c r="A816" s="12" t="n">
        <v>43830</v>
      </c>
      <c r="B816" s="13" t="n">
        <v>-0.1876</v>
      </c>
      <c r="C816" s="14">
        <f>B816*100</f>
        <v/>
      </c>
    </row>
    <row r="817">
      <c r="A817" s="12" t="n">
        <v>43832</v>
      </c>
      <c r="B817" s="13" t="n">
        <v>-0.1979</v>
      </c>
      <c r="C817" s="14">
        <f>B817*100</f>
        <v/>
      </c>
    </row>
    <row r="818">
      <c r="A818" s="12" t="n">
        <v>43833</v>
      </c>
      <c r="B818" s="13" t="n">
        <v>-0.2283</v>
      </c>
      <c r="C818" s="14">
        <f>B818*100</f>
        <v/>
      </c>
    </row>
    <row r="819">
      <c r="A819" s="12" t="n">
        <v>43836</v>
      </c>
      <c r="B819" s="13" t="n">
        <v>-0.2336</v>
      </c>
      <c r="C819" s="14">
        <f>B819*100</f>
        <v/>
      </c>
    </row>
    <row r="820">
      <c r="A820" s="12" t="n">
        <v>43837</v>
      </c>
      <c r="B820" s="13" t="n">
        <v>-0.2286</v>
      </c>
      <c r="C820" s="14">
        <f>B820*100</f>
        <v/>
      </c>
    </row>
    <row r="821">
      <c r="A821" s="12" t="n">
        <v>43838</v>
      </c>
      <c r="B821" s="13" t="n">
        <v>-0.2099</v>
      </c>
      <c r="C821" s="14">
        <f>B821*100</f>
        <v/>
      </c>
    </row>
    <row r="822">
      <c r="A822" s="12" t="n">
        <v>43839</v>
      </c>
      <c r="B822" s="13" t="n">
        <v>-0.213</v>
      </c>
      <c r="C822" s="14">
        <f>B822*100</f>
        <v/>
      </c>
    </row>
    <row r="823">
      <c r="A823" s="12" t="n">
        <v>43840</v>
      </c>
      <c r="B823" s="13" t="n">
        <v>-0.2218</v>
      </c>
      <c r="C823" s="14">
        <f>B823*100</f>
        <v/>
      </c>
    </row>
    <row r="824">
      <c r="A824" s="12" t="n">
        <v>43843</v>
      </c>
      <c r="B824" s="13" t="n">
        <v>-0.2199</v>
      </c>
      <c r="C824" s="14">
        <f>B824*100</f>
        <v/>
      </c>
    </row>
    <row r="825">
      <c r="A825" s="12" t="n">
        <v>43844</v>
      </c>
      <c r="B825" s="13" t="n">
        <v>-0.2308</v>
      </c>
      <c r="C825" s="14">
        <f>B825*100</f>
        <v/>
      </c>
    </row>
    <row r="826">
      <c r="A826" s="12" t="n">
        <v>43845</v>
      </c>
      <c r="B826" s="13" t="n">
        <v>-0.2469</v>
      </c>
      <c r="C826" s="14">
        <f>B826*100</f>
        <v/>
      </c>
    </row>
    <row r="827">
      <c r="A827" s="12" t="n">
        <v>43846</v>
      </c>
      <c r="B827" s="13" t="n">
        <v>-0.2403</v>
      </c>
      <c r="C827" s="14">
        <f>B827*100</f>
        <v/>
      </c>
    </row>
    <row r="828">
      <c r="A828" s="12" t="n">
        <v>43847</v>
      </c>
      <c r="B828" s="13" t="n">
        <v>-0.2327</v>
      </c>
      <c r="C828" s="14">
        <f>B828*100</f>
        <v/>
      </c>
    </row>
    <row r="829">
      <c r="A829" s="12" t="n">
        <v>43851</v>
      </c>
      <c r="B829" s="13" t="n">
        <v>-0.253</v>
      </c>
      <c r="C829" s="14">
        <f>B829*100</f>
        <v/>
      </c>
    </row>
    <row r="830">
      <c r="A830" s="12" t="n">
        <v>43852</v>
      </c>
      <c r="B830" s="13" t="n">
        <v>-0.2595</v>
      </c>
      <c r="C830" s="14">
        <f>B830*100</f>
        <v/>
      </c>
    </row>
    <row r="831">
      <c r="A831" s="12" t="n">
        <v>43853</v>
      </c>
      <c r="B831" s="13" t="n">
        <v>-0.2737</v>
      </c>
      <c r="C831" s="14">
        <f>B831*100</f>
        <v/>
      </c>
    </row>
    <row r="832">
      <c r="A832" s="12" t="n">
        <v>43854</v>
      </c>
      <c r="B832" s="13" t="n">
        <v>-0.2922</v>
      </c>
      <c r="C832" s="14">
        <f>B832*100</f>
        <v/>
      </c>
    </row>
    <row r="833">
      <c r="A833" s="12" t="n">
        <v>43857</v>
      </c>
      <c r="B833" s="13" t="n">
        <v>-0.3335</v>
      </c>
      <c r="C833" s="14">
        <f>B833*100</f>
        <v/>
      </c>
    </row>
    <row r="834">
      <c r="A834" s="12" t="n">
        <v>43858</v>
      </c>
      <c r="B834" s="13" t="n">
        <v>-0.3319</v>
      </c>
      <c r="C834" s="14">
        <f>B834*100</f>
        <v/>
      </c>
    </row>
    <row r="835">
      <c r="A835" s="12" t="n">
        <v>43859</v>
      </c>
      <c r="B835" s="13" t="n">
        <v>-0.3544</v>
      </c>
      <c r="C835" s="14">
        <f>B835*100</f>
        <v/>
      </c>
    </row>
    <row r="836">
      <c r="A836" s="12" t="n">
        <v>43860</v>
      </c>
      <c r="B836" s="13" t="n">
        <v>-0.3707</v>
      </c>
      <c r="C836" s="14">
        <f>B836*100</f>
        <v/>
      </c>
    </row>
    <row r="837">
      <c r="A837" s="12" t="n">
        <v>43861</v>
      </c>
      <c r="B837" s="13" t="n">
        <v>-0.3998</v>
      </c>
      <c r="C837" s="14">
        <f>B837*100</f>
        <v/>
      </c>
    </row>
    <row r="838">
      <c r="A838" s="12" t="n">
        <v>43864</v>
      </c>
      <c r="B838" s="13" t="n">
        <v>-0.3972</v>
      </c>
      <c r="C838" s="14">
        <f>B838*100</f>
        <v/>
      </c>
    </row>
    <row r="839">
      <c r="A839" s="12" t="n">
        <v>43865</v>
      </c>
      <c r="B839" s="13" t="n">
        <v>-0.3693</v>
      </c>
      <c r="C839" s="14">
        <f>B839*100</f>
        <v/>
      </c>
    </row>
    <row r="840">
      <c r="A840" s="12" t="n">
        <v>43866</v>
      </c>
      <c r="B840" s="13" t="n">
        <v>-0.3428</v>
      </c>
      <c r="C840" s="14">
        <f>B840*100</f>
        <v/>
      </c>
    </row>
    <row r="841">
      <c r="A841" s="12" t="n">
        <v>43867</v>
      </c>
      <c r="B841" s="13" t="n">
        <v>-0.3407</v>
      </c>
      <c r="C841" s="14">
        <f>B841*100</f>
        <v/>
      </c>
    </row>
    <row r="842">
      <c r="A842" s="12" t="n">
        <v>43868</v>
      </c>
      <c r="B842" s="13" t="n">
        <v>-0.3592</v>
      </c>
      <c r="C842" s="14">
        <f>B842*100</f>
        <v/>
      </c>
    </row>
    <row r="843">
      <c r="A843" s="12" t="n">
        <v>43871</v>
      </c>
      <c r="B843" s="13" t="n">
        <v>-0.3781</v>
      </c>
      <c r="C843" s="14">
        <f>B843*100</f>
        <v/>
      </c>
    </row>
    <row r="844">
      <c r="A844" s="12" t="n">
        <v>43872</v>
      </c>
      <c r="B844" s="13" t="n">
        <v>-0.3705</v>
      </c>
      <c r="C844" s="14">
        <f>B844*100</f>
        <v/>
      </c>
    </row>
    <row r="845">
      <c r="A845" s="12" t="n">
        <v>43873</v>
      </c>
      <c r="B845" s="13" t="n">
        <v>-0.3513</v>
      </c>
      <c r="C845" s="14">
        <f>B845*100</f>
        <v/>
      </c>
    </row>
    <row r="846">
      <c r="A846" s="12" t="n">
        <v>43874</v>
      </c>
      <c r="B846" s="13" t="n">
        <v>-0.3518</v>
      </c>
      <c r="C846" s="14">
        <f>B846*100</f>
        <v/>
      </c>
    </row>
    <row r="847">
      <c r="A847" s="12" t="n">
        <v>43875</v>
      </c>
      <c r="B847" s="13" t="n">
        <v>-0.3597</v>
      </c>
      <c r="C847" s="14">
        <f>B847*100</f>
        <v/>
      </c>
    </row>
    <row r="848">
      <c r="A848" s="12" t="n">
        <v>43879</v>
      </c>
      <c r="B848" s="13" t="n">
        <v>-0.3751</v>
      </c>
      <c r="C848" s="14">
        <f>B848*100</f>
        <v/>
      </c>
    </row>
    <row r="849">
      <c r="A849" s="12" t="n">
        <v>43880</v>
      </c>
      <c r="B849" s="13" t="n">
        <v>-0.3732</v>
      </c>
      <c r="C849" s="14">
        <f>B849*100</f>
        <v/>
      </c>
    </row>
    <row r="850">
      <c r="A850" s="12" t="n">
        <v>43881</v>
      </c>
      <c r="B850" s="13" t="n">
        <v>-0.3901</v>
      </c>
      <c r="C850" s="14">
        <f>B850*100</f>
        <v/>
      </c>
    </row>
    <row r="851">
      <c r="A851" s="12" t="n">
        <v>43882</v>
      </c>
      <c r="B851" s="13" t="n">
        <v>-0.4188</v>
      </c>
      <c r="C851" s="14">
        <f>B851*100</f>
        <v/>
      </c>
    </row>
    <row r="852">
      <c r="A852" s="12" t="n">
        <v>43885</v>
      </c>
      <c r="B852" s="13" t="n">
        <v>-0.4565</v>
      </c>
      <c r="C852" s="14">
        <f>B852*100</f>
        <v/>
      </c>
    </row>
    <row r="853">
      <c r="A853" s="12" t="n">
        <v>43886</v>
      </c>
      <c r="B853" s="13" t="n">
        <v>-0.4858</v>
      </c>
      <c r="C853" s="14">
        <f>B853*100</f>
        <v/>
      </c>
    </row>
    <row r="854">
      <c r="A854" s="12" t="n">
        <v>43887</v>
      </c>
      <c r="B854" s="13" t="n">
        <v>-0.493</v>
      </c>
      <c r="C854" s="14">
        <f>B854*100</f>
        <v/>
      </c>
    </row>
    <row r="855">
      <c r="A855" s="12" t="n">
        <v>43888</v>
      </c>
      <c r="B855" s="13" t="n">
        <v>-0.4994</v>
      </c>
      <c r="C855" s="14">
        <f>B855*100</f>
        <v/>
      </c>
    </row>
    <row r="856">
      <c r="A856" s="12" t="n">
        <v>43889</v>
      </c>
      <c r="B856" s="13" t="n">
        <v>-0.5573</v>
      </c>
      <c r="C856" s="14">
        <f>B856*100</f>
        <v/>
      </c>
    </row>
    <row r="857">
      <c r="A857" s="12" t="n">
        <v>43892</v>
      </c>
      <c r="B857" s="13" t="n">
        <v>-0.5512</v>
      </c>
      <c r="C857" s="14">
        <f>B857*100</f>
        <v/>
      </c>
    </row>
    <row r="858">
      <c r="A858" s="12" t="n">
        <v>43893</v>
      </c>
      <c r="B858" s="13" t="n">
        <v>-0.5637</v>
      </c>
      <c r="C858" s="14">
        <f>B858*100</f>
        <v/>
      </c>
    </row>
    <row r="859">
      <c r="A859" s="12" t="n">
        <v>43894</v>
      </c>
      <c r="B859" s="13" t="n">
        <v>-0.5392</v>
      </c>
      <c r="C859" s="14">
        <f>B859*100</f>
        <v/>
      </c>
    </row>
    <row r="860">
      <c r="A860" s="12" t="n">
        <v>43895</v>
      </c>
      <c r="B860" s="13" t="n">
        <v>-0.5438</v>
      </c>
      <c r="C860" s="14">
        <f>B860*100</f>
        <v/>
      </c>
    </row>
    <row r="861">
      <c r="A861" s="12" t="n">
        <v>43896</v>
      </c>
      <c r="B861" s="13" t="n">
        <v>-0.5686</v>
      </c>
      <c r="C861" s="14">
        <f>B861*100</f>
        <v/>
      </c>
    </row>
    <row r="862">
      <c r="A862" s="12" t="n">
        <v>43899</v>
      </c>
      <c r="B862" s="13" t="n">
        <v>-0.6096</v>
      </c>
      <c r="C862" s="14">
        <f>B862*100</f>
        <v/>
      </c>
    </row>
    <row r="863">
      <c r="A863" s="12" t="n">
        <v>43900</v>
      </c>
      <c r="B863" s="13" t="n">
        <v>-0.5344</v>
      </c>
      <c r="C863" s="14">
        <f>B863*100</f>
        <v/>
      </c>
    </row>
    <row r="864">
      <c r="A864" s="12" t="n">
        <v>43901</v>
      </c>
      <c r="B864" s="13" t="n">
        <v>-0.508</v>
      </c>
      <c r="C864" s="14">
        <f>B864*100</f>
        <v/>
      </c>
    </row>
    <row r="865">
      <c r="A865" s="12" t="n">
        <v>43902</v>
      </c>
      <c r="B865" s="13" t="n">
        <v>-0.4737</v>
      </c>
      <c r="C865" s="14">
        <f>B865*100</f>
        <v/>
      </c>
    </row>
    <row r="866">
      <c r="A866" s="12" t="n">
        <v>43903</v>
      </c>
      <c r="B866" s="13" t="n">
        <v>-0.4354</v>
      </c>
      <c r="C866" s="14">
        <f>B866*100</f>
        <v/>
      </c>
    </row>
    <row r="867">
      <c r="A867" s="12" t="n">
        <v>43906</v>
      </c>
      <c r="B867" s="13" t="n">
        <v>-0.5043</v>
      </c>
      <c r="C867" s="14">
        <f>B867*100</f>
        <v/>
      </c>
    </row>
    <row r="868">
      <c r="A868" s="12" t="n">
        <v>43907</v>
      </c>
      <c r="B868" s="13" t="n">
        <v>-0.4117</v>
      </c>
      <c r="C868" s="14">
        <f>B868*100</f>
        <v/>
      </c>
    </row>
    <row r="869">
      <c r="A869" s="12" t="n">
        <v>43908</v>
      </c>
      <c r="B869" s="13" t="n">
        <v>-0.3004</v>
      </c>
      <c r="C869" s="14">
        <f>B869*100</f>
        <v/>
      </c>
    </row>
    <row r="870">
      <c r="A870" s="12" t="n">
        <v>43909</v>
      </c>
      <c r="B870" s="13" t="n">
        <v>-0.291</v>
      </c>
      <c r="C870" s="14">
        <f>B870*100</f>
        <v/>
      </c>
    </row>
    <row r="871">
      <c r="A871" s="12" t="n">
        <v>43910</v>
      </c>
      <c r="B871" s="13" t="n">
        <v>-0.3546</v>
      </c>
      <c r="C871" s="14">
        <f>B871*100</f>
        <v/>
      </c>
    </row>
    <row r="872">
      <c r="A872" s="12" t="n">
        <v>43913</v>
      </c>
      <c r="B872" s="13" t="n">
        <v>-0.4429</v>
      </c>
      <c r="C872" s="14">
        <f>B872*100</f>
        <v/>
      </c>
    </row>
    <row r="873">
      <c r="A873" s="12" t="n">
        <v>43914</v>
      </c>
      <c r="B873" s="13" t="n">
        <v>-0.4242</v>
      </c>
      <c r="C873" s="14">
        <f>B873*100</f>
        <v/>
      </c>
    </row>
    <row r="874">
      <c r="A874" s="12" t="n">
        <v>43915</v>
      </c>
      <c r="B874" s="13" t="n">
        <v>-0.4159</v>
      </c>
      <c r="C874" s="14">
        <f>B874*100</f>
        <v/>
      </c>
    </row>
    <row r="875">
      <c r="A875" s="12" t="n">
        <v>43916</v>
      </c>
      <c r="B875" s="13" t="n">
        <v>-0.43</v>
      </c>
      <c r="C875" s="14">
        <f>B875*100</f>
        <v/>
      </c>
    </row>
    <row r="876">
      <c r="A876" s="12" t="n">
        <v>43917</v>
      </c>
      <c r="B876" s="13" t="n">
        <v>-0.4761</v>
      </c>
      <c r="C876" s="14">
        <f>B876*100</f>
        <v/>
      </c>
    </row>
    <row r="877">
      <c r="A877" s="12" t="n">
        <v>43920</v>
      </c>
      <c r="B877" s="13" t="n">
        <v>-0.5058</v>
      </c>
      <c r="C877" s="14">
        <f>B877*100</f>
        <v/>
      </c>
    </row>
    <row r="878">
      <c r="A878" s="12" t="n">
        <v>43921</v>
      </c>
      <c r="B878" s="13" t="n">
        <v>-0.5203</v>
      </c>
      <c r="C878" s="14">
        <f>B878*100</f>
        <v/>
      </c>
    </row>
    <row r="879">
      <c r="A879" s="12" t="n">
        <v>43922</v>
      </c>
      <c r="B879" s="13" t="n">
        <v>-0.5479000000000001</v>
      </c>
      <c r="C879" s="14">
        <f>B879*100</f>
        <v/>
      </c>
    </row>
    <row r="880">
      <c r="A880" s="12" t="n">
        <v>43923</v>
      </c>
      <c r="B880" s="13" t="n">
        <v>-0.5508999999999999</v>
      </c>
      <c r="C880" s="14">
        <f>B880*100</f>
        <v/>
      </c>
    </row>
    <row r="881">
      <c r="A881" s="12" t="n">
        <v>43924</v>
      </c>
      <c r="B881" s="13" t="n">
        <v>-0.5542</v>
      </c>
      <c r="C881" s="14">
        <f>B881*100</f>
        <v/>
      </c>
    </row>
    <row r="882">
      <c r="A882" s="12" t="n">
        <v>43927</v>
      </c>
      <c r="B882" s="13" t="n">
        <v>-0.5392</v>
      </c>
      <c r="C882" s="14">
        <f>B882*100</f>
        <v/>
      </c>
    </row>
    <row r="883">
      <c r="A883" s="12" t="n">
        <v>43928</v>
      </c>
      <c r="B883" s="13" t="n">
        <v>-0.5175999999999999</v>
      </c>
      <c r="C883" s="14">
        <f>B883*100</f>
        <v/>
      </c>
    </row>
    <row r="884">
      <c r="A884" s="12" t="n">
        <v>43929</v>
      </c>
      <c r="B884" s="13" t="n">
        <v>-0.5155999999999999</v>
      </c>
      <c r="C884" s="14">
        <f>B884*100</f>
        <v/>
      </c>
    </row>
    <row r="885">
      <c r="A885" s="12" t="n">
        <v>43930</v>
      </c>
      <c r="B885" s="13" t="n">
        <v>-0.5377</v>
      </c>
      <c r="C885" s="14">
        <f>B885*100</f>
        <v/>
      </c>
    </row>
    <row r="886">
      <c r="A886" s="12" t="n">
        <v>43934</v>
      </c>
      <c r="B886" s="13" t="n">
        <v>-0.5347</v>
      </c>
      <c r="C886" s="14">
        <f>B886*100</f>
        <v/>
      </c>
    </row>
    <row r="887">
      <c r="A887" s="12" t="n">
        <v>43935</v>
      </c>
      <c r="B887" s="13" t="n">
        <v>-0.5371</v>
      </c>
      <c r="C887" s="14">
        <f>B887*100</f>
        <v/>
      </c>
    </row>
    <row r="888">
      <c r="A888" s="12" t="n">
        <v>43936</v>
      </c>
      <c r="B888" s="13" t="n">
        <v>-0.574</v>
      </c>
      <c r="C888" s="14">
        <f>B888*100</f>
        <v/>
      </c>
    </row>
    <row r="889">
      <c r="A889" s="12" t="n">
        <v>43937</v>
      </c>
      <c r="B889" s="13" t="n">
        <v>-0.584</v>
      </c>
      <c r="C889" s="14">
        <f>B889*100</f>
        <v/>
      </c>
    </row>
    <row r="890">
      <c r="A890" s="12" t="n">
        <v>43938</v>
      </c>
      <c r="B890" s="13" t="n">
        <v>-0.5717</v>
      </c>
      <c r="C890" s="14">
        <f>B890*100</f>
        <v/>
      </c>
    </row>
    <row r="891">
      <c r="A891" s="12" t="n">
        <v>43941</v>
      </c>
      <c r="B891" s="13" t="n">
        <v>-0.5767</v>
      </c>
      <c r="C891" s="14">
        <f>B891*100</f>
        <v/>
      </c>
    </row>
    <row r="892">
      <c r="A892" s="12" t="n">
        <v>43942</v>
      </c>
      <c r="B892" s="13" t="n">
        <v>-0.5885</v>
      </c>
      <c r="C892" s="14">
        <f>B892*100</f>
        <v/>
      </c>
    </row>
    <row r="893">
      <c r="A893" s="12" t="n">
        <v>43943</v>
      </c>
      <c r="B893" s="13" t="n">
        <v>-0.5768</v>
      </c>
      <c r="C893" s="14">
        <f>B893*100</f>
        <v/>
      </c>
    </row>
    <row r="894">
      <c r="A894" s="12" t="n">
        <v>43944</v>
      </c>
      <c r="B894" s="13" t="n">
        <v>-0.5776</v>
      </c>
      <c r="C894" s="14">
        <f>B894*100</f>
        <v/>
      </c>
    </row>
    <row r="895">
      <c r="A895" s="12" t="n">
        <v>43945</v>
      </c>
      <c r="B895" s="13" t="n">
        <v>-0.5799</v>
      </c>
      <c r="C895" s="14">
        <f>B895*100</f>
        <v/>
      </c>
    </row>
    <row r="896">
      <c r="A896" s="12" t="n">
        <v>43948</v>
      </c>
      <c r="B896" s="13" t="n">
        <v>-0.5610000000000001</v>
      </c>
      <c r="C896" s="14">
        <f>B896*100</f>
        <v/>
      </c>
    </row>
    <row r="897">
      <c r="A897" s="12" t="n">
        <v>43949</v>
      </c>
      <c r="B897" s="13" t="n">
        <v>-0.5715</v>
      </c>
      <c r="C897" s="14">
        <f>B897*100</f>
        <v/>
      </c>
    </row>
    <row r="898">
      <c r="A898" s="12" t="n">
        <v>43950</v>
      </c>
      <c r="B898" s="13" t="n">
        <v>-0.5744</v>
      </c>
      <c r="C898" s="14">
        <f>B898*100</f>
        <v/>
      </c>
    </row>
    <row r="899">
      <c r="A899" s="12" t="n">
        <v>43951</v>
      </c>
      <c r="B899" s="13" t="n">
        <v>-0.5691000000000001</v>
      </c>
      <c r="C899" s="14">
        <f>B899*100</f>
        <v/>
      </c>
    </row>
    <row r="900">
      <c r="A900" s="12" t="n">
        <v>43952</v>
      </c>
      <c r="B900" s="13" t="n">
        <v>-0.5682</v>
      </c>
      <c r="C900" s="14">
        <f>B900*100</f>
        <v/>
      </c>
    </row>
    <row r="901">
      <c r="A901" s="12" t="n">
        <v>43955</v>
      </c>
      <c r="B901" s="13" t="n">
        <v>-0.5728</v>
      </c>
      <c r="C901" s="14">
        <f>B901*100</f>
        <v/>
      </c>
    </row>
    <row r="902">
      <c r="A902" s="12" t="n">
        <v>43956</v>
      </c>
      <c r="B902" s="13" t="n">
        <v>-0.5703</v>
      </c>
      <c r="C902" s="14">
        <f>B902*100</f>
        <v/>
      </c>
    </row>
    <row r="903">
      <c r="A903" s="12" t="n">
        <v>43957</v>
      </c>
      <c r="B903" s="13" t="n">
        <v>-0.5556</v>
      </c>
      <c r="C903" s="14">
        <f>B903*100</f>
        <v/>
      </c>
    </row>
    <row r="904">
      <c r="A904" s="12" t="n">
        <v>43958</v>
      </c>
      <c r="B904" s="13" t="n">
        <v>-0.5848</v>
      </c>
      <c r="C904" s="14">
        <f>B904*100</f>
        <v/>
      </c>
    </row>
    <row r="905">
      <c r="A905" s="12" t="n">
        <v>43959</v>
      </c>
      <c r="B905" s="13" t="n">
        <v>-0.5736</v>
      </c>
      <c r="C905" s="14">
        <f>B905*100</f>
        <v/>
      </c>
    </row>
    <row r="906">
      <c r="A906" s="12" t="n">
        <v>43962</v>
      </c>
      <c r="B906" s="13" t="n">
        <v>-0.5593</v>
      </c>
      <c r="C906" s="14">
        <f>B906*100</f>
        <v/>
      </c>
    </row>
    <row r="907">
      <c r="A907" s="12" t="n">
        <v>43963</v>
      </c>
      <c r="B907" s="13" t="n">
        <v>-0.5674</v>
      </c>
      <c r="C907" s="14">
        <f>B907*100</f>
        <v/>
      </c>
    </row>
    <row r="908">
      <c r="A908" s="12" t="n">
        <v>43964</v>
      </c>
      <c r="B908" s="13" t="n">
        <v>-0.583</v>
      </c>
      <c r="C908" s="14">
        <f>B908*100</f>
        <v/>
      </c>
    </row>
    <row r="909">
      <c r="A909" s="12" t="n">
        <v>43965</v>
      </c>
      <c r="B909" s="13" t="n">
        <v>-0.5918</v>
      </c>
      <c r="C909" s="14">
        <f>B909*100</f>
        <v/>
      </c>
    </row>
    <row r="910">
      <c r="A910" s="12" t="n">
        <v>43966</v>
      </c>
      <c r="B910" s="13" t="n">
        <v>-0.5894</v>
      </c>
      <c r="C910" s="14">
        <f>B910*100</f>
        <v/>
      </c>
    </row>
    <row r="911">
      <c r="A911" s="12" t="n">
        <v>43969</v>
      </c>
      <c r="B911" s="13" t="n">
        <v>-0.5600000000000001</v>
      </c>
      <c r="C911" s="14">
        <f>B911*100</f>
        <v/>
      </c>
    </row>
    <row r="912">
      <c r="A912" s="12" t="n">
        <v>43970</v>
      </c>
      <c r="B912" s="13" t="n">
        <v>-0.5629</v>
      </c>
      <c r="C912" s="14">
        <f>B912*100</f>
        <v/>
      </c>
    </row>
    <row r="913">
      <c r="A913" s="12" t="n">
        <v>43971</v>
      </c>
      <c r="B913" s="13" t="n">
        <v>-0.5684</v>
      </c>
      <c r="C913" s="14">
        <f>B913*100</f>
        <v/>
      </c>
    </row>
    <row r="914">
      <c r="A914" s="12" t="n">
        <v>43972</v>
      </c>
      <c r="B914" s="13" t="n">
        <v>-0.5698</v>
      </c>
      <c r="C914" s="14">
        <f>B914*100</f>
        <v/>
      </c>
    </row>
    <row r="915">
      <c r="A915" s="12" t="n">
        <v>43973</v>
      </c>
      <c r="B915" s="13" t="n">
        <v>-0.5787</v>
      </c>
      <c r="C915" s="14">
        <f>B915*100</f>
        <v/>
      </c>
    </row>
    <row r="916">
      <c r="A916" s="12" t="n">
        <v>43977</v>
      </c>
      <c r="B916" s="13" t="n">
        <v>-0.5722</v>
      </c>
      <c r="C916" s="14">
        <f>B916*100</f>
        <v/>
      </c>
    </row>
    <row r="917">
      <c r="A917" s="12" t="n">
        <v>43978</v>
      </c>
      <c r="B917" s="13" t="n">
        <v>-0.5768</v>
      </c>
      <c r="C917" s="14">
        <f>B917*100</f>
        <v/>
      </c>
    </row>
    <row r="918">
      <c r="A918" s="12" t="n">
        <v>43979</v>
      </c>
      <c r="B918" s="13" t="n">
        <v>-0.5741000000000001</v>
      </c>
      <c r="C918" s="14">
        <f>B918*100</f>
        <v/>
      </c>
    </row>
    <row r="919">
      <c r="A919" s="12" t="n">
        <v>43980</v>
      </c>
      <c r="B919" s="13" t="n">
        <v>-0.5904</v>
      </c>
      <c r="C919" s="14">
        <f>B919*100</f>
        <v/>
      </c>
    </row>
    <row r="920">
      <c r="A920" s="12" t="n">
        <v>43983</v>
      </c>
      <c r="B920" s="13" t="n">
        <v>-0.5921999999999999</v>
      </c>
      <c r="C920" s="14">
        <f>B920*100</f>
        <v/>
      </c>
    </row>
    <row r="921">
      <c r="A921" s="12" t="n">
        <v>43984</v>
      </c>
      <c r="B921" s="13" t="n">
        <v>-0.5869</v>
      </c>
      <c r="C921" s="14">
        <f>B921*100</f>
        <v/>
      </c>
    </row>
    <row r="922">
      <c r="A922" s="12" t="n">
        <v>43985</v>
      </c>
      <c r="B922" s="13" t="n">
        <v>-0.5583</v>
      </c>
      <c r="C922" s="14">
        <f>B922*100</f>
        <v/>
      </c>
    </row>
    <row r="923">
      <c r="A923" s="12" t="n">
        <v>43986</v>
      </c>
      <c r="B923" s="13" t="n">
        <v>-0.5345</v>
      </c>
      <c r="C923" s="14">
        <f>B923*100</f>
        <v/>
      </c>
    </row>
    <row r="924">
      <c r="A924" s="12" t="n">
        <v>43987</v>
      </c>
      <c r="B924" s="13" t="n">
        <v>-0.4952</v>
      </c>
      <c r="C924" s="14">
        <f>B924*100</f>
        <v/>
      </c>
    </row>
    <row r="925">
      <c r="A925" s="12" t="n">
        <v>43990</v>
      </c>
      <c r="B925" s="13" t="n">
        <v>-0.4925</v>
      </c>
      <c r="C925" s="14">
        <f>B925*100</f>
        <v/>
      </c>
    </row>
    <row r="926">
      <c r="A926" s="12" t="n">
        <v>43991</v>
      </c>
      <c r="B926" s="13" t="n">
        <v>-0.5105</v>
      </c>
      <c r="C926" s="14">
        <f>B926*100</f>
        <v/>
      </c>
    </row>
    <row r="927">
      <c r="A927" s="12" t="n">
        <v>43992</v>
      </c>
      <c r="B927" s="13" t="n">
        <v>-0.5455</v>
      </c>
      <c r="C927" s="14">
        <f>B927*100</f>
        <v/>
      </c>
    </row>
    <row r="928">
      <c r="A928" s="12" t="n">
        <v>43993</v>
      </c>
      <c r="B928" s="13" t="n">
        <v>-0.5767</v>
      </c>
      <c r="C928" s="14">
        <f>B928*100</f>
        <v/>
      </c>
    </row>
    <row r="929">
      <c r="A929" s="12" t="n">
        <v>43994</v>
      </c>
      <c r="B929" s="13" t="n">
        <v>-0.576</v>
      </c>
      <c r="C929" s="14">
        <f>B929*100</f>
        <v/>
      </c>
    </row>
    <row r="930">
      <c r="A930" s="12" t="n">
        <v>43997</v>
      </c>
      <c r="B930" s="13" t="n">
        <v>-0.5773</v>
      </c>
      <c r="C930" s="14">
        <f>B930*100</f>
        <v/>
      </c>
    </row>
    <row r="931">
      <c r="A931" s="12" t="n">
        <v>43998</v>
      </c>
      <c r="B931" s="13" t="n">
        <v>-0.5665</v>
      </c>
      <c r="C931" s="14">
        <f>B931*100</f>
        <v/>
      </c>
    </row>
    <row r="932">
      <c r="A932" s="12" t="n">
        <v>43999</v>
      </c>
      <c r="B932" s="13" t="n">
        <v>-0.5676</v>
      </c>
      <c r="C932" s="14">
        <f>B932*100</f>
        <v/>
      </c>
    </row>
    <row r="933">
      <c r="A933" s="12" t="n">
        <v>44000</v>
      </c>
      <c r="B933" s="13" t="n">
        <v>-0.5748</v>
      </c>
      <c r="C933" s="14">
        <f>B933*100</f>
        <v/>
      </c>
    </row>
    <row r="934">
      <c r="A934" s="12" t="n">
        <v>44001</v>
      </c>
      <c r="B934" s="13" t="n">
        <v>-0.5772</v>
      </c>
      <c r="C934" s="14">
        <f>B934*100</f>
        <v/>
      </c>
    </row>
    <row r="935">
      <c r="A935" s="12" t="n">
        <v>44004</v>
      </c>
      <c r="B935" s="13" t="n">
        <v>-0.5763</v>
      </c>
      <c r="C935" s="14">
        <f>B935*100</f>
        <v/>
      </c>
    </row>
    <row r="936">
      <c r="A936" s="12" t="n">
        <v>44005</v>
      </c>
      <c r="B936" s="13" t="n">
        <v>-0.5756</v>
      </c>
      <c r="C936" s="14">
        <f>B936*100</f>
        <v/>
      </c>
    </row>
    <row r="937">
      <c r="A937" s="12" t="n">
        <v>44006</v>
      </c>
      <c r="B937" s="13" t="n">
        <v>-0.5837</v>
      </c>
      <c r="C937" s="14">
        <f>B937*100</f>
        <v/>
      </c>
    </row>
    <row r="938">
      <c r="A938" s="12" t="n">
        <v>44007</v>
      </c>
      <c r="B938" s="13" t="n">
        <v>-0.5852000000000001</v>
      </c>
      <c r="C938" s="14">
        <f>B938*100</f>
        <v/>
      </c>
    </row>
    <row r="939">
      <c r="A939" s="12" t="n">
        <v>44008</v>
      </c>
      <c r="B939" s="13" t="n">
        <v>-0.5986</v>
      </c>
      <c r="C939" s="14">
        <f>B939*100</f>
        <v/>
      </c>
    </row>
    <row r="940">
      <c r="A940" s="12" t="n">
        <v>44011</v>
      </c>
      <c r="B940" s="13" t="n">
        <v>-0.6082</v>
      </c>
      <c r="C940" s="14">
        <f>B940*100</f>
        <v/>
      </c>
    </row>
    <row r="941">
      <c r="A941" s="12" t="n">
        <v>44012</v>
      </c>
      <c r="B941" s="13" t="n">
        <v>-0.6055</v>
      </c>
      <c r="C941" s="14">
        <f>B941*100</f>
        <v/>
      </c>
    </row>
    <row r="942">
      <c r="A942" s="12" t="n">
        <v>44013</v>
      </c>
      <c r="B942" s="13" t="n">
        <v>-0.5934</v>
      </c>
      <c r="C942" s="14">
        <f>B942*100</f>
        <v/>
      </c>
    </row>
    <row r="943">
      <c r="A943" s="12" t="n">
        <v>44014</v>
      </c>
      <c r="B943" s="13" t="n">
        <v>-0.5953000000000001</v>
      </c>
      <c r="C943" s="14">
        <f>B943*100</f>
        <v/>
      </c>
    </row>
    <row r="944">
      <c r="A944" s="12" t="n">
        <v>44018</v>
      </c>
      <c r="B944" s="13" t="n">
        <v>-0.5905</v>
      </c>
      <c r="C944" s="14">
        <f>B944*100</f>
        <v/>
      </c>
    </row>
    <row r="945">
      <c r="A945" s="12" t="n">
        <v>44019</v>
      </c>
      <c r="B945" s="13" t="n">
        <v>-0.6022999999999999</v>
      </c>
      <c r="C945" s="14">
        <f>B945*100</f>
        <v/>
      </c>
    </row>
    <row r="946">
      <c r="A946" s="12" t="n">
        <v>44020</v>
      </c>
      <c r="B946" s="13" t="n">
        <v>-0.6027</v>
      </c>
      <c r="C946" s="14">
        <f>B946*100</f>
        <v/>
      </c>
    </row>
    <row r="947">
      <c r="A947" s="12" t="n">
        <v>44021</v>
      </c>
      <c r="B947" s="13" t="n">
        <v>-0.6143999999999999</v>
      </c>
      <c r="C947" s="14">
        <f>B947*100</f>
        <v/>
      </c>
    </row>
    <row r="948">
      <c r="A948" s="12" t="n">
        <v>44022</v>
      </c>
      <c r="B948" s="13" t="n">
        <v>-0.6057</v>
      </c>
      <c r="C948" s="14">
        <f>B948*100</f>
        <v/>
      </c>
    </row>
    <row r="949">
      <c r="A949" s="12" t="n">
        <v>44025</v>
      </c>
      <c r="B949" s="13" t="n">
        <v>-0.6074000000000001</v>
      </c>
      <c r="C949" s="14">
        <f>B949*100</f>
        <v/>
      </c>
    </row>
    <row r="950">
      <c r="A950" s="12" t="n">
        <v>44026</v>
      </c>
      <c r="B950" s="13" t="n">
        <v>-0.6126</v>
      </c>
      <c r="C950" s="14">
        <f>B950*100</f>
        <v/>
      </c>
    </row>
    <row r="951">
      <c r="A951" s="12" t="n">
        <v>44027</v>
      </c>
      <c r="B951" s="13" t="n">
        <v>-0.6127</v>
      </c>
      <c r="C951" s="14">
        <f>B951*100</f>
        <v/>
      </c>
    </row>
    <row r="952">
      <c r="A952" s="12" t="n">
        <v>44028</v>
      </c>
      <c r="B952" s="13" t="n">
        <v>-0.6139</v>
      </c>
      <c r="C952" s="14">
        <f>B952*100</f>
        <v/>
      </c>
    </row>
    <row r="953">
      <c r="A953" s="12" t="n">
        <v>44029</v>
      </c>
      <c r="B953" s="13" t="n">
        <v>-0.609</v>
      </c>
      <c r="C953" s="14">
        <f>B953*100</f>
        <v/>
      </c>
    </row>
    <row r="954">
      <c r="A954" s="12" t="n">
        <v>44032</v>
      </c>
      <c r="B954" s="13" t="n">
        <v>-0.611</v>
      </c>
      <c r="C954" s="14">
        <f>B954*100</f>
        <v/>
      </c>
    </row>
    <row r="955">
      <c r="A955" s="12" t="n">
        <v>44033</v>
      </c>
      <c r="B955" s="13" t="n">
        <v>-0.6176</v>
      </c>
      <c r="C955" s="14">
        <f>B955*100</f>
        <v/>
      </c>
    </row>
    <row r="956">
      <c r="A956" s="12" t="n">
        <v>44034</v>
      </c>
      <c r="B956" s="13" t="n">
        <v>-0.6206</v>
      </c>
      <c r="C956" s="14">
        <f>B956*100</f>
        <v/>
      </c>
    </row>
    <row r="957">
      <c r="A957" s="12" t="n">
        <v>44035</v>
      </c>
      <c r="B957" s="13" t="n">
        <v>-0.6238</v>
      </c>
      <c r="C957" s="14">
        <f>B957*100</f>
        <v/>
      </c>
    </row>
    <row r="958">
      <c r="A958" s="12" t="n">
        <v>44036</v>
      </c>
      <c r="B958" s="13" t="n">
        <v>-0.6238</v>
      </c>
      <c r="C958" s="14">
        <f>B958*100</f>
        <v/>
      </c>
    </row>
    <row r="959">
      <c r="A959" s="12" t="n">
        <v>44039</v>
      </c>
      <c r="B959" s="13" t="n">
        <v>-0.6158</v>
      </c>
      <c r="C959" s="14">
        <f>B959*100</f>
        <v/>
      </c>
    </row>
    <row r="960">
      <c r="A960" s="12" t="n">
        <v>44040</v>
      </c>
      <c r="B960" s="13" t="n">
        <v>-0.6253</v>
      </c>
      <c r="C960" s="14">
        <f>B960*100</f>
        <v/>
      </c>
    </row>
    <row r="961">
      <c r="A961" s="12" t="n">
        <v>44041</v>
      </c>
      <c r="B961" s="13" t="n">
        <v>-0.6309</v>
      </c>
      <c r="C961" s="14">
        <f>B961*100</f>
        <v/>
      </c>
    </row>
    <row r="962">
      <c r="A962" s="12" t="n">
        <v>44042</v>
      </c>
      <c r="B962" s="13" t="n">
        <v>-0.6417</v>
      </c>
      <c r="C962" s="14">
        <f>B962*100</f>
        <v/>
      </c>
    </row>
    <row r="963">
      <c r="A963" s="12" t="n">
        <v>44043</v>
      </c>
      <c r="B963" s="13" t="n">
        <v>-0.6471</v>
      </c>
      <c r="C963" s="14">
        <f>B963*100</f>
        <v/>
      </c>
    </row>
    <row r="964">
      <c r="A964" s="12" t="n">
        <v>44046</v>
      </c>
      <c r="B964" s="13" t="n">
        <v>-0.6458</v>
      </c>
      <c r="C964" s="14">
        <f>B964*100</f>
        <v/>
      </c>
    </row>
    <row r="965">
      <c r="A965" s="12" t="n">
        <v>44047</v>
      </c>
      <c r="B965" s="13" t="n">
        <v>-0.6587</v>
      </c>
      <c r="C965" s="14">
        <f>B965*100</f>
        <v/>
      </c>
    </row>
    <row r="966">
      <c r="A966" s="12" t="n">
        <v>44048</v>
      </c>
      <c r="B966" s="13" t="n">
        <v>-0.6519</v>
      </c>
      <c r="C966" s="14">
        <f>B966*100</f>
        <v/>
      </c>
    </row>
    <row r="967">
      <c r="A967" s="12" t="n">
        <v>44049</v>
      </c>
      <c r="B967" s="13" t="n">
        <v>-0.6526999999999999</v>
      </c>
      <c r="C967" s="14">
        <f>B967*100</f>
        <v/>
      </c>
    </row>
    <row r="968">
      <c r="A968" s="12" t="n">
        <v>44050</v>
      </c>
      <c r="B968" s="13" t="n">
        <v>-0.6443</v>
      </c>
      <c r="C968" s="14">
        <f>B968*100</f>
        <v/>
      </c>
    </row>
    <row r="969">
      <c r="A969" s="12" t="n">
        <v>44053</v>
      </c>
      <c r="B969" s="13" t="n">
        <v>-0.6385</v>
      </c>
      <c r="C969" s="14">
        <f>B969*100</f>
        <v/>
      </c>
    </row>
    <row r="970">
      <c r="A970" s="12" t="n">
        <v>44054</v>
      </c>
      <c r="B970" s="13" t="n">
        <v>-0.6187</v>
      </c>
      <c r="C970" s="14">
        <f>B970*100</f>
        <v/>
      </c>
    </row>
    <row r="971">
      <c r="A971" s="12" t="n">
        <v>44055</v>
      </c>
      <c r="B971" s="13" t="n">
        <v>-0.5991</v>
      </c>
      <c r="C971" s="14">
        <f>B971*100</f>
        <v/>
      </c>
    </row>
    <row r="972">
      <c r="A972" s="12" t="n">
        <v>44056</v>
      </c>
      <c r="B972" s="13" t="n">
        <v>-0.5826</v>
      </c>
      <c r="C972" s="14">
        <f>B972*100</f>
        <v/>
      </c>
    </row>
    <row r="973">
      <c r="A973" s="12" t="n">
        <v>44057</v>
      </c>
      <c r="B973" s="13" t="n">
        <v>-0.581</v>
      </c>
      <c r="C973" s="14">
        <f>B973*100</f>
        <v/>
      </c>
    </row>
    <row r="974">
      <c r="A974" s="12" t="n">
        <v>44060</v>
      </c>
      <c r="B974" s="13" t="n">
        <v>-0.5868</v>
      </c>
      <c r="C974" s="14">
        <f>B974*100</f>
        <v/>
      </c>
    </row>
    <row r="975">
      <c r="A975" s="12" t="n">
        <v>44061</v>
      </c>
      <c r="B975" s="13" t="n">
        <v>-0.5933</v>
      </c>
      <c r="C975" s="14">
        <f>B975*100</f>
        <v/>
      </c>
    </row>
    <row r="976">
      <c r="A976" s="12" t="n">
        <v>44062</v>
      </c>
      <c r="B976" s="13" t="n">
        <v>-0.5931999999999999</v>
      </c>
      <c r="C976" s="14">
        <f>B976*100</f>
        <v/>
      </c>
    </row>
    <row r="977">
      <c r="A977" s="12" t="n">
        <v>44063</v>
      </c>
      <c r="B977" s="13" t="n">
        <v>-0.6026</v>
      </c>
      <c r="C977" s="14">
        <f>B977*100</f>
        <v/>
      </c>
    </row>
    <row r="978">
      <c r="A978" s="12" t="n">
        <v>44064</v>
      </c>
      <c r="B978" s="13" t="n">
        <v>-0.6063</v>
      </c>
      <c r="C978" s="14">
        <f>B978*100</f>
        <v/>
      </c>
    </row>
    <row r="979">
      <c r="A979" s="12" t="n">
        <v>44067</v>
      </c>
      <c r="B979" s="13" t="n">
        <v>-0.6037</v>
      </c>
      <c r="C979" s="14">
        <f>B979*100</f>
        <v/>
      </c>
    </row>
    <row r="980">
      <c r="A980" s="12" t="n">
        <v>44068</v>
      </c>
      <c r="B980" s="13" t="n">
        <v>-0.5933</v>
      </c>
      <c r="C980" s="14">
        <f>B980*100</f>
        <v/>
      </c>
    </row>
    <row r="981">
      <c r="A981" s="12" t="n">
        <v>44069</v>
      </c>
      <c r="B981" s="13" t="n">
        <v>-0.5889</v>
      </c>
      <c r="C981" s="14">
        <f>B981*100</f>
        <v/>
      </c>
    </row>
    <row r="982">
      <c r="A982" s="12" t="n">
        <v>44070</v>
      </c>
      <c r="B982" s="13" t="n">
        <v>-0.5721000000000001</v>
      </c>
      <c r="C982" s="14">
        <f>B982*100</f>
        <v/>
      </c>
    </row>
    <row r="983">
      <c r="A983" s="12" t="n">
        <v>44071</v>
      </c>
      <c r="B983" s="13" t="n">
        <v>-0.5723</v>
      </c>
      <c r="C983" s="14">
        <f>B983*100</f>
        <v/>
      </c>
    </row>
    <row r="984">
      <c r="A984" s="12" t="n">
        <v>44074</v>
      </c>
      <c r="B984" s="13" t="n">
        <v>-0.5780999999999999</v>
      </c>
      <c r="C984" s="14">
        <f>B984*100</f>
        <v/>
      </c>
    </row>
    <row r="985">
      <c r="A985" s="12" t="n">
        <v>44075</v>
      </c>
      <c r="B985" s="13" t="n">
        <v>-0.5926</v>
      </c>
      <c r="C985" s="14">
        <f>B985*100</f>
        <v/>
      </c>
    </row>
    <row r="986">
      <c r="A986" s="12" t="n">
        <v>44076</v>
      </c>
      <c r="B986" s="13" t="n">
        <v>-0.6008</v>
      </c>
      <c r="C986" s="14">
        <f>B986*100</f>
        <v/>
      </c>
    </row>
    <row r="987">
      <c r="A987" s="12" t="n">
        <v>44077</v>
      </c>
      <c r="B987" s="13" t="n">
        <v>-0.614</v>
      </c>
      <c r="C987" s="14">
        <f>B987*100</f>
        <v/>
      </c>
    </row>
    <row r="988">
      <c r="A988" s="12" t="n">
        <v>44078</v>
      </c>
      <c r="B988" s="13" t="n">
        <v>-0.5878</v>
      </c>
      <c r="C988" s="14">
        <f>B988*100</f>
        <v/>
      </c>
    </row>
    <row r="989">
      <c r="A989" s="12" t="n">
        <v>44082</v>
      </c>
      <c r="B989" s="13" t="n">
        <v>-0.5931999999999999</v>
      </c>
      <c r="C989" s="14">
        <f>B989*100</f>
        <v/>
      </c>
    </row>
    <row r="990">
      <c r="A990" s="12" t="n">
        <v>44083</v>
      </c>
      <c r="B990" s="13" t="n">
        <v>-0.5913</v>
      </c>
      <c r="C990" s="14">
        <f>B990*100</f>
        <v/>
      </c>
    </row>
    <row r="991">
      <c r="A991" s="12" t="n">
        <v>44084</v>
      </c>
      <c r="B991" s="13" t="n">
        <v>-0.5975</v>
      </c>
      <c r="C991" s="14">
        <f>B991*100</f>
        <v/>
      </c>
    </row>
    <row r="992">
      <c r="A992" s="12" t="n">
        <v>44085</v>
      </c>
      <c r="B992" s="13" t="n">
        <v>-0.6019</v>
      </c>
      <c r="C992" s="14">
        <f>B992*100</f>
        <v/>
      </c>
    </row>
    <row r="993">
      <c r="A993" s="12" t="n">
        <v>44088</v>
      </c>
      <c r="B993" s="13" t="n">
        <v>-0.6009</v>
      </c>
      <c r="C993" s="14">
        <f>B993*100</f>
        <v/>
      </c>
    </row>
    <row r="994">
      <c r="A994" s="12" t="n">
        <v>44089</v>
      </c>
      <c r="B994" s="13" t="n">
        <v>-0.6001</v>
      </c>
      <c r="C994" s="14">
        <f>B994*100</f>
        <v/>
      </c>
    </row>
    <row r="995">
      <c r="A995" s="12" t="n">
        <v>44090</v>
      </c>
      <c r="B995" s="13" t="n">
        <v>-0.5961</v>
      </c>
      <c r="C995" s="14">
        <f>B995*100</f>
        <v/>
      </c>
    </row>
    <row r="996">
      <c r="A996" s="12" t="n">
        <v>44091</v>
      </c>
      <c r="B996" s="13" t="n">
        <v>-0.5935</v>
      </c>
      <c r="C996" s="14">
        <f>B996*100</f>
        <v/>
      </c>
    </row>
    <row r="997">
      <c r="A997" s="12" t="n">
        <v>44092</v>
      </c>
      <c r="B997" s="13" t="n">
        <v>-0.589</v>
      </c>
      <c r="C997" s="14">
        <f>B997*100</f>
        <v/>
      </c>
    </row>
    <row r="998">
      <c r="A998" s="12" t="n">
        <v>44095</v>
      </c>
      <c r="B998" s="13" t="n">
        <v>-0.5938</v>
      </c>
      <c r="C998" s="14">
        <f>B998*100</f>
        <v/>
      </c>
    </row>
    <row r="999">
      <c r="A999" s="12" t="n">
        <v>44096</v>
      </c>
      <c r="B999" s="13" t="n">
        <v>-0.5971</v>
      </c>
      <c r="C999" s="14">
        <f>B999*100</f>
        <v/>
      </c>
    </row>
    <row r="1000">
      <c r="A1000" s="12" t="n">
        <v>44097</v>
      </c>
      <c r="B1000" s="13" t="n">
        <v>-0.5968</v>
      </c>
      <c r="C1000" s="14">
        <f>B1000*100</f>
        <v/>
      </c>
    </row>
    <row r="1001">
      <c r="A1001" s="12" t="n">
        <v>44098</v>
      </c>
      <c r="B1001" s="13" t="n">
        <v>-0.5983000000000001</v>
      </c>
      <c r="C1001" s="14">
        <f>B1001*100</f>
        <v/>
      </c>
    </row>
    <row r="1002">
      <c r="A1002" s="12" t="n">
        <v>44099</v>
      </c>
      <c r="B1002" s="13" t="n">
        <v>-0.6024</v>
      </c>
      <c r="C1002" s="14">
        <f>B1002*100</f>
        <v/>
      </c>
    </row>
    <row r="1003">
      <c r="A1003" s="12" t="n">
        <v>44102</v>
      </c>
      <c r="B1003" s="13" t="n">
        <v>-0.6034</v>
      </c>
      <c r="C1003" s="14">
        <f>B1003*100</f>
        <v/>
      </c>
    </row>
    <row r="1004">
      <c r="A1004" s="12" t="n">
        <v>44103</v>
      </c>
      <c r="B1004" s="13" t="n">
        <v>-0.6068</v>
      </c>
      <c r="C1004" s="14">
        <f>B1004*100</f>
        <v/>
      </c>
    </row>
    <row r="1005">
      <c r="A1005" s="12" t="n">
        <v>44104</v>
      </c>
      <c r="B1005" s="13" t="n">
        <v>-0.5978</v>
      </c>
      <c r="C1005" s="14">
        <f>B1005*100</f>
        <v/>
      </c>
    </row>
    <row r="1006">
      <c r="A1006" s="12" t="n">
        <v>44105</v>
      </c>
      <c r="B1006" s="13" t="n">
        <v>-0.5961</v>
      </c>
      <c r="C1006" s="14">
        <f>B1006*100</f>
        <v/>
      </c>
    </row>
    <row r="1007">
      <c r="A1007" s="12" t="n">
        <v>44106</v>
      </c>
      <c r="B1007" s="13" t="n">
        <v>-0.5889</v>
      </c>
      <c r="C1007" s="14">
        <f>B1007*100</f>
        <v/>
      </c>
    </row>
    <row r="1008">
      <c r="A1008" s="12" t="n">
        <v>44109</v>
      </c>
      <c r="B1008" s="13" t="n">
        <v>-0.5618</v>
      </c>
      <c r="C1008" s="14">
        <f>B1008*100</f>
        <v/>
      </c>
    </row>
    <row r="1009">
      <c r="A1009" s="12" t="n">
        <v>44110</v>
      </c>
      <c r="B1009" s="13" t="n">
        <v>-0.5601</v>
      </c>
      <c r="C1009" s="14">
        <f>B1009*100</f>
        <v/>
      </c>
    </row>
    <row r="1010">
      <c r="A1010" s="12" t="n">
        <v>44111</v>
      </c>
      <c r="B1010" s="13" t="n">
        <v>-0.5446</v>
      </c>
      <c r="C1010" s="14">
        <f>B1010*100</f>
        <v/>
      </c>
    </row>
    <row r="1011">
      <c r="A1011" s="12" t="n">
        <v>44112</v>
      </c>
      <c r="B1011" s="13" t="n">
        <v>-0.5497</v>
      </c>
      <c r="C1011" s="14">
        <f>B1011*100</f>
        <v/>
      </c>
    </row>
    <row r="1012">
      <c r="A1012" s="12" t="n">
        <v>44113</v>
      </c>
      <c r="B1012" s="13" t="n">
        <v>-0.5449000000000001</v>
      </c>
      <c r="C1012" s="14">
        <f>B1012*100</f>
        <v/>
      </c>
    </row>
    <row r="1013">
      <c r="A1013" s="12" t="n">
        <v>44117</v>
      </c>
      <c r="B1013" s="13" t="n">
        <v>-0.5607</v>
      </c>
      <c r="C1013" s="14">
        <f>B1013*100</f>
        <v/>
      </c>
    </row>
    <row r="1014">
      <c r="A1014" s="12" t="n">
        <v>44118</v>
      </c>
      <c r="B1014" s="13" t="n">
        <v>-0.5689</v>
      </c>
      <c r="C1014" s="14">
        <f>B1014*100</f>
        <v/>
      </c>
    </row>
    <row r="1015">
      <c r="A1015" s="12" t="n">
        <v>44119</v>
      </c>
      <c r="B1015" s="13" t="n">
        <v>-0.5662</v>
      </c>
      <c r="C1015" s="14">
        <f>B1015*100</f>
        <v/>
      </c>
    </row>
    <row r="1016">
      <c r="A1016" s="12" t="n">
        <v>44120</v>
      </c>
      <c r="B1016" s="13" t="n">
        <v>-0.5626</v>
      </c>
      <c r="C1016" s="14">
        <f>B1016*100</f>
        <v/>
      </c>
    </row>
    <row r="1017">
      <c r="A1017" s="12" t="n">
        <v>44123</v>
      </c>
      <c r="B1017" s="13" t="n">
        <v>-0.5544</v>
      </c>
      <c r="C1017" s="14">
        <f>B1017*100</f>
        <v/>
      </c>
    </row>
    <row r="1018">
      <c r="A1018" s="12" t="n">
        <v>44124</v>
      </c>
      <c r="B1018" s="13" t="n">
        <v>-0.5427</v>
      </c>
      <c r="C1018" s="14">
        <f>B1018*100</f>
        <v/>
      </c>
    </row>
    <row r="1019">
      <c r="A1019" s="12" t="n">
        <v>44125</v>
      </c>
      <c r="B1019" s="13" t="n">
        <v>-0.5322</v>
      </c>
      <c r="C1019" s="14">
        <f>B1019*100</f>
        <v/>
      </c>
    </row>
    <row r="1020">
      <c r="A1020" s="12" t="n">
        <v>44126</v>
      </c>
      <c r="B1020" s="13" t="n">
        <v>-0.5141</v>
      </c>
      <c r="C1020" s="14">
        <f>B1020*100</f>
        <v/>
      </c>
    </row>
    <row r="1021">
      <c r="A1021" s="12" t="n">
        <v>44127</v>
      </c>
      <c r="B1021" s="13" t="n">
        <v>-0.5131</v>
      </c>
      <c r="C1021" s="14">
        <f>B1021*100</f>
        <v/>
      </c>
    </row>
    <row r="1022">
      <c r="A1022" s="12" t="n">
        <v>44130</v>
      </c>
      <c r="B1022" s="13" t="n">
        <v>-0.525</v>
      </c>
      <c r="C1022" s="14">
        <f>B1022*100</f>
        <v/>
      </c>
    </row>
    <row r="1023">
      <c r="A1023" s="12" t="n">
        <v>44131</v>
      </c>
      <c r="B1023" s="13" t="n">
        <v>-0.5352</v>
      </c>
      <c r="C1023" s="14">
        <f>B1023*100</f>
        <v/>
      </c>
    </row>
    <row r="1024">
      <c r="A1024" s="12" t="n">
        <v>44132</v>
      </c>
      <c r="B1024" s="13" t="n">
        <v>-0.5381</v>
      </c>
      <c r="C1024" s="14">
        <f>B1024*100</f>
        <v/>
      </c>
    </row>
    <row r="1025">
      <c r="A1025" s="12" t="n">
        <v>44133</v>
      </c>
      <c r="B1025" s="13" t="n">
        <v>-0.5198</v>
      </c>
      <c r="C1025" s="14">
        <f>B1025*100</f>
        <v/>
      </c>
    </row>
    <row r="1026">
      <c r="A1026" s="12" t="n">
        <v>44134</v>
      </c>
      <c r="B1026" s="13" t="n">
        <v>-0.5044999999999999</v>
      </c>
      <c r="C1026" s="14">
        <f>B1026*100</f>
        <v/>
      </c>
    </row>
    <row r="1027">
      <c r="A1027" s="12" t="n">
        <v>44137</v>
      </c>
      <c r="B1027" s="13" t="n">
        <v>-0.5034</v>
      </c>
      <c r="C1027" s="14">
        <f>B1027*100</f>
        <v/>
      </c>
    </row>
    <row r="1028">
      <c r="A1028" s="12" t="n">
        <v>44138</v>
      </c>
      <c r="B1028" s="13" t="n">
        <v>-0.4944</v>
      </c>
      <c r="C1028" s="14">
        <f>B1028*100</f>
        <v/>
      </c>
    </row>
    <row r="1029">
      <c r="A1029" s="12" t="n">
        <v>44139</v>
      </c>
      <c r="B1029" s="13" t="n">
        <v>-0.5281</v>
      </c>
      <c r="C1029" s="14">
        <f>B1029*100</f>
        <v/>
      </c>
    </row>
    <row r="1030">
      <c r="A1030" s="12" t="n">
        <v>44140</v>
      </c>
      <c r="B1030" s="13" t="n">
        <v>-0.5356</v>
      </c>
      <c r="C1030" s="14">
        <f>B1030*100</f>
        <v/>
      </c>
    </row>
    <row r="1031">
      <c r="A1031" s="12" t="n">
        <v>44141</v>
      </c>
      <c r="B1031" s="13" t="n">
        <v>-0.5249</v>
      </c>
      <c r="C1031" s="14">
        <f>B1031*100</f>
        <v/>
      </c>
    </row>
    <row r="1032">
      <c r="A1032" s="12" t="n">
        <v>44144</v>
      </c>
      <c r="B1032" s="13" t="n">
        <v>-0.4818</v>
      </c>
      <c r="C1032" s="14">
        <f>B1032*100</f>
        <v/>
      </c>
    </row>
    <row r="1033">
      <c r="A1033" s="12" t="n">
        <v>44145</v>
      </c>
      <c r="B1033" s="13" t="n">
        <v>-0.4599</v>
      </c>
      <c r="C1033" s="14">
        <f>B1033*100</f>
        <v/>
      </c>
    </row>
    <row r="1034">
      <c r="A1034" s="12" t="n">
        <v>44147</v>
      </c>
      <c r="B1034" s="13" t="n">
        <v>-0.485</v>
      </c>
      <c r="C1034" s="14">
        <f>B1034*100</f>
        <v/>
      </c>
    </row>
    <row r="1035">
      <c r="A1035" s="12" t="n">
        <v>44148</v>
      </c>
      <c r="B1035" s="13" t="n">
        <v>-0.4863</v>
      </c>
      <c r="C1035" s="14">
        <f>B1035*100</f>
        <v/>
      </c>
    </row>
    <row r="1036">
      <c r="A1036" s="12" t="n">
        <v>44151</v>
      </c>
      <c r="B1036" s="13" t="n">
        <v>-0.4837</v>
      </c>
      <c r="C1036" s="14">
        <f>B1036*100</f>
        <v/>
      </c>
    </row>
    <row r="1037">
      <c r="A1037" s="12" t="n">
        <v>44152</v>
      </c>
      <c r="B1037" s="13" t="n">
        <v>-0.4956</v>
      </c>
      <c r="C1037" s="14">
        <f>B1037*100</f>
        <v/>
      </c>
    </row>
    <row r="1038">
      <c r="A1038" s="12" t="n">
        <v>44153</v>
      </c>
      <c r="B1038" s="13" t="n">
        <v>-0.4932</v>
      </c>
      <c r="C1038" s="14">
        <f>B1038*100</f>
        <v/>
      </c>
    </row>
    <row r="1039">
      <c r="A1039" s="12" t="n">
        <v>44154</v>
      </c>
      <c r="B1039" s="13" t="n">
        <v>-0.4987</v>
      </c>
      <c r="C1039" s="14">
        <f>B1039*100</f>
        <v/>
      </c>
    </row>
    <row r="1040">
      <c r="A1040" s="12" t="n">
        <v>44155</v>
      </c>
      <c r="B1040" s="13" t="n">
        <v>-0.506</v>
      </c>
      <c r="C1040" s="14">
        <f>B1040*100</f>
        <v/>
      </c>
    </row>
    <row r="1041">
      <c r="A1041" s="12" t="n">
        <v>44158</v>
      </c>
      <c r="B1041" s="13" t="n">
        <v>-0.5011</v>
      </c>
      <c r="C1041" s="14">
        <f>B1041*100</f>
        <v/>
      </c>
    </row>
    <row r="1042">
      <c r="A1042" s="12" t="n">
        <v>44159</v>
      </c>
      <c r="B1042" s="13" t="n">
        <v>-0.4949</v>
      </c>
      <c r="C1042" s="14">
        <f>B1042*100</f>
        <v/>
      </c>
    </row>
    <row r="1043">
      <c r="A1043" s="12" t="n">
        <v>44160</v>
      </c>
      <c r="B1043" s="13" t="n">
        <v>-0.4938</v>
      </c>
      <c r="C1043" s="14">
        <f>B1043*100</f>
        <v/>
      </c>
    </row>
    <row r="1044">
      <c r="A1044" s="12" t="n">
        <v>44162</v>
      </c>
      <c r="B1044" s="13" t="n">
        <v>-0.5053</v>
      </c>
      <c r="C1044" s="14">
        <f>B1044*100</f>
        <v/>
      </c>
    </row>
    <row r="1045">
      <c r="A1045" s="12" t="n">
        <v>44165</v>
      </c>
      <c r="B1045" s="13" t="n">
        <v>-0.5084</v>
      </c>
      <c r="C1045" s="14">
        <f>B1045*100</f>
        <v/>
      </c>
    </row>
    <row r="1046">
      <c r="A1046" s="12" t="n">
        <v>44166</v>
      </c>
      <c r="B1046" s="13" t="n">
        <v>-0.4835</v>
      </c>
      <c r="C1046" s="14">
        <f>B1046*100</f>
        <v/>
      </c>
    </row>
    <row r="1047">
      <c r="A1047" s="12" t="n">
        <v>44167</v>
      </c>
      <c r="B1047" s="13" t="n">
        <v>-0.4703</v>
      </c>
      <c r="C1047" s="14">
        <f>B1047*100</f>
        <v/>
      </c>
    </row>
    <row r="1048">
      <c r="A1048" s="12" t="n">
        <v>44168</v>
      </c>
      <c r="B1048" s="13" t="n">
        <v>-0.474</v>
      </c>
      <c r="C1048" s="14">
        <f>B1048*100</f>
        <v/>
      </c>
    </row>
    <row r="1049">
      <c r="A1049" s="12" t="n">
        <v>44169</v>
      </c>
      <c r="B1049" s="13" t="n">
        <v>-0.4621</v>
      </c>
      <c r="C1049" s="14">
        <f>B1049*100</f>
        <v/>
      </c>
    </row>
    <row r="1050">
      <c r="A1050" s="12" t="n">
        <v>44172</v>
      </c>
      <c r="B1050" s="13" t="n">
        <v>-0.4708</v>
      </c>
      <c r="C1050" s="14">
        <f>B1050*100</f>
        <v/>
      </c>
    </row>
    <row r="1051">
      <c r="A1051" s="12" t="n">
        <v>44173</v>
      </c>
      <c r="B1051" s="13" t="n">
        <v>-0.4775</v>
      </c>
      <c r="C1051" s="14">
        <f>B1051*100</f>
        <v/>
      </c>
    </row>
    <row r="1052">
      <c r="A1052" s="12" t="n">
        <v>44174</v>
      </c>
      <c r="B1052" s="13" t="n">
        <v>-0.4707</v>
      </c>
      <c r="C1052" s="14">
        <f>B1052*100</f>
        <v/>
      </c>
    </row>
    <row r="1053">
      <c r="A1053" s="12" t="n">
        <v>44175</v>
      </c>
      <c r="B1053" s="13" t="n">
        <v>-0.4793</v>
      </c>
      <c r="C1053" s="14">
        <f>B1053*100</f>
        <v/>
      </c>
    </row>
    <row r="1054">
      <c r="A1054" s="12" t="n">
        <v>44176</v>
      </c>
      <c r="B1054" s="13" t="n">
        <v>-0.4893</v>
      </c>
      <c r="C1054" s="14">
        <f>B1054*100</f>
        <v/>
      </c>
    </row>
    <row r="1055">
      <c r="A1055" s="12" t="n">
        <v>44179</v>
      </c>
      <c r="B1055" s="13" t="n">
        <v>-0.4924</v>
      </c>
      <c r="C1055" s="14">
        <f>B1055*100</f>
        <v/>
      </c>
    </row>
    <row r="1056">
      <c r="A1056" s="12" t="n">
        <v>44180</v>
      </c>
      <c r="B1056" s="13" t="n">
        <v>-0.4865</v>
      </c>
      <c r="C1056" s="14">
        <f>B1056*100</f>
        <v/>
      </c>
    </row>
    <row r="1057">
      <c r="A1057" s="12" t="n">
        <v>44181</v>
      </c>
      <c r="B1057" s="13" t="n">
        <v>-0.4854</v>
      </c>
      <c r="C1057" s="14">
        <f>B1057*100</f>
        <v/>
      </c>
    </row>
    <row r="1058">
      <c r="A1058" s="12" t="n">
        <v>44182</v>
      </c>
      <c r="B1058" s="13" t="n">
        <v>-0.4794</v>
      </c>
      <c r="C1058" s="14">
        <f>B1058*100</f>
        <v/>
      </c>
    </row>
    <row r="1059">
      <c r="A1059" s="12" t="n">
        <v>44183</v>
      </c>
      <c r="B1059" s="13" t="n">
        <v>-0.4747</v>
      </c>
      <c r="C1059" s="14">
        <f>B1059*100</f>
        <v/>
      </c>
    </row>
    <row r="1060">
      <c r="A1060" s="12" t="n">
        <v>44186</v>
      </c>
      <c r="B1060" s="13" t="n">
        <v>-0.4728</v>
      </c>
      <c r="C1060" s="14">
        <f>B1060*100</f>
        <v/>
      </c>
    </row>
    <row r="1061">
      <c r="A1061" s="12" t="n">
        <v>44187</v>
      </c>
      <c r="B1061" s="13" t="n">
        <v>-0.4808</v>
      </c>
      <c r="C1061" s="14">
        <f>B1061*100</f>
        <v/>
      </c>
    </row>
    <row r="1062">
      <c r="A1062" s="12" t="n">
        <v>44188</v>
      </c>
      <c r="B1062" s="13" t="n">
        <v>-0.4728</v>
      </c>
      <c r="C1062" s="14">
        <f>B1062*100</f>
        <v/>
      </c>
    </row>
    <row r="1063">
      <c r="A1063" s="12" t="n">
        <v>44189</v>
      </c>
      <c r="B1063" s="13" t="n">
        <v>-0.4771</v>
      </c>
      <c r="C1063" s="14">
        <f>B1063*100</f>
        <v/>
      </c>
    </row>
    <row r="1064">
      <c r="A1064" s="12" t="n">
        <v>44193</v>
      </c>
      <c r="B1064" s="13" t="n">
        <v>-0.4799</v>
      </c>
      <c r="C1064" s="14">
        <f>B1064*100</f>
        <v/>
      </c>
    </row>
    <row r="1065">
      <c r="A1065" s="12" t="n">
        <v>44194</v>
      </c>
      <c r="B1065" s="13" t="n">
        <v>-0.4805</v>
      </c>
      <c r="C1065" s="14">
        <f>B1065*100</f>
        <v/>
      </c>
    </row>
    <row r="1066">
      <c r="A1066" s="12" t="n">
        <v>44195</v>
      </c>
      <c r="B1066" s="13" t="n">
        <v>-0.4819</v>
      </c>
      <c r="C1066" s="14">
        <f>B1066*100</f>
        <v/>
      </c>
    </row>
    <row r="1067">
      <c r="A1067" s="12" t="n">
        <v>44196</v>
      </c>
      <c r="B1067" s="13" t="n">
        <v>-0.4849</v>
      </c>
      <c r="C1067" s="14">
        <f>B1067*100</f>
        <v/>
      </c>
    </row>
    <row r="1068">
      <c r="A1068" s="12" t="n">
        <v>44200</v>
      </c>
      <c r="B1068" s="13" t="n">
        <v>-0.4881</v>
      </c>
      <c r="C1068" s="14">
        <f>B1068*100</f>
        <v/>
      </c>
    </row>
    <row r="1069">
      <c r="A1069" s="12" t="n">
        <v>44201</v>
      </c>
      <c r="B1069" s="13" t="n">
        <v>-0.4793</v>
      </c>
      <c r="C1069" s="14">
        <f>B1069*100</f>
        <v/>
      </c>
    </row>
    <row r="1070">
      <c r="A1070" s="12" t="n">
        <v>44202</v>
      </c>
      <c r="B1070" s="13" t="n">
        <v>-0.4475</v>
      </c>
      <c r="C1070" s="14">
        <f>B1070*100</f>
        <v/>
      </c>
    </row>
    <row r="1071">
      <c r="A1071" s="12" t="n">
        <v>44203</v>
      </c>
      <c r="B1071" s="13" t="n">
        <v>-0.4236</v>
      </c>
      <c r="C1071" s="14">
        <f>B1071*100</f>
        <v/>
      </c>
    </row>
    <row r="1072">
      <c r="A1072" s="12" t="n">
        <v>44204</v>
      </c>
      <c r="B1072" s="13" t="n">
        <v>-0.4005</v>
      </c>
      <c r="C1072" s="14">
        <f>B1072*100</f>
        <v/>
      </c>
    </row>
    <row r="1073">
      <c r="A1073" s="12" t="n">
        <v>44207</v>
      </c>
      <c r="B1073" s="13" t="n">
        <v>-0.3852</v>
      </c>
      <c r="C1073" s="14">
        <f>B1073*100</f>
        <v/>
      </c>
    </row>
    <row r="1074">
      <c r="A1074" s="12" t="n">
        <v>44208</v>
      </c>
      <c r="B1074" s="13" t="n">
        <v>-0.3809</v>
      </c>
      <c r="C1074" s="14">
        <f>B1074*100</f>
        <v/>
      </c>
    </row>
    <row r="1075">
      <c r="A1075" s="12" t="n">
        <v>44209</v>
      </c>
      <c r="B1075" s="13" t="n">
        <v>-0.3927</v>
      </c>
      <c r="C1075" s="14">
        <f>B1075*100</f>
        <v/>
      </c>
    </row>
    <row r="1076">
      <c r="A1076" s="12" t="n">
        <v>44210</v>
      </c>
      <c r="B1076" s="13" t="n">
        <v>-0.3834</v>
      </c>
      <c r="C1076" s="14">
        <f>B1076*100</f>
        <v/>
      </c>
    </row>
    <row r="1077">
      <c r="A1077" s="12" t="n">
        <v>44211</v>
      </c>
      <c r="B1077" s="13" t="n">
        <v>-0.3951</v>
      </c>
      <c r="C1077" s="14">
        <f>B1077*100</f>
        <v/>
      </c>
    </row>
    <row r="1078">
      <c r="A1078" s="12" t="n">
        <v>44215</v>
      </c>
      <c r="B1078" s="13" t="n">
        <v>-0.4013</v>
      </c>
      <c r="C1078" s="14">
        <f>B1078*100</f>
        <v/>
      </c>
    </row>
    <row r="1079">
      <c r="A1079" s="12" t="n">
        <v>44216</v>
      </c>
      <c r="B1079" s="13" t="n">
        <v>-0.4036</v>
      </c>
      <c r="C1079" s="14">
        <f>B1079*100</f>
        <v/>
      </c>
    </row>
    <row r="1080">
      <c r="A1080" s="12" t="n">
        <v>44217</v>
      </c>
      <c r="B1080" s="13" t="n">
        <v>-0.3986</v>
      </c>
      <c r="C1080" s="14">
        <f>B1080*100</f>
        <v/>
      </c>
    </row>
    <row r="1081">
      <c r="A1081" s="12" t="n">
        <v>44218</v>
      </c>
      <c r="B1081" s="13" t="n">
        <v>-0.4035</v>
      </c>
      <c r="C1081" s="14">
        <f>B1081*100</f>
        <v/>
      </c>
    </row>
    <row r="1082">
      <c r="A1082" s="12" t="n">
        <v>44221</v>
      </c>
      <c r="B1082" s="13" t="n">
        <v>-0.4199</v>
      </c>
      <c r="C1082" s="14">
        <f>B1082*100</f>
        <v/>
      </c>
    </row>
    <row r="1083">
      <c r="A1083" s="12" t="n">
        <v>44222</v>
      </c>
      <c r="B1083" s="13" t="n">
        <v>-0.4235</v>
      </c>
      <c r="C1083" s="14">
        <f>B1083*100</f>
        <v/>
      </c>
    </row>
    <row r="1084">
      <c r="A1084" s="12" t="n">
        <v>44223</v>
      </c>
      <c r="B1084" s="13" t="n">
        <v>-0.4295</v>
      </c>
      <c r="C1084" s="14">
        <f>B1084*100</f>
        <v/>
      </c>
    </row>
    <row r="1085">
      <c r="A1085" s="12" t="n">
        <v>44224</v>
      </c>
      <c r="B1085" s="13" t="n">
        <v>-0.4219</v>
      </c>
      <c r="C1085" s="14">
        <f>B1085*100</f>
        <v/>
      </c>
    </row>
    <row r="1086">
      <c r="A1086" s="12" t="n">
        <v>44225</v>
      </c>
      <c r="B1086" s="13" t="n">
        <v>-0.4041</v>
      </c>
      <c r="C1086" s="14">
        <f>B1086*100</f>
        <v/>
      </c>
    </row>
    <row r="1087">
      <c r="A1087" s="12" t="n">
        <v>44228</v>
      </c>
      <c r="B1087" s="13" t="n">
        <v>-0.409</v>
      </c>
      <c r="C1087" s="14">
        <f>B1087*100</f>
        <v/>
      </c>
    </row>
    <row r="1088">
      <c r="A1088" s="12" t="n">
        <v>44229</v>
      </c>
      <c r="B1088" s="13" t="n">
        <v>-0.3998</v>
      </c>
      <c r="C1088" s="14">
        <f>B1088*100</f>
        <v/>
      </c>
    </row>
    <row r="1089">
      <c r="A1089" s="12" t="n">
        <v>44230</v>
      </c>
      <c r="B1089" s="13" t="n">
        <v>-0.3854</v>
      </c>
      <c r="C1089" s="14">
        <f>B1089*100</f>
        <v/>
      </c>
    </row>
    <row r="1090">
      <c r="A1090" s="12" t="n">
        <v>44231</v>
      </c>
      <c r="B1090" s="13" t="n">
        <v>-0.3787</v>
      </c>
      <c r="C1090" s="14">
        <f>B1090*100</f>
        <v/>
      </c>
    </row>
    <row r="1091">
      <c r="A1091" s="12" t="n">
        <v>44232</v>
      </c>
      <c r="B1091" s="13" t="n">
        <v>-0.3671</v>
      </c>
      <c r="C1091" s="14">
        <f>B1091*100</f>
        <v/>
      </c>
    </row>
    <row r="1092">
      <c r="A1092" s="12" t="n">
        <v>44235</v>
      </c>
      <c r="B1092" s="13" t="n">
        <v>-0.3611</v>
      </c>
      <c r="C1092" s="14">
        <f>B1092*100</f>
        <v/>
      </c>
    </row>
    <row r="1093">
      <c r="A1093" s="12" t="n">
        <v>44236</v>
      </c>
      <c r="B1093" s="13" t="n">
        <v>-0.3611</v>
      </c>
      <c r="C1093" s="14">
        <f>B1093*100</f>
        <v/>
      </c>
    </row>
    <row r="1094">
      <c r="A1094" s="12" t="n">
        <v>44237</v>
      </c>
      <c r="B1094" s="13" t="n">
        <v>-0.3721</v>
      </c>
      <c r="C1094" s="14">
        <f>B1094*100</f>
        <v/>
      </c>
    </row>
    <row r="1095">
      <c r="A1095" s="12" t="n">
        <v>44238</v>
      </c>
      <c r="B1095" s="13" t="n">
        <v>-0.3723</v>
      </c>
      <c r="C1095" s="14">
        <f>B1095*100</f>
        <v/>
      </c>
    </row>
    <row r="1096">
      <c r="A1096" s="12" t="n">
        <v>44239</v>
      </c>
      <c r="B1096" s="13" t="n">
        <v>-0.3555</v>
      </c>
      <c r="C1096" s="14">
        <f>B1096*100</f>
        <v/>
      </c>
    </row>
    <row r="1097">
      <c r="A1097" s="12" t="n">
        <v>44243</v>
      </c>
      <c r="B1097" s="13" t="n">
        <v>-0.3167</v>
      </c>
      <c r="C1097" s="14">
        <f>B1097*100</f>
        <v/>
      </c>
    </row>
    <row r="1098">
      <c r="A1098" s="12" t="n">
        <v>44244</v>
      </c>
      <c r="B1098" s="13" t="n">
        <v>-0.3047</v>
      </c>
      <c r="C1098" s="14">
        <f>B1098*100</f>
        <v/>
      </c>
    </row>
    <row r="1099">
      <c r="A1099" s="12" t="n">
        <v>44245</v>
      </c>
      <c r="B1099" s="13" t="n">
        <v>-0.2999</v>
      </c>
      <c r="C1099" s="14">
        <f>B1099*100</f>
        <v/>
      </c>
    </row>
    <row r="1100">
      <c r="A1100" s="12" t="n">
        <v>44246</v>
      </c>
      <c r="B1100" s="13" t="n">
        <v>-0.281</v>
      </c>
      <c r="C1100" s="14">
        <f>B1100*100</f>
        <v/>
      </c>
    </row>
    <row r="1101">
      <c r="A1101" s="12" t="n">
        <v>44249</v>
      </c>
      <c r="B1101" s="13" t="n">
        <v>-0.2651</v>
      </c>
      <c r="C1101" s="14">
        <f>B1101*100</f>
        <v/>
      </c>
    </row>
    <row r="1102">
      <c r="A1102" s="12" t="n">
        <v>44250</v>
      </c>
      <c r="B1102" s="13" t="n">
        <v>-0.262</v>
      </c>
      <c r="C1102" s="14">
        <f>B1102*100</f>
        <v/>
      </c>
    </row>
    <row r="1103">
      <c r="A1103" s="12" t="n">
        <v>44251</v>
      </c>
      <c r="B1103" s="13" t="n">
        <v>-0.2515</v>
      </c>
      <c r="C1103" s="14">
        <f>B1103*100</f>
        <v/>
      </c>
    </row>
    <row r="1104">
      <c r="A1104" s="12" t="n">
        <v>44252</v>
      </c>
      <c r="B1104" s="13" t="n">
        <v>-0.1743</v>
      </c>
      <c r="C1104" s="14">
        <f>B1104*100</f>
        <v/>
      </c>
    </row>
    <row r="1105">
      <c r="A1105" s="12" t="n">
        <v>44253</v>
      </c>
      <c r="B1105" s="13" t="n">
        <v>-0.1807</v>
      </c>
      <c r="C1105" s="14">
        <f>B1105*100</f>
        <v/>
      </c>
    </row>
    <row r="1106">
      <c r="A1106" s="12" t="n">
        <v>44256</v>
      </c>
      <c r="B1106" s="13" t="n">
        <v>-0.19</v>
      </c>
      <c r="C1106" s="14">
        <f>B1106*100</f>
        <v/>
      </c>
    </row>
    <row r="1107">
      <c r="A1107" s="12" t="n">
        <v>44257</v>
      </c>
      <c r="B1107" s="13" t="n">
        <v>-0.2057</v>
      </c>
      <c r="C1107" s="14">
        <f>B1107*100</f>
        <v/>
      </c>
    </row>
    <row r="1108">
      <c r="A1108" s="12" t="n">
        <v>44258</v>
      </c>
      <c r="B1108" s="13" t="n">
        <v>-0.1887</v>
      </c>
      <c r="C1108" s="14">
        <f>B1108*100</f>
        <v/>
      </c>
    </row>
    <row r="1109">
      <c r="A1109" s="12" t="n">
        <v>44259</v>
      </c>
      <c r="B1109" s="13" t="n">
        <v>-0.1585</v>
      </c>
      <c r="C1109" s="14">
        <f>B1109*100</f>
        <v/>
      </c>
    </row>
    <row r="1110">
      <c r="A1110" s="12" t="n">
        <v>44260</v>
      </c>
      <c r="B1110" s="13" t="n">
        <v>-0.1425</v>
      </c>
      <c r="C1110" s="14">
        <f>B1110*100</f>
        <v/>
      </c>
    </row>
    <row r="1111">
      <c r="A1111" s="12" t="n">
        <v>44263</v>
      </c>
      <c r="B1111" s="13" t="n">
        <v>-0.1189</v>
      </c>
      <c r="C1111" s="14">
        <f>B1111*100</f>
        <v/>
      </c>
    </row>
    <row r="1112">
      <c r="A1112" s="12" t="n">
        <v>44264</v>
      </c>
      <c r="B1112" s="13" t="n">
        <v>-0.1271</v>
      </c>
      <c r="C1112" s="14">
        <f>B1112*100</f>
        <v/>
      </c>
    </row>
    <row r="1113">
      <c r="A1113" s="12" t="n">
        <v>44265</v>
      </c>
      <c r="B1113" s="13" t="n">
        <v>-0.1398</v>
      </c>
      <c r="C1113" s="14">
        <f>B1113*100</f>
        <v/>
      </c>
    </row>
    <row r="1114">
      <c r="A1114" s="12" t="n">
        <v>44266</v>
      </c>
      <c r="B1114" s="13" t="n">
        <v>-0.143</v>
      </c>
      <c r="C1114" s="14">
        <f>B1114*100</f>
        <v/>
      </c>
    </row>
    <row r="1115">
      <c r="A1115" s="12" t="n">
        <v>44267</v>
      </c>
      <c r="B1115" s="13" t="n">
        <v>-0.1082</v>
      </c>
      <c r="C1115" s="14">
        <f>B1115*100</f>
        <v/>
      </c>
    </row>
    <row r="1116">
      <c r="A1116" s="12" t="n">
        <v>44270</v>
      </c>
      <c r="B1116" s="13" t="n">
        <v>-0.1034</v>
      </c>
      <c r="C1116" s="14">
        <f>B1116*100</f>
        <v/>
      </c>
    </row>
    <row r="1117">
      <c r="A1117" s="12" t="n">
        <v>44271</v>
      </c>
      <c r="B1117" s="13" t="n">
        <v>-0.1021</v>
      </c>
      <c r="C1117" s="14">
        <f>B1117*100</f>
        <v/>
      </c>
    </row>
    <row r="1118">
      <c r="A1118" s="12" t="n">
        <v>44272</v>
      </c>
      <c r="B1118" s="13" t="n">
        <v>-0.1044</v>
      </c>
      <c r="C1118" s="14">
        <f>B1118*100</f>
        <v/>
      </c>
    </row>
    <row r="1119">
      <c r="A1119" s="12" t="n">
        <v>44273</v>
      </c>
      <c r="B1119" s="13" t="n">
        <v>-0.0738</v>
      </c>
      <c r="C1119" s="14">
        <f>B1119*100</f>
        <v/>
      </c>
    </row>
    <row r="1120">
      <c r="A1120" s="12" t="n">
        <v>44274</v>
      </c>
      <c r="B1120" s="13" t="n">
        <v>-0.0515</v>
      </c>
      <c r="C1120" s="14">
        <f>B1120*100</f>
        <v/>
      </c>
    </row>
    <row r="1121">
      <c r="A1121" s="12" t="n">
        <v>44277</v>
      </c>
      <c r="B1121" s="13" t="n">
        <v>-0.061</v>
      </c>
      <c r="C1121" s="14">
        <f>B1121*100</f>
        <v/>
      </c>
    </row>
    <row r="1122">
      <c r="A1122" s="12" t="n">
        <v>44278</v>
      </c>
      <c r="B1122" s="13" t="n">
        <v>-0.0808</v>
      </c>
      <c r="C1122" s="14">
        <f>B1122*100</f>
        <v/>
      </c>
    </row>
    <row r="1123">
      <c r="A1123" s="12" t="n">
        <v>44279</v>
      </c>
      <c r="B1123" s="13" t="n">
        <v>-0.093</v>
      </c>
      <c r="C1123" s="14">
        <f>B1123*100</f>
        <v/>
      </c>
    </row>
    <row r="1124">
      <c r="A1124" s="12" t="n">
        <v>44280</v>
      </c>
      <c r="B1124" s="13" t="n">
        <v>-0.0944</v>
      </c>
      <c r="C1124" s="14">
        <f>B1124*100</f>
        <v/>
      </c>
    </row>
    <row r="1125">
      <c r="A1125" s="12" t="n">
        <v>44281</v>
      </c>
      <c r="B1125" s="13" t="n">
        <v>-0.0804</v>
      </c>
      <c r="C1125" s="14">
        <f>B1125*100</f>
        <v/>
      </c>
    </row>
    <row r="1126">
      <c r="A1126" s="12" t="n">
        <v>44284</v>
      </c>
      <c r="B1126" s="13" t="n">
        <v>-0.0587</v>
      </c>
      <c r="C1126" s="14">
        <f>B1126*100</f>
        <v/>
      </c>
    </row>
    <row r="1127">
      <c r="A1127" s="12" t="n">
        <v>44285</v>
      </c>
      <c r="B1127" s="13" t="n">
        <v>-0.0481</v>
      </c>
      <c r="C1127" s="14">
        <f>B1127*100</f>
        <v/>
      </c>
    </row>
    <row r="1128">
      <c r="A1128" s="12" t="n">
        <v>44286</v>
      </c>
      <c r="B1128" s="13" t="n">
        <v>-0.0374</v>
      </c>
      <c r="C1128" s="14">
        <f>B1128*100</f>
        <v/>
      </c>
    </row>
    <row r="1129">
      <c r="A1129" s="12" t="n">
        <v>44287</v>
      </c>
      <c r="B1129" s="13" t="n">
        <v>-0.0473</v>
      </c>
      <c r="C1129" s="14">
        <f>B1129*100</f>
        <v/>
      </c>
    </row>
    <row r="1130">
      <c r="A1130" s="12" t="n">
        <v>44288</v>
      </c>
      <c r="B1130" s="13" t="n">
        <v>-0.0318</v>
      </c>
      <c r="C1130" s="14">
        <f>B1130*100</f>
        <v/>
      </c>
    </row>
    <row r="1131">
      <c r="A1131" s="12" t="n">
        <v>44291</v>
      </c>
      <c r="B1131" s="13" t="n">
        <v>-0.0335</v>
      </c>
      <c r="C1131" s="14">
        <f>B1131*100</f>
        <v/>
      </c>
    </row>
    <row r="1132">
      <c r="A1132" s="12" t="n">
        <v>44292</v>
      </c>
      <c r="B1132" s="13" t="n">
        <v>-0.0569</v>
      </c>
      <c r="C1132" s="14">
        <f>B1132*100</f>
        <v/>
      </c>
    </row>
    <row r="1133">
      <c r="A1133" s="12" t="n">
        <v>44293</v>
      </c>
      <c r="B1133" s="13" t="n">
        <v>-0.0623</v>
      </c>
      <c r="C1133" s="14">
        <f>B1133*100</f>
        <v/>
      </c>
    </row>
    <row r="1134">
      <c r="A1134" s="12" t="n">
        <v>44294</v>
      </c>
      <c r="B1134" s="13" t="n">
        <v>-0.078</v>
      </c>
      <c r="C1134" s="14">
        <f>B1134*100</f>
        <v/>
      </c>
    </row>
    <row r="1135">
      <c r="A1135" s="12" t="n">
        <v>44295</v>
      </c>
      <c r="B1135" s="13" t="n">
        <v>-0.0716</v>
      </c>
      <c r="C1135" s="14">
        <f>B1135*100</f>
        <v/>
      </c>
    </row>
    <row r="1136">
      <c r="A1136" s="12" t="n">
        <v>44298</v>
      </c>
      <c r="B1136" s="13" t="n">
        <v>-0.0639</v>
      </c>
      <c r="C1136" s="14">
        <f>B1136*100</f>
        <v/>
      </c>
    </row>
    <row r="1137">
      <c r="A1137" s="12" t="n">
        <v>44299</v>
      </c>
      <c r="B1137" s="13" t="n">
        <v>-0.08160000000000001</v>
      </c>
      <c r="C1137" s="14">
        <f>B1137*100</f>
        <v/>
      </c>
    </row>
    <row r="1138">
      <c r="A1138" s="12" t="n">
        <v>44300</v>
      </c>
      <c r="B1138" s="13" t="n">
        <v>-0.0809</v>
      </c>
      <c r="C1138" s="14">
        <f>B1138*100</f>
        <v/>
      </c>
    </row>
    <row r="1139">
      <c r="A1139" s="12" t="n">
        <v>44301</v>
      </c>
      <c r="B1139" s="13" t="n">
        <v>-0.1094</v>
      </c>
      <c r="C1139" s="14">
        <f>B1139*100</f>
        <v/>
      </c>
    </row>
    <row r="1140">
      <c r="A1140" s="12" t="n">
        <v>44302</v>
      </c>
      <c r="B1140" s="13" t="n">
        <v>-0.1065</v>
      </c>
      <c r="C1140" s="14">
        <f>B1140*100</f>
        <v/>
      </c>
    </row>
    <row r="1141">
      <c r="A1141" s="12" t="n">
        <v>44305</v>
      </c>
      <c r="B1141" s="13" t="n">
        <v>-0.1005</v>
      </c>
      <c r="C1141" s="14">
        <f>B1141*100</f>
        <v/>
      </c>
    </row>
    <row r="1142">
      <c r="A1142" s="12" t="n">
        <v>44306</v>
      </c>
      <c r="B1142" s="13" t="n">
        <v>-0.1124</v>
      </c>
      <c r="C1142" s="14">
        <f>B1142*100</f>
        <v/>
      </c>
    </row>
    <row r="1143">
      <c r="A1143" s="12" t="n">
        <v>44307</v>
      </c>
      <c r="B1143" s="13" t="n">
        <v>-0.1189</v>
      </c>
      <c r="C1143" s="14">
        <f>B1143*100</f>
        <v/>
      </c>
    </row>
    <row r="1144">
      <c r="A1144" s="12" t="n">
        <v>44308</v>
      </c>
      <c r="B1144" s="13" t="n">
        <v>-0.1217</v>
      </c>
      <c r="C1144" s="14">
        <f>B1144*100</f>
        <v/>
      </c>
    </row>
    <row r="1145">
      <c r="A1145" s="12" t="n">
        <v>44309</v>
      </c>
      <c r="B1145" s="13" t="n">
        <v>-0.1149</v>
      </c>
      <c r="C1145" s="14">
        <f>B1145*100</f>
        <v/>
      </c>
    </row>
    <row r="1146">
      <c r="A1146" s="12" t="n">
        <v>44312</v>
      </c>
      <c r="B1146" s="13" t="n">
        <v>-0.1114</v>
      </c>
      <c r="C1146" s="14">
        <f>B1146*100</f>
        <v/>
      </c>
    </row>
    <row r="1147">
      <c r="A1147" s="12" t="n">
        <v>44313</v>
      </c>
      <c r="B1147" s="13" t="n">
        <v>-0.094</v>
      </c>
      <c r="C1147" s="14">
        <f>B1147*100</f>
        <v/>
      </c>
    </row>
    <row r="1148">
      <c r="A1148" s="12" t="n">
        <v>44314</v>
      </c>
      <c r="B1148" s="13" t="n">
        <v>-0.09080000000000001</v>
      </c>
      <c r="C1148" s="14">
        <f>B1148*100</f>
        <v/>
      </c>
    </row>
    <row r="1149">
      <c r="A1149" s="12" t="n">
        <v>44315</v>
      </c>
      <c r="B1149" s="13" t="n">
        <v>-0.08459999999999999</v>
      </c>
      <c r="C1149" s="14">
        <f>B1149*100</f>
        <v/>
      </c>
    </row>
    <row r="1150">
      <c r="A1150" s="12" t="n">
        <v>44316</v>
      </c>
      <c r="B1150" s="13" t="n">
        <v>-0.08260000000000001</v>
      </c>
      <c r="C1150" s="14">
        <f>B1150*100</f>
        <v/>
      </c>
    </row>
    <row r="1151">
      <c r="A1151" s="12" t="n">
        <v>44319</v>
      </c>
      <c r="B1151" s="13" t="n">
        <v>-0.0924</v>
      </c>
      <c r="C1151" s="14">
        <f>B1151*100</f>
        <v/>
      </c>
    </row>
    <row r="1152">
      <c r="A1152" s="12" t="n">
        <v>44320</v>
      </c>
      <c r="B1152" s="13" t="n">
        <v>-0.1006</v>
      </c>
      <c r="C1152" s="14">
        <f>B1152*100</f>
        <v/>
      </c>
    </row>
    <row r="1153">
      <c r="A1153" s="12" t="n">
        <v>44321</v>
      </c>
      <c r="B1153" s="13" t="n">
        <v>-0.1119</v>
      </c>
      <c r="C1153" s="14">
        <f>B1153*100</f>
        <v/>
      </c>
    </row>
    <row r="1154">
      <c r="A1154" s="12" t="n">
        <v>44322</v>
      </c>
      <c r="B1154" s="13" t="n">
        <v>-0.1159</v>
      </c>
      <c r="C1154" s="14">
        <f>B1154*100</f>
        <v/>
      </c>
    </row>
    <row r="1155">
      <c r="A1155" s="12" t="n">
        <v>44323</v>
      </c>
      <c r="B1155" s="13" t="n">
        <v>-0.1191</v>
      </c>
      <c r="C1155" s="14">
        <f>B1155*100</f>
        <v/>
      </c>
    </row>
    <row r="1156">
      <c r="A1156" s="12" t="n">
        <v>44326</v>
      </c>
      <c r="B1156" s="13" t="n">
        <v>-0.1115</v>
      </c>
      <c r="C1156" s="14">
        <f>B1156*100</f>
        <v/>
      </c>
    </row>
    <row r="1157">
      <c r="A1157" s="12" t="n">
        <v>44327</v>
      </c>
      <c r="B1157" s="13" t="n">
        <v>-0.1029</v>
      </c>
      <c r="C1157" s="14">
        <f>B1157*100</f>
        <v/>
      </c>
    </row>
    <row r="1158">
      <c r="A1158" s="12" t="n">
        <v>44328</v>
      </c>
      <c r="B1158" s="13" t="n">
        <v>-0.0765</v>
      </c>
      <c r="C1158" s="14">
        <f>B1158*100</f>
        <v/>
      </c>
    </row>
    <row r="1159">
      <c r="A1159" s="12" t="n">
        <v>44329</v>
      </c>
      <c r="B1159" s="13" t="n">
        <v>-0.0785</v>
      </c>
      <c r="C1159" s="14">
        <f>B1159*100</f>
        <v/>
      </c>
    </row>
    <row r="1160">
      <c r="A1160" s="12" t="n">
        <v>44330</v>
      </c>
      <c r="B1160" s="13" t="n">
        <v>-0.0861</v>
      </c>
      <c r="C1160" s="14">
        <f>B1160*100</f>
        <v/>
      </c>
    </row>
    <row r="1161">
      <c r="A1161" s="12" t="n">
        <v>44333</v>
      </c>
      <c r="B1161" s="13" t="n">
        <v>-0.0856</v>
      </c>
      <c r="C1161" s="14">
        <f>B1161*100</f>
        <v/>
      </c>
    </row>
    <row r="1162">
      <c r="A1162" s="12" t="n">
        <v>44334</v>
      </c>
      <c r="B1162" s="13" t="n">
        <v>-0.0878</v>
      </c>
      <c r="C1162" s="14">
        <f>B1162*100</f>
        <v/>
      </c>
    </row>
    <row r="1163">
      <c r="A1163" s="12" t="n">
        <v>44335</v>
      </c>
      <c r="B1163" s="13" t="n">
        <v>-0.0721</v>
      </c>
      <c r="C1163" s="14">
        <f>B1163*100</f>
        <v/>
      </c>
    </row>
    <row r="1164">
      <c r="A1164" s="12" t="n">
        <v>44336</v>
      </c>
      <c r="B1164" s="13" t="n">
        <v>-0.0858</v>
      </c>
      <c r="C1164" s="14">
        <f>B1164*100</f>
        <v/>
      </c>
    </row>
    <row r="1165">
      <c r="A1165" s="12" t="n">
        <v>44337</v>
      </c>
      <c r="B1165" s="13" t="n">
        <v>-0.08699999999999999</v>
      </c>
      <c r="C1165" s="14">
        <f>B1165*100</f>
        <v/>
      </c>
    </row>
    <row r="1166">
      <c r="A1166" s="12" t="n">
        <v>44340</v>
      </c>
      <c r="B1166" s="13" t="n">
        <v>-0.09520000000000001</v>
      </c>
      <c r="C1166" s="14">
        <f>B1166*100</f>
        <v/>
      </c>
    </row>
    <row r="1167">
      <c r="A1167" s="12" t="n">
        <v>44341</v>
      </c>
      <c r="B1167" s="13" t="n">
        <v>-0.115</v>
      </c>
      <c r="C1167" s="14">
        <f>B1167*100</f>
        <v/>
      </c>
    </row>
    <row r="1168">
      <c r="A1168" s="12" t="n">
        <v>44342</v>
      </c>
      <c r="B1168" s="13" t="n">
        <v>-0.118</v>
      </c>
      <c r="C1168" s="14">
        <f>B1168*100</f>
        <v/>
      </c>
    </row>
    <row r="1169">
      <c r="A1169" s="12" t="n">
        <v>44343</v>
      </c>
      <c r="B1169" s="13" t="n">
        <v>-0.1089</v>
      </c>
      <c r="C1169" s="14">
        <f>B1169*100</f>
        <v/>
      </c>
    </row>
    <row r="1170">
      <c r="A1170" s="12" t="n">
        <v>44344</v>
      </c>
      <c r="B1170" s="13" t="n">
        <v>-0.1156</v>
      </c>
      <c r="C1170" s="14">
        <f>B1170*100</f>
        <v/>
      </c>
    </row>
    <row r="1171">
      <c r="A1171" s="12" t="n">
        <v>44348</v>
      </c>
      <c r="B1171" s="13" t="n">
        <v>-0.106</v>
      </c>
      <c r="C1171" s="14">
        <f>B1171*100</f>
        <v/>
      </c>
    </row>
    <row r="1172">
      <c r="A1172" s="12" t="n">
        <v>44349</v>
      </c>
      <c r="B1172" s="13" t="n">
        <v>-0.1105</v>
      </c>
      <c r="C1172" s="14">
        <f>B1172*100</f>
        <v/>
      </c>
    </row>
    <row r="1173">
      <c r="A1173" s="12" t="n">
        <v>44350</v>
      </c>
      <c r="B1173" s="13" t="n">
        <v>-0.09660000000000001</v>
      </c>
      <c r="C1173" s="14">
        <f>B1173*100</f>
        <v/>
      </c>
    </row>
    <row r="1174">
      <c r="A1174" s="12" t="n">
        <v>44351</v>
      </c>
      <c r="B1174" s="13" t="n">
        <v>-0.1173</v>
      </c>
      <c r="C1174" s="14">
        <f>B1174*100</f>
        <v/>
      </c>
    </row>
    <row r="1175">
      <c r="A1175" s="12" t="n">
        <v>44354</v>
      </c>
      <c r="B1175" s="13" t="n">
        <v>-0.121</v>
      </c>
      <c r="C1175" s="14">
        <f>B1175*100</f>
        <v/>
      </c>
    </row>
    <row r="1176">
      <c r="A1176" s="12" t="n">
        <v>44355</v>
      </c>
      <c r="B1176" s="13" t="n">
        <v>-0.1344</v>
      </c>
      <c r="C1176" s="14">
        <f>B1176*100</f>
        <v/>
      </c>
    </row>
    <row r="1177">
      <c r="A1177" s="12" t="n">
        <v>44356</v>
      </c>
      <c r="B1177" s="13" t="n">
        <v>-0.1517</v>
      </c>
      <c r="C1177" s="14">
        <f>B1177*100</f>
        <v/>
      </c>
    </row>
    <row r="1178">
      <c r="A1178" s="12" t="n">
        <v>44357</v>
      </c>
      <c r="B1178" s="13" t="n">
        <v>-0.1699</v>
      </c>
      <c r="C1178" s="14">
        <f>B1178*100</f>
        <v/>
      </c>
    </row>
    <row r="1179">
      <c r="A1179" s="12" t="n">
        <v>44358</v>
      </c>
      <c r="B1179" s="13" t="n">
        <v>-0.1681</v>
      </c>
      <c r="C1179" s="14">
        <f>B1179*100</f>
        <v/>
      </c>
    </row>
    <row r="1180">
      <c r="A1180" s="12" t="n">
        <v>44361</v>
      </c>
      <c r="B1180" s="13" t="n">
        <v>-0.1543</v>
      </c>
      <c r="C1180" s="14">
        <f>B1180*100</f>
        <v/>
      </c>
    </row>
    <row r="1181">
      <c r="A1181" s="12" t="n">
        <v>44362</v>
      </c>
      <c r="B1181" s="13" t="n">
        <v>-0.1492</v>
      </c>
      <c r="C1181" s="14">
        <f>B1181*100</f>
        <v/>
      </c>
    </row>
    <row r="1182">
      <c r="A1182" s="12" t="n">
        <v>44363</v>
      </c>
      <c r="B1182" s="13" t="n">
        <v>-0.1173</v>
      </c>
      <c r="C1182" s="14">
        <f>B1182*100</f>
        <v/>
      </c>
    </row>
    <row r="1183">
      <c r="A1183" s="12" t="n">
        <v>44364</v>
      </c>
      <c r="B1183" s="13" t="n">
        <v>-0.1198</v>
      </c>
      <c r="C1183" s="14">
        <f>B1183*100</f>
        <v/>
      </c>
    </row>
    <row r="1184">
      <c r="A1184" s="12" t="n">
        <v>44365</v>
      </c>
      <c r="B1184" s="13" t="n">
        <v>-0.1365</v>
      </c>
      <c r="C1184" s="14">
        <f>B1184*100</f>
        <v/>
      </c>
    </row>
    <row r="1185">
      <c r="A1185" s="12" t="n">
        <v>44368</v>
      </c>
      <c r="B1185" s="13" t="n">
        <v>-0.1317</v>
      </c>
      <c r="C1185" s="14">
        <f>B1185*100</f>
        <v/>
      </c>
    </row>
    <row r="1186">
      <c r="A1186" s="12" t="n">
        <v>44369</v>
      </c>
      <c r="B1186" s="13" t="n">
        <v>-0.1387</v>
      </c>
      <c r="C1186" s="14">
        <f>B1186*100</f>
        <v/>
      </c>
    </row>
    <row r="1187">
      <c r="A1187" s="12" t="n">
        <v>44370</v>
      </c>
      <c r="B1187" s="13" t="n">
        <v>-0.1332</v>
      </c>
      <c r="C1187" s="14">
        <f>B1187*100</f>
        <v/>
      </c>
    </row>
    <row r="1188">
      <c r="A1188" s="12" t="n">
        <v>44371</v>
      </c>
      <c r="B1188" s="13" t="n">
        <v>-0.1312</v>
      </c>
      <c r="C1188" s="14">
        <f>B1188*100</f>
        <v/>
      </c>
    </row>
    <row r="1189">
      <c r="A1189" s="12" t="n">
        <v>44372</v>
      </c>
      <c r="B1189" s="13" t="n">
        <v>-0.1179</v>
      </c>
      <c r="C1189" s="14">
        <f>B1189*100</f>
        <v/>
      </c>
    </row>
    <row r="1190">
      <c r="A1190" s="12" t="n">
        <v>44375</v>
      </c>
      <c r="B1190" s="13" t="n">
        <v>-0.1302</v>
      </c>
      <c r="C1190" s="14">
        <f>B1190*100</f>
        <v/>
      </c>
    </row>
    <row r="1191">
      <c r="A1191" s="12" t="n">
        <v>44376</v>
      </c>
      <c r="B1191" s="13" t="n">
        <v>-0.1336</v>
      </c>
      <c r="C1191" s="14">
        <f>B1191*100</f>
        <v/>
      </c>
    </row>
    <row r="1192">
      <c r="A1192" s="12" t="n">
        <v>44377</v>
      </c>
      <c r="B1192" s="13" t="n">
        <v>-0.1466</v>
      </c>
      <c r="C1192" s="14">
        <f>B1192*100</f>
        <v/>
      </c>
    </row>
    <row r="1193">
      <c r="A1193" s="12" t="n">
        <v>44378</v>
      </c>
      <c r="B1193" s="13" t="n">
        <v>-0.1415</v>
      </c>
      <c r="C1193" s="14">
        <f>B1193*100</f>
        <v/>
      </c>
    </row>
    <row r="1194">
      <c r="A1194" s="12" t="n">
        <v>44379</v>
      </c>
      <c r="B1194" s="13" t="n">
        <v>-0.1545</v>
      </c>
      <c r="C1194" s="14">
        <f>B1194*100</f>
        <v/>
      </c>
    </row>
    <row r="1195">
      <c r="A1195" s="12" t="n">
        <v>44383</v>
      </c>
      <c r="B1195" s="13" t="n">
        <v>-0.1832</v>
      </c>
      <c r="C1195" s="14">
        <f>B1195*100</f>
        <v/>
      </c>
    </row>
    <row r="1196">
      <c r="A1196" s="12" t="n">
        <v>44384</v>
      </c>
      <c r="B1196" s="13" t="n">
        <v>-0.2054</v>
      </c>
      <c r="C1196" s="14">
        <f>B1196*100</f>
        <v/>
      </c>
    </row>
    <row r="1197">
      <c r="A1197" s="12" t="n">
        <v>44385</v>
      </c>
      <c r="B1197" s="13" t="n">
        <v>-0.2278</v>
      </c>
      <c r="C1197" s="14">
        <f>B1197*100</f>
        <v/>
      </c>
    </row>
    <row r="1198">
      <c r="A1198" s="12" t="n">
        <v>44386</v>
      </c>
      <c r="B1198" s="13" t="n">
        <v>-0.2116</v>
      </c>
      <c r="C1198" s="14">
        <f>B1198*100</f>
        <v/>
      </c>
    </row>
    <row r="1199">
      <c r="A1199" s="12" t="n">
        <v>44389</v>
      </c>
      <c r="B1199" s="13" t="n">
        <v>-0.2032</v>
      </c>
      <c r="C1199" s="14">
        <f>B1199*100</f>
        <v/>
      </c>
    </row>
    <row r="1200">
      <c r="A1200" s="12" t="n">
        <v>44390</v>
      </c>
      <c r="B1200" s="13" t="n">
        <v>-0.1852</v>
      </c>
      <c r="C1200" s="14">
        <f>B1200*100</f>
        <v/>
      </c>
    </row>
    <row r="1201">
      <c r="A1201" s="12" t="n">
        <v>44391</v>
      </c>
      <c r="B1201" s="13" t="n">
        <v>-0.2003</v>
      </c>
      <c r="C1201" s="14">
        <f>B1201*100</f>
        <v/>
      </c>
    </row>
    <row r="1202">
      <c r="A1202" s="12" t="n">
        <v>44392</v>
      </c>
      <c r="B1202" s="13" t="n">
        <v>-0.2204</v>
      </c>
      <c r="C1202" s="14">
        <f>B1202*100</f>
        <v/>
      </c>
    </row>
    <row r="1203">
      <c r="A1203" s="12" t="n">
        <v>44393</v>
      </c>
      <c r="B1203" s="13" t="n">
        <v>-0.224</v>
      </c>
      <c r="C1203" s="14">
        <f>B1203*100</f>
        <v/>
      </c>
    </row>
    <row r="1204">
      <c r="A1204" s="12" t="n">
        <v>44396</v>
      </c>
      <c r="B1204" s="13" t="n">
        <v>-0.2673</v>
      </c>
      <c r="C1204" s="14">
        <f>B1204*100</f>
        <v/>
      </c>
    </row>
    <row r="1205">
      <c r="A1205" s="12" t="n">
        <v>44397</v>
      </c>
      <c r="B1205" s="13" t="n">
        <v>-0.2755</v>
      </c>
      <c r="C1205" s="14">
        <f>B1205*100</f>
        <v/>
      </c>
    </row>
    <row r="1206">
      <c r="A1206" s="12" t="n">
        <v>44398</v>
      </c>
      <c r="B1206" s="13" t="n">
        <v>-0.2545</v>
      </c>
      <c r="C1206" s="14">
        <f>B1206*100</f>
        <v/>
      </c>
    </row>
    <row r="1207">
      <c r="A1207" s="12" t="n">
        <v>44399</v>
      </c>
      <c r="B1207" s="13" t="n">
        <v>-0.2597</v>
      </c>
      <c r="C1207" s="14">
        <f>B1207*100</f>
        <v/>
      </c>
    </row>
    <row r="1208">
      <c r="A1208" s="12" t="n">
        <v>44400</v>
      </c>
      <c r="B1208" s="13" t="n">
        <v>-0.2523</v>
      </c>
      <c r="C1208" s="14">
        <f>B1208*100</f>
        <v/>
      </c>
    </row>
    <row r="1209">
      <c r="A1209" s="12" t="n">
        <v>44403</v>
      </c>
      <c r="B1209" s="13" t="n">
        <v>-0.2498</v>
      </c>
      <c r="C1209" s="14">
        <f>B1209*100</f>
        <v/>
      </c>
    </row>
    <row r="1210">
      <c r="A1210" s="12" t="n">
        <v>44404</v>
      </c>
      <c r="B1210" s="13" t="n">
        <v>-0.2623</v>
      </c>
      <c r="C1210" s="14">
        <f>B1210*100</f>
        <v/>
      </c>
    </row>
    <row r="1211">
      <c r="A1211" s="12" t="n">
        <v>44405</v>
      </c>
      <c r="B1211" s="13" t="n">
        <v>-0.2628</v>
      </c>
      <c r="C1211" s="14">
        <f>B1211*100</f>
        <v/>
      </c>
    </row>
    <row r="1212">
      <c r="A1212" s="12" t="n">
        <v>44406</v>
      </c>
      <c r="B1212" s="13" t="n">
        <v>-0.257</v>
      </c>
      <c r="C1212" s="14">
        <f>B1212*100</f>
        <v/>
      </c>
    </row>
    <row r="1213">
      <c r="A1213" s="12" t="n">
        <v>44407</v>
      </c>
      <c r="B1213" s="13" t="n">
        <v>-0.268</v>
      </c>
      <c r="C1213" s="14">
        <f>B1213*100</f>
        <v/>
      </c>
    </row>
    <row r="1214">
      <c r="A1214" s="12" t="n">
        <v>44410</v>
      </c>
      <c r="B1214" s="13" t="n">
        <v>-0.2882</v>
      </c>
      <c r="C1214" s="14">
        <f>B1214*100</f>
        <v/>
      </c>
    </row>
    <row r="1215">
      <c r="A1215" s="12" t="n">
        <v>44411</v>
      </c>
      <c r="B1215" s="13" t="n">
        <v>-0.2986</v>
      </c>
      <c r="C1215" s="14">
        <f>B1215*100</f>
        <v/>
      </c>
    </row>
    <row r="1216">
      <c r="A1216" s="12" t="n">
        <v>44412</v>
      </c>
      <c r="B1216" s="13" t="n">
        <v>-0.2987</v>
      </c>
      <c r="C1216" s="14">
        <f>B1216*100</f>
        <v/>
      </c>
    </row>
    <row r="1217">
      <c r="A1217" s="12" t="n">
        <v>44413</v>
      </c>
      <c r="B1217" s="13" t="n">
        <v>-0.2811</v>
      </c>
      <c r="C1217" s="14">
        <f>B1217*100</f>
        <v/>
      </c>
    </row>
    <row r="1218">
      <c r="A1218" s="12" t="n">
        <v>44414</v>
      </c>
      <c r="B1218" s="13" t="n">
        <v>-0.2517</v>
      </c>
      <c r="C1218" s="14">
        <f>B1218*100</f>
        <v/>
      </c>
    </row>
    <row r="1219">
      <c r="A1219" s="12" t="n">
        <v>44417</v>
      </c>
      <c r="B1219" s="13" t="n">
        <v>-0.2347</v>
      </c>
      <c r="C1219" s="14">
        <f>B1219*100</f>
        <v/>
      </c>
    </row>
    <row r="1220">
      <c r="A1220" s="12" t="n">
        <v>44418</v>
      </c>
      <c r="B1220" s="13" t="n">
        <v>-0.2165</v>
      </c>
      <c r="C1220" s="14">
        <f>B1220*100</f>
        <v/>
      </c>
    </row>
    <row r="1221">
      <c r="A1221" s="12" t="n">
        <v>44419</v>
      </c>
      <c r="B1221" s="13" t="n">
        <v>-0.2153</v>
      </c>
      <c r="C1221" s="14">
        <f>B1221*100</f>
        <v/>
      </c>
    </row>
    <row r="1222">
      <c r="A1222" s="12" t="n">
        <v>44420</v>
      </c>
      <c r="B1222" s="13" t="n">
        <v>-0.2063</v>
      </c>
      <c r="C1222" s="14">
        <f>B1222*100</f>
        <v/>
      </c>
    </row>
    <row r="1223">
      <c r="A1223" s="12" t="n">
        <v>44421</v>
      </c>
      <c r="B1223" s="13" t="n">
        <v>-0.2244</v>
      </c>
      <c r="C1223" s="14">
        <f>B1223*100</f>
        <v/>
      </c>
    </row>
    <row r="1224">
      <c r="A1224" s="12" t="n">
        <v>44424</v>
      </c>
      <c r="B1224" s="13" t="n">
        <v>-0.244</v>
      </c>
      <c r="C1224" s="14">
        <f>B1224*100</f>
        <v/>
      </c>
    </row>
    <row r="1225">
      <c r="A1225" s="12" t="n">
        <v>44425</v>
      </c>
      <c r="B1225" s="13" t="n">
        <v>-0.2468</v>
      </c>
      <c r="C1225" s="14">
        <f>B1225*100</f>
        <v/>
      </c>
    </row>
    <row r="1226">
      <c r="A1226" s="12" t="n">
        <v>44426</v>
      </c>
      <c r="B1226" s="13" t="n">
        <v>-0.2456</v>
      </c>
      <c r="C1226" s="14">
        <f>B1226*100</f>
        <v/>
      </c>
    </row>
    <row r="1227">
      <c r="A1227" s="12" t="n">
        <v>44427</v>
      </c>
      <c r="B1227" s="13" t="n">
        <v>-0.2518</v>
      </c>
      <c r="C1227" s="14">
        <f>B1227*100</f>
        <v/>
      </c>
    </row>
    <row r="1228">
      <c r="A1228" s="12" t="n">
        <v>44428</v>
      </c>
      <c r="B1228" s="13" t="n">
        <v>-0.2471</v>
      </c>
      <c r="C1228" s="14">
        <f>B1228*100</f>
        <v/>
      </c>
    </row>
    <row r="1229">
      <c r="A1229" s="12" t="n">
        <v>44431</v>
      </c>
      <c r="B1229" s="13" t="n">
        <v>-0.2508</v>
      </c>
      <c r="C1229" s="14">
        <f>B1229*100</f>
        <v/>
      </c>
    </row>
    <row r="1230">
      <c r="A1230" s="12" t="n">
        <v>44432</v>
      </c>
      <c r="B1230" s="13" t="n">
        <v>-0.2393</v>
      </c>
      <c r="C1230" s="14">
        <f>B1230*100</f>
        <v/>
      </c>
    </row>
    <row r="1231">
      <c r="A1231" s="12" t="n">
        <v>44433</v>
      </c>
      <c r="B1231" s="13" t="n">
        <v>-0.219</v>
      </c>
      <c r="C1231" s="14">
        <f>B1231*100</f>
        <v/>
      </c>
    </row>
    <row r="1232">
      <c r="A1232" s="12" t="n">
        <v>44434</v>
      </c>
      <c r="B1232" s="13" t="n">
        <v>-0.2119</v>
      </c>
      <c r="C1232" s="14">
        <f>B1232*100</f>
        <v/>
      </c>
    </row>
    <row r="1233">
      <c r="A1233" s="12" t="n">
        <v>44435</v>
      </c>
      <c r="B1233" s="13" t="n">
        <v>-0.2233</v>
      </c>
      <c r="C1233" s="14">
        <f>B1233*100</f>
        <v/>
      </c>
    </row>
    <row r="1234">
      <c r="A1234" s="12" t="n">
        <v>44438</v>
      </c>
      <c r="B1234" s="13" t="n">
        <v>-0.235</v>
      </c>
      <c r="C1234" s="14">
        <f>B1234*100</f>
        <v/>
      </c>
    </row>
    <row r="1235">
      <c r="A1235" s="12" t="n">
        <v>44439</v>
      </c>
      <c r="B1235" s="13" t="n">
        <v>-0.2339</v>
      </c>
      <c r="C1235" s="14">
        <f>B1235*100</f>
        <v/>
      </c>
    </row>
    <row r="1236">
      <c r="A1236" s="12" t="n">
        <v>44440</v>
      </c>
      <c r="B1236" s="13" t="n">
        <v>-0.2337</v>
      </c>
      <c r="C1236" s="14">
        <f>B1236*100</f>
        <v/>
      </c>
    </row>
    <row r="1237">
      <c r="A1237" s="12" t="n">
        <v>44441</v>
      </c>
      <c r="B1237" s="13" t="n">
        <v>-0.2369</v>
      </c>
      <c r="C1237" s="14">
        <f>B1237*100</f>
        <v/>
      </c>
    </row>
    <row r="1238">
      <c r="A1238" s="12" t="n">
        <v>44442</v>
      </c>
      <c r="B1238" s="13" t="n">
        <v>-0.2295</v>
      </c>
      <c r="C1238" s="14">
        <f>B1238*100</f>
        <v/>
      </c>
    </row>
    <row r="1239">
      <c r="A1239" s="12" t="n">
        <v>44446</v>
      </c>
      <c r="B1239" s="13" t="n">
        <v>-0.2107</v>
      </c>
      <c r="C1239" s="14">
        <f>B1239*100</f>
        <v/>
      </c>
    </row>
    <row r="1240">
      <c r="A1240" s="12" t="n">
        <v>44447</v>
      </c>
      <c r="B1240" s="13" t="n">
        <v>-0.2155</v>
      </c>
      <c r="C1240" s="14">
        <f>B1240*100</f>
        <v/>
      </c>
    </row>
    <row r="1241">
      <c r="A1241" s="12" t="n">
        <v>44448</v>
      </c>
      <c r="B1241" s="13" t="n">
        <v>-0.2268</v>
      </c>
      <c r="C1241" s="14">
        <f>B1241*100</f>
        <v/>
      </c>
    </row>
    <row r="1242">
      <c r="A1242" s="12" t="n">
        <v>44449</v>
      </c>
      <c r="B1242" s="13" t="n">
        <v>-0.2163</v>
      </c>
      <c r="C1242" s="14">
        <f>B1242*100</f>
        <v/>
      </c>
    </row>
    <row r="1243">
      <c r="A1243" s="12" t="n">
        <v>44452</v>
      </c>
      <c r="B1243" s="13" t="n">
        <v>-0.2205</v>
      </c>
      <c r="C1243" s="14">
        <f>B1243*100</f>
        <v/>
      </c>
    </row>
    <row r="1244">
      <c r="A1244" s="12" t="n">
        <v>44453</v>
      </c>
      <c r="B1244" s="13" t="n">
        <v>-0.2348</v>
      </c>
      <c r="C1244" s="14">
        <f>B1244*100</f>
        <v/>
      </c>
    </row>
    <row r="1245">
      <c r="A1245" s="12" t="n">
        <v>44454</v>
      </c>
      <c r="B1245" s="13" t="n">
        <v>-0.23</v>
      </c>
      <c r="C1245" s="14">
        <f>B1245*100</f>
        <v/>
      </c>
    </row>
    <row r="1246">
      <c r="A1246" s="12" t="n">
        <v>44455</v>
      </c>
      <c r="B1246" s="13" t="n">
        <v>-0.2146</v>
      </c>
      <c r="C1246" s="14">
        <f>B1246*100</f>
        <v/>
      </c>
    </row>
    <row r="1247">
      <c r="A1247" s="12" t="n">
        <v>44456</v>
      </c>
      <c r="B1247" s="13" t="n">
        <v>-0.1965</v>
      </c>
      <c r="C1247" s="14">
        <f>B1247*100</f>
        <v/>
      </c>
    </row>
    <row r="1248">
      <c r="A1248" s="12" t="n">
        <v>44459</v>
      </c>
      <c r="B1248" s="13" t="n">
        <v>-0.2121</v>
      </c>
      <c r="C1248" s="14">
        <f>B1248*100</f>
        <v/>
      </c>
    </row>
    <row r="1249">
      <c r="A1249" s="12" t="n">
        <v>44460</v>
      </c>
      <c r="B1249" s="13" t="n">
        <v>-0.211</v>
      </c>
      <c r="C1249" s="14">
        <f>B1249*100</f>
        <v/>
      </c>
    </row>
    <row r="1250">
      <c r="A1250" s="12" t="n">
        <v>44461</v>
      </c>
      <c r="B1250" s="13" t="n">
        <v>-0.2083</v>
      </c>
      <c r="C1250" s="14">
        <f>B1250*100</f>
        <v/>
      </c>
    </row>
    <row r="1251">
      <c r="A1251" s="12" t="n">
        <v>44462</v>
      </c>
      <c r="B1251" s="13" t="n">
        <v>-0.1731</v>
      </c>
      <c r="C1251" s="14">
        <f>B1251*100</f>
        <v/>
      </c>
    </row>
    <row r="1252">
      <c r="A1252" s="12" t="n">
        <v>44463</v>
      </c>
      <c r="B1252" s="13" t="n">
        <v>-0.1448</v>
      </c>
      <c r="C1252" s="14">
        <f>B1252*100</f>
        <v/>
      </c>
    </row>
    <row r="1253">
      <c r="A1253" s="12" t="n">
        <v>44466</v>
      </c>
      <c r="B1253" s="13" t="n">
        <v>-0.1278</v>
      </c>
      <c r="C1253" s="14">
        <f>B1253*100</f>
        <v/>
      </c>
    </row>
    <row r="1254">
      <c r="A1254" s="12" t="n">
        <v>44467</v>
      </c>
      <c r="B1254" s="13" t="n">
        <v>-0.1048</v>
      </c>
      <c r="C1254" s="14">
        <f>B1254*100</f>
        <v/>
      </c>
    </row>
    <row r="1255">
      <c r="A1255" s="12" t="n">
        <v>44468</v>
      </c>
      <c r="B1255" s="13" t="n">
        <v>-0.0969</v>
      </c>
      <c r="C1255" s="14">
        <f>B1255*100</f>
        <v/>
      </c>
    </row>
    <row r="1256">
      <c r="A1256" s="12" t="n">
        <v>44469</v>
      </c>
      <c r="B1256" s="13" t="n">
        <v>-0.1031</v>
      </c>
      <c r="C1256" s="14">
        <f>B1256*100</f>
        <v/>
      </c>
    </row>
    <row r="1257">
      <c r="A1257" s="12" t="n">
        <v>44470</v>
      </c>
      <c r="B1257" s="13" t="n">
        <v>-0.1222</v>
      </c>
      <c r="C1257" s="14">
        <f>B1257*100</f>
        <v/>
      </c>
    </row>
    <row r="1258">
      <c r="A1258" s="12" t="n">
        <v>44473</v>
      </c>
      <c r="B1258" s="13" t="n">
        <v>-0.1227</v>
      </c>
      <c r="C1258" s="14">
        <f>B1258*100</f>
        <v/>
      </c>
    </row>
    <row r="1259">
      <c r="A1259" s="12" t="n">
        <v>44474</v>
      </c>
      <c r="B1259" s="13" t="n">
        <v>-0.1072</v>
      </c>
      <c r="C1259" s="14">
        <f>B1259*100</f>
        <v/>
      </c>
    </row>
    <row r="1260">
      <c r="A1260" s="12" t="n">
        <v>44475</v>
      </c>
      <c r="B1260" s="13" t="n">
        <v>-0.1038</v>
      </c>
      <c r="C1260" s="14">
        <f>B1260*100</f>
        <v/>
      </c>
    </row>
    <row r="1261">
      <c r="A1261" s="12" t="n">
        <v>44476</v>
      </c>
      <c r="B1261" s="13" t="n">
        <v>-0.0862</v>
      </c>
      <c r="C1261" s="14">
        <f>B1261*100</f>
        <v/>
      </c>
    </row>
    <row r="1262">
      <c r="A1262" s="12" t="n">
        <v>44477</v>
      </c>
      <c r="B1262" s="13" t="n">
        <v>-0.0688</v>
      </c>
      <c r="C1262" s="14">
        <f>B1262*100</f>
        <v/>
      </c>
    </row>
    <row r="1263">
      <c r="A1263" s="12" t="n">
        <v>44481</v>
      </c>
      <c r="B1263" s="13" t="n">
        <v>-0.0653</v>
      </c>
      <c r="C1263" s="14">
        <f>B1263*100</f>
        <v/>
      </c>
    </row>
    <row r="1264">
      <c r="A1264" s="12" t="n">
        <v>44482</v>
      </c>
      <c r="B1264" s="13" t="n">
        <v>-0.06759999999999999</v>
      </c>
      <c r="C1264" s="14">
        <f>B1264*100</f>
        <v/>
      </c>
    </row>
    <row r="1265">
      <c r="A1265" s="12" t="n">
        <v>44483</v>
      </c>
      <c r="B1265" s="13" t="n">
        <v>-0.08359999999999999</v>
      </c>
      <c r="C1265" s="14">
        <f>B1265*100</f>
        <v/>
      </c>
    </row>
    <row r="1266">
      <c r="A1266" s="12" t="n">
        <v>44484</v>
      </c>
      <c r="B1266" s="13" t="n">
        <v>-0.0606</v>
      </c>
      <c r="C1266" s="14">
        <f>B1266*100</f>
        <v/>
      </c>
    </row>
    <row r="1267">
      <c r="A1267" s="12" t="n">
        <v>44487</v>
      </c>
      <c r="B1267" s="13" t="n">
        <v>-0.0499</v>
      </c>
      <c r="C1267" s="14">
        <f>B1267*100</f>
        <v/>
      </c>
    </row>
    <row r="1268">
      <c r="A1268" s="12" t="n">
        <v>44488</v>
      </c>
      <c r="B1268" s="13" t="n">
        <v>-0.0333</v>
      </c>
      <c r="C1268" s="14">
        <f>B1268*100</f>
        <v/>
      </c>
    </row>
    <row r="1269">
      <c r="A1269" s="12" t="n">
        <v>44489</v>
      </c>
      <c r="B1269" s="13" t="n">
        <v>-0.0286</v>
      </c>
      <c r="C1269" s="14">
        <f>B1269*100</f>
        <v/>
      </c>
    </row>
    <row r="1270">
      <c r="A1270" s="12" t="n">
        <v>44490</v>
      </c>
      <c r="B1270" s="13" t="n">
        <v>-0.006</v>
      </c>
      <c r="C1270" s="14">
        <f>B1270*100</f>
        <v/>
      </c>
    </row>
    <row r="1271">
      <c r="A1271" s="12" t="n">
        <v>44491</v>
      </c>
      <c r="B1271" s="13" t="n">
        <v>-0.0077</v>
      </c>
      <c r="C1271" s="14">
        <f>B1271*100</f>
        <v/>
      </c>
    </row>
    <row r="1272">
      <c r="A1272" s="12" t="n">
        <v>44494</v>
      </c>
      <c r="B1272" s="13" t="n">
        <v>-0.0183</v>
      </c>
      <c r="C1272" s="14">
        <f>B1272*100</f>
        <v/>
      </c>
    </row>
    <row r="1273">
      <c r="A1273" s="12" t="n">
        <v>44495</v>
      </c>
      <c r="B1273" s="13" t="n">
        <v>-0.0236</v>
      </c>
      <c r="C1273" s="14">
        <f>B1273*100</f>
        <v/>
      </c>
    </row>
    <row r="1274">
      <c r="A1274" s="12" t="n">
        <v>44496</v>
      </c>
      <c r="B1274" s="13" t="n">
        <v>-0.0486</v>
      </c>
      <c r="C1274" s="14">
        <f>B1274*100</f>
        <v/>
      </c>
    </row>
    <row r="1275">
      <c r="A1275" s="12" t="n">
        <v>44497</v>
      </c>
      <c r="B1275" s="13" t="n">
        <v>-0.0429</v>
      </c>
      <c r="C1275" s="14">
        <f>B1275*100</f>
        <v/>
      </c>
    </row>
    <row r="1276">
      <c r="A1276" s="12" t="n">
        <v>44498</v>
      </c>
      <c r="B1276" s="13" t="n">
        <v>-0.0441</v>
      </c>
      <c r="C1276" s="14">
        <f>B1276*100</f>
        <v/>
      </c>
    </row>
    <row r="1277">
      <c r="A1277" s="12" t="n">
        <v>44501</v>
      </c>
      <c r="B1277" s="13" t="n">
        <v>-0.0342</v>
      </c>
      <c r="C1277" s="14">
        <f>B1277*100</f>
        <v/>
      </c>
    </row>
    <row r="1278">
      <c r="A1278" s="12" t="n">
        <v>44502</v>
      </c>
      <c r="B1278" s="13" t="n">
        <v>-0.05</v>
      </c>
      <c r="C1278" s="14">
        <f>B1278*100</f>
        <v/>
      </c>
    </row>
    <row r="1279">
      <c r="A1279" s="12" t="n">
        <v>44503</v>
      </c>
      <c r="B1279" s="13" t="n">
        <v>-0.0381</v>
      </c>
      <c r="C1279" s="14">
        <f>B1279*100</f>
        <v/>
      </c>
    </row>
    <row r="1280">
      <c r="A1280" s="12" t="n">
        <v>44504</v>
      </c>
      <c r="B1280" s="13" t="n">
        <v>-0.0673</v>
      </c>
      <c r="C1280" s="14">
        <f>B1280*100</f>
        <v/>
      </c>
    </row>
    <row r="1281">
      <c r="A1281" s="12" t="n">
        <v>44505</v>
      </c>
      <c r="B1281" s="13" t="n">
        <v>-0.1019</v>
      </c>
      <c r="C1281" s="14">
        <f>B1281*100</f>
        <v/>
      </c>
    </row>
    <row r="1282">
      <c r="A1282" s="12" t="n">
        <v>44508</v>
      </c>
      <c r="B1282" s="13" t="n">
        <v>-0.0839</v>
      </c>
      <c r="C1282" s="14">
        <f>B1282*100</f>
        <v/>
      </c>
    </row>
    <row r="1283">
      <c r="A1283" s="12" t="n">
        <v>44509</v>
      </c>
      <c r="B1283" s="13" t="n">
        <v>-0.1019</v>
      </c>
      <c r="C1283" s="14">
        <f>B1283*100</f>
        <v/>
      </c>
    </row>
    <row r="1284">
      <c r="A1284" s="12" t="n">
        <v>44510</v>
      </c>
      <c r="B1284" s="13" t="n">
        <v>-0.0558</v>
      </c>
      <c r="C1284" s="14">
        <f>B1284*100</f>
        <v/>
      </c>
    </row>
    <row r="1285">
      <c r="A1285" s="12" t="n">
        <v>44512</v>
      </c>
      <c r="B1285" s="13" t="n">
        <v>-0.0373</v>
      </c>
      <c r="C1285" s="14">
        <f>B1285*100</f>
        <v/>
      </c>
    </row>
    <row r="1286">
      <c r="A1286" s="12" t="n">
        <v>44515</v>
      </c>
      <c r="B1286" s="13" t="n">
        <v>-0.0172</v>
      </c>
      <c r="C1286" s="14">
        <f>B1286*100</f>
        <v/>
      </c>
    </row>
    <row r="1287">
      <c r="A1287" s="12" t="n">
        <v>44516</v>
      </c>
      <c r="B1287" s="13" t="n">
        <v>-0.007900000000000001</v>
      </c>
      <c r="C1287" s="14">
        <f>B1287*100</f>
        <v/>
      </c>
    </row>
    <row r="1288">
      <c r="A1288" s="12" t="n">
        <v>44517</v>
      </c>
      <c r="B1288" s="13" t="n">
        <v>-0.0145</v>
      </c>
      <c r="C1288" s="14">
        <f>B1288*100</f>
        <v/>
      </c>
    </row>
    <row r="1289">
      <c r="A1289" s="12" t="n">
        <v>44518</v>
      </c>
      <c r="B1289" s="13" t="n">
        <v>-0.0226</v>
      </c>
      <c r="C1289" s="14">
        <f>B1289*100</f>
        <v/>
      </c>
    </row>
    <row r="1290">
      <c r="A1290" s="12" t="n">
        <v>44519</v>
      </c>
      <c r="B1290" s="13" t="n">
        <v>-0.0334</v>
      </c>
      <c r="C1290" s="14">
        <f>B1290*100</f>
        <v/>
      </c>
    </row>
    <row r="1291">
      <c r="A1291" s="12" t="n">
        <v>44522</v>
      </c>
      <c r="B1291" s="13" t="n">
        <v>0.0019</v>
      </c>
      <c r="C1291" s="14">
        <f>B1291*100</f>
        <v/>
      </c>
    </row>
    <row r="1292">
      <c r="A1292" s="12" t="n">
        <v>44523</v>
      </c>
      <c r="B1292" s="13" t="n">
        <v>0.0187</v>
      </c>
      <c r="C1292" s="14">
        <f>B1292*100</f>
        <v/>
      </c>
    </row>
    <row r="1293">
      <c r="A1293" s="12" t="n">
        <v>44524</v>
      </c>
      <c r="B1293" s="13" t="n">
        <v>0.0205</v>
      </c>
      <c r="C1293" s="14">
        <f>B1293*100</f>
        <v/>
      </c>
    </row>
    <row r="1294">
      <c r="A1294" s="12" t="n">
        <v>44526</v>
      </c>
      <c r="B1294" s="13" t="n">
        <v>-0.0483</v>
      </c>
      <c r="C1294" s="14">
        <f>B1294*100</f>
        <v/>
      </c>
    </row>
    <row r="1295">
      <c r="A1295" s="12" t="n">
        <v>44529</v>
      </c>
      <c r="B1295" s="13" t="n">
        <v>-0.0568</v>
      </c>
      <c r="C1295" s="14">
        <f>B1295*100</f>
        <v/>
      </c>
    </row>
    <row r="1296">
      <c r="A1296" s="12" t="n">
        <v>44530</v>
      </c>
      <c r="B1296" s="13" t="n">
        <v>-0.0822</v>
      </c>
      <c r="C1296" s="14">
        <f>B1296*100</f>
        <v/>
      </c>
    </row>
    <row r="1297">
      <c r="A1297" s="12" t="n">
        <v>44531</v>
      </c>
      <c r="B1297" s="13" t="n">
        <v>-0.0871</v>
      </c>
      <c r="C1297" s="14">
        <f>B1297*100</f>
        <v/>
      </c>
    </row>
    <row r="1298">
      <c r="A1298" s="12" t="n">
        <v>44532</v>
      </c>
      <c r="B1298" s="13" t="n">
        <v>-0.07820000000000001</v>
      </c>
      <c r="C1298" s="14">
        <f>B1298*100</f>
        <v/>
      </c>
    </row>
    <row r="1299">
      <c r="A1299" s="12" t="n">
        <v>44533</v>
      </c>
      <c r="B1299" s="13" t="n">
        <v>-0.1105</v>
      </c>
      <c r="C1299" s="14">
        <f>B1299*100</f>
        <v/>
      </c>
    </row>
    <row r="1300">
      <c r="A1300" s="12" t="n">
        <v>44536</v>
      </c>
      <c r="B1300" s="13" t="n">
        <v>-0.092</v>
      </c>
      <c r="C1300" s="14">
        <f>B1300*100</f>
        <v/>
      </c>
    </row>
    <row r="1301">
      <c r="A1301" s="12" t="n">
        <v>44537</v>
      </c>
      <c r="B1301" s="13" t="n">
        <v>-0.0694</v>
      </c>
      <c r="C1301" s="14">
        <f>B1301*100</f>
        <v/>
      </c>
    </row>
    <row r="1302">
      <c r="A1302" s="12" t="n">
        <v>44538</v>
      </c>
      <c r="B1302" s="13" t="n">
        <v>-0.0593</v>
      </c>
      <c r="C1302" s="14">
        <f>B1302*100</f>
        <v/>
      </c>
    </row>
    <row r="1303">
      <c r="A1303" s="12" t="n">
        <v>44539</v>
      </c>
      <c r="B1303" s="13" t="n">
        <v>-0.0617</v>
      </c>
      <c r="C1303" s="14">
        <f>B1303*100</f>
        <v/>
      </c>
    </row>
    <row r="1304">
      <c r="A1304" s="12" t="n">
        <v>44540</v>
      </c>
      <c r="B1304" s="13" t="n">
        <v>-0.0641</v>
      </c>
      <c r="C1304" s="14">
        <f>B1304*100</f>
        <v/>
      </c>
    </row>
    <row r="1305">
      <c r="A1305" s="12" t="n">
        <v>44543</v>
      </c>
      <c r="B1305" s="13" t="n">
        <v>-0.0822</v>
      </c>
      <c r="C1305" s="14">
        <f>B1305*100</f>
        <v/>
      </c>
    </row>
    <row r="1306">
      <c r="A1306" s="12" t="n">
        <v>44544</v>
      </c>
      <c r="B1306" s="13" t="n">
        <v>-0.0789</v>
      </c>
      <c r="C1306" s="14">
        <f>B1306*100</f>
        <v/>
      </c>
    </row>
    <row r="1307">
      <c r="A1307" s="12" t="n">
        <v>44545</v>
      </c>
      <c r="B1307" s="13" t="n">
        <v>-0.06710000000000001</v>
      </c>
      <c r="C1307" s="14">
        <f>B1307*100</f>
        <v/>
      </c>
    </row>
    <row r="1308">
      <c r="A1308" s="12" t="n">
        <v>44546</v>
      </c>
      <c r="B1308" s="13" t="n">
        <v>-0.08749999999999999</v>
      </c>
      <c r="C1308" s="14">
        <f>B1308*100</f>
        <v/>
      </c>
    </row>
    <row r="1309">
      <c r="A1309" s="12" t="n">
        <v>44547</v>
      </c>
      <c r="B1309" s="13" t="n">
        <v>-0.09669999999999999</v>
      </c>
      <c r="C1309" s="14">
        <f>B1309*100</f>
        <v/>
      </c>
    </row>
    <row r="1310">
      <c r="A1310" s="12" t="n">
        <v>44550</v>
      </c>
      <c r="B1310" s="13" t="n">
        <v>-0.1022</v>
      </c>
      <c r="C1310" s="14">
        <f>B1310*100</f>
        <v/>
      </c>
    </row>
    <row r="1311">
      <c r="A1311" s="12" t="n">
        <v>44551</v>
      </c>
      <c r="B1311" s="13" t="n">
        <v>-0.0823</v>
      </c>
      <c r="C1311" s="14">
        <f>B1311*100</f>
        <v/>
      </c>
    </row>
    <row r="1312">
      <c r="A1312" s="12" t="n">
        <v>44552</v>
      </c>
      <c r="B1312" s="13" t="n">
        <v>-0.0814</v>
      </c>
      <c r="C1312" s="14">
        <f>B1312*100</f>
        <v/>
      </c>
    </row>
    <row r="1313">
      <c r="A1313" s="12" t="n">
        <v>44553</v>
      </c>
      <c r="B1313" s="13" t="n">
        <v>-0.0698</v>
      </c>
      <c r="C1313" s="14">
        <f>B1313*100</f>
        <v/>
      </c>
    </row>
    <row r="1314">
      <c r="A1314" s="12" t="n">
        <v>44557</v>
      </c>
      <c r="B1314" s="13" t="n">
        <v>-0.0696</v>
      </c>
      <c r="C1314" s="14">
        <f>B1314*100</f>
        <v/>
      </c>
    </row>
    <row r="1315">
      <c r="A1315" s="12" t="n">
        <v>44558</v>
      </c>
      <c r="B1315" s="13" t="n">
        <v>-0.0707</v>
      </c>
      <c r="C1315" s="14">
        <f>B1315*100</f>
        <v/>
      </c>
    </row>
    <row r="1316">
      <c r="A1316" s="12" t="n">
        <v>44559</v>
      </c>
      <c r="B1316" s="13" t="n">
        <v>-0.0501</v>
      </c>
      <c r="C1316" s="14">
        <f>B1316*100</f>
        <v/>
      </c>
    </row>
    <row r="1317">
      <c r="A1317" s="12" t="n">
        <v>44560</v>
      </c>
      <c r="B1317" s="13" t="n">
        <v>-0.0548</v>
      </c>
      <c r="C1317" s="14">
        <f>B1317*100</f>
        <v/>
      </c>
    </row>
    <row r="1318">
      <c r="A1318" s="12" t="n">
        <v>44561</v>
      </c>
      <c r="B1318" s="13" t="n">
        <v>-0.0588</v>
      </c>
      <c r="C1318" s="14">
        <f>B1318*100</f>
        <v/>
      </c>
    </row>
    <row r="1319">
      <c r="A1319" s="12" t="n">
        <v>44564</v>
      </c>
      <c r="B1319" s="13" t="n">
        <v>-0.0167</v>
      </c>
      <c r="C1319" s="14">
        <f>B1319*100</f>
        <v/>
      </c>
    </row>
    <row r="1320">
      <c r="A1320" s="12" t="n">
        <v>44565</v>
      </c>
      <c r="B1320" s="13" t="n">
        <v>0.0002</v>
      </c>
      <c r="C1320" s="14">
        <f>B1320*100</f>
        <v/>
      </c>
    </row>
    <row r="1321">
      <c r="A1321" s="12" t="n">
        <v>44566</v>
      </c>
      <c r="B1321" s="13" t="n">
        <v>0.0263</v>
      </c>
      <c r="C1321" s="14">
        <f>B1321*100</f>
        <v/>
      </c>
    </row>
    <row r="1322">
      <c r="A1322" s="12" t="n">
        <v>44567</v>
      </c>
      <c r="B1322" s="13" t="n">
        <v>0.0477</v>
      </c>
      <c r="C1322" s="14">
        <f>B1322*100</f>
        <v/>
      </c>
    </row>
    <row r="1323">
      <c r="A1323" s="12" t="n">
        <v>44568</v>
      </c>
      <c r="B1323" s="13" t="n">
        <v>0.0673</v>
      </c>
      <c r="C1323" s="14">
        <f>B1323*100</f>
        <v/>
      </c>
    </row>
    <row r="1324">
      <c r="A1324" s="12" t="n">
        <v>44571</v>
      </c>
      <c r="B1324" s="13" t="n">
        <v>0.0774</v>
      </c>
      <c r="C1324" s="14">
        <f>B1324*100</f>
        <v/>
      </c>
    </row>
    <row r="1325">
      <c r="A1325" s="12" t="n">
        <v>44572</v>
      </c>
      <c r="B1325" s="13" t="n">
        <v>0.0711</v>
      </c>
      <c r="C1325" s="14">
        <f>B1325*100</f>
        <v/>
      </c>
    </row>
    <row r="1326">
      <c r="A1326" s="12" t="n">
        <v>44573</v>
      </c>
      <c r="B1326" s="13" t="n">
        <v>0.065</v>
      </c>
      <c r="C1326" s="14">
        <f>B1326*100</f>
        <v/>
      </c>
    </row>
    <row r="1327">
      <c r="A1327" s="12" t="n">
        <v>44574</v>
      </c>
      <c r="B1327" s="13" t="n">
        <v>0.0486</v>
      </c>
      <c r="C1327" s="14">
        <f>B1327*100</f>
        <v/>
      </c>
    </row>
    <row r="1328">
      <c r="A1328" s="12" t="n">
        <v>44575</v>
      </c>
      <c r="B1328" s="13" t="n">
        <v>0.0764</v>
      </c>
      <c r="C1328" s="14">
        <f>B1328*100</f>
        <v/>
      </c>
    </row>
    <row r="1329">
      <c r="A1329" s="12" t="n">
        <v>44579</v>
      </c>
      <c r="B1329" s="13" t="n">
        <v>0.1132</v>
      </c>
      <c r="C1329" s="14">
        <f>B1329*100</f>
        <v/>
      </c>
    </row>
    <row r="1330">
      <c r="A1330" s="12" t="n">
        <v>44580</v>
      </c>
      <c r="B1330" s="13" t="n">
        <v>0.1079</v>
      </c>
      <c r="C1330" s="14">
        <f>B1330*100</f>
        <v/>
      </c>
    </row>
    <row r="1331">
      <c r="A1331" s="12" t="n">
        <v>44581</v>
      </c>
      <c r="B1331" s="13" t="n">
        <v>0.1035</v>
      </c>
      <c r="C1331" s="14">
        <f>B1331*100</f>
        <v/>
      </c>
    </row>
    <row r="1332">
      <c r="A1332" s="12" t="n">
        <v>44582</v>
      </c>
      <c r="B1332" s="13" t="n">
        <v>0.07190000000000001</v>
      </c>
      <c r="C1332" s="14">
        <f>B1332*100</f>
        <v/>
      </c>
    </row>
    <row r="1333">
      <c r="A1333" s="12" t="n">
        <v>44585</v>
      </c>
      <c r="B1333" s="13" t="n">
        <v>0.0584</v>
      </c>
      <c r="C1333" s="14">
        <f>B1333*100</f>
        <v/>
      </c>
    </row>
    <row r="1334">
      <c r="A1334" s="12" t="n">
        <v>44586</v>
      </c>
      <c r="B1334" s="13" t="n">
        <v>0.06619999999999999</v>
      </c>
      <c r="C1334" s="14">
        <f>B1334*100</f>
        <v/>
      </c>
    </row>
    <row r="1335">
      <c r="A1335" s="12" t="n">
        <v>44587</v>
      </c>
      <c r="B1335" s="13" t="n">
        <v>0.1015</v>
      </c>
      <c r="C1335" s="14">
        <f>B1335*100</f>
        <v/>
      </c>
    </row>
    <row r="1336">
      <c r="A1336" s="12" t="n">
        <v>44588</v>
      </c>
      <c r="B1336" s="13" t="n">
        <v>0.0994</v>
      </c>
      <c r="C1336" s="14">
        <f>B1336*100</f>
        <v/>
      </c>
    </row>
    <row r="1337">
      <c r="A1337" s="12" t="n">
        <v>44589</v>
      </c>
      <c r="B1337" s="13" t="n">
        <v>0.0789</v>
      </c>
      <c r="C1337" s="14">
        <f>B1337*100</f>
        <v/>
      </c>
    </row>
    <row r="1338">
      <c r="A1338" s="12" t="n">
        <v>44592</v>
      </c>
      <c r="B1338" s="13" t="n">
        <v>0.0721</v>
      </c>
      <c r="C1338" s="14">
        <f>B1338*100</f>
        <v/>
      </c>
    </row>
    <row r="1339">
      <c r="A1339" s="12" t="n">
        <v>44593</v>
      </c>
      <c r="B1339" s="13" t="n">
        <v>0.0735</v>
      </c>
      <c r="C1339" s="14">
        <f>B1339*100</f>
        <v/>
      </c>
    </row>
    <row r="1340">
      <c r="A1340" s="12" t="n">
        <v>44594</v>
      </c>
      <c r="B1340" s="13" t="n">
        <v>0.0641</v>
      </c>
      <c r="C1340" s="14">
        <f>B1340*100</f>
        <v/>
      </c>
    </row>
    <row r="1341">
      <c r="A1341" s="12" t="n">
        <v>44595</v>
      </c>
      <c r="B1341" s="13" t="n">
        <v>0.078</v>
      </c>
      <c r="C1341" s="14">
        <f>B1341*100</f>
        <v/>
      </c>
    </row>
    <row r="1342">
      <c r="A1342" s="12" t="n">
        <v>44596</v>
      </c>
      <c r="B1342" s="13" t="n">
        <v>0.124</v>
      </c>
      <c r="C1342" s="14">
        <f>B1342*100</f>
        <v/>
      </c>
    </row>
    <row r="1343">
      <c r="A1343" s="12" t="n">
        <v>44599</v>
      </c>
      <c r="B1343" s="13" t="n">
        <v>0.1219</v>
      </c>
      <c r="C1343" s="14">
        <f>B1343*100</f>
        <v/>
      </c>
    </row>
    <row r="1344">
      <c r="A1344" s="12" t="n">
        <v>44600</v>
      </c>
      <c r="B1344" s="13" t="n">
        <v>0.1375</v>
      </c>
      <c r="C1344" s="14">
        <f>B1344*100</f>
        <v/>
      </c>
    </row>
    <row r="1345">
      <c r="A1345" s="12" t="n">
        <v>44601</v>
      </c>
      <c r="B1345" s="13" t="n">
        <v>0.1408</v>
      </c>
      <c r="C1345" s="14">
        <f>B1345*100</f>
        <v/>
      </c>
    </row>
    <row r="1346">
      <c r="A1346" s="12" t="n">
        <v>44602</v>
      </c>
      <c r="B1346" s="13" t="n">
        <v>0.1787</v>
      </c>
      <c r="C1346" s="14">
        <f>B1346*100</f>
        <v/>
      </c>
    </row>
    <row r="1347">
      <c r="A1347" s="12" t="n">
        <v>44603</v>
      </c>
      <c r="B1347" s="13" t="n">
        <v>0.1368</v>
      </c>
      <c r="C1347" s="14">
        <f>B1347*100</f>
        <v/>
      </c>
    </row>
    <row r="1348">
      <c r="A1348" s="12" t="n">
        <v>44606</v>
      </c>
      <c r="B1348" s="13" t="n">
        <v>0.1441</v>
      </c>
      <c r="C1348" s="14">
        <f>B1348*100</f>
        <v/>
      </c>
    </row>
    <row r="1349">
      <c r="A1349" s="12" t="n">
        <v>44607</v>
      </c>
      <c r="B1349" s="13" t="n">
        <v>0.1615</v>
      </c>
      <c r="C1349" s="14">
        <f>B1349*100</f>
        <v/>
      </c>
    </row>
    <row r="1350">
      <c r="A1350" s="12" t="n">
        <v>44608</v>
      </c>
      <c r="B1350" s="13" t="n">
        <v>0.157</v>
      </c>
      <c r="C1350" s="14">
        <f>B1350*100</f>
        <v/>
      </c>
    </row>
    <row r="1351">
      <c r="A1351" s="12" t="n">
        <v>44609</v>
      </c>
      <c r="B1351" s="13" t="n">
        <v>0.138</v>
      </c>
      <c r="C1351" s="14">
        <f>B1351*100</f>
        <v/>
      </c>
    </row>
    <row r="1352">
      <c r="A1352" s="12" t="n">
        <v>44610</v>
      </c>
      <c r="B1352" s="13" t="n">
        <v>0.1211</v>
      </c>
      <c r="C1352" s="14">
        <f>B1352*100</f>
        <v/>
      </c>
    </row>
    <row r="1353">
      <c r="A1353" s="12" t="n">
        <v>44614</v>
      </c>
      <c r="B1353" s="13" t="n">
        <v>0.1216</v>
      </c>
      <c r="C1353" s="14">
        <f>B1353*100</f>
        <v/>
      </c>
    </row>
    <row r="1354">
      <c r="A1354" s="12" t="n">
        <v>44615</v>
      </c>
      <c r="B1354" s="13" t="n">
        <v>0.1372</v>
      </c>
      <c r="C1354" s="14">
        <f>B1354*100</f>
        <v/>
      </c>
    </row>
    <row r="1355">
      <c r="A1355" s="12" t="n">
        <v>44616</v>
      </c>
      <c r="B1355" s="13" t="n">
        <v>0.1312</v>
      </c>
      <c r="C1355" s="14">
        <f>B1355*100</f>
        <v/>
      </c>
    </row>
    <row r="1356">
      <c r="A1356" s="12" t="n">
        <v>44617</v>
      </c>
      <c r="B1356" s="13" t="n">
        <v>0.1391</v>
      </c>
      <c r="C1356" s="14">
        <f>B1356*100</f>
        <v/>
      </c>
    </row>
    <row r="1357">
      <c r="A1357" s="12" t="n">
        <v>44620</v>
      </c>
      <c r="B1357" s="13" t="n">
        <v>0.07679999999999999</v>
      </c>
      <c r="C1357" s="14">
        <f>B1357*100</f>
        <v/>
      </c>
    </row>
    <row r="1358">
      <c r="A1358" s="12" t="n">
        <v>44621</v>
      </c>
      <c r="B1358" s="13" t="n">
        <v>0.0117</v>
      </c>
      <c r="C1358" s="14">
        <f>B1358*100</f>
        <v/>
      </c>
    </row>
    <row r="1359">
      <c r="A1359" s="12" t="n">
        <v>44622</v>
      </c>
      <c r="B1359" s="13" t="n">
        <v>0.0638</v>
      </c>
      <c r="C1359" s="14">
        <f>B1359*100</f>
        <v/>
      </c>
    </row>
    <row r="1360">
      <c r="A1360" s="12" t="n">
        <v>44623</v>
      </c>
      <c r="B1360" s="13" t="n">
        <v>0.0684</v>
      </c>
      <c r="C1360" s="14">
        <f>B1360*100</f>
        <v/>
      </c>
    </row>
    <row r="1361">
      <c r="A1361" s="12" t="n">
        <v>44624</v>
      </c>
      <c r="B1361" s="13" t="n">
        <v>0.0239</v>
      </c>
      <c r="C1361" s="14">
        <f>B1361*100</f>
        <v/>
      </c>
    </row>
    <row r="1362">
      <c r="A1362" s="12" t="n">
        <v>44627</v>
      </c>
      <c r="B1362" s="13" t="n">
        <v>0.028</v>
      </c>
      <c r="C1362" s="14">
        <f>B1362*100</f>
        <v/>
      </c>
    </row>
    <row r="1363">
      <c r="A1363" s="12" t="n">
        <v>44628</v>
      </c>
      <c r="B1363" s="13" t="n">
        <v>0.0626</v>
      </c>
      <c r="C1363" s="14">
        <f>B1363*100</f>
        <v/>
      </c>
    </row>
    <row r="1364">
      <c r="A1364" s="12" t="n">
        <v>44629</v>
      </c>
      <c r="B1364" s="13" t="n">
        <v>0.0949</v>
      </c>
      <c r="C1364" s="14">
        <f>B1364*100</f>
        <v/>
      </c>
    </row>
    <row r="1365">
      <c r="A1365" s="12" t="n">
        <v>44630</v>
      </c>
      <c r="B1365" s="13" t="n">
        <v>0.1233</v>
      </c>
      <c r="C1365" s="14">
        <f>B1365*100</f>
        <v/>
      </c>
    </row>
    <row r="1366">
      <c r="A1366" s="12" t="n">
        <v>44631</v>
      </c>
      <c r="B1366" s="13" t="n">
        <v>0.1393</v>
      </c>
      <c r="C1366" s="14">
        <f>B1366*100</f>
        <v/>
      </c>
    </row>
    <row r="1367">
      <c r="A1367" s="12" t="n">
        <v>44634</v>
      </c>
      <c r="B1367" s="13" t="n">
        <v>0.1947</v>
      </c>
      <c r="C1367" s="14">
        <f>B1367*100</f>
        <v/>
      </c>
    </row>
    <row r="1368">
      <c r="A1368" s="12" t="n">
        <v>44635</v>
      </c>
      <c r="B1368" s="13" t="n">
        <v>0.2069</v>
      </c>
      <c r="C1368" s="14">
        <f>B1368*100</f>
        <v/>
      </c>
    </row>
    <row r="1369">
      <c r="A1369" s="12" t="n">
        <v>44636</v>
      </c>
      <c r="B1369" s="13" t="n">
        <v>0.2366</v>
      </c>
      <c r="C1369" s="14">
        <f>B1369*100</f>
        <v/>
      </c>
    </row>
    <row r="1370">
      <c r="A1370" s="12" t="n">
        <v>44637</v>
      </c>
      <c r="B1370" s="13" t="n">
        <v>0.2502</v>
      </c>
      <c r="C1370" s="14">
        <f>B1370*100</f>
        <v/>
      </c>
    </row>
    <row r="1371">
      <c r="A1371" s="12" t="n">
        <v>44638</v>
      </c>
      <c r="B1371" s="13" t="n">
        <v>0.2377</v>
      </c>
      <c r="C1371" s="14">
        <f>B1371*100</f>
        <v/>
      </c>
    </row>
    <row r="1372">
      <c r="A1372" s="12" t="n">
        <v>44641</v>
      </c>
      <c r="B1372" s="13" t="n">
        <v>0.297</v>
      </c>
      <c r="C1372" s="14">
        <f>B1372*100</f>
        <v/>
      </c>
    </row>
    <row r="1373">
      <c r="A1373" s="12" t="n">
        <v>44642</v>
      </c>
      <c r="B1373" s="13" t="n">
        <v>0.3307</v>
      </c>
      <c r="C1373" s="14">
        <f>B1373*100</f>
        <v/>
      </c>
    </row>
    <row r="1374">
      <c r="A1374" s="12" t="n">
        <v>44643</v>
      </c>
      <c r="B1374" s="13" t="n">
        <v>0.3191</v>
      </c>
      <c r="C1374" s="14">
        <f>B1374*100</f>
        <v/>
      </c>
    </row>
    <row r="1375">
      <c r="A1375" s="12" t="n">
        <v>44644</v>
      </c>
      <c r="B1375" s="13" t="n">
        <v>0.3255</v>
      </c>
      <c r="C1375" s="14">
        <f>B1375*100</f>
        <v/>
      </c>
    </row>
    <row r="1376">
      <c r="A1376" s="12" t="n">
        <v>44645</v>
      </c>
      <c r="B1376" s="13" t="n">
        <v>0.3918</v>
      </c>
      <c r="C1376" s="14">
        <f>B1376*100</f>
        <v/>
      </c>
    </row>
    <row r="1377">
      <c r="A1377" s="12" t="n">
        <v>44648</v>
      </c>
      <c r="B1377" s="13" t="n">
        <v>0.3914</v>
      </c>
      <c r="C1377" s="14">
        <f>B1377*100</f>
        <v/>
      </c>
    </row>
    <row r="1378">
      <c r="A1378" s="12" t="n">
        <v>44649</v>
      </c>
      <c r="B1378" s="13" t="n">
        <v>0.3684</v>
      </c>
      <c r="C1378" s="14">
        <f>B1378*100</f>
        <v/>
      </c>
    </row>
    <row r="1379">
      <c r="A1379" s="12" t="n">
        <v>44650</v>
      </c>
      <c r="B1379" s="13" t="n">
        <v>0.3389</v>
      </c>
      <c r="C1379" s="14">
        <f>B1379*100</f>
        <v/>
      </c>
    </row>
    <row r="1380">
      <c r="A1380" s="12" t="n">
        <v>44651</v>
      </c>
      <c r="B1380" s="13" t="n">
        <v>0.32</v>
      </c>
      <c r="C1380" s="14">
        <f>B1380*100</f>
        <v/>
      </c>
    </row>
    <row r="1381">
      <c r="A1381" s="12" t="n">
        <v>44652</v>
      </c>
      <c r="B1381" s="13" t="n">
        <v>0.3539</v>
      </c>
      <c r="C1381" s="14">
        <f>B1381*100</f>
        <v/>
      </c>
    </row>
    <row r="1382">
      <c r="A1382" s="12" t="n">
        <v>44655</v>
      </c>
      <c r="B1382" s="13" t="n">
        <v>0.3562</v>
      </c>
      <c r="C1382" s="14">
        <f>B1382*100</f>
        <v/>
      </c>
    </row>
    <row r="1383">
      <c r="A1383" s="12" t="n">
        <v>44656</v>
      </c>
      <c r="B1383" s="13" t="n">
        <v>0.4026</v>
      </c>
      <c r="C1383" s="14">
        <f>B1383*100</f>
        <v/>
      </c>
    </row>
    <row r="1384">
      <c r="A1384" s="12" t="n">
        <v>44657</v>
      </c>
      <c r="B1384" s="13" t="n">
        <v>0.4281</v>
      </c>
      <c r="C1384" s="14">
        <f>B1384*100</f>
        <v/>
      </c>
    </row>
    <row r="1385">
      <c r="A1385" s="12" t="n">
        <v>44658</v>
      </c>
      <c r="B1385" s="13" t="n">
        <v>0.4482</v>
      </c>
      <c r="C1385" s="14">
        <f>B1385*100</f>
        <v/>
      </c>
    </row>
    <row r="1386">
      <c r="A1386" s="12" t="n">
        <v>44659</v>
      </c>
      <c r="B1386" s="13" t="n">
        <v>0.4805</v>
      </c>
      <c r="C1386" s="14">
        <f>B1386*100</f>
        <v/>
      </c>
    </row>
    <row r="1387">
      <c r="A1387" s="12" t="n">
        <v>44662</v>
      </c>
      <c r="B1387" s="13" t="n">
        <v>0.4966</v>
      </c>
      <c r="C1387" s="14">
        <f>B1387*100</f>
        <v/>
      </c>
    </row>
    <row r="1388">
      <c r="A1388" s="12" t="n">
        <v>44663</v>
      </c>
      <c r="B1388" s="13" t="n">
        <v>0.4628</v>
      </c>
      <c r="C1388" s="14">
        <f>B1388*100</f>
        <v/>
      </c>
    </row>
    <row r="1389">
      <c r="A1389" s="12" t="n">
        <v>44664</v>
      </c>
      <c r="B1389" s="13" t="n">
        <v>0.4507</v>
      </c>
      <c r="C1389" s="14">
        <f>B1389*100</f>
        <v/>
      </c>
    </row>
    <row r="1390">
      <c r="A1390" s="12" t="n">
        <v>44665</v>
      </c>
      <c r="B1390" s="13" t="n">
        <v>0.4991</v>
      </c>
      <c r="C1390" s="14">
        <f>B1390*100</f>
        <v/>
      </c>
    </row>
    <row r="1391">
      <c r="A1391" s="12" t="n">
        <v>44669</v>
      </c>
      <c r="B1391" s="13" t="n">
        <v>0.5119</v>
      </c>
      <c r="C1391" s="14">
        <f>B1391*100</f>
        <v/>
      </c>
    </row>
    <row r="1392">
      <c r="A1392" s="12" t="n">
        <v>44670</v>
      </c>
      <c r="B1392" s="13" t="n">
        <v>0.5547</v>
      </c>
      <c r="C1392" s="14">
        <f>B1392*100</f>
        <v/>
      </c>
    </row>
    <row r="1393">
      <c r="A1393" s="12" t="n">
        <v>44671</v>
      </c>
      <c r="B1393" s="13" t="n">
        <v>0.5389</v>
      </c>
      <c r="C1393" s="14">
        <f>B1393*100</f>
        <v/>
      </c>
    </row>
    <row r="1394">
      <c r="A1394" s="12" t="n">
        <v>44672</v>
      </c>
      <c r="B1394" s="13" t="n">
        <v>0.5622</v>
      </c>
      <c r="C1394" s="14">
        <f>B1394*100</f>
        <v/>
      </c>
    </row>
    <row r="1395">
      <c r="A1395" s="12" t="n">
        <v>44673</v>
      </c>
      <c r="B1395" s="13" t="n">
        <v>0.5622</v>
      </c>
      <c r="C1395" s="14">
        <f>B1395*100</f>
        <v/>
      </c>
    </row>
    <row r="1396">
      <c r="A1396" s="12" t="n">
        <v>44676</v>
      </c>
      <c r="B1396" s="13" t="n">
        <v>0.51</v>
      </c>
      <c r="C1396" s="14">
        <f>B1396*100</f>
        <v/>
      </c>
    </row>
    <row r="1397">
      <c r="A1397" s="12" t="n">
        <v>44677</v>
      </c>
      <c r="B1397" s="13" t="n">
        <v>0.4752</v>
      </c>
      <c r="C1397" s="14">
        <f>B1397*100</f>
        <v/>
      </c>
    </row>
    <row r="1398">
      <c r="A1398" s="12" t="n">
        <v>44678</v>
      </c>
      <c r="B1398" s="13" t="n">
        <v>0.4848</v>
      </c>
      <c r="C1398" s="14">
        <f>B1398*100</f>
        <v/>
      </c>
    </row>
    <row r="1399">
      <c r="A1399" s="12" t="n">
        <v>44679</v>
      </c>
      <c r="B1399" s="13" t="n">
        <v>0.5063</v>
      </c>
      <c r="C1399" s="14">
        <f>B1399*100</f>
        <v/>
      </c>
    </row>
    <row r="1400">
      <c r="A1400" s="12" t="n">
        <v>44680</v>
      </c>
      <c r="B1400" s="13" t="n">
        <v>0.534</v>
      </c>
      <c r="C1400" s="14">
        <f>B1400*100</f>
        <v/>
      </c>
    </row>
    <row r="1401">
      <c r="A1401" s="12" t="n">
        <v>44683</v>
      </c>
      <c r="B1401" s="13" t="n">
        <v>0.5674</v>
      </c>
      <c r="C1401" s="14">
        <f>B1401*100</f>
        <v/>
      </c>
    </row>
    <row r="1402">
      <c r="A1402" s="12" t="n">
        <v>44684</v>
      </c>
      <c r="B1402" s="13" t="n">
        <v>0.5728</v>
      </c>
      <c r="C1402" s="14">
        <f>B1402*100</f>
        <v/>
      </c>
    </row>
    <row r="1403">
      <c r="A1403" s="12" t="n">
        <v>44685</v>
      </c>
      <c r="B1403" s="13" t="n">
        <v>0.55</v>
      </c>
      <c r="C1403" s="14">
        <f>B1403*100</f>
        <v/>
      </c>
    </row>
    <row r="1404">
      <c r="A1404" s="12" t="n">
        <v>44686</v>
      </c>
      <c r="B1404" s="13" t="n">
        <v>0.5935</v>
      </c>
      <c r="C1404" s="14">
        <f>B1404*100</f>
        <v/>
      </c>
    </row>
    <row r="1405">
      <c r="A1405" s="12" t="n">
        <v>44687</v>
      </c>
      <c r="B1405" s="13" t="n">
        <v>0.633</v>
      </c>
      <c r="C1405" s="14">
        <f>B1405*100</f>
        <v/>
      </c>
    </row>
    <row r="1406">
      <c r="A1406" s="12" t="n">
        <v>44690</v>
      </c>
      <c r="B1406" s="13" t="n">
        <v>0.5996</v>
      </c>
      <c r="C1406" s="14">
        <f>B1406*100</f>
        <v/>
      </c>
    </row>
    <row r="1407">
      <c r="A1407" s="12" t="n">
        <v>44691</v>
      </c>
      <c r="B1407" s="13" t="n">
        <v>0.5752</v>
      </c>
      <c r="C1407" s="14">
        <f>B1407*100</f>
        <v/>
      </c>
    </row>
    <row r="1408">
      <c r="A1408" s="12" t="n">
        <v>44692</v>
      </c>
      <c r="B1408" s="13" t="n">
        <v>0.5518999999999999</v>
      </c>
      <c r="C1408" s="14">
        <f>B1408*100</f>
        <v/>
      </c>
    </row>
    <row r="1409">
      <c r="A1409" s="12" t="n">
        <v>44693</v>
      </c>
      <c r="B1409" s="13" t="n">
        <v>0.5079</v>
      </c>
      <c r="C1409" s="14">
        <f>B1409*100</f>
        <v/>
      </c>
    </row>
    <row r="1410">
      <c r="A1410" s="12" t="n">
        <v>44694</v>
      </c>
      <c r="B1410" s="13" t="n">
        <v>0.5264</v>
      </c>
      <c r="C1410" s="14">
        <f>B1410*100</f>
        <v/>
      </c>
    </row>
    <row r="1411">
      <c r="A1411" s="12" t="n">
        <v>44697</v>
      </c>
      <c r="B1411" s="13" t="n">
        <v>0.4971</v>
      </c>
      <c r="C1411" s="14">
        <f>B1411*100</f>
        <v/>
      </c>
    </row>
    <row r="1412">
      <c r="A1412" s="12" t="n">
        <v>44698</v>
      </c>
      <c r="B1412" s="13" t="n">
        <v>0.5312</v>
      </c>
      <c r="C1412" s="14">
        <f>B1412*100</f>
        <v/>
      </c>
    </row>
    <row r="1413">
      <c r="A1413" s="12" t="n">
        <v>44699</v>
      </c>
      <c r="B1413" s="13" t="n">
        <v>0.5054</v>
      </c>
      <c r="C1413" s="14">
        <f>B1413*100</f>
        <v/>
      </c>
    </row>
    <row r="1414">
      <c r="A1414" s="12" t="n">
        <v>44700</v>
      </c>
      <c r="B1414" s="13" t="n">
        <v>0.4799</v>
      </c>
      <c r="C1414" s="14">
        <f>B1414*100</f>
        <v/>
      </c>
    </row>
    <row r="1415">
      <c r="A1415" s="12" t="n">
        <v>44701</v>
      </c>
      <c r="B1415" s="13" t="n">
        <v>0.4552</v>
      </c>
      <c r="C1415" s="14">
        <f>B1415*100</f>
        <v/>
      </c>
    </row>
    <row r="1416">
      <c r="A1416" s="12" t="n">
        <v>44704</v>
      </c>
      <c r="B1416" s="13" t="n">
        <v>0.4769</v>
      </c>
      <c r="C1416" s="14">
        <f>B1416*100</f>
        <v/>
      </c>
    </row>
    <row r="1417">
      <c r="A1417" s="12" t="n">
        <v>44705</v>
      </c>
      <c r="B1417" s="13" t="n">
        <v>0.434</v>
      </c>
      <c r="C1417" s="14">
        <f>B1417*100</f>
        <v/>
      </c>
    </row>
    <row r="1418">
      <c r="A1418" s="12" t="n">
        <v>44706</v>
      </c>
      <c r="B1418" s="13" t="n">
        <v>0.4152</v>
      </c>
      <c r="C1418" s="14">
        <f>B1418*100</f>
        <v/>
      </c>
    </row>
    <row r="1419">
      <c r="A1419" s="12" t="n">
        <v>44707</v>
      </c>
      <c r="B1419" s="13" t="n">
        <v>0.4094</v>
      </c>
      <c r="C1419" s="14">
        <f>B1419*100</f>
        <v/>
      </c>
    </row>
    <row r="1420">
      <c r="A1420" s="12" t="n">
        <v>44708</v>
      </c>
      <c r="B1420" s="13" t="n">
        <v>0.4099</v>
      </c>
      <c r="C1420" s="14">
        <f>B1420*100</f>
        <v/>
      </c>
    </row>
    <row r="1421">
      <c r="A1421" s="12" t="n">
        <v>44712</v>
      </c>
      <c r="B1421" s="13" t="n">
        <v>0.4417</v>
      </c>
      <c r="C1421" s="14">
        <f>B1421*100</f>
        <v/>
      </c>
    </row>
    <row r="1422">
      <c r="A1422" s="12" t="n">
        <v>44713</v>
      </c>
      <c r="B1422" s="13" t="n">
        <v>0.4892</v>
      </c>
      <c r="C1422" s="14">
        <f>B1422*100</f>
        <v/>
      </c>
    </row>
    <row r="1423">
      <c r="A1423" s="12" t="n">
        <v>44714</v>
      </c>
      <c r="B1423" s="13" t="n">
        <v>0.4907</v>
      </c>
      <c r="C1423" s="14">
        <f>B1423*100</f>
        <v/>
      </c>
    </row>
    <row r="1424">
      <c r="A1424" s="12" t="n">
        <v>44715</v>
      </c>
      <c r="B1424" s="13" t="n">
        <v>0.4997</v>
      </c>
      <c r="C1424" s="14">
        <f>B1424*100</f>
        <v/>
      </c>
    </row>
    <row r="1425">
      <c r="A1425" s="12" t="n">
        <v>44718</v>
      </c>
      <c r="B1425" s="13" t="n">
        <v>0.5301</v>
      </c>
      <c r="C1425" s="14">
        <f>B1425*100</f>
        <v/>
      </c>
    </row>
    <row r="1426">
      <c r="A1426" s="12" t="n">
        <v>44719</v>
      </c>
      <c r="B1426" s="13" t="n">
        <v>0.5151</v>
      </c>
      <c r="C1426" s="14">
        <f>B1426*100</f>
        <v/>
      </c>
    </row>
    <row r="1427">
      <c r="A1427" s="12" t="n">
        <v>44720</v>
      </c>
      <c r="B1427" s="13" t="n">
        <v>0.5239</v>
      </c>
      <c r="C1427" s="14">
        <f>B1427*100</f>
        <v/>
      </c>
    </row>
    <row r="1428">
      <c r="A1428" s="12" t="n">
        <v>44721</v>
      </c>
      <c r="B1428" s="13" t="n">
        <v>0.5314</v>
      </c>
      <c r="C1428" s="14">
        <f>B1428*100</f>
        <v/>
      </c>
    </row>
    <row r="1429">
      <c r="A1429" s="12" t="n">
        <v>44722</v>
      </c>
      <c r="B1429" s="13" t="n">
        <v>0.5873</v>
      </c>
      <c r="C1429" s="14">
        <f>B1429*100</f>
        <v/>
      </c>
    </row>
    <row r="1430">
      <c r="A1430" s="12" t="n">
        <v>44725</v>
      </c>
      <c r="B1430" s="13" t="n">
        <v>0.6825</v>
      </c>
      <c r="C1430" s="14">
        <f>B1430*100</f>
        <v/>
      </c>
    </row>
    <row r="1431">
      <c r="A1431" s="12" t="n">
        <v>44726</v>
      </c>
      <c r="B1431" s="13" t="n">
        <v>0.7000999999999999</v>
      </c>
      <c r="C1431" s="14">
        <f>B1431*100</f>
        <v/>
      </c>
    </row>
    <row r="1432">
      <c r="A1432" s="12" t="n">
        <v>44727</v>
      </c>
      <c r="B1432" s="13" t="n">
        <v>0.6176</v>
      </c>
      <c r="C1432" s="14">
        <f>B1432*100</f>
        <v/>
      </c>
    </row>
    <row r="1433">
      <c r="A1433" s="12" t="n">
        <v>44728</v>
      </c>
      <c r="B1433" s="13" t="n">
        <v>0.584</v>
      </c>
      <c r="C1433" s="14">
        <f>B1433*100</f>
        <v/>
      </c>
    </row>
    <row r="1434">
      <c r="A1434" s="12" t="n">
        <v>44729</v>
      </c>
      <c r="B1434" s="13" t="n">
        <v>0.5783</v>
      </c>
      <c r="C1434" s="14">
        <f>B1434*100</f>
        <v/>
      </c>
    </row>
    <row r="1435">
      <c r="A1435" s="12" t="n">
        <v>44733</v>
      </c>
      <c r="B1435" s="13" t="n">
        <v>0.583</v>
      </c>
      <c r="C1435" s="14">
        <f>B1435*100</f>
        <v/>
      </c>
    </row>
    <row r="1436">
      <c r="A1436" s="12" t="n">
        <v>44734</v>
      </c>
      <c r="B1436" s="13" t="n">
        <v>0.5207000000000001</v>
      </c>
      <c r="C1436" s="14">
        <f>B1436*100</f>
        <v/>
      </c>
    </row>
    <row r="1437">
      <c r="A1437" s="12" t="n">
        <v>44735</v>
      </c>
      <c r="B1437" s="13" t="n">
        <v>0.4726</v>
      </c>
      <c r="C1437" s="14">
        <f>B1437*100</f>
        <v/>
      </c>
    </row>
    <row r="1438">
      <c r="A1438" s="12" t="n">
        <v>44736</v>
      </c>
      <c r="B1438" s="13" t="n">
        <v>0.4663</v>
      </c>
      <c r="C1438" s="14">
        <f>B1438*100</f>
        <v/>
      </c>
    </row>
    <row r="1439">
      <c r="A1439" s="12" t="n">
        <v>44739</v>
      </c>
      <c r="B1439" s="13" t="n">
        <v>0.4825</v>
      </c>
      <c r="C1439" s="14">
        <f>B1439*100</f>
        <v/>
      </c>
    </row>
    <row r="1440">
      <c r="A1440" s="12" t="n">
        <v>44740</v>
      </c>
      <c r="B1440" s="13" t="n">
        <v>0.4837</v>
      </c>
      <c r="C1440" s="14">
        <f>B1440*100</f>
        <v/>
      </c>
    </row>
    <row r="1441">
      <c r="A1441" s="12" t="n">
        <v>44741</v>
      </c>
      <c r="B1441" s="13" t="n">
        <v>0.4462</v>
      </c>
      <c r="C1441" s="14">
        <f>B1441*100</f>
        <v/>
      </c>
    </row>
    <row r="1442">
      <c r="A1442" s="12" t="n">
        <v>44742</v>
      </c>
      <c r="B1442" s="13" t="n">
        <v>0.389</v>
      </c>
      <c r="C1442" s="14">
        <f>B1442*100</f>
        <v/>
      </c>
    </row>
    <row r="1443">
      <c r="A1443" s="12" t="n">
        <v>44743</v>
      </c>
      <c r="B1443" s="13" t="n">
        <v>0.3228</v>
      </c>
      <c r="C1443" s="14">
        <f>B1443*100</f>
        <v/>
      </c>
    </row>
    <row r="1444">
      <c r="A1444" s="12" t="n">
        <v>44747</v>
      </c>
      <c r="B1444" s="13" t="n">
        <v>0.2772</v>
      </c>
      <c r="C1444" s="14">
        <f>B1444*100</f>
        <v/>
      </c>
    </row>
    <row r="1445">
      <c r="A1445" s="12" t="n">
        <v>44748</v>
      </c>
      <c r="B1445" s="13" t="n">
        <v>0.3081</v>
      </c>
      <c r="C1445" s="14">
        <f>B1445*100</f>
        <v/>
      </c>
    </row>
    <row r="1446">
      <c r="A1446" s="12" t="n">
        <v>44749</v>
      </c>
      <c r="B1446" s="13" t="n">
        <v>0.3386</v>
      </c>
      <c r="C1446" s="14">
        <f>B1446*100</f>
        <v/>
      </c>
    </row>
    <row r="1447">
      <c r="A1447" s="12" t="n">
        <v>44750</v>
      </c>
      <c r="B1447" s="13" t="n">
        <v>0.3757</v>
      </c>
      <c r="C1447" s="14">
        <f>B1447*100</f>
        <v/>
      </c>
    </row>
    <row r="1448">
      <c r="A1448" s="12" t="n">
        <v>44753</v>
      </c>
      <c r="B1448" s="13" t="n">
        <v>0.3286</v>
      </c>
      <c r="C1448" s="14">
        <f>B1448*100</f>
        <v/>
      </c>
    </row>
    <row r="1449">
      <c r="A1449" s="12" t="n">
        <v>44754</v>
      </c>
      <c r="B1449" s="13" t="n">
        <v>0.2901</v>
      </c>
      <c r="C1449" s="14">
        <f>B1449*100</f>
        <v/>
      </c>
    </row>
    <row r="1450">
      <c r="A1450" s="12" t="n">
        <v>44755</v>
      </c>
      <c r="B1450" s="13" t="n">
        <v>0.2564</v>
      </c>
      <c r="C1450" s="14">
        <f>B1450*100</f>
        <v/>
      </c>
    </row>
    <row r="1451">
      <c r="A1451" s="12" t="n">
        <v>44756</v>
      </c>
      <c r="B1451" s="13" t="n">
        <v>0.2533</v>
      </c>
      <c r="C1451" s="14">
        <f>B1451*100</f>
        <v/>
      </c>
    </row>
    <row r="1452">
      <c r="A1452" s="12" t="n">
        <v>44757</v>
      </c>
      <c r="B1452" s="13" t="n">
        <v>0.2428</v>
      </c>
      <c r="C1452" s="14">
        <f>B1452*100</f>
        <v/>
      </c>
    </row>
    <row r="1453">
      <c r="A1453" s="12" t="n">
        <v>44760</v>
      </c>
      <c r="B1453" s="13" t="n">
        <v>0.2352</v>
      </c>
      <c r="C1453" s="14">
        <f>B1453*100</f>
        <v/>
      </c>
    </row>
    <row r="1454">
      <c r="A1454" s="12" t="n">
        <v>44761</v>
      </c>
      <c r="B1454" s="13" t="n">
        <v>0.2497</v>
      </c>
      <c r="C1454" s="14">
        <f>B1454*100</f>
        <v/>
      </c>
    </row>
    <row r="1455">
      <c r="A1455" s="12" t="n">
        <v>44762</v>
      </c>
      <c r="B1455" s="13" t="n">
        <v>0.264</v>
      </c>
      <c r="C1455" s="14">
        <f>B1455*100</f>
        <v/>
      </c>
    </row>
    <row r="1456">
      <c r="A1456" s="12" t="n">
        <v>44763</v>
      </c>
      <c r="B1456" s="13" t="n">
        <v>0.2026</v>
      </c>
      <c r="C1456" s="14">
        <f>B1456*100</f>
        <v/>
      </c>
    </row>
    <row r="1457">
      <c r="A1457" s="12" t="n">
        <v>44764</v>
      </c>
      <c r="B1457" s="13" t="n">
        <v>0.1365</v>
      </c>
      <c r="C1457" s="14">
        <f>B1457*100</f>
        <v/>
      </c>
    </row>
    <row r="1458">
      <c r="A1458" s="12" t="n">
        <v>44767</v>
      </c>
      <c r="B1458" s="13" t="n">
        <v>0.1234</v>
      </c>
      <c r="C1458" s="14">
        <f>B1458*100</f>
        <v/>
      </c>
    </row>
    <row r="1459">
      <c r="A1459" s="12" t="n">
        <v>44768</v>
      </c>
      <c r="B1459" s="13" t="n">
        <v>0.1207</v>
      </c>
      <c r="C1459" s="14">
        <f>B1459*100</f>
        <v/>
      </c>
    </row>
    <row r="1460">
      <c r="A1460" s="12" t="n">
        <v>44769</v>
      </c>
      <c r="B1460" s="13" t="n">
        <v>0.1066</v>
      </c>
      <c r="C1460" s="14">
        <f>B1460*100</f>
        <v/>
      </c>
    </row>
    <row r="1461">
      <c r="A1461" s="12" t="n">
        <v>44770</v>
      </c>
      <c r="B1461" s="13" t="n">
        <v>0.0618</v>
      </c>
      <c r="C1461" s="14">
        <f>B1461*100</f>
        <v/>
      </c>
    </row>
    <row r="1462">
      <c r="A1462" s="12" t="n">
        <v>44771</v>
      </c>
      <c r="B1462" s="13" t="n">
        <v>0.0544</v>
      </c>
      <c r="C1462" s="14">
        <f>B1462*100</f>
        <v/>
      </c>
    </row>
    <row r="1463">
      <c r="A1463" s="12" t="n">
        <v>44774</v>
      </c>
      <c r="B1463" s="13" t="n">
        <v>0.021</v>
      </c>
      <c r="C1463" s="14">
        <f>B1463*100</f>
        <v/>
      </c>
    </row>
    <row r="1464">
      <c r="A1464" s="12" t="n">
        <v>44775</v>
      </c>
      <c r="B1464" s="13" t="n">
        <v>0.075</v>
      </c>
      <c r="C1464" s="14">
        <f>B1464*100</f>
        <v/>
      </c>
    </row>
    <row r="1465">
      <c r="A1465" s="12" t="n">
        <v>44776</v>
      </c>
      <c r="B1465" s="13" t="n">
        <v>0.08359999999999999</v>
      </c>
      <c r="C1465" s="14">
        <f>B1465*100</f>
        <v/>
      </c>
    </row>
    <row r="1466">
      <c r="A1466" s="12" t="n">
        <v>44777</v>
      </c>
      <c r="B1466" s="13" t="n">
        <v>0.0564</v>
      </c>
      <c r="C1466" s="14">
        <f>B1466*100</f>
        <v/>
      </c>
    </row>
    <row r="1467">
      <c r="A1467" s="12" t="n">
        <v>44778</v>
      </c>
      <c r="B1467" s="13" t="n">
        <v>0.116</v>
      </c>
      <c r="C1467" s="14">
        <f>B1467*100</f>
        <v/>
      </c>
    </row>
    <row r="1468">
      <c r="A1468" s="12" t="n">
        <v>44781</v>
      </c>
      <c r="B1468" s="13" t="n">
        <v>0.0948</v>
      </c>
      <c r="C1468" s="14">
        <f>B1468*100</f>
        <v/>
      </c>
    </row>
    <row r="1469">
      <c r="A1469" s="12" t="n">
        <v>44782</v>
      </c>
      <c r="B1469" s="13" t="n">
        <v>0.09959999999999999</v>
      </c>
      <c r="C1469" s="14">
        <f>B1469*100</f>
        <v/>
      </c>
    </row>
    <row r="1470">
      <c r="A1470" s="12" t="n">
        <v>44783</v>
      </c>
      <c r="B1470" s="13" t="n">
        <v>0.0895</v>
      </c>
      <c r="C1470" s="14">
        <f>B1470*100</f>
        <v/>
      </c>
    </row>
    <row r="1471">
      <c r="A1471" s="12" t="n">
        <v>44784</v>
      </c>
      <c r="B1471" s="13" t="n">
        <v>0.1194</v>
      </c>
      <c r="C1471" s="14">
        <f>B1471*100</f>
        <v/>
      </c>
    </row>
    <row r="1472">
      <c r="A1472" s="12" t="n">
        <v>44785</v>
      </c>
      <c r="B1472" s="13" t="n">
        <v>0.121</v>
      </c>
      <c r="C1472" s="14">
        <f>B1472*100</f>
        <v/>
      </c>
    </row>
    <row r="1473">
      <c r="A1473" s="12" t="n">
        <v>44788</v>
      </c>
      <c r="B1473" s="13" t="n">
        <v>0.0934</v>
      </c>
      <c r="C1473" s="14">
        <f>B1473*100</f>
        <v/>
      </c>
    </row>
    <row r="1474">
      <c r="A1474" s="12" t="n">
        <v>44789</v>
      </c>
      <c r="B1474" s="13" t="n">
        <v>0.1</v>
      </c>
      <c r="C1474" s="14">
        <f>B1474*100</f>
        <v/>
      </c>
    </row>
    <row r="1475">
      <c r="A1475" s="12" t="n">
        <v>44790</v>
      </c>
      <c r="B1475" s="13" t="n">
        <v>0.1331</v>
      </c>
      <c r="C1475" s="14">
        <f>B1475*100</f>
        <v/>
      </c>
    </row>
    <row r="1476">
      <c r="A1476" s="12" t="n">
        <v>44791</v>
      </c>
      <c r="B1476" s="13" t="n">
        <v>0.1326</v>
      </c>
      <c r="C1476" s="14">
        <f>B1476*100</f>
        <v/>
      </c>
    </row>
    <row r="1477">
      <c r="A1477" s="12" t="n">
        <v>44792</v>
      </c>
      <c r="B1477" s="13" t="n">
        <v>0.1691</v>
      </c>
      <c r="C1477" s="14">
        <f>B1477*100</f>
        <v/>
      </c>
    </row>
    <row r="1478">
      <c r="A1478" s="12" t="n">
        <v>44795</v>
      </c>
      <c r="B1478" s="13" t="n">
        <v>0.1955</v>
      </c>
      <c r="C1478" s="14">
        <f>B1478*100</f>
        <v/>
      </c>
    </row>
    <row r="1479">
      <c r="A1479" s="12" t="n">
        <v>44796</v>
      </c>
      <c r="B1479" s="13" t="n">
        <v>0.2065</v>
      </c>
      <c r="C1479" s="14">
        <f>B1479*100</f>
        <v/>
      </c>
    </row>
    <row r="1480">
      <c r="A1480" s="12" t="n">
        <v>44797</v>
      </c>
      <c r="B1480" s="13" t="n">
        <v>0.2325</v>
      </c>
      <c r="C1480" s="14">
        <f>B1480*100</f>
        <v/>
      </c>
    </row>
    <row r="1481">
      <c r="A1481" s="12" t="n">
        <v>44798</v>
      </c>
      <c r="B1481" s="13" t="n">
        <v>0.209</v>
      </c>
      <c r="C1481" s="14">
        <f>B1481*100</f>
        <v/>
      </c>
    </row>
    <row r="1482">
      <c r="A1482" s="12" t="n">
        <v>44799</v>
      </c>
      <c r="B1482" s="13" t="n">
        <v>0.2142</v>
      </c>
      <c r="C1482" s="14">
        <f>B1482*100</f>
        <v/>
      </c>
    </row>
    <row r="1483">
      <c r="A1483" s="12" t="n">
        <v>44802</v>
      </c>
      <c r="B1483" s="13" t="n">
        <v>0.2304</v>
      </c>
      <c r="C1483" s="14">
        <f>B1483*100</f>
        <v/>
      </c>
    </row>
    <row r="1484">
      <c r="A1484" s="12" t="n">
        <v>44803</v>
      </c>
      <c r="B1484" s="13" t="n">
        <v>0.2329</v>
      </c>
      <c r="C1484" s="14">
        <f>B1484*100</f>
        <v/>
      </c>
    </row>
    <row r="1485">
      <c r="A1485" s="12" t="n">
        <v>44804</v>
      </c>
      <c r="B1485" s="13" t="n">
        <v>0.2419</v>
      </c>
      <c r="C1485" s="14">
        <f>B1485*100</f>
        <v/>
      </c>
    </row>
    <row r="1486">
      <c r="A1486" s="12" t="n">
        <v>44805</v>
      </c>
      <c r="B1486" s="13" t="n">
        <v>0.2854</v>
      </c>
      <c r="C1486" s="14">
        <f>B1486*100</f>
        <v/>
      </c>
    </row>
    <row r="1487">
      <c r="A1487" s="12" t="n">
        <v>44806</v>
      </c>
      <c r="B1487" s="13" t="n">
        <v>0.2692</v>
      </c>
      <c r="C1487" s="14">
        <f>B1487*100</f>
        <v/>
      </c>
    </row>
    <row r="1488">
      <c r="A1488" s="12" t="n">
        <v>44810</v>
      </c>
      <c r="B1488" s="13" t="n">
        <v>0.3095</v>
      </c>
      <c r="C1488" s="14">
        <f>B1488*100</f>
        <v/>
      </c>
    </row>
    <row r="1489">
      <c r="A1489" s="12" t="n">
        <v>44811</v>
      </c>
      <c r="B1489" s="13" t="n">
        <v>0.2906</v>
      </c>
      <c r="C1489" s="14">
        <f>B1489*100</f>
        <v/>
      </c>
    </row>
    <row r="1490">
      <c r="A1490" s="12" t="n">
        <v>44812</v>
      </c>
      <c r="B1490" s="13" t="n">
        <v>0.2937</v>
      </c>
      <c r="C1490" s="14">
        <f>B1490*100</f>
        <v/>
      </c>
    </row>
    <row r="1491">
      <c r="A1491" s="12" t="n">
        <v>44813</v>
      </c>
      <c r="B1491" s="13" t="n">
        <v>0.3072</v>
      </c>
      <c r="C1491" s="14">
        <f>B1491*100</f>
        <v/>
      </c>
    </row>
    <row r="1492">
      <c r="A1492" s="12" t="n">
        <v>44816</v>
      </c>
      <c r="B1492" s="13" t="n">
        <v>0.31</v>
      </c>
      <c r="C1492" s="14">
        <f>B1492*100</f>
        <v/>
      </c>
    </row>
    <row r="1493">
      <c r="A1493" s="12" t="n">
        <v>44817</v>
      </c>
      <c r="B1493" s="13" t="n">
        <v>0.3268</v>
      </c>
      <c r="C1493" s="14">
        <f>B1493*100</f>
        <v/>
      </c>
    </row>
    <row r="1494">
      <c r="A1494" s="12" t="n">
        <v>44818</v>
      </c>
      <c r="B1494" s="13" t="n">
        <v>0.3222</v>
      </c>
      <c r="C1494" s="14">
        <f>B1494*100</f>
        <v/>
      </c>
    </row>
    <row r="1495">
      <c r="A1495" s="12" t="n">
        <v>44819</v>
      </c>
      <c r="B1495" s="13" t="n">
        <v>0.3397</v>
      </c>
      <c r="C1495" s="14">
        <f>B1495*100</f>
        <v/>
      </c>
    </row>
    <row r="1496">
      <c r="A1496" s="12" t="n">
        <v>44820</v>
      </c>
      <c r="B1496" s="13" t="n">
        <v>0.3342</v>
      </c>
      <c r="C1496" s="14">
        <f>B1496*100</f>
        <v/>
      </c>
    </row>
    <row r="1497">
      <c r="A1497" s="12" t="n">
        <v>44823</v>
      </c>
      <c r="B1497" s="13" t="n">
        <v>0.339</v>
      </c>
      <c r="C1497" s="14">
        <f>B1497*100</f>
        <v/>
      </c>
    </row>
    <row r="1498">
      <c r="A1498" s="12" t="n">
        <v>44824</v>
      </c>
      <c r="B1498" s="13" t="n">
        <v>0.366</v>
      </c>
      <c r="C1498" s="14">
        <f>B1498*100</f>
        <v/>
      </c>
    </row>
    <row r="1499">
      <c r="A1499" s="12" t="n">
        <v>44825</v>
      </c>
      <c r="B1499" s="13" t="n">
        <v>0.3618</v>
      </c>
      <c r="C1499" s="14">
        <f>B1499*100</f>
        <v/>
      </c>
    </row>
    <row r="1500">
      <c r="A1500" s="12" t="n">
        <v>44826</v>
      </c>
      <c r="B1500" s="13" t="n">
        <v>0.4323</v>
      </c>
      <c r="C1500" s="14">
        <f>B1500*100</f>
        <v/>
      </c>
    </row>
    <row r="1501">
      <c r="A1501" s="12" t="n">
        <v>44827</v>
      </c>
      <c r="B1501" s="13" t="n">
        <v>0.4584</v>
      </c>
      <c r="C1501" s="14">
        <f>B1501*100</f>
        <v/>
      </c>
    </row>
    <row r="1502">
      <c r="A1502" s="12" t="n">
        <v>44830</v>
      </c>
      <c r="B1502" s="13" t="n">
        <v>0.5291</v>
      </c>
      <c r="C1502" s="14">
        <f>B1502*100</f>
        <v/>
      </c>
    </row>
    <row r="1503">
      <c r="A1503" s="12" t="n">
        <v>44831</v>
      </c>
      <c r="B1503" s="13" t="n">
        <v>0.5774</v>
      </c>
      <c r="C1503" s="14">
        <f>B1503*100</f>
        <v/>
      </c>
    </row>
    <row r="1504">
      <c r="A1504" s="12" t="n">
        <v>44832</v>
      </c>
      <c r="B1504" s="13" t="n">
        <v>0.4845</v>
      </c>
      <c r="C1504" s="14">
        <f>B1504*100</f>
        <v/>
      </c>
    </row>
    <row r="1505">
      <c r="A1505" s="12" t="n">
        <v>44833</v>
      </c>
      <c r="B1505" s="13" t="n">
        <v>0.4863</v>
      </c>
      <c r="C1505" s="14">
        <f>B1505*100</f>
        <v/>
      </c>
    </row>
    <row r="1506">
      <c r="A1506" s="12" t="n">
        <v>44834</v>
      </c>
      <c r="B1506" s="13" t="n">
        <v>0.5169</v>
      </c>
      <c r="C1506" s="14">
        <f>B1506*100</f>
        <v/>
      </c>
    </row>
    <row r="1507">
      <c r="A1507" s="12" t="n">
        <v>44837</v>
      </c>
      <c r="B1507" s="13" t="n">
        <v>0.4509</v>
      </c>
      <c r="C1507" s="14">
        <f>B1507*100</f>
        <v/>
      </c>
    </row>
    <row r="1508">
      <c r="A1508" s="12" t="n">
        <v>44838</v>
      </c>
      <c r="B1508" s="13" t="n">
        <v>0.4088</v>
      </c>
      <c r="C1508" s="14">
        <f>B1508*100</f>
        <v/>
      </c>
    </row>
    <row r="1509">
      <c r="A1509" s="12" t="n">
        <v>44839</v>
      </c>
      <c r="B1509" s="13" t="n">
        <v>0.4514</v>
      </c>
      <c r="C1509" s="14">
        <f>B1509*100</f>
        <v/>
      </c>
    </row>
    <row r="1510">
      <c r="A1510" s="12" t="n">
        <v>44840</v>
      </c>
      <c r="B1510" s="13" t="n">
        <v>0.4908</v>
      </c>
      <c r="C1510" s="14">
        <f>B1510*100</f>
        <v/>
      </c>
    </row>
    <row r="1511">
      <c r="A1511" s="12" t="n">
        <v>44841</v>
      </c>
      <c r="B1511" s="13" t="n">
        <v>0.5241</v>
      </c>
      <c r="C1511" s="14">
        <f>B1511*100</f>
        <v/>
      </c>
    </row>
    <row r="1512">
      <c r="A1512" s="12" t="n">
        <v>44845</v>
      </c>
      <c r="B1512" s="13" t="n">
        <v>0.5328000000000001</v>
      </c>
      <c r="C1512" s="14">
        <f>B1512*100</f>
        <v/>
      </c>
    </row>
    <row r="1513">
      <c r="A1513" s="12" t="n">
        <v>44846</v>
      </c>
      <c r="B1513" s="13" t="n">
        <v>0.518</v>
      </c>
      <c r="C1513" s="14">
        <f>B1513*100</f>
        <v/>
      </c>
    </row>
    <row r="1514">
      <c r="A1514" s="12" t="n">
        <v>44847</v>
      </c>
      <c r="B1514" s="13" t="n">
        <v>0.538</v>
      </c>
      <c r="C1514" s="14">
        <f>B1514*100</f>
        <v/>
      </c>
    </row>
    <row r="1515">
      <c r="A1515" s="12" t="n">
        <v>44848</v>
      </c>
      <c r="B1515" s="13" t="n">
        <v>0.5487</v>
      </c>
      <c r="C1515" s="14">
        <f>B1515*100</f>
        <v/>
      </c>
    </row>
    <row r="1516">
      <c r="A1516" s="12" t="n">
        <v>44851</v>
      </c>
      <c r="B1516" s="13" t="n">
        <v>0.5333</v>
      </c>
      <c r="C1516" s="14">
        <f>B1516*100</f>
        <v/>
      </c>
    </row>
    <row r="1517">
      <c r="A1517" s="12" t="n">
        <v>44852</v>
      </c>
      <c r="B1517" s="13" t="n">
        <v>0.5091</v>
      </c>
      <c r="C1517" s="14">
        <f>B1517*100</f>
        <v/>
      </c>
    </row>
    <row r="1518">
      <c r="A1518" s="12" t="n">
        <v>44853</v>
      </c>
      <c r="B1518" s="13" t="n">
        <v>0.5475</v>
      </c>
      <c r="C1518" s="14">
        <f>B1518*100</f>
        <v/>
      </c>
    </row>
    <row r="1519">
      <c r="A1519" s="12" t="n">
        <v>44854</v>
      </c>
      <c r="B1519" s="13" t="n">
        <v>0.5903</v>
      </c>
      <c r="C1519" s="14">
        <f>B1519*100</f>
        <v/>
      </c>
    </row>
    <row r="1520">
      <c r="A1520" s="12" t="n">
        <v>44855</v>
      </c>
      <c r="B1520" s="13" t="n">
        <v>0.5784</v>
      </c>
      <c r="C1520" s="14">
        <f>B1520*100</f>
        <v/>
      </c>
    </row>
    <row r="1521">
      <c r="A1521" s="12" t="n">
        <v>44858</v>
      </c>
      <c r="B1521" s="13" t="n">
        <v>0.5835</v>
      </c>
      <c r="C1521" s="14">
        <f>B1521*100</f>
        <v/>
      </c>
    </row>
    <row r="1522">
      <c r="A1522" s="12" t="n">
        <v>44859</v>
      </c>
      <c r="B1522" s="13" t="n">
        <v>0.538</v>
      </c>
      <c r="C1522" s="14">
        <f>B1522*100</f>
        <v/>
      </c>
    </row>
    <row r="1523">
      <c r="A1523" s="12" t="n">
        <v>44860</v>
      </c>
      <c r="B1523" s="13" t="n">
        <v>0.504</v>
      </c>
      <c r="C1523" s="14">
        <f>B1523*100</f>
        <v/>
      </c>
    </row>
    <row r="1524">
      <c r="A1524" s="12" t="n">
        <v>44861</v>
      </c>
      <c r="B1524" s="13" t="n">
        <v>0.4638</v>
      </c>
      <c r="C1524" s="14">
        <f>B1524*100</f>
        <v/>
      </c>
    </row>
    <row r="1525">
      <c r="A1525" s="12" t="n">
        <v>44862</v>
      </c>
      <c r="B1525" s="13" t="n">
        <v>0.4838</v>
      </c>
      <c r="C1525" s="14">
        <f>B1525*100</f>
        <v/>
      </c>
    </row>
    <row r="1526">
      <c r="A1526" s="12" t="n">
        <v>44865</v>
      </c>
      <c r="B1526" s="13" t="n">
        <v>0.5054999999999999</v>
      </c>
      <c r="C1526" s="14">
        <f>B1526*100</f>
        <v/>
      </c>
    </row>
    <row r="1527">
      <c r="A1527" s="12" t="n">
        <v>44866</v>
      </c>
      <c r="B1527" s="13" t="n">
        <v>0.5052</v>
      </c>
      <c r="C1527" s="14">
        <f>B1527*100</f>
        <v/>
      </c>
    </row>
    <row r="1528">
      <c r="A1528" s="12" t="n">
        <v>44867</v>
      </c>
      <c r="B1528" s="13" t="n">
        <v>0.511</v>
      </c>
      <c r="C1528" s="14">
        <f>B1528*100</f>
        <v/>
      </c>
    </row>
    <row r="1529">
      <c r="A1529" s="12" t="n">
        <v>44868</v>
      </c>
      <c r="B1529" s="13" t="n">
        <v>0.5325</v>
      </c>
      <c r="C1529" s="14">
        <f>B1529*100</f>
        <v/>
      </c>
    </row>
    <row r="1530">
      <c r="A1530" s="12" t="n">
        <v>44869</v>
      </c>
      <c r="B1530" s="13" t="n">
        <v>0.5394</v>
      </c>
      <c r="C1530" s="14">
        <f>B1530*100</f>
        <v/>
      </c>
    </row>
    <row r="1531">
      <c r="A1531" s="12" t="n">
        <v>44872</v>
      </c>
      <c r="B1531" s="13" t="n">
        <v>0.5583</v>
      </c>
      <c r="C1531" s="14">
        <f>B1531*100</f>
        <v/>
      </c>
    </row>
    <row r="1532">
      <c r="A1532" s="12" t="n">
        <v>44873</v>
      </c>
      <c r="B1532" s="13" t="n">
        <v>0.5282</v>
      </c>
      <c r="C1532" s="14">
        <f>B1532*100</f>
        <v/>
      </c>
    </row>
    <row r="1533">
      <c r="A1533" s="12" t="n">
        <v>44874</v>
      </c>
      <c r="B1533" s="13" t="n">
        <v>0.5127</v>
      </c>
      <c r="C1533" s="14">
        <f>B1533*100</f>
        <v/>
      </c>
    </row>
    <row r="1534">
      <c r="A1534" s="12" t="n">
        <v>44875</v>
      </c>
      <c r="B1534" s="13" t="n">
        <v>0.3746</v>
      </c>
      <c r="C1534" s="14">
        <f>B1534*100</f>
        <v/>
      </c>
    </row>
    <row r="1535">
      <c r="A1535" s="12" t="n">
        <v>44879</v>
      </c>
      <c r="B1535" s="13" t="n">
        <v>0.3593</v>
      </c>
      <c r="C1535" s="14">
        <f>B1535*100</f>
        <v/>
      </c>
    </row>
    <row r="1536">
      <c r="A1536" s="12" t="n">
        <v>44880</v>
      </c>
      <c r="B1536" s="13" t="n">
        <v>0.3227</v>
      </c>
      <c r="C1536" s="14">
        <f>B1536*100</f>
        <v/>
      </c>
    </row>
    <row r="1537">
      <c r="A1537" s="12" t="n">
        <v>44881</v>
      </c>
      <c r="B1537" s="13" t="n">
        <v>0.2659</v>
      </c>
      <c r="C1537" s="14">
        <f>B1537*100</f>
        <v/>
      </c>
    </row>
    <row r="1538">
      <c r="A1538" s="12" t="n">
        <v>44882</v>
      </c>
      <c r="B1538" s="13" t="n">
        <v>0.2864</v>
      </c>
      <c r="C1538" s="14">
        <f>B1538*100</f>
        <v/>
      </c>
    </row>
    <row r="1539">
      <c r="A1539" s="12" t="n">
        <v>44883</v>
      </c>
      <c r="B1539" s="13" t="n">
        <v>0.3073</v>
      </c>
      <c r="C1539" s="14">
        <f>B1539*100</f>
        <v/>
      </c>
    </row>
    <row r="1540">
      <c r="A1540" s="12" t="n">
        <v>44886</v>
      </c>
      <c r="B1540" s="13" t="n">
        <v>0.3176</v>
      </c>
      <c r="C1540" s="14">
        <f>B1540*100</f>
        <v/>
      </c>
    </row>
    <row r="1541">
      <c r="A1541" s="12" t="n">
        <v>44887</v>
      </c>
      <c r="B1541" s="13" t="n">
        <v>0.2838</v>
      </c>
      <c r="C1541" s="14">
        <f>B1541*100</f>
        <v/>
      </c>
    </row>
    <row r="1542">
      <c r="A1542" s="12" t="n">
        <v>44888</v>
      </c>
      <c r="B1542" s="13" t="n">
        <v>0.2493</v>
      </c>
      <c r="C1542" s="14">
        <f>B1542*100</f>
        <v/>
      </c>
    </row>
    <row r="1543">
      <c r="A1543" s="12" t="n">
        <v>44890</v>
      </c>
      <c r="B1543" s="13" t="n">
        <v>0.2252</v>
      </c>
      <c r="C1543" s="14">
        <f>B1543*100</f>
        <v/>
      </c>
    </row>
    <row r="1544">
      <c r="A1544" s="12" t="n">
        <v>44893</v>
      </c>
      <c r="B1544" s="13" t="n">
        <v>0.2188</v>
      </c>
      <c r="C1544" s="14">
        <f>B1544*100</f>
        <v/>
      </c>
    </row>
    <row r="1545">
      <c r="A1545" s="12" t="n">
        <v>44894</v>
      </c>
      <c r="B1545" s="13" t="n">
        <v>0.2343</v>
      </c>
      <c r="C1545" s="14">
        <f>B1545*100</f>
        <v/>
      </c>
    </row>
    <row r="1546">
      <c r="A1546" s="12" t="n">
        <v>44895</v>
      </c>
      <c r="B1546" s="13" t="n">
        <v>0.1996</v>
      </c>
      <c r="C1546" s="14">
        <f>B1546*100</f>
        <v/>
      </c>
    </row>
    <row r="1547">
      <c r="A1547" s="12" t="n">
        <v>44896</v>
      </c>
      <c r="B1547" s="13" t="n">
        <v>0.1372</v>
      </c>
      <c r="C1547" s="14">
        <f>B1547*100</f>
        <v/>
      </c>
    </row>
    <row r="1548">
      <c r="A1548" s="12" t="n">
        <v>44897</v>
      </c>
      <c r="B1548" s="13" t="n">
        <v>0.119</v>
      </c>
      <c r="C1548" s="14">
        <f>B1548*100</f>
        <v/>
      </c>
    </row>
    <row r="1549">
      <c r="A1549" s="12" t="n">
        <v>44900</v>
      </c>
      <c r="B1549" s="13" t="n">
        <v>0.1541</v>
      </c>
      <c r="C1549" s="14">
        <f>B1549*100</f>
        <v/>
      </c>
    </row>
    <row r="1550">
      <c r="A1550" s="12" t="n">
        <v>44901</v>
      </c>
      <c r="B1550" s="13" t="n">
        <v>0.1251</v>
      </c>
      <c r="C1550" s="14">
        <f>B1550*100</f>
        <v/>
      </c>
    </row>
    <row r="1551">
      <c r="A1551" s="12" t="n">
        <v>44902</v>
      </c>
      <c r="B1551" s="13" t="n">
        <v>0.0796</v>
      </c>
      <c r="C1551" s="14">
        <f>B1551*100</f>
        <v/>
      </c>
    </row>
    <row r="1552">
      <c r="A1552" s="12" t="n">
        <v>44903</v>
      </c>
      <c r="B1552" s="13" t="n">
        <v>0.1027</v>
      </c>
      <c r="C1552" s="14">
        <f>B1552*100</f>
        <v/>
      </c>
    </row>
    <row r="1553">
      <c r="A1553" s="12" t="n">
        <v>44904</v>
      </c>
      <c r="B1553" s="13" t="n">
        <v>0.1316</v>
      </c>
      <c r="C1553" s="14">
        <f>B1553*100</f>
        <v/>
      </c>
    </row>
    <row r="1554">
      <c r="A1554" s="12" t="n">
        <v>44907</v>
      </c>
      <c r="B1554" s="13" t="n">
        <v>0.1474</v>
      </c>
      <c r="C1554" s="14">
        <f>B1554*100</f>
        <v/>
      </c>
    </row>
    <row r="1555">
      <c r="A1555" s="12" t="n">
        <v>44908</v>
      </c>
      <c r="B1555" s="13" t="n">
        <v>0.0979</v>
      </c>
      <c r="C1555" s="14">
        <f>B1555*100</f>
        <v/>
      </c>
    </row>
    <row r="1556">
      <c r="A1556" s="12" t="n">
        <v>44909</v>
      </c>
      <c r="B1556" s="13" t="n">
        <v>0.0833</v>
      </c>
      <c r="C1556" s="14">
        <f>B1556*100</f>
        <v/>
      </c>
    </row>
    <row r="1557">
      <c r="A1557" s="12" t="n">
        <v>44910</v>
      </c>
      <c r="B1557" s="13" t="n">
        <v>0.0693</v>
      </c>
      <c r="C1557" s="14">
        <f>B1557*100</f>
        <v/>
      </c>
    </row>
    <row r="1558">
      <c r="A1558" s="12" t="n">
        <v>44911</v>
      </c>
      <c r="B1558" s="13" t="n">
        <v>0.0716</v>
      </c>
      <c r="C1558" s="14">
        <f>B1558*100</f>
        <v/>
      </c>
    </row>
    <row r="1559">
      <c r="A1559" s="12" t="n">
        <v>44914</v>
      </c>
      <c r="B1559" s="13" t="n">
        <v>0.1055</v>
      </c>
      <c r="C1559" s="14">
        <f>B1559*100</f>
        <v/>
      </c>
    </row>
    <row r="1560">
      <c r="A1560" s="12" t="n">
        <v>44915</v>
      </c>
      <c r="B1560" s="13" t="n">
        <v>0.1552</v>
      </c>
      <c r="C1560" s="14">
        <f>B1560*100</f>
        <v/>
      </c>
    </row>
    <row r="1561">
      <c r="A1561" s="12" t="n">
        <v>44916</v>
      </c>
      <c r="B1561" s="13" t="n">
        <v>0.1712</v>
      </c>
      <c r="C1561" s="14">
        <f>B1561*100</f>
        <v/>
      </c>
    </row>
    <row r="1562">
      <c r="A1562" s="12" t="n">
        <v>44917</v>
      </c>
      <c r="B1562" s="13" t="n">
        <v>0.1782</v>
      </c>
      <c r="C1562" s="14">
        <f>B1562*100</f>
        <v/>
      </c>
    </row>
    <row r="1563">
      <c r="A1563" s="12" t="n">
        <v>44918</v>
      </c>
      <c r="B1563" s="13" t="n">
        <v>0.2097</v>
      </c>
      <c r="C1563" s="14">
        <f>B1563*100</f>
        <v/>
      </c>
    </row>
    <row r="1564">
      <c r="A1564" s="12" t="n">
        <v>44922</v>
      </c>
      <c r="B1564" s="13" t="n">
        <v>0.2482</v>
      </c>
      <c r="C1564" s="14">
        <f>B1564*100</f>
        <v/>
      </c>
    </row>
    <row r="1565">
      <c r="A1565" s="12" t="n">
        <v>44923</v>
      </c>
      <c r="B1565" s="13" t="n">
        <v>0.2671</v>
      </c>
      <c r="C1565" s="14">
        <f>B1565*100</f>
        <v/>
      </c>
    </row>
    <row r="1566">
      <c r="A1566" s="12" t="n">
        <v>44924</v>
      </c>
      <c r="B1566" s="13" t="n">
        <v>0.2607</v>
      </c>
      <c r="C1566" s="14">
        <f>B1566*100</f>
        <v/>
      </c>
    </row>
    <row r="1567">
      <c r="A1567" s="12" t="n">
        <v>44925</v>
      </c>
      <c r="B1567" s="13" t="n">
        <v>0.2801</v>
      </c>
      <c r="C1567" s="14">
        <f>B1567*100</f>
        <v/>
      </c>
    </row>
    <row r="1568">
      <c r="A1568" s="12" t="n">
        <v>44929</v>
      </c>
      <c r="B1568" s="13" t="n">
        <v>0.2448</v>
      </c>
      <c r="C1568" s="14">
        <f>B1568*100</f>
        <v/>
      </c>
    </row>
    <row r="1569">
      <c r="A1569" s="12" t="n">
        <v>44930</v>
      </c>
      <c r="B1569" s="13" t="n">
        <v>0.1936</v>
      </c>
      <c r="C1569" s="14">
        <f>B1569*100</f>
        <v/>
      </c>
    </row>
    <row r="1570">
      <c r="A1570" s="12" t="n">
        <v>44931</v>
      </c>
      <c r="B1570" s="13" t="n">
        <v>0.1847</v>
      </c>
      <c r="C1570" s="14">
        <f>B1570*100</f>
        <v/>
      </c>
    </row>
    <row r="1571">
      <c r="A1571" s="12" t="n">
        <v>44932</v>
      </c>
      <c r="B1571" s="13" t="n">
        <v>0.1036</v>
      </c>
      <c r="C1571" s="14">
        <f>B1571*100</f>
        <v/>
      </c>
    </row>
    <row r="1572">
      <c r="A1572" s="12" t="n">
        <v>44935</v>
      </c>
      <c r="B1572" s="13" t="n">
        <v>0.0675</v>
      </c>
      <c r="C1572" s="14">
        <f>B1572*100</f>
        <v/>
      </c>
    </row>
    <row r="1573">
      <c r="A1573" s="12" t="n">
        <v>44936</v>
      </c>
      <c r="B1573" s="13" t="n">
        <v>0.08169999999999999</v>
      </c>
      <c r="C1573" s="14">
        <f>B1573*100</f>
        <v/>
      </c>
    </row>
    <row r="1574">
      <c r="A1574" s="12" t="n">
        <v>44937</v>
      </c>
      <c r="B1574" s="13" t="n">
        <v>0.0591</v>
      </c>
      <c r="C1574" s="14">
        <f>B1574*100</f>
        <v/>
      </c>
    </row>
    <row r="1575">
      <c r="A1575" s="12" t="n">
        <v>44938</v>
      </c>
      <c r="B1575" s="13" t="n">
        <v>0.0107</v>
      </c>
      <c r="C1575" s="14">
        <f>B1575*100</f>
        <v/>
      </c>
    </row>
    <row r="1576">
      <c r="A1576" s="12" t="n">
        <v>44939</v>
      </c>
      <c r="B1576" s="13" t="n">
        <v>0.0217</v>
      </c>
      <c r="C1576" s="14">
        <f>B1576*100</f>
        <v/>
      </c>
    </row>
    <row r="1577">
      <c r="A1577" s="12" t="n">
        <v>44943</v>
      </c>
      <c r="B1577" s="13" t="n">
        <v>0.0258</v>
      </c>
      <c r="C1577" s="14">
        <f>B1577*100</f>
        <v/>
      </c>
    </row>
    <row r="1578">
      <c r="A1578" s="12" t="n">
        <v>44944</v>
      </c>
      <c r="B1578" s="13" t="n">
        <v>-0.0393</v>
      </c>
      <c r="C1578" s="14">
        <f>B1578*100</f>
        <v/>
      </c>
    </row>
    <row r="1579">
      <c r="A1579" s="12" t="n">
        <v>44945</v>
      </c>
      <c r="B1579" s="13" t="n">
        <v>-0.0412</v>
      </c>
      <c r="C1579" s="14">
        <f>B1579*100</f>
        <v/>
      </c>
    </row>
    <row r="1580">
      <c r="A1580" s="12" t="n">
        <v>44946</v>
      </c>
      <c r="B1580" s="13" t="n">
        <v>-0.0137</v>
      </c>
      <c r="C1580" s="14">
        <f>B1580*100</f>
        <v/>
      </c>
    </row>
    <row r="1581">
      <c r="A1581" s="12" t="n">
        <v>44949</v>
      </c>
      <c r="B1581" s="13" t="n">
        <v>0.0098</v>
      </c>
      <c r="C1581" s="14">
        <f>B1581*100</f>
        <v/>
      </c>
    </row>
    <row r="1582">
      <c r="A1582" s="12" t="n">
        <v>44950</v>
      </c>
      <c r="B1582" s="13" t="n">
        <v>-0.0043</v>
      </c>
      <c r="C1582" s="14">
        <f>B1582*100</f>
        <v/>
      </c>
    </row>
    <row r="1583">
      <c r="A1583" s="12" t="n">
        <v>44951</v>
      </c>
      <c r="B1583" s="13" t="n">
        <v>-0.0108</v>
      </c>
      <c r="C1583" s="14">
        <f>B1583*100</f>
        <v/>
      </c>
    </row>
    <row r="1584">
      <c r="A1584" s="12" t="n">
        <v>44952</v>
      </c>
      <c r="B1584" s="13" t="n">
        <v>0.0027</v>
      </c>
      <c r="C1584" s="14">
        <f>B1584*100</f>
        <v/>
      </c>
    </row>
    <row r="1585">
      <c r="A1585" s="12" t="n">
        <v>44953</v>
      </c>
      <c r="B1585" s="13" t="n">
        <v>0.0167</v>
      </c>
      <c r="C1585" s="14">
        <f>B1585*100</f>
        <v/>
      </c>
    </row>
    <row r="1586">
      <c r="A1586" s="12" t="n">
        <v>44956</v>
      </c>
      <c r="B1586" s="13" t="n">
        <v>0.0344</v>
      </c>
      <c r="C1586" s="14">
        <f>B1586*100</f>
        <v/>
      </c>
    </row>
    <row r="1587">
      <c r="A1587" s="12" t="n">
        <v>44957</v>
      </c>
      <c r="B1587" s="13" t="n">
        <v>0.0255</v>
      </c>
      <c r="C1587" s="14">
        <f>B1587*100</f>
        <v/>
      </c>
    </row>
    <row r="1588">
      <c r="A1588" s="12" t="n">
        <v>44958</v>
      </c>
      <c r="B1588" s="13" t="n">
        <v>-0.0305</v>
      </c>
      <c r="C1588" s="14">
        <f>B1588*100</f>
        <v/>
      </c>
    </row>
    <row r="1589">
      <c r="A1589" s="12" t="n">
        <v>44959</v>
      </c>
      <c r="B1589" s="13" t="n">
        <v>-0.0405</v>
      </c>
      <c r="C1589" s="14">
        <f>B1589*100</f>
        <v/>
      </c>
    </row>
    <row r="1590">
      <c r="A1590" s="12" t="n">
        <v>44960</v>
      </c>
      <c r="B1590" s="13" t="n">
        <v>0.0174</v>
      </c>
      <c r="C1590" s="14">
        <f>B1590*100</f>
        <v/>
      </c>
    </row>
    <row r="1591">
      <c r="A1591" s="12" t="n">
        <v>44963</v>
      </c>
      <c r="B1591" s="13" t="n">
        <v>0.0693</v>
      </c>
      <c r="C1591" s="14">
        <f>B1591*100</f>
        <v/>
      </c>
    </row>
    <row r="1592">
      <c r="A1592" s="12" t="n">
        <v>44964</v>
      </c>
      <c r="B1592" s="13" t="n">
        <v>0.09420000000000001</v>
      </c>
      <c r="C1592" s="14">
        <f>B1592*100</f>
        <v/>
      </c>
    </row>
    <row r="1593">
      <c r="A1593" s="12" t="n">
        <v>44965</v>
      </c>
      <c r="B1593" s="13" t="n">
        <v>0.0919</v>
      </c>
      <c r="C1593" s="14">
        <f>B1593*100</f>
        <v/>
      </c>
    </row>
    <row r="1594">
      <c r="A1594" s="12" t="n">
        <v>44966</v>
      </c>
      <c r="B1594" s="13" t="n">
        <v>0.105</v>
      </c>
      <c r="C1594" s="14">
        <f>B1594*100</f>
        <v/>
      </c>
    </row>
    <row r="1595">
      <c r="A1595" s="12" t="n">
        <v>44967</v>
      </c>
      <c r="B1595" s="13" t="n">
        <v>0.1324</v>
      </c>
      <c r="C1595" s="14">
        <f>B1595*100</f>
        <v/>
      </c>
    </row>
    <row r="1596">
      <c r="A1596" s="12" t="n">
        <v>44970</v>
      </c>
      <c r="B1596" s="13" t="n">
        <v>0.128</v>
      </c>
      <c r="C1596" s="14">
        <f>B1596*100</f>
        <v/>
      </c>
    </row>
    <row r="1597">
      <c r="A1597" s="12" t="n">
        <v>44971</v>
      </c>
      <c r="B1597" s="13" t="n">
        <v>0.1512</v>
      </c>
      <c r="C1597" s="14">
        <f>B1597*100</f>
        <v/>
      </c>
    </row>
    <row r="1598">
      <c r="A1598" s="12" t="n">
        <v>44972</v>
      </c>
      <c r="B1598" s="13" t="n">
        <v>0.188</v>
      </c>
      <c r="C1598" s="14">
        <f>B1598*100</f>
        <v/>
      </c>
    </row>
    <row r="1599">
      <c r="A1599" s="12" t="n">
        <v>44973</v>
      </c>
      <c r="B1599" s="13" t="n">
        <v>0.1943</v>
      </c>
      <c r="C1599" s="14">
        <f>B1599*100</f>
        <v/>
      </c>
    </row>
    <row r="1600">
      <c r="A1600" s="12" t="n">
        <v>44974</v>
      </c>
      <c r="B1600" s="13" t="n">
        <v>0.1817</v>
      </c>
      <c r="C1600" s="14">
        <f>B1600*100</f>
        <v/>
      </c>
    </row>
    <row r="1601">
      <c r="A1601" s="12" t="n">
        <v>44978</v>
      </c>
      <c r="B1601" s="13" t="n">
        <v>0.2253</v>
      </c>
      <c r="C1601" s="14">
        <f>B1601*100</f>
        <v/>
      </c>
    </row>
    <row r="1602">
      <c r="A1602" s="12" t="n">
        <v>44979</v>
      </c>
      <c r="B1602" s="13" t="n">
        <v>0.2457</v>
      </c>
      <c r="C1602" s="14">
        <f>B1602*100</f>
        <v/>
      </c>
    </row>
    <row r="1603">
      <c r="A1603" s="12" t="n">
        <v>44980</v>
      </c>
      <c r="B1603" s="13" t="n">
        <v>0.2362</v>
      </c>
      <c r="C1603" s="14">
        <f>B1603*100</f>
        <v/>
      </c>
    </row>
    <row r="1604">
      <c r="A1604" s="12" t="n">
        <v>44981</v>
      </c>
      <c r="B1604" s="13" t="n">
        <v>0.2691</v>
      </c>
      <c r="C1604" s="14">
        <f>B1604*100</f>
        <v/>
      </c>
    </row>
    <row r="1605">
      <c r="A1605" s="12" t="n">
        <v>44984</v>
      </c>
      <c r="B1605" s="13" t="n">
        <v>0.261</v>
      </c>
      <c r="C1605" s="14">
        <f>B1605*100</f>
        <v/>
      </c>
    </row>
    <row r="1606">
      <c r="A1606" s="12" t="n">
        <v>44985</v>
      </c>
      <c r="B1606" s="13" t="n">
        <v>0.258</v>
      </c>
      <c r="C1606" s="14">
        <f>B1606*100</f>
        <v/>
      </c>
    </row>
    <row r="1607">
      <c r="A1607" s="12" t="n">
        <v>44986</v>
      </c>
      <c r="B1607" s="13" t="n">
        <v>0.2929</v>
      </c>
      <c r="C1607" s="14">
        <f>B1607*100</f>
        <v/>
      </c>
    </row>
    <row r="1608">
      <c r="A1608" s="12" t="n">
        <v>44987</v>
      </c>
      <c r="B1608" s="13" t="n">
        <v>0.3251</v>
      </c>
      <c r="C1608" s="14">
        <f>B1608*100</f>
        <v/>
      </c>
    </row>
    <row r="1609">
      <c r="A1609" s="12" t="n">
        <v>44988</v>
      </c>
      <c r="B1609" s="13" t="n">
        <v>0.3012</v>
      </c>
      <c r="C1609" s="14">
        <f>B1609*100</f>
        <v/>
      </c>
    </row>
    <row r="1610">
      <c r="A1610" s="12" t="n">
        <v>44991</v>
      </c>
      <c r="B1610" s="13" t="n">
        <v>0.2844</v>
      </c>
      <c r="C1610" s="14">
        <f>B1610*100</f>
        <v/>
      </c>
    </row>
    <row r="1611">
      <c r="A1611" s="12" t="n">
        <v>44992</v>
      </c>
      <c r="B1611" s="13" t="n">
        <v>0.2848</v>
      </c>
      <c r="C1611" s="14">
        <f>B1611*100</f>
        <v/>
      </c>
    </row>
    <row r="1612">
      <c r="A1612" s="12" t="n">
        <v>44993</v>
      </c>
      <c r="B1612" s="13" t="n">
        <v>0.2799</v>
      </c>
      <c r="C1612" s="14">
        <f>B1612*100</f>
        <v/>
      </c>
    </row>
    <row r="1613">
      <c r="A1613" s="12" t="n">
        <v>44994</v>
      </c>
      <c r="B1613" s="13" t="n">
        <v>0.2372</v>
      </c>
      <c r="C1613" s="14">
        <f>B1613*100</f>
        <v/>
      </c>
    </row>
    <row r="1614">
      <c r="A1614" s="12" t="n">
        <v>44995</v>
      </c>
      <c r="B1614" s="13" t="n">
        <v>0.1327</v>
      </c>
      <c r="C1614" s="14">
        <f>B1614*100</f>
        <v/>
      </c>
    </row>
    <row r="1615">
      <c r="A1615" s="12" t="n">
        <v>44998</v>
      </c>
      <c r="B1615" s="13" t="n">
        <v>0.0372</v>
      </c>
      <c r="C1615" s="14">
        <f>B1615*100</f>
        <v/>
      </c>
    </row>
    <row r="1616">
      <c r="A1616" s="12" t="n">
        <v>44999</v>
      </c>
      <c r="B1616" s="13" t="n">
        <v>0.07199999999999999</v>
      </c>
      <c r="C1616" s="14">
        <f>B1616*100</f>
        <v/>
      </c>
    </row>
    <row r="1617">
      <c r="A1617" s="12" t="n">
        <v>45000</v>
      </c>
      <c r="B1617" s="13" t="n">
        <v>0.0324</v>
      </c>
      <c r="C1617" s="14">
        <f>B1617*100</f>
        <v/>
      </c>
    </row>
    <row r="1618">
      <c r="A1618" s="12" t="n">
        <v>45001</v>
      </c>
      <c r="B1618" s="13" t="n">
        <v>0.07199999999999999</v>
      </c>
      <c r="C1618" s="14">
        <f>B1618*100</f>
        <v/>
      </c>
    </row>
    <row r="1619">
      <c r="A1619" s="12" t="n">
        <v>45002</v>
      </c>
      <c r="B1619" s="13" t="n">
        <v>0.0156</v>
      </c>
      <c r="C1619" s="14">
        <f>B1619*100</f>
        <v/>
      </c>
    </row>
    <row r="1620">
      <c r="A1620" s="12" t="n">
        <v>45005</v>
      </c>
      <c r="B1620" s="13" t="n">
        <v>0.0386</v>
      </c>
      <c r="C1620" s="14">
        <f>B1620*100</f>
        <v/>
      </c>
    </row>
    <row r="1621">
      <c r="A1621" s="12" t="n">
        <v>45006</v>
      </c>
      <c r="B1621" s="13" t="n">
        <v>0.0934</v>
      </c>
      <c r="C1621" s="14">
        <f>B1621*100</f>
        <v/>
      </c>
    </row>
    <row r="1622">
      <c r="A1622" s="12" t="n">
        <v>45007</v>
      </c>
      <c r="B1622" s="13" t="n">
        <v>0.0371</v>
      </c>
      <c r="C1622" s="14">
        <f>B1622*100</f>
        <v/>
      </c>
    </row>
    <row r="1623">
      <c r="A1623" s="12" t="n">
        <v>45008</v>
      </c>
      <c r="B1623" s="13" t="n">
        <v>-0.0229</v>
      </c>
      <c r="C1623" s="14">
        <f>B1623*100</f>
        <v/>
      </c>
    </row>
    <row r="1624">
      <c r="A1624" s="12" t="n">
        <v>45009</v>
      </c>
      <c r="B1624" s="13" t="n">
        <v>-0.0271</v>
      </c>
      <c r="C1624" s="14">
        <f>B1624*100</f>
        <v/>
      </c>
    </row>
    <row r="1625">
      <c r="A1625" s="12" t="n">
        <v>45012</v>
      </c>
      <c r="B1625" s="13" t="n">
        <v>0.0321</v>
      </c>
      <c r="C1625" s="14">
        <f>B1625*100</f>
        <v/>
      </c>
    </row>
    <row r="1626">
      <c r="A1626" s="12" t="n">
        <v>45013</v>
      </c>
      <c r="B1626" s="13" t="n">
        <v>0.0575</v>
      </c>
      <c r="C1626" s="14">
        <f>B1626*100</f>
        <v/>
      </c>
    </row>
    <row r="1627">
      <c r="A1627" s="12" t="n">
        <v>45014</v>
      </c>
      <c r="B1627" s="13" t="n">
        <v>0.0723</v>
      </c>
      <c r="C1627" s="14">
        <f>B1627*100</f>
        <v/>
      </c>
    </row>
    <row r="1628">
      <c r="A1628" s="12" t="n">
        <v>45015</v>
      </c>
      <c r="B1628" s="13" t="n">
        <v>0.0593</v>
      </c>
      <c r="C1628" s="14">
        <f>B1628*100</f>
        <v/>
      </c>
    </row>
    <row r="1629">
      <c r="A1629" s="12" t="n">
        <v>45016</v>
      </c>
      <c r="B1629" s="13" t="n">
        <v>0.0305</v>
      </c>
      <c r="C1629" s="14">
        <f>B1629*100</f>
        <v/>
      </c>
    </row>
    <row r="1630">
      <c r="A1630" s="12" t="n">
        <v>45019</v>
      </c>
      <c r="B1630" s="13" t="n">
        <v>-0.0103</v>
      </c>
      <c r="C1630" s="14">
        <f>B1630*100</f>
        <v/>
      </c>
    </row>
    <row r="1631">
      <c r="A1631" s="12" t="n">
        <v>45020</v>
      </c>
      <c r="B1631" s="13" t="n">
        <v>-0.0603</v>
      </c>
      <c r="C1631" s="14">
        <f>B1631*100</f>
        <v/>
      </c>
    </row>
    <row r="1632">
      <c r="A1632" s="12" t="n">
        <v>45021</v>
      </c>
      <c r="B1632" s="13" t="n">
        <v>-0.08699999999999999</v>
      </c>
      <c r="C1632" s="14">
        <f>B1632*100</f>
        <v/>
      </c>
    </row>
    <row r="1633">
      <c r="A1633" s="12" t="n">
        <v>45022</v>
      </c>
      <c r="B1633" s="13" t="n">
        <v>-0.0988</v>
      </c>
      <c r="C1633" s="14">
        <f>B1633*100</f>
        <v/>
      </c>
    </row>
    <row r="1634">
      <c r="A1634" s="12" t="n">
        <v>45023</v>
      </c>
      <c r="B1634" s="13" t="n">
        <v>-0.065</v>
      </c>
      <c r="C1634" s="14">
        <f>B1634*100</f>
        <v/>
      </c>
    </row>
    <row r="1635">
      <c r="A1635" s="12" t="n">
        <v>45026</v>
      </c>
      <c r="B1635" s="13" t="n">
        <v>-0.0614</v>
      </c>
      <c r="C1635" s="14">
        <f>B1635*100</f>
        <v/>
      </c>
    </row>
    <row r="1636">
      <c r="A1636" s="12" t="n">
        <v>45027</v>
      </c>
      <c r="B1636" s="13" t="n">
        <v>-0.0554</v>
      </c>
      <c r="C1636" s="14">
        <f>B1636*100</f>
        <v/>
      </c>
    </row>
    <row r="1637">
      <c r="A1637" s="12" t="n">
        <v>45028</v>
      </c>
      <c r="B1637" s="13" t="n">
        <v>-0.07439999999999999</v>
      </c>
      <c r="C1637" s="14">
        <f>B1637*100</f>
        <v/>
      </c>
    </row>
    <row r="1638">
      <c r="A1638" s="12" t="n">
        <v>45029</v>
      </c>
      <c r="B1638" s="13" t="n">
        <v>-0.06469999999999999</v>
      </c>
      <c r="C1638" s="14">
        <f>B1638*100</f>
        <v/>
      </c>
    </row>
    <row r="1639">
      <c r="A1639" s="12" t="n">
        <v>45030</v>
      </c>
      <c r="B1639" s="13" t="n">
        <v>-0.0316</v>
      </c>
      <c r="C1639" s="14">
        <f>B1639*100</f>
        <v/>
      </c>
    </row>
    <row r="1640">
      <c r="A1640" s="12" t="n">
        <v>45033</v>
      </c>
      <c r="B1640" s="13" t="n">
        <v>-0.0001</v>
      </c>
      <c r="C1640" s="14">
        <f>B1640*100</f>
        <v/>
      </c>
    </row>
    <row r="1641">
      <c r="A1641" s="12" t="n">
        <v>45034</v>
      </c>
      <c r="B1641" s="13" t="n">
        <v>-0.0012</v>
      </c>
      <c r="C1641" s="14">
        <f>B1641*100</f>
        <v/>
      </c>
    </row>
    <row r="1642">
      <c r="A1642" s="12" t="n">
        <v>45035</v>
      </c>
      <c r="B1642" s="13" t="n">
        <v>0.008200000000000001</v>
      </c>
      <c r="C1642" s="14">
        <f>B1642*100</f>
        <v/>
      </c>
    </row>
    <row r="1643">
      <c r="A1643" s="12" t="n">
        <v>45036</v>
      </c>
      <c r="B1643" s="13" t="n">
        <v>-0.0156</v>
      </c>
      <c r="C1643" s="14">
        <f>B1643*100</f>
        <v/>
      </c>
    </row>
    <row r="1644">
      <c r="A1644" s="12" t="n">
        <v>45037</v>
      </c>
      <c r="B1644" s="13" t="n">
        <v>-0.007900000000000001</v>
      </c>
      <c r="C1644" s="14">
        <f>B1644*100</f>
        <v/>
      </c>
    </row>
    <row r="1645">
      <c r="A1645" s="12" t="n">
        <v>45040</v>
      </c>
      <c r="B1645" s="13" t="n">
        <v>-0.0317</v>
      </c>
      <c r="C1645" s="14">
        <f>B1645*100</f>
        <v/>
      </c>
    </row>
    <row r="1646">
      <c r="A1646" s="12" t="n">
        <v>45041</v>
      </c>
      <c r="B1646" s="13" t="n">
        <v>-0.0912</v>
      </c>
      <c r="C1646" s="14">
        <f>B1646*100</f>
        <v/>
      </c>
    </row>
    <row r="1647">
      <c r="A1647" s="12" t="n">
        <v>45042</v>
      </c>
      <c r="B1647" s="13" t="n">
        <v>-0.08989999999999999</v>
      </c>
      <c r="C1647" s="14">
        <f>B1647*100</f>
        <v/>
      </c>
    </row>
    <row r="1648">
      <c r="A1648" s="12" t="n">
        <v>45043</v>
      </c>
      <c r="B1648" s="13" t="n">
        <v>-0.0424</v>
      </c>
      <c r="C1648" s="14">
        <f>B1648*100</f>
        <v/>
      </c>
    </row>
    <row r="1649">
      <c r="A1649" s="12" t="n">
        <v>45044</v>
      </c>
      <c r="B1649" s="13" t="n">
        <v>-0.0635</v>
      </c>
      <c r="C1649" s="14">
        <f>B1649*100</f>
        <v/>
      </c>
    </row>
    <row r="1650">
      <c r="A1650" s="12" t="n">
        <v>45047</v>
      </c>
      <c r="B1650" s="13" t="n">
        <v>-0.0289</v>
      </c>
      <c r="C1650" s="14">
        <f>B1650*100</f>
        <v/>
      </c>
    </row>
    <row r="1651">
      <c r="A1651" s="12" t="n">
        <v>45048</v>
      </c>
      <c r="B1651" s="13" t="n">
        <v>-0.08799999999999999</v>
      </c>
      <c r="C1651" s="14">
        <f>B1651*100</f>
        <v/>
      </c>
    </row>
    <row r="1652">
      <c r="A1652" s="12" t="n">
        <v>45049</v>
      </c>
      <c r="B1652" s="13" t="n">
        <v>-0.1313</v>
      </c>
      <c r="C1652" s="14">
        <f>B1652*100</f>
        <v/>
      </c>
    </row>
    <row r="1653">
      <c r="A1653" s="12" t="n">
        <v>45050</v>
      </c>
      <c r="B1653" s="13" t="n">
        <v>-0.1615</v>
      </c>
      <c r="C1653" s="14">
        <f>B1653*100</f>
        <v/>
      </c>
    </row>
    <row r="1654">
      <c r="A1654" s="12" t="n">
        <v>45051</v>
      </c>
      <c r="B1654" s="13" t="n">
        <v>-0.1285</v>
      </c>
      <c r="C1654" s="14">
        <f>B1654*100</f>
        <v/>
      </c>
    </row>
    <row r="1655">
      <c r="A1655" s="12" t="n">
        <v>45054</v>
      </c>
      <c r="B1655" s="13" t="n">
        <v>-0.0927</v>
      </c>
      <c r="C1655" s="14">
        <f>B1655*100</f>
        <v/>
      </c>
    </row>
    <row r="1656">
      <c r="A1656" s="12" t="n">
        <v>45055</v>
      </c>
      <c r="B1656" s="13" t="n">
        <v>-0.08160000000000001</v>
      </c>
      <c r="C1656" s="14">
        <f>B1656*100</f>
        <v/>
      </c>
    </row>
    <row r="1657">
      <c r="A1657" s="12" t="n">
        <v>45056</v>
      </c>
      <c r="B1657" s="13" t="n">
        <v>-0.1165</v>
      </c>
      <c r="C1657" s="14">
        <f>B1657*100</f>
        <v/>
      </c>
    </row>
    <row r="1658">
      <c r="A1658" s="12" t="n">
        <v>45057</v>
      </c>
      <c r="B1658" s="13" t="n">
        <v>-0.1353</v>
      </c>
      <c r="C1658" s="14">
        <f>B1658*100</f>
        <v/>
      </c>
    </row>
    <row r="1659">
      <c r="A1659" s="12" t="n">
        <v>45058</v>
      </c>
      <c r="B1659" s="13" t="n">
        <v>-0.1103</v>
      </c>
      <c r="C1659" s="14">
        <f>B1659*100</f>
        <v/>
      </c>
    </row>
    <row r="1660">
      <c r="A1660" s="12" t="n">
        <v>45061</v>
      </c>
      <c r="B1660" s="13" t="n">
        <v>-0.096</v>
      </c>
      <c r="C1660" s="14">
        <f>B1660*100</f>
        <v/>
      </c>
    </row>
    <row r="1661">
      <c r="A1661" s="12" t="n">
        <v>45062</v>
      </c>
      <c r="B1661" s="13" t="n">
        <v>-0.0738</v>
      </c>
      <c r="C1661" s="14">
        <f>B1661*100</f>
        <v/>
      </c>
    </row>
    <row r="1662">
      <c r="A1662" s="12" t="n">
        <v>45063</v>
      </c>
      <c r="B1662" s="13" t="n">
        <v>-0.0543</v>
      </c>
      <c r="C1662" s="14">
        <f>B1662*100</f>
        <v/>
      </c>
    </row>
    <row r="1663">
      <c r="A1663" s="12" t="n">
        <v>45064</v>
      </c>
      <c r="B1663" s="13" t="n">
        <v>-0.0172</v>
      </c>
      <c r="C1663" s="14">
        <f>B1663*100</f>
        <v/>
      </c>
    </row>
    <row r="1664">
      <c r="A1664" s="12" t="n">
        <v>45065</v>
      </c>
      <c r="B1664" s="13" t="n">
        <v>0.0112</v>
      </c>
      <c r="C1664" s="14">
        <f>B1664*100</f>
        <v/>
      </c>
    </row>
    <row r="1665">
      <c r="A1665" s="12" t="n">
        <v>45068</v>
      </c>
      <c r="B1665" s="13" t="n">
        <v>0.0144</v>
      </c>
      <c r="C1665" s="14">
        <f>B1665*100</f>
        <v/>
      </c>
    </row>
    <row r="1666">
      <c r="A1666" s="12" t="n">
        <v>45069</v>
      </c>
      <c r="B1666" s="13" t="n">
        <v>0.0106</v>
      </c>
      <c r="C1666" s="14">
        <f>B1666*100</f>
        <v/>
      </c>
    </row>
    <row r="1667">
      <c r="A1667" s="12" t="n">
        <v>45070</v>
      </c>
      <c r="B1667" s="13" t="n">
        <v>0.0168</v>
      </c>
      <c r="C1667" s="14">
        <f>B1667*100</f>
        <v/>
      </c>
    </row>
    <row r="1668">
      <c r="A1668" s="12" t="n">
        <v>45071</v>
      </c>
      <c r="B1668" s="13" t="n">
        <v>0.065</v>
      </c>
      <c r="C1668" s="14">
        <f>B1668*100</f>
        <v/>
      </c>
    </row>
    <row r="1669">
      <c r="A1669" s="12" t="n">
        <v>45072</v>
      </c>
      <c r="B1669" s="13" t="n">
        <v>0.0776</v>
      </c>
      <c r="C1669" s="14">
        <f>B1669*100</f>
        <v/>
      </c>
    </row>
    <row r="1670">
      <c r="A1670" s="12" t="n">
        <v>45076</v>
      </c>
      <c r="B1670" s="13" t="n">
        <v>0.0236</v>
      </c>
      <c r="C1670" s="14">
        <f>B1670*100</f>
        <v/>
      </c>
    </row>
    <row r="1671">
      <c r="A1671" s="12" t="n">
        <v>45077</v>
      </c>
      <c r="B1671" s="13" t="n">
        <v>-0.0186</v>
      </c>
      <c r="C1671" s="14">
        <f>B1671*100</f>
        <v/>
      </c>
    </row>
    <row r="1672">
      <c r="A1672" s="12" t="n">
        <v>45078</v>
      </c>
      <c r="B1672" s="13" t="n">
        <v>-0.0441</v>
      </c>
      <c r="C1672" s="14">
        <f>B1672*100</f>
        <v/>
      </c>
    </row>
    <row r="1673">
      <c r="A1673" s="12" t="n">
        <v>45079</v>
      </c>
      <c r="B1673" s="13" t="n">
        <v>-0.0067</v>
      </c>
      <c r="C1673" s="14">
        <f>B1673*100</f>
        <v/>
      </c>
    </row>
    <row r="1674">
      <c r="A1674" s="12" t="n">
        <v>45082</v>
      </c>
      <c r="B1674" s="13" t="n">
        <v>-0.0018</v>
      </c>
      <c r="C1674" s="14">
        <f>B1674*100</f>
        <v/>
      </c>
    </row>
    <row r="1675">
      <c r="A1675" s="12" t="n">
        <v>45083</v>
      </c>
      <c r="B1675" s="13" t="n">
        <v>0.0072</v>
      </c>
      <c r="C1675" s="14">
        <f>B1675*100</f>
        <v/>
      </c>
    </row>
    <row r="1676">
      <c r="A1676" s="12" t="n">
        <v>45084</v>
      </c>
      <c r="B1676" s="13" t="n">
        <v>0.0486</v>
      </c>
      <c r="C1676" s="14">
        <f>B1676*100</f>
        <v/>
      </c>
    </row>
    <row r="1677">
      <c r="A1677" s="12" t="n">
        <v>45085</v>
      </c>
      <c r="B1677" s="13" t="n">
        <v>0.0363</v>
      </c>
      <c r="C1677" s="14">
        <f>B1677*100</f>
        <v/>
      </c>
    </row>
    <row r="1678">
      <c r="A1678" s="12" t="n">
        <v>45086</v>
      </c>
      <c r="B1678" s="13" t="n">
        <v>0.0509</v>
      </c>
      <c r="C1678" s="14">
        <f>B1678*100</f>
        <v/>
      </c>
    </row>
    <row r="1679">
      <c r="A1679" s="12" t="n">
        <v>45089</v>
      </c>
      <c r="B1679" s="13" t="n">
        <v>0.0448</v>
      </c>
      <c r="C1679" s="14">
        <f>B1679*100</f>
        <v/>
      </c>
    </row>
    <row r="1680">
      <c r="A1680" s="12" t="n">
        <v>45090</v>
      </c>
      <c r="B1680" s="13" t="n">
        <v>0.08790000000000001</v>
      </c>
      <c r="C1680" s="14">
        <f>B1680*100</f>
        <v/>
      </c>
    </row>
    <row r="1681">
      <c r="A1681" s="12" t="n">
        <v>45091</v>
      </c>
      <c r="B1681" s="13" t="n">
        <v>0.1029</v>
      </c>
      <c r="C1681" s="14">
        <f>B1681*100</f>
        <v/>
      </c>
    </row>
    <row r="1682">
      <c r="A1682" s="12" t="n">
        <v>45092</v>
      </c>
      <c r="B1682" s="13" t="n">
        <v>0.0598</v>
      </c>
      <c r="C1682" s="14">
        <f>B1682*100</f>
        <v/>
      </c>
    </row>
    <row r="1683">
      <c r="A1683" s="12" t="n">
        <v>45093</v>
      </c>
      <c r="B1683" s="13" t="n">
        <v>0.0709</v>
      </c>
      <c r="C1683" s="14">
        <f>B1683*100</f>
        <v/>
      </c>
    </row>
    <row r="1684">
      <c r="A1684" s="12" t="n">
        <v>45097</v>
      </c>
      <c r="B1684" s="13" t="n">
        <v>0.0548</v>
      </c>
      <c r="C1684" s="14">
        <f>B1684*100</f>
        <v/>
      </c>
    </row>
    <row r="1685">
      <c r="A1685" s="12" t="n">
        <v>45098</v>
      </c>
      <c r="B1685" s="13" t="n">
        <v>0.0411</v>
      </c>
      <c r="C1685" s="14">
        <f>B1685*100</f>
        <v/>
      </c>
    </row>
    <row r="1686">
      <c r="A1686" s="12" t="n">
        <v>45099</v>
      </c>
      <c r="B1686" s="13" t="n">
        <v>0.0653</v>
      </c>
      <c r="C1686" s="14">
        <f>B1686*100</f>
        <v/>
      </c>
    </row>
    <row r="1687">
      <c r="A1687" s="12" t="n">
        <v>45100</v>
      </c>
      <c r="B1687" s="13" t="n">
        <v>0.054</v>
      </c>
      <c r="C1687" s="14">
        <f>B1687*100</f>
        <v/>
      </c>
    </row>
    <row r="1688">
      <c r="A1688" s="12" t="n">
        <v>45103</v>
      </c>
      <c r="B1688" s="13" t="n">
        <v>0.0355</v>
      </c>
      <c r="C1688" s="14">
        <f>B1688*100</f>
        <v/>
      </c>
    </row>
    <row r="1689">
      <c r="A1689" s="12" t="n">
        <v>45104</v>
      </c>
      <c r="B1689" s="13" t="n">
        <v>0.0485</v>
      </c>
      <c r="C1689" s="14">
        <f>B1689*100</f>
        <v/>
      </c>
    </row>
    <row r="1690">
      <c r="A1690" s="12" t="n">
        <v>45105</v>
      </c>
      <c r="B1690" s="13" t="n">
        <v>0.0273</v>
      </c>
      <c r="C1690" s="14">
        <f>B1690*100</f>
        <v/>
      </c>
    </row>
    <row r="1691">
      <c r="A1691" s="12" t="n">
        <v>45106</v>
      </c>
      <c r="B1691" s="13" t="n">
        <v>0.096</v>
      </c>
      <c r="C1691" s="14">
        <f>B1691*100</f>
        <v/>
      </c>
    </row>
    <row r="1692">
      <c r="A1692" s="12" t="n">
        <v>45107</v>
      </c>
      <c r="B1692" s="13" t="n">
        <v>0.1019</v>
      </c>
      <c r="C1692" s="14">
        <f>B1692*100</f>
        <v/>
      </c>
    </row>
    <row r="1693">
      <c r="A1693" s="12" t="n">
        <v>45110</v>
      </c>
      <c r="B1693" s="13" t="n">
        <v>0.1221</v>
      </c>
      <c r="C1693" s="14">
        <f>B1693*100</f>
        <v/>
      </c>
    </row>
    <row r="1694">
      <c r="A1694" s="12" t="n">
        <v>45112</v>
      </c>
      <c r="B1694" s="13" t="n">
        <v>0.1531</v>
      </c>
      <c r="C1694" s="14">
        <f>B1694*100</f>
        <v/>
      </c>
    </row>
    <row r="1695">
      <c r="A1695" s="12" t="n">
        <v>45113</v>
      </c>
      <c r="B1695" s="13" t="n">
        <v>0.2043</v>
      </c>
      <c r="C1695" s="14">
        <f>B1695*100</f>
        <v/>
      </c>
    </row>
    <row r="1696">
      <c r="A1696" s="12" t="n">
        <v>45114</v>
      </c>
      <c r="B1696" s="13" t="n">
        <v>0.218</v>
      </c>
      <c r="C1696" s="14">
        <f>B1696*100</f>
        <v/>
      </c>
    </row>
    <row r="1697">
      <c r="A1697" s="12" t="n">
        <v>45117</v>
      </c>
      <c r="B1697" s="13" t="n">
        <v>0.1862</v>
      </c>
      <c r="C1697" s="14">
        <f>B1697*100</f>
        <v/>
      </c>
    </row>
    <row r="1698">
      <c r="A1698" s="12" t="n">
        <v>45118</v>
      </c>
      <c r="B1698" s="13" t="n">
        <v>0.1741</v>
      </c>
      <c r="C1698" s="14">
        <f>B1698*100</f>
        <v/>
      </c>
    </row>
    <row r="1699">
      <c r="A1699" s="12" t="n">
        <v>45119</v>
      </c>
      <c r="B1699" s="13" t="n">
        <v>0.1097</v>
      </c>
      <c r="C1699" s="14">
        <f>B1699*100</f>
        <v/>
      </c>
    </row>
    <row r="1700">
      <c r="A1700" s="12" t="n">
        <v>45120</v>
      </c>
      <c r="B1700" s="13" t="n">
        <v>0.0474</v>
      </c>
      <c r="C1700" s="14">
        <f>B1700*100</f>
        <v/>
      </c>
    </row>
    <row r="1701">
      <c r="A1701" s="12" t="n">
        <v>45121</v>
      </c>
      <c r="B1701" s="13" t="n">
        <v>0.0617</v>
      </c>
      <c r="C1701" s="14">
        <f>B1701*100</f>
        <v/>
      </c>
    </row>
    <row r="1702">
      <c r="A1702" s="12" t="n">
        <v>45124</v>
      </c>
      <c r="B1702" s="13" t="n">
        <v>0.054</v>
      </c>
      <c r="C1702" s="14">
        <f>B1702*100</f>
        <v/>
      </c>
    </row>
    <row r="1703">
      <c r="A1703" s="12" t="n">
        <v>45125</v>
      </c>
      <c r="B1703" s="13" t="n">
        <v>0.045</v>
      </c>
      <c r="C1703" s="14">
        <f>B1703*100</f>
        <v/>
      </c>
    </row>
    <row r="1704">
      <c r="A1704" s="12" t="n">
        <v>45126</v>
      </c>
      <c r="B1704" s="13" t="n">
        <v>0.0259</v>
      </c>
      <c r="C1704" s="14">
        <f>B1704*100</f>
        <v/>
      </c>
    </row>
    <row r="1705">
      <c r="A1705" s="12" t="n">
        <v>45127</v>
      </c>
      <c r="B1705" s="13" t="n">
        <v>0.0598</v>
      </c>
      <c r="C1705" s="14">
        <f>B1705*100</f>
        <v/>
      </c>
    </row>
    <row r="1706">
      <c r="A1706" s="12" t="n">
        <v>45128</v>
      </c>
      <c r="B1706" s="13" t="n">
        <v>0.06850000000000001</v>
      </c>
      <c r="C1706" s="14">
        <f>B1706*100</f>
        <v/>
      </c>
    </row>
    <row r="1707">
      <c r="A1707" s="12" t="n">
        <v>45131</v>
      </c>
      <c r="B1707" s="13" t="n">
        <v>0.08890000000000001</v>
      </c>
      <c r="C1707" s="14">
        <f>B1707*100</f>
        <v/>
      </c>
    </row>
    <row r="1708">
      <c r="A1708" s="12" t="n">
        <v>45132</v>
      </c>
      <c r="B1708" s="13" t="n">
        <v>0.1136</v>
      </c>
      <c r="C1708" s="14">
        <f>B1708*100</f>
        <v/>
      </c>
    </row>
    <row r="1709">
      <c r="A1709" s="12" t="n">
        <v>45133</v>
      </c>
      <c r="B1709" s="13" t="n">
        <v>0.1016</v>
      </c>
      <c r="C1709" s="14">
        <f>B1709*100</f>
        <v/>
      </c>
    </row>
    <row r="1710">
      <c r="A1710" s="12" t="n">
        <v>45134</v>
      </c>
      <c r="B1710" s="13" t="n">
        <v>0.1536</v>
      </c>
      <c r="C1710" s="14">
        <f>B1710*100</f>
        <v/>
      </c>
    </row>
    <row r="1711">
      <c r="A1711" s="12" t="n">
        <v>45135</v>
      </c>
      <c r="B1711" s="13" t="n">
        <v>0.1433</v>
      </c>
      <c r="C1711" s="14">
        <f>B1711*100</f>
        <v/>
      </c>
    </row>
    <row r="1712">
      <c r="A1712" s="12" t="n">
        <v>45138</v>
      </c>
      <c r="B1712" s="13" t="n">
        <v>0.1462</v>
      </c>
      <c r="C1712" s="14">
        <f>B1712*100</f>
        <v/>
      </c>
    </row>
    <row r="1713">
      <c r="A1713" s="12" t="n">
        <v>45139</v>
      </c>
      <c r="B1713" s="13" t="n">
        <v>0.1782</v>
      </c>
      <c r="C1713" s="14">
        <f>B1713*100</f>
        <v/>
      </c>
    </row>
    <row r="1714">
      <c r="A1714" s="12" t="n">
        <v>45140</v>
      </c>
      <c r="B1714" s="13" t="n">
        <v>0.1871</v>
      </c>
      <c r="C1714" s="14">
        <f>B1714*100</f>
        <v/>
      </c>
    </row>
    <row r="1715">
      <c r="A1715" s="12" t="n">
        <v>45141</v>
      </c>
      <c r="B1715" s="13" t="n">
        <v>0.2234</v>
      </c>
      <c r="C1715" s="14">
        <f>B1715*100</f>
        <v/>
      </c>
    </row>
    <row r="1716">
      <c r="A1716" s="12" t="n">
        <v>45142</v>
      </c>
      <c r="B1716" s="13" t="n">
        <v>0.1767</v>
      </c>
      <c r="C1716" s="14">
        <f>B1716*100</f>
        <v/>
      </c>
    </row>
    <row r="1717">
      <c r="A1717" s="12" t="n">
        <v>45145</v>
      </c>
      <c r="B1717" s="13" t="n">
        <v>0.1763</v>
      </c>
      <c r="C1717" s="14">
        <f>B1717*100</f>
        <v/>
      </c>
    </row>
    <row r="1718">
      <c r="A1718" s="12" t="n">
        <v>45146</v>
      </c>
      <c r="B1718" s="13" t="n">
        <v>0.1501</v>
      </c>
      <c r="C1718" s="14">
        <f>B1718*100</f>
        <v/>
      </c>
    </row>
    <row r="1719">
      <c r="A1719" s="12" t="n">
        <v>45147</v>
      </c>
      <c r="B1719" s="13" t="n">
        <v>0.1469</v>
      </c>
      <c r="C1719" s="14">
        <f>B1719*100</f>
        <v/>
      </c>
    </row>
    <row r="1720">
      <c r="A1720" s="12" t="n">
        <v>45148</v>
      </c>
      <c r="B1720" s="13" t="n">
        <v>0.1804</v>
      </c>
      <c r="C1720" s="14">
        <f>B1720*100</f>
        <v/>
      </c>
    </row>
    <row r="1721">
      <c r="A1721" s="12" t="n">
        <v>45149</v>
      </c>
      <c r="B1721" s="13" t="n">
        <v>0.2238</v>
      </c>
      <c r="C1721" s="14">
        <f>B1721*100</f>
        <v/>
      </c>
    </row>
    <row r="1722">
      <c r="A1722" s="12" t="n">
        <v>45152</v>
      </c>
      <c r="B1722" s="13" t="n">
        <v>0.2442</v>
      </c>
      <c r="C1722" s="14">
        <f>B1722*100</f>
        <v/>
      </c>
    </row>
    <row r="1723">
      <c r="A1723" s="12" t="n">
        <v>45153</v>
      </c>
      <c r="B1723" s="13" t="n">
        <v>0.257</v>
      </c>
      <c r="C1723" s="14">
        <f>B1723*100</f>
        <v/>
      </c>
    </row>
    <row r="1724">
      <c r="A1724" s="12" t="n">
        <v>45154</v>
      </c>
      <c r="B1724" s="13" t="n">
        <v>0.2845</v>
      </c>
      <c r="C1724" s="14">
        <f>B1724*100</f>
        <v/>
      </c>
    </row>
    <row r="1725">
      <c r="A1725" s="12" t="n">
        <v>45155</v>
      </c>
      <c r="B1725" s="13" t="n">
        <v>0.3002</v>
      </c>
      <c r="C1725" s="14">
        <f>B1725*100</f>
        <v/>
      </c>
    </row>
    <row r="1726">
      <c r="A1726" s="12" t="n">
        <v>45156</v>
      </c>
      <c r="B1726" s="13" t="n">
        <v>0.2909</v>
      </c>
      <c r="C1726" s="14">
        <f>B1726*100</f>
        <v/>
      </c>
    </row>
    <row r="1727">
      <c r="A1727" s="12" t="n">
        <v>45159</v>
      </c>
      <c r="B1727" s="13" t="n">
        <v>0.319</v>
      </c>
      <c r="C1727" s="14">
        <f>B1727*100</f>
        <v/>
      </c>
    </row>
    <row r="1728">
      <c r="A1728" s="12" t="n">
        <v>45160</v>
      </c>
      <c r="B1728" s="13" t="n">
        <v>0.344</v>
      </c>
      <c r="C1728" s="14">
        <f>B1728*100</f>
        <v/>
      </c>
    </row>
    <row r="1729">
      <c r="A1729" s="12" t="n">
        <v>45161</v>
      </c>
      <c r="B1729" s="13" t="n">
        <v>0.2849</v>
      </c>
      <c r="C1729" s="14">
        <f>B1729*100</f>
        <v/>
      </c>
    </row>
    <row r="1730">
      <c r="A1730" s="12" t="n">
        <v>45162</v>
      </c>
      <c r="B1730" s="13" t="n">
        <v>0.281</v>
      </c>
      <c r="C1730" s="14">
        <f>B1730*100</f>
        <v/>
      </c>
    </row>
    <row r="1731">
      <c r="A1731" s="12" t="n">
        <v>45163</v>
      </c>
      <c r="B1731" s="13" t="n">
        <v>0.287</v>
      </c>
      <c r="C1731" s="14">
        <f>B1731*100</f>
        <v/>
      </c>
    </row>
    <row r="1732">
      <c r="A1732" s="12" t="n">
        <v>45166</v>
      </c>
      <c r="B1732" s="13" t="n">
        <v>0.268</v>
      </c>
      <c r="C1732" s="14">
        <f>B1732*100</f>
        <v/>
      </c>
    </row>
    <row r="1733">
      <c r="A1733" s="12" t="n">
        <v>45167</v>
      </c>
      <c r="B1733" s="13" t="n">
        <v>0.2235</v>
      </c>
      <c r="C1733" s="14">
        <f>B1733*100</f>
        <v/>
      </c>
    </row>
    <row r="1734">
      <c r="A1734" s="12" t="n">
        <v>45168</v>
      </c>
      <c r="B1734" s="13" t="n">
        <v>0.2192</v>
      </c>
      <c r="C1734" s="14">
        <f>B1734*100</f>
        <v/>
      </c>
    </row>
    <row r="1735">
      <c r="A1735" s="12" t="n">
        <v>45169</v>
      </c>
      <c r="B1735" s="13" t="n">
        <v>0.2064</v>
      </c>
      <c r="C1735" s="14">
        <f>B1735*100</f>
        <v/>
      </c>
    </row>
    <row r="1736">
      <c r="A1736" s="12" t="n">
        <v>45170</v>
      </c>
      <c r="B1736" s="13" t="n">
        <v>0.2341</v>
      </c>
      <c r="C1736" s="14">
        <f>B1736*100</f>
        <v/>
      </c>
    </row>
    <row r="1737">
      <c r="A1737" s="12" t="n">
        <v>45174</v>
      </c>
      <c r="B1737" s="13" t="n">
        <v>0.2709</v>
      </c>
      <c r="C1737" s="14">
        <f>B1737*100</f>
        <v/>
      </c>
    </row>
    <row r="1738">
      <c r="A1738" s="12" t="n">
        <v>45175</v>
      </c>
      <c r="B1738" s="13" t="n">
        <v>0.3118</v>
      </c>
      <c r="C1738" s="14">
        <f>B1738*100</f>
        <v/>
      </c>
    </row>
    <row r="1739">
      <c r="A1739" s="12" t="n">
        <v>45176</v>
      </c>
      <c r="B1739" s="13" t="n">
        <v>0.2928</v>
      </c>
      <c r="C1739" s="14">
        <f>B1739*100</f>
        <v/>
      </c>
    </row>
    <row r="1740">
      <c r="A1740" s="12" t="n">
        <v>45177</v>
      </c>
      <c r="B1740" s="13" t="n">
        <v>0.2894</v>
      </c>
      <c r="C1740" s="14">
        <f>B1740*100</f>
        <v/>
      </c>
    </row>
    <row r="1741">
      <c r="A1741" s="12" t="n">
        <v>45180</v>
      </c>
      <c r="B1741" s="13" t="n">
        <v>0.2943</v>
      </c>
      <c r="C1741" s="14">
        <f>B1741*100</f>
        <v/>
      </c>
    </row>
    <row r="1742">
      <c r="A1742" s="12" t="n">
        <v>45181</v>
      </c>
      <c r="B1742" s="13" t="n">
        <v>0.2912</v>
      </c>
      <c r="C1742" s="14">
        <f>B1742*100</f>
        <v/>
      </c>
    </row>
    <row r="1743">
      <c r="A1743" s="12" t="n">
        <v>45182</v>
      </c>
      <c r="B1743" s="13" t="n">
        <v>0.2823</v>
      </c>
      <c r="C1743" s="14">
        <f>B1743*100</f>
        <v/>
      </c>
    </row>
    <row r="1744">
      <c r="A1744" s="12" t="n">
        <v>45183</v>
      </c>
      <c r="B1744" s="13" t="n">
        <v>0.2937</v>
      </c>
      <c r="C1744" s="14">
        <f>B1744*100</f>
        <v/>
      </c>
    </row>
    <row r="1745">
      <c r="A1745" s="12" t="n">
        <v>45184</v>
      </c>
      <c r="B1745" s="13" t="n">
        <v>0.3248</v>
      </c>
      <c r="C1745" s="14">
        <f>B1745*100</f>
        <v/>
      </c>
    </row>
    <row r="1746">
      <c r="A1746" s="12" t="n">
        <v>45187</v>
      </c>
      <c r="B1746" s="13" t="n">
        <v>0.3342</v>
      </c>
      <c r="C1746" s="14">
        <f>B1746*100</f>
        <v/>
      </c>
    </row>
    <row r="1747">
      <c r="A1747" s="12" t="n">
        <v>45188</v>
      </c>
      <c r="B1747" s="13" t="n">
        <v>0.3539</v>
      </c>
      <c r="C1747" s="14">
        <f>B1747*100</f>
        <v/>
      </c>
    </row>
    <row r="1748">
      <c r="A1748" s="12" t="n">
        <v>45189</v>
      </c>
      <c r="B1748" s="13" t="n">
        <v>0.3546</v>
      </c>
      <c r="C1748" s="14">
        <f>B1748*100</f>
        <v/>
      </c>
    </row>
    <row r="1749">
      <c r="A1749" s="12" t="n">
        <v>45190</v>
      </c>
      <c r="B1749" s="13" t="n">
        <v>0.4021</v>
      </c>
      <c r="C1749" s="14">
        <f>B1749*100</f>
        <v/>
      </c>
    </row>
    <row r="1750">
      <c r="A1750" s="12" t="n">
        <v>45191</v>
      </c>
      <c r="B1750" s="13" t="n">
        <v>0.4001</v>
      </c>
      <c r="C1750" s="14">
        <f>B1750*100</f>
        <v/>
      </c>
    </row>
    <row r="1751">
      <c r="A1751" s="12" t="n">
        <v>45194</v>
      </c>
      <c r="B1751" s="13" t="n">
        <v>0.4318</v>
      </c>
      <c r="C1751" s="14">
        <f>B1751*100</f>
        <v/>
      </c>
    </row>
    <row r="1752">
      <c r="A1752" s="12" t="n">
        <v>45195</v>
      </c>
      <c r="B1752" s="13" t="n">
        <v>0.4471</v>
      </c>
      <c r="C1752" s="14">
        <f>B1752*100</f>
        <v/>
      </c>
    </row>
    <row r="1753">
      <c r="A1753" s="12" t="n">
        <v>45196</v>
      </c>
      <c r="B1753" s="13" t="n">
        <v>0.4779</v>
      </c>
      <c r="C1753" s="14">
        <f>B1753*100</f>
        <v/>
      </c>
    </row>
    <row r="1754">
      <c r="A1754" s="12" t="n">
        <v>45197</v>
      </c>
      <c r="B1754" s="13" t="n">
        <v>0.472</v>
      </c>
      <c r="C1754" s="14">
        <f>B1754*100</f>
        <v/>
      </c>
    </row>
    <row r="1755">
      <c r="A1755" s="12" t="n">
        <v>45198</v>
      </c>
      <c r="B1755" s="13" t="n">
        <v>0.47</v>
      </c>
      <c r="C1755" s="14">
        <f>B1755*100</f>
        <v/>
      </c>
    </row>
    <row r="1756">
      <c r="A1756" s="12" t="n">
        <v>45201</v>
      </c>
      <c r="B1756" s="13" t="n">
        <v>0.5083</v>
      </c>
      <c r="C1756" s="14">
        <f>B1756*100</f>
        <v/>
      </c>
    </row>
    <row r="1757">
      <c r="A1757" s="12" t="n">
        <v>45202</v>
      </c>
      <c r="B1757" s="13" t="n">
        <v>0.5610000000000001</v>
      </c>
      <c r="C1757" s="14">
        <f>B1757*100</f>
        <v/>
      </c>
    </row>
    <row r="1758">
      <c r="A1758" s="12" t="n">
        <v>45203</v>
      </c>
      <c r="B1758" s="13" t="n">
        <v>0.5429</v>
      </c>
      <c r="C1758" s="14">
        <f>B1758*100</f>
        <v/>
      </c>
    </row>
    <row r="1759">
      <c r="A1759" s="12" t="n">
        <v>45204</v>
      </c>
      <c r="B1759" s="13" t="n">
        <v>0.5338000000000001</v>
      </c>
      <c r="C1759" s="14">
        <f>B1759*100</f>
        <v/>
      </c>
    </row>
    <row r="1760">
      <c r="A1760" s="12" t="n">
        <v>45205</v>
      </c>
      <c r="B1760" s="13" t="n">
        <v>0.5494</v>
      </c>
      <c r="C1760" s="14">
        <f>B1760*100</f>
        <v/>
      </c>
    </row>
    <row r="1761">
      <c r="A1761" s="12" t="n">
        <v>45209</v>
      </c>
      <c r="B1761" s="13" t="n">
        <v>0.5082</v>
      </c>
      <c r="C1761" s="14">
        <f>B1761*100</f>
        <v/>
      </c>
    </row>
    <row r="1762">
      <c r="A1762" s="12" t="n">
        <v>45210</v>
      </c>
      <c r="B1762" s="13" t="n">
        <v>0.4753</v>
      </c>
      <c r="C1762" s="14">
        <f>B1762*100</f>
        <v/>
      </c>
    </row>
    <row r="1763">
      <c r="A1763" s="12" t="n">
        <v>45211</v>
      </c>
      <c r="B1763" s="13" t="n">
        <v>0.5158</v>
      </c>
      <c r="C1763" s="14">
        <f>B1763*100</f>
        <v/>
      </c>
    </row>
    <row r="1764">
      <c r="A1764" s="12" t="n">
        <v>45212</v>
      </c>
      <c r="B1764" s="13" t="n">
        <v>0.5009</v>
      </c>
      <c r="C1764" s="14">
        <f>B1764*100</f>
        <v/>
      </c>
    </row>
    <row r="1765">
      <c r="A1765" s="12" t="n">
        <v>45215</v>
      </c>
      <c r="B1765" s="13" t="n">
        <v>0.528</v>
      </c>
      <c r="C1765" s="14">
        <f>B1765*100</f>
        <v/>
      </c>
    </row>
    <row r="1766">
      <c r="A1766" s="12" t="n">
        <v>45216</v>
      </c>
      <c r="B1766" s="13" t="n">
        <v>0.5866</v>
      </c>
      <c r="C1766" s="14">
        <f>B1766*100</f>
        <v/>
      </c>
    </row>
    <row r="1767">
      <c r="A1767" s="12" t="n">
        <v>45217</v>
      </c>
      <c r="B1767" s="13" t="n">
        <v>0.6229</v>
      </c>
      <c r="C1767" s="14">
        <f>B1767*100</f>
        <v/>
      </c>
    </row>
    <row r="1768">
      <c r="A1768" s="12" t="n">
        <v>45218</v>
      </c>
      <c r="B1768" s="13" t="n">
        <v>0.6589</v>
      </c>
      <c r="C1768" s="14">
        <f>B1768*100</f>
        <v/>
      </c>
    </row>
    <row r="1769">
      <c r="A1769" s="12" t="n">
        <v>45219</v>
      </c>
      <c r="B1769" s="13" t="n">
        <v>0.6484</v>
      </c>
      <c r="C1769" s="14">
        <f>B1769*100</f>
        <v/>
      </c>
    </row>
    <row r="1770">
      <c r="A1770" s="12" t="n">
        <v>45222</v>
      </c>
      <c r="B1770" s="13" t="n">
        <v>0.6222</v>
      </c>
      <c r="C1770" s="14">
        <f>B1770*100</f>
        <v/>
      </c>
    </row>
    <row r="1771">
      <c r="A1771" s="12" t="n">
        <v>45223</v>
      </c>
      <c r="B1771" s="13" t="n">
        <v>0.614</v>
      </c>
      <c r="C1771" s="14">
        <f>B1771*100</f>
        <v/>
      </c>
    </row>
    <row r="1772">
      <c r="A1772" s="12" t="n">
        <v>45224</v>
      </c>
      <c r="B1772" s="13" t="n">
        <v>0.6526999999999999</v>
      </c>
      <c r="C1772" s="14">
        <f>B1772*100</f>
        <v/>
      </c>
    </row>
    <row r="1773">
      <c r="A1773" s="12" t="n">
        <v>45225</v>
      </c>
      <c r="B1773" s="13" t="n">
        <v>0.6267</v>
      </c>
      <c r="C1773" s="14">
        <f>B1773*100</f>
        <v/>
      </c>
    </row>
    <row r="1774">
      <c r="A1774" s="12" t="n">
        <v>45226</v>
      </c>
      <c r="B1774" s="13" t="n">
        <v>0.6091</v>
      </c>
      <c r="C1774" s="14">
        <f>B1774*100</f>
        <v/>
      </c>
    </row>
    <row r="1775">
      <c r="A1775" s="12" t="n">
        <v>45229</v>
      </c>
      <c r="B1775" s="13" t="n">
        <v>0.6183</v>
      </c>
      <c r="C1775" s="14">
        <f>B1775*100</f>
        <v/>
      </c>
    </row>
    <row r="1776">
      <c r="A1776" s="12" t="n">
        <v>45230</v>
      </c>
      <c r="B1776" s="13" t="n">
        <v>0.6231</v>
      </c>
      <c r="C1776" s="14">
        <f>B1776*100</f>
        <v/>
      </c>
    </row>
    <row r="1777">
      <c r="A1777" s="12" t="n">
        <v>45231</v>
      </c>
      <c r="B1777" s="13" t="n">
        <v>0.5727</v>
      </c>
      <c r="C1777" s="14">
        <f>B1777*100</f>
        <v/>
      </c>
    </row>
    <row r="1778">
      <c r="A1778" s="12" t="n">
        <v>45232</v>
      </c>
      <c r="B1778" s="13" t="n">
        <v>0.5361</v>
      </c>
      <c r="C1778" s="14">
        <f>B1778*100</f>
        <v/>
      </c>
    </row>
    <row r="1779">
      <c r="A1779" s="12" t="n">
        <v>45233</v>
      </c>
      <c r="B1779" s="13" t="n">
        <v>0.4743</v>
      </c>
      <c r="C1779" s="14">
        <f>B1779*100</f>
        <v/>
      </c>
    </row>
    <row r="1780">
      <c r="A1780" s="12" t="n">
        <v>45236</v>
      </c>
      <c r="B1780" s="13" t="n">
        <v>0.4988</v>
      </c>
      <c r="C1780" s="14">
        <f>B1780*100</f>
        <v/>
      </c>
    </row>
    <row r="1781">
      <c r="A1781" s="12" t="n">
        <v>45237</v>
      </c>
      <c r="B1781" s="13" t="n">
        <v>0.4733</v>
      </c>
      <c r="C1781" s="14">
        <f>B1781*100</f>
        <v/>
      </c>
    </row>
    <row r="1782">
      <c r="A1782" s="12" t="n">
        <v>45238</v>
      </c>
      <c r="B1782" s="13" t="n">
        <v>0.4517</v>
      </c>
      <c r="C1782" s="14">
        <f>B1782*100</f>
        <v/>
      </c>
    </row>
    <row r="1783">
      <c r="A1783" s="12" t="n">
        <v>45239</v>
      </c>
      <c r="B1783" s="13" t="n">
        <v>0.5006</v>
      </c>
      <c r="C1783" s="14">
        <f>B1783*100</f>
        <v/>
      </c>
    </row>
    <row r="1784">
      <c r="A1784" s="12" t="n">
        <v>45240</v>
      </c>
      <c r="B1784" s="13" t="n">
        <v>0.5113</v>
      </c>
      <c r="C1784" s="14">
        <f>B1784*100</f>
        <v/>
      </c>
    </row>
    <row r="1785">
      <c r="A1785" s="12" t="n">
        <v>45243</v>
      </c>
      <c r="B1785" s="13" t="n">
        <v>0.5159</v>
      </c>
      <c r="C1785" s="14">
        <f>B1785*100</f>
        <v/>
      </c>
    </row>
    <row r="1786">
      <c r="A1786" s="12" t="n">
        <v>45244</v>
      </c>
      <c r="B1786" s="13" t="n">
        <v>0.4265</v>
      </c>
      <c r="C1786" s="14">
        <f>B1786*100</f>
        <v/>
      </c>
    </row>
    <row r="1787">
      <c r="A1787" s="12" t="n">
        <v>45245</v>
      </c>
      <c r="B1787" s="13" t="n">
        <v>0.4434</v>
      </c>
      <c r="C1787" s="14">
        <f>B1787*100</f>
        <v/>
      </c>
    </row>
    <row r="1788">
      <c r="A1788" s="12" t="n">
        <v>45246</v>
      </c>
      <c r="B1788" s="13" t="n">
        <v>0.4159</v>
      </c>
      <c r="C1788" s="14">
        <f>B1788*100</f>
        <v/>
      </c>
    </row>
    <row r="1789">
      <c r="A1789" s="12" t="n">
        <v>45247</v>
      </c>
      <c r="B1789" s="13" t="n">
        <v>0.4088</v>
      </c>
      <c r="C1789" s="14">
        <f>B1789*100</f>
        <v/>
      </c>
    </row>
    <row r="1790">
      <c r="A1790" s="12" t="n">
        <v>45250</v>
      </c>
      <c r="B1790" s="13" t="n">
        <v>0.3965</v>
      </c>
      <c r="C1790" s="14">
        <f>B1790*100</f>
        <v/>
      </c>
    </row>
    <row r="1791">
      <c r="A1791" s="12" t="n">
        <v>45251</v>
      </c>
      <c r="B1791" s="13" t="n">
        <v>0.3857</v>
      </c>
      <c r="C1791" s="14">
        <f>B1791*100</f>
        <v/>
      </c>
    </row>
    <row r="1792">
      <c r="A1792" s="12" t="n">
        <v>45252</v>
      </c>
      <c r="B1792" s="13" t="n">
        <v>0.3873</v>
      </c>
      <c r="C1792" s="14">
        <f>B1792*100</f>
        <v/>
      </c>
    </row>
    <row r="1793">
      <c r="A1793" s="12" t="n">
        <v>45254</v>
      </c>
      <c r="B1793" s="13" t="n">
        <v>0.4162</v>
      </c>
      <c r="C1793" s="14">
        <f>B1793*100</f>
        <v/>
      </c>
    </row>
    <row r="1794">
      <c r="A1794" s="12" t="n">
        <v>45257</v>
      </c>
      <c r="B1794" s="13" t="n">
        <v>0.3827</v>
      </c>
      <c r="C1794" s="14">
        <f>B1794*100</f>
        <v/>
      </c>
    </row>
    <row r="1795">
      <c r="A1795" s="12" t="n">
        <v>45258</v>
      </c>
      <c r="B1795" s="13" t="n">
        <v>0.3486</v>
      </c>
      <c r="C1795" s="14">
        <f>B1795*100</f>
        <v/>
      </c>
    </row>
    <row r="1796">
      <c r="A1796" s="12" t="n">
        <v>45259</v>
      </c>
      <c r="B1796" s="13" t="n">
        <v>0.3149</v>
      </c>
      <c r="C1796" s="14">
        <f>B1796*100</f>
        <v/>
      </c>
    </row>
    <row r="1797">
      <c r="A1797" s="12" t="n">
        <v>45260</v>
      </c>
      <c r="B1797" s="13" t="n">
        <v>0.3449</v>
      </c>
      <c r="C1797" s="14">
        <f>B1797*100</f>
        <v/>
      </c>
    </row>
    <row r="1798">
      <c r="A1798" s="12" t="n">
        <v>45261</v>
      </c>
      <c r="B1798" s="13" t="n">
        <v>0.2922</v>
      </c>
      <c r="C1798" s="14">
        <f>B1798*100</f>
        <v/>
      </c>
    </row>
    <row r="1799">
      <c r="A1799" s="12" t="n">
        <v>45264</v>
      </c>
      <c r="B1799" s="13" t="n">
        <v>0.3084</v>
      </c>
      <c r="C1799" s="14">
        <f>B1799*100</f>
        <v/>
      </c>
    </row>
    <row r="1800">
      <c r="A1800" s="12" t="n">
        <v>45265</v>
      </c>
      <c r="B1800" s="13" t="n">
        <v>0.2737</v>
      </c>
      <c r="C1800" s="14">
        <f>B1800*100</f>
        <v/>
      </c>
    </row>
    <row r="1801">
      <c r="A1801" s="12" t="n">
        <v>45266</v>
      </c>
      <c r="B1801" s="13" t="n">
        <v>0.2458</v>
      </c>
      <c r="C1801" s="14">
        <f>B1801*100</f>
        <v/>
      </c>
    </row>
    <row r="1802">
      <c r="A1802" s="12" t="n">
        <v>45267</v>
      </c>
      <c r="B1802" s="13" t="n">
        <v>0.2399</v>
      </c>
      <c r="C1802" s="14">
        <f>B1802*100</f>
        <v/>
      </c>
    </row>
    <row r="1803">
      <c r="A1803" s="12" t="n">
        <v>45268</v>
      </c>
      <c r="B1803" s="13" t="n">
        <v>0.2801</v>
      </c>
      <c r="C1803" s="14">
        <f>B1803*100</f>
        <v/>
      </c>
    </row>
    <row r="1804">
      <c r="A1804" s="12" t="n">
        <v>45271</v>
      </c>
      <c r="B1804" s="13" t="n">
        <v>0.2898</v>
      </c>
      <c r="C1804" s="14">
        <f>B1804*100</f>
        <v/>
      </c>
    </row>
    <row r="1805">
      <c r="A1805" s="12" t="n">
        <v>45272</v>
      </c>
      <c r="B1805" s="13" t="n">
        <v>0.2781</v>
      </c>
      <c r="C1805" s="14">
        <f>B1805*100</f>
        <v/>
      </c>
    </row>
    <row r="1806">
      <c r="A1806" s="12" t="n">
        <v>45273</v>
      </c>
      <c r="B1806" s="13" t="n">
        <v>0.2019</v>
      </c>
      <c r="C1806" s="14">
        <f>B1806*100</f>
        <v/>
      </c>
    </row>
    <row r="1807">
      <c r="A1807" s="12" t="n">
        <v>45274</v>
      </c>
      <c r="B1807" s="13" t="n">
        <v>0.1418</v>
      </c>
      <c r="C1807" s="14">
        <f>B1807*100</f>
        <v/>
      </c>
    </row>
    <row r="1808">
      <c r="A1808" s="12" t="n">
        <v>45275</v>
      </c>
      <c r="B1808" s="13" t="n">
        <v>0.1259</v>
      </c>
      <c r="C1808" s="14">
        <f>B1808*100</f>
        <v/>
      </c>
    </row>
    <row r="1809">
      <c r="A1809" s="12" t="n">
        <v>45278</v>
      </c>
      <c r="B1809" s="13" t="n">
        <v>0.132</v>
      </c>
      <c r="C1809" s="14">
        <f>B1809*100</f>
        <v/>
      </c>
    </row>
    <row r="1810">
      <c r="A1810" s="12" t="n">
        <v>45279</v>
      </c>
      <c r="B1810" s="13" t="n">
        <v>0.1308</v>
      </c>
      <c r="C1810" s="14">
        <f>B1810*100</f>
        <v/>
      </c>
    </row>
    <row r="1811">
      <c r="A1811" s="12" t="n">
        <v>45280</v>
      </c>
      <c r="B1811" s="13" t="n">
        <v>0.1007</v>
      </c>
      <c r="C1811" s="14">
        <f>B1811*100</f>
        <v/>
      </c>
    </row>
    <row r="1812">
      <c r="A1812" s="12" t="n">
        <v>45281</v>
      </c>
      <c r="B1812" s="13" t="n">
        <v>0.1039</v>
      </c>
      <c r="C1812" s="14">
        <f>B1812*100</f>
        <v/>
      </c>
    </row>
    <row r="1813">
      <c r="A1813" s="12" t="n">
        <v>45282</v>
      </c>
      <c r="B1813" s="13" t="n">
        <v>0.1065</v>
      </c>
      <c r="C1813" s="14">
        <f>B1813*100</f>
        <v/>
      </c>
    </row>
    <row r="1814">
      <c r="A1814" s="12" t="n">
        <v>45286</v>
      </c>
      <c r="B1814" s="13" t="n">
        <v>0.1095</v>
      </c>
      <c r="C1814" s="14">
        <f>B1814*100</f>
        <v/>
      </c>
    </row>
    <row r="1815">
      <c r="A1815" s="12" t="n">
        <v>45287</v>
      </c>
      <c r="B1815" s="13" t="n">
        <v>0.06809999999999999</v>
      </c>
      <c r="C1815" s="14">
        <f>B1815*100</f>
        <v/>
      </c>
    </row>
    <row r="1816">
      <c r="A1816" s="12" t="n">
        <v>45288</v>
      </c>
      <c r="B1816" s="13" t="n">
        <v>0.0756</v>
      </c>
      <c r="C1816" s="14">
        <f>B1816*100</f>
        <v/>
      </c>
    </row>
    <row r="1817">
      <c r="A1817" s="12" t="n">
        <v>45289</v>
      </c>
      <c r="B1817" s="13" t="n">
        <v>0.0917</v>
      </c>
      <c r="C1817" s="14">
        <f>B1817*100</f>
        <v/>
      </c>
    </row>
    <row r="1818">
      <c r="A1818" s="12" t="n">
        <v>45293</v>
      </c>
      <c r="B1818" s="13" t="n">
        <v>0.1253</v>
      </c>
      <c r="C1818" s="14">
        <f>B1818*100</f>
        <v/>
      </c>
    </row>
    <row r="1819">
      <c r="A1819" s="12" t="n">
        <v>45294</v>
      </c>
      <c r="B1819" s="13" t="n">
        <v>0.12</v>
      </c>
      <c r="C1819" s="14">
        <f>B1819*100</f>
        <v/>
      </c>
    </row>
    <row r="1820">
      <c r="A1820" s="12" t="n">
        <v>45295</v>
      </c>
      <c r="B1820" s="13" t="n">
        <v>0.1492</v>
      </c>
      <c r="C1820" s="14">
        <f>B1820*100</f>
        <v/>
      </c>
    </row>
    <row r="1821">
      <c r="A1821" s="12" t="n">
        <v>45296</v>
      </c>
      <c r="B1821" s="13" t="n">
        <v>0.1779</v>
      </c>
      <c r="C1821" s="14">
        <f>B1821*100</f>
        <v/>
      </c>
    </row>
    <row r="1822">
      <c r="A1822" s="12" t="n">
        <v>45299</v>
      </c>
      <c r="B1822" s="13" t="n">
        <v>0.1683</v>
      </c>
      <c r="C1822" s="14">
        <f>B1822*100</f>
        <v/>
      </c>
    </row>
    <row r="1823">
      <c r="A1823" s="12" t="n">
        <v>45300</v>
      </c>
      <c r="B1823" s="13" t="n">
        <v>0.1689</v>
      </c>
      <c r="C1823" s="14">
        <f>B1823*100</f>
        <v/>
      </c>
    </row>
    <row r="1824">
      <c r="A1824" s="12" t="n">
        <v>45301</v>
      </c>
      <c r="B1824" s="13" t="n">
        <v>0.1764</v>
      </c>
      <c r="C1824" s="14">
        <f>B1824*100</f>
        <v/>
      </c>
    </row>
    <row r="1825">
      <c r="A1825" s="12" t="n">
        <v>45302</v>
      </c>
      <c r="B1825" s="13" t="n">
        <v>0.1524</v>
      </c>
      <c r="C1825" s="14">
        <f>B1825*100</f>
        <v/>
      </c>
    </row>
    <row r="1826">
      <c r="A1826" s="12" t="n">
        <v>45303</v>
      </c>
      <c r="B1826" s="13" t="n">
        <v>0.1305</v>
      </c>
      <c r="C1826" s="14">
        <f>B1826*100</f>
        <v/>
      </c>
    </row>
    <row r="1827">
      <c r="A1827" s="12" t="n">
        <v>45307</v>
      </c>
      <c r="B1827" s="13" t="n">
        <v>0.1744</v>
      </c>
      <c r="C1827" s="14">
        <f>B1827*100</f>
        <v/>
      </c>
    </row>
    <row r="1828">
      <c r="A1828" s="12" t="n">
        <v>45308</v>
      </c>
      <c r="B1828" s="13" t="n">
        <v>0.2078</v>
      </c>
      <c r="C1828" s="14">
        <f>B1828*100</f>
        <v/>
      </c>
    </row>
    <row r="1829">
      <c r="A1829" s="12" t="n">
        <v>45309</v>
      </c>
      <c r="B1829" s="13" t="n">
        <v>0.2274</v>
      </c>
      <c r="C1829" s="14">
        <f>B1829*100</f>
        <v/>
      </c>
    </row>
    <row r="1830">
      <c r="A1830" s="12" t="n">
        <v>45310</v>
      </c>
      <c r="B1830" s="13" t="n">
        <v>0.2423</v>
      </c>
      <c r="C1830" s="14">
        <f>B1830*100</f>
        <v/>
      </c>
    </row>
    <row r="1831">
      <c r="A1831" s="12" t="n">
        <v>45313</v>
      </c>
      <c r="B1831" s="13" t="n">
        <v>0.2253</v>
      </c>
      <c r="C1831" s="14">
        <f>B1831*100</f>
        <v/>
      </c>
    </row>
    <row r="1832">
      <c r="A1832" s="12" t="n">
        <v>45314</v>
      </c>
      <c r="B1832" s="13" t="n">
        <v>0.2338</v>
      </c>
      <c r="C1832" s="14">
        <f>B1832*100</f>
        <v/>
      </c>
    </row>
    <row r="1833">
      <c r="A1833" s="12" t="n">
        <v>45315</v>
      </c>
      <c r="B1833" s="13" t="n">
        <v>0.2518</v>
      </c>
      <c r="C1833" s="14">
        <f>B1833*100</f>
        <v/>
      </c>
    </row>
    <row r="1834">
      <c r="A1834" s="12" t="n">
        <v>45316</v>
      </c>
      <c r="B1834" s="13" t="n">
        <v>0.2376</v>
      </c>
      <c r="C1834" s="14">
        <f>B1834*100</f>
        <v/>
      </c>
    </row>
    <row r="1835">
      <c r="A1835" s="12" t="n">
        <v>45317</v>
      </c>
      <c r="B1835" s="13" t="n">
        <v>0.2461</v>
      </c>
      <c r="C1835" s="14">
        <f>B1835*100</f>
        <v/>
      </c>
    </row>
    <row r="1836">
      <c r="A1836" s="12" t="n">
        <v>45320</v>
      </c>
      <c r="B1836" s="13" t="n">
        <v>0.2142</v>
      </c>
      <c r="C1836" s="14">
        <f>B1836*100</f>
        <v/>
      </c>
    </row>
    <row r="1837">
      <c r="A1837" s="12" t="n">
        <v>45321</v>
      </c>
      <c r="B1837" s="13" t="n">
        <v>0.2101</v>
      </c>
      <c r="C1837" s="14">
        <f>B1837*100</f>
        <v/>
      </c>
    </row>
    <row r="1838">
      <c r="A1838" s="12" t="n">
        <v>45322</v>
      </c>
      <c r="B1838" s="13" t="n">
        <v>0.1709</v>
      </c>
      <c r="C1838" s="14">
        <f>B1838*100</f>
        <v/>
      </c>
    </row>
    <row r="1839">
      <c r="A1839" s="12" t="n">
        <v>45323</v>
      </c>
      <c r="B1839" s="13" t="n">
        <v>0.1127</v>
      </c>
      <c r="C1839" s="14">
        <f>B1839*100</f>
        <v/>
      </c>
    </row>
    <row r="1840">
      <c r="A1840" s="12" t="n">
        <v>45324</v>
      </c>
      <c r="B1840" s="13" t="n">
        <v>0.1699</v>
      </c>
      <c r="C1840" s="14">
        <f>B1840*100</f>
        <v/>
      </c>
    </row>
    <row r="1841">
      <c r="A1841" s="12" t="n">
        <v>45327</v>
      </c>
      <c r="B1841" s="13" t="n">
        <v>0.2345</v>
      </c>
      <c r="C1841" s="14">
        <f>B1841*100</f>
        <v/>
      </c>
    </row>
    <row r="1842">
      <c r="A1842" s="12" t="n">
        <v>45328</v>
      </c>
      <c r="B1842" s="13" t="n">
        <v>0.216</v>
      </c>
      <c r="C1842" s="14">
        <f>B1842*100</f>
        <v/>
      </c>
    </row>
    <row r="1843">
      <c r="A1843" s="12" t="n">
        <v>45329</v>
      </c>
      <c r="B1843" s="13" t="n">
        <v>0.219</v>
      </c>
      <c r="C1843" s="14">
        <f>B1843*100</f>
        <v/>
      </c>
    </row>
    <row r="1844">
      <c r="A1844" s="12" t="n">
        <v>45330</v>
      </c>
      <c r="B1844" s="13" t="n">
        <v>0.2472</v>
      </c>
      <c r="C1844" s="14">
        <f>B1844*100</f>
        <v/>
      </c>
    </row>
    <row r="1845">
      <c r="A1845" s="12" t="n">
        <v>45331</v>
      </c>
      <c r="B1845" s="13" t="n">
        <v>0.2606</v>
      </c>
      <c r="C1845" s="14">
        <f>B1845*100</f>
        <v/>
      </c>
    </row>
    <row r="1846">
      <c r="A1846" s="12" t="n">
        <v>45334</v>
      </c>
      <c r="B1846" s="13" t="n">
        <v>0.2603</v>
      </c>
      <c r="C1846" s="14">
        <f>B1846*100</f>
        <v/>
      </c>
    </row>
    <row r="1847">
      <c r="A1847" s="12" t="n">
        <v>45335</v>
      </c>
      <c r="B1847" s="13" t="n">
        <v>0.3229</v>
      </c>
      <c r="C1847" s="14">
        <f>B1847*100</f>
        <v/>
      </c>
    </row>
    <row r="1848">
      <c r="A1848" s="12" t="n">
        <v>45336</v>
      </c>
      <c r="B1848" s="13" t="n">
        <v>0.3169</v>
      </c>
      <c r="C1848" s="14">
        <f>B1848*100</f>
        <v/>
      </c>
    </row>
    <row r="1849">
      <c r="A1849" s="12" t="n">
        <v>45337</v>
      </c>
      <c r="B1849" s="13" t="n">
        <v>0.3048</v>
      </c>
      <c r="C1849" s="14">
        <f>B1849*100</f>
        <v/>
      </c>
    </row>
    <row r="1850">
      <c r="A1850" s="12" t="n">
        <v>45338</v>
      </c>
      <c r="B1850" s="13" t="n">
        <v>0.3265</v>
      </c>
      <c r="C1850" s="14">
        <f>B1850*100</f>
        <v/>
      </c>
    </row>
    <row r="1851">
      <c r="A1851" s="12" t="n">
        <v>45342</v>
      </c>
      <c r="B1851" s="13" t="n">
        <v>0.3179</v>
      </c>
      <c r="C1851" s="14">
        <f>B1851*100</f>
        <v/>
      </c>
    </row>
    <row r="1852">
      <c r="A1852" s="12" t="n">
        <v>45343</v>
      </c>
      <c r="B1852" s="13" t="n">
        <v>0.3354</v>
      </c>
      <c r="C1852" s="14">
        <f>B1852*100</f>
        <v/>
      </c>
    </row>
    <row r="1853">
      <c r="A1853" s="12" t="n">
        <v>45344</v>
      </c>
      <c r="B1853" s="13" t="n">
        <v>0.3464</v>
      </c>
      <c r="C1853" s="14">
        <f>B1853*100</f>
        <v/>
      </c>
    </row>
    <row r="1854">
      <c r="A1854" s="12" t="n">
        <v>45345</v>
      </c>
      <c r="B1854" s="13" t="n">
        <v>0.3216</v>
      </c>
      <c r="C1854" s="14">
        <f>B1854*100</f>
        <v/>
      </c>
    </row>
    <row r="1855">
      <c r="A1855" s="12" t="n">
        <v>45348</v>
      </c>
      <c r="B1855" s="13" t="n">
        <v>0.324</v>
      </c>
      <c r="C1855" s="14">
        <f>B1855*100</f>
        <v/>
      </c>
    </row>
    <row r="1856">
      <c r="A1856" s="12" t="n">
        <v>45349</v>
      </c>
      <c r="B1856" s="13" t="n">
        <v>0.3332</v>
      </c>
      <c r="C1856" s="14">
        <f>B1856*100</f>
        <v/>
      </c>
    </row>
    <row r="1857">
      <c r="A1857" s="12" t="n">
        <v>45350</v>
      </c>
      <c r="B1857" s="13" t="n">
        <v>0.3191</v>
      </c>
      <c r="C1857" s="14">
        <f>B1857*100</f>
        <v/>
      </c>
    </row>
    <row r="1858">
      <c r="A1858" s="12" t="n">
        <v>45351</v>
      </c>
      <c r="B1858" s="13" t="n">
        <v>0.3095</v>
      </c>
      <c r="C1858" s="14">
        <f>B1858*100</f>
        <v/>
      </c>
    </row>
    <row r="1859">
      <c r="A1859" s="12" t="n">
        <v>45352</v>
      </c>
      <c r="B1859" s="13" t="n">
        <v>0.2769</v>
      </c>
      <c r="C1859" s="14">
        <f>B1859*100</f>
        <v/>
      </c>
    </row>
    <row r="1860">
      <c r="A1860" s="12" t="n">
        <v>45355</v>
      </c>
      <c r="B1860" s="13" t="n">
        <v>0.2855</v>
      </c>
      <c r="C1860" s="14">
        <f>B1860*100</f>
        <v/>
      </c>
    </row>
    <row r="1861">
      <c r="A1861" s="12" t="n">
        <v>45356</v>
      </c>
      <c r="B1861" s="13" t="n">
        <v>0.2527</v>
      </c>
      <c r="C1861" s="14">
        <f>B1861*100</f>
        <v/>
      </c>
    </row>
    <row r="1862">
      <c r="A1862" s="12" t="n">
        <v>45357</v>
      </c>
      <c r="B1862" s="13" t="n">
        <v>0.2334</v>
      </c>
      <c r="C1862" s="14">
        <f>B1862*100</f>
        <v/>
      </c>
    </row>
    <row r="1863">
      <c r="A1863" s="12" t="n">
        <v>45358</v>
      </c>
      <c r="B1863" s="13" t="n">
        <v>0.2143</v>
      </c>
      <c r="C1863" s="14">
        <f>B1863*100</f>
        <v/>
      </c>
    </row>
    <row r="1864">
      <c r="A1864" s="12" t="n">
        <v>45359</v>
      </c>
      <c r="B1864" s="13" t="n">
        <v>0.206</v>
      </c>
      <c r="C1864" s="14">
        <f>B1864*100</f>
        <v/>
      </c>
    </row>
    <row r="1865">
      <c r="A1865" s="12" t="n">
        <v>45362</v>
      </c>
      <c r="B1865" s="13" t="n">
        <v>0.2089</v>
      </c>
      <c r="C1865" s="14">
        <f>B1865*100</f>
        <v/>
      </c>
    </row>
    <row r="1866">
      <c r="A1866" s="12" t="n">
        <v>45363</v>
      </c>
      <c r="B1866" s="13" t="n">
        <v>0.2352</v>
      </c>
      <c r="C1866" s="14">
        <f>B1866*100</f>
        <v/>
      </c>
    </row>
    <row r="1867">
      <c r="A1867" s="12" t="n">
        <v>45364</v>
      </c>
      <c r="B1867" s="13" t="n">
        <v>0.253</v>
      </c>
      <c r="C1867" s="14">
        <f>B1867*100</f>
        <v/>
      </c>
    </row>
    <row r="1868">
      <c r="A1868" s="12" t="n">
        <v>45365</v>
      </c>
      <c r="B1868" s="13" t="n">
        <v>0.2993</v>
      </c>
      <c r="C1868" s="14">
        <f>B1868*100</f>
        <v/>
      </c>
    </row>
    <row r="1869">
      <c r="A1869" s="12" t="n">
        <v>45366</v>
      </c>
      <c r="B1869" s="13" t="n">
        <v>0.3209</v>
      </c>
      <c r="C1869" s="14">
        <f>B1869*100</f>
        <v/>
      </c>
    </row>
    <row r="1870">
      <c r="A1870" s="12" t="n">
        <v>45369</v>
      </c>
      <c r="B1870" s="13" t="n">
        <v>0.3378</v>
      </c>
      <c r="C1870" s="14">
        <f>B1870*100</f>
        <v/>
      </c>
    </row>
    <row r="1871">
      <c r="A1871" s="12" t="n">
        <v>45370</v>
      </c>
      <c r="B1871" s="13" t="n">
        <v>0.3261</v>
      </c>
      <c r="C1871" s="14">
        <f>B1871*100</f>
        <v/>
      </c>
    </row>
    <row r="1872">
      <c r="A1872" s="12" t="n">
        <v>45371</v>
      </c>
      <c r="B1872" s="13" t="n">
        <v>0.3088</v>
      </c>
      <c r="C1872" s="14">
        <f>B1872*100</f>
        <v/>
      </c>
    </row>
    <row r="1873">
      <c r="A1873" s="12" t="n">
        <v>45372</v>
      </c>
      <c r="B1873" s="13" t="n">
        <v>0.3083</v>
      </c>
      <c r="C1873" s="14">
        <f>B1873*100</f>
        <v/>
      </c>
    </row>
    <row r="1874">
      <c r="A1874" s="12" t="n">
        <v>45373</v>
      </c>
      <c r="B1874" s="13" t="n">
        <v>0.2852</v>
      </c>
      <c r="C1874" s="14">
        <f>B1874*100</f>
        <v/>
      </c>
    </row>
    <row r="1875">
      <c r="A1875" s="12" t="n">
        <v>45376</v>
      </c>
      <c r="B1875" s="13" t="n">
        <v>0.2927</v>
      </c>
      <c r="C1875" s="14">
        <f>B1875*100</f>
        <v/>
      </c>
    </row>
    <row r="1876">
      <c r="A1876" s="12" t="n">
        <v>45377</v>
      </c>
      <c r="B1876" s="13" t="n">
        <v>0.2909</v>
      </c>
      <c r="C1876" s="14">
        <f>B1876*100</f>
        <v/>
      </c>
    </row>
    <row r="1877">
      <c r="A1877" s="12" t="n">
        <v>45378</v>
      </c>
      <c r="B1877" s="13" t="n">
        <v>0.2735</v>
      </c>
      <c r="C1877" s="14">
        <f>B1877*100</f>
        <v/>
      </c>
    </row>
    <row r="1878">
      <c r="A1878" s="12" t="n">
        <v>45379</v>
      </c>
      <c r="B1878" s="13" t="n">
        <v>0.2732</v>
      </c>
      <c r="C1878" s="14">
        <f>B1878*100</f>
        <v/>
      </c>
    </row>
    <row r="1879">
      <c r="A1879" s="12" t="n">
        <v>45383</v>
      </c>
      <c r="B1879" s="13" t="n">
        <v>0.3193</v>
      </c>
      <c r="C1879" s="14">
        <f>B1879*100</f>
        <v/>
      </c>
    </row>
    <row r="1880">
      <c r="A1880" s="12" t="n">
        <v>45384</v>
      </c>
      <c r="B1880" s="13" t="n">
        <v>0.3425</v>
      </c>
      <c r="C1880" s="14">
        <f>B1880*100</f>
        <v/>
      </c>
    </row>
    <row r="1881">
      <c r="A1881" s="12" t="n">
        <v>45385</v>
      </c>
      <c r="B1881" s="13" t="n">
        <v>0.3469</v>
      </c>
      <c r="C1881" s="14">
        <f>B1881*100</f>
        <v/>
      </c>
    </row>
    <row r="1882">
      <c r="A1882" s="12" t="n">
        <v>45386</v>
      </c>
      <c r="B1882" s="13" t="n">
        <v>0.3344</v>
      </c>
      <c r="C1882" s="14">
        <f>B1882*100</f>
        <v/>
      </c>
    </row>
    <row r="1883">
      <c r="A1883" s="12" t="n">
        <v>45387</v>
      </c>
      <c r="B1883" s="13" t="n">
        <v>0.362</v>
      </c>
      <c r="C1883" s="14">
        <f>B1883*100</f>
        <v/>
      </c>
    </row>
    <row r="1884">
      <c r="A1884" s="12" t="n">
        <v>45390</v>
      </c>
      <c r="B1884" s="13" t="n">
        <v>0.383</v>
      </c>
      <c r="C1884" s="14">
        <f>B1884*100</f>
        <v/>
      </c>
    </row>
    <row r="1885">
      <c r="A1885" s="12" t="n">
        <v>45391</v>
      </c>
      <c r="B1885" s="13" t="n">
        <v>0.3656</v>
      </c>
      <c r="C1885" s="14">
        <f>B1885*100</f>
        <v/>
      </c>
    </row>
    <row r="1886">
      <c r="A1886" s="12" t="n">
        <v>45392</v>
      </c>
      <c r="B1886" s="13" t="n">
        <v>0.4428</v>
      </c>
      <c r="C1886" s="14">
        <f>B1886*100</f>
        <v/>
      </c>
    </row>
    <row r="1887">
      <c r="A1887" s="12" t="n">
        <v>45393</v>
      </c>
      <c r="B1887" s="13" t="n">
        <v>0.4587</v>
      </c>
      <c r="C1887" s="14">
        <f>B1887*100</f>
        <v/>
      </c>
    </row>
    <row r="1888">
      <c r="A1888" s="12" t="n">
        <v>45394</v>
      </c>
      <c r="B1888" s="13" t="n">
        <v>0.4395</v>
      </c>
      <c r="C1888" s="14">
        <f>B1888*100</f>
        <v/>
      </c>
    </row>
    <row r="1889">
      <c r="A1889" s="12" t="n">
        <v>45397</v>
      </c>
      <c r="B1889" s="13" t="n">
        <v>0.4788</v>
      </c>
      <c r="C1889" s="14">
        <f>B1889*100</f>
        <v/>
      </c>
    </row>
    <row r="1890">
      <c r="A1890" s="12" t="n">
        <v>45398</v>
      </c>
      <c r="B1890" s="13" t="n">
        <v>0.5079</v>
      </c>
      <c r="C1890" s="14">
        <f>B1890*100</f>
        <v/>
      </c>
    </row>
    <row r="1891">
      <c r="A1891" s="12" t="n">
        <v>45399</v>
      </c>
      <c r="B1891" s="13" t="n">
        <v>0.4851</v>
      </c>
      <c r="C1891" s="14">
        <f>B1891*100</f>
        <v/>
      </c>
    </row>
    <row r="1892">
      <c r="A1892" s="12" t="n">
        <v>45400</v>
      </c>
      <c r="B1892" s="13" t="n">
        <v>0.5034999999999999</v>
      </c>
      <c r="C1892" s="14">
        <f>B1892*100</f>
        <v/>
      </c>
    </row>
    <row r="1893">
      <c r="A1893" s="12" t="n">
        <v>45401</v>
      </c>
      <c r="B1893" s="13" t="n">
        <v>0.4994</v>
      </c>
      <c r="C1893" s="14">
        <f>B1893*100</f>
        <v/>
      </c>
    </row>
    <row r="1894">
      <c r="A1894" s="12" t="n">
        <v>45404</v>
      </c>
      <c r="B1894" s="13" t="n">
        <v>0.4998</v>
      </c>
      <c r="C1894" s="14">
        <f>B1894*100</f>
        <v/>
      </c>
    </row>
    <row r="1895">
      <c r="A1895" s="12" t="n">
        <v>45405</v>
      </c>
      <c r="B1895" s="13" t="n">
        <v>0.4891</v>
      </c>
      <c r="C1895" s="14">
        <f>B1895*100</f>
        <v/>
      </c>
    </row>
    <row r="1896">
      <c r="A1896" s="12" t="n">
        <v>45406</v>
      </c>
      <c r="B1896" s="13" t="n">
        <v>0.5016</v>
      </c>
      <c r="C1896" s="14">
        <f>B1896*100</f>
        <v/>
      </c>
    </row>
    <row r="1897">
      <c r="A1897" s="12" t="n">
        <v>45407</v>
      </c>
      <c r="B1897" s="13" t="n">
        <v>0.5289</v>
      </c>
      <c r="C1897" s="14">
        <f>B1897*100</f>
        <v/>
      </c>
    </row>
    <row r="1898">
      <c r="A1898" s="12" t="n">
        <v>45408</v>
      </c>
      <c r="B1898" s="13" t="n">
        <v>0.5243</v>
      </c>
      <c r="C1898" s="14">
        <f>B1898*100</f>
        <v/>
      </c>
    </row>
    <row r="1899">
      <c r="A1899" s="12" t="n">
        <v>45411</v>
      </c>
      <c r="B1899" s="13" t="n">
        <v>0.5058</v>
      </c>
      <c r="C1899" s="14">
        <f>B1899*100</f>
        <v/>
      </c>
    </row>
    <row r="1900">
      <c r="A1900" s="12" t="n">
        <v>45412</v>
      </c>
      <c r="B1900" s="13" t="n">
        <v>0.5251</v>
      </c>
      <c r="C1900" s="14">
        <f>B1900*100</f>
        <v/>
      </c>
    </row>
    <row r="1901">
      <c r="A1901" s="12" t="n">
        <v>45413</v>
      </c>
      <c r="B1901" s="13" t="n">
        <v>0.4993</v>
      </c>
      <c r="C1901" s="14">
        <f>B1901*100</f>
        <v/>
      </c>
    </row>
    <row r="1902">
      <c r="A1902" s="12" t="n">
        <v>45414</v>
      </c>
      <c r="B1902" s="13" t="n">
        <v>0.4716</v>
      </c>
      <c r="C1902" s="14">
        <f>B1902*100</f>
        <v/>
      </c>
    </row>
    <row r="1903">
      <c r="A1903" s="12" t="n">
        <v>45415</v>
      </c>
      <c r="B1903" s="13" t="n">
        <v>0.4325</v>
      </c>
      <c r="C1903" s="14">
        <f>B1903*100</f>
        <v/>
      </c>
    </row>
    <row r="1904">
      <c r="A1904" s="12" t="n">
        <v>45418</v>
      </c>
      <c r="B1904" s="13" t="n">
        <v>0.4198</v>
      </c>
      <c r="C1904" s="14">
        <f>B1904*100</f>
        <v/>
      </c>
    </row>
    <row r="1905">
      <c r="A1905" s="12" t="n">
        <v>45419</v>
      </c>
      <c r="B1905" s="13" t="n">
        <v>0.4076</v>
      </c>
      <c r="C1905" s="14">
        <f>B1905*100</f>
        <v/>
      </c>
    </row>
    <row r="1906">
      <c r="A1906" s="12" t="n">
        <v>45420</v>
      </c>
      <c r="B1906" s="13" t="n">
        <v>0.4154</v>
      </c>
      <c r="C1906" s="14">
        <f>B1906*100</f>
        <v/>
      </c>
    </row>
    <row r="1907">
      <c r="A1907" s="12" t="n">
        <v>45421</v>
      </c>
      <c r="B1907" s="13" t="n">
        <v>0.4045</v>
      </c>
      <c r="C1907" s="14">
        <f>B1907*100</f>
        <v/>
      </c>
    </row>
    <row r="1908">
      <c r="A1908" s="12" t="n">
        <v>45422</v>
      </c>
      <c r="B1908" s="13" t="n">
        <v>0.4191</v>
      </c>
      <c r="C1908" s="14">
        <f>B1908*100</f>
        <v/>
      </c>
    </row>
    <row r="1909">
      <c r="A1909" s="12" t="n">
        <v>45425</v>
      </c>
      <c r="B1909" s="13" t="n">
        <v>0.4164</v>
      </c>
      <c r="C1909" s="14">
        <f>B1909*100</f>
        <v/>
      </c>
    </row>
    <row r="1910">
      <c r="A1910" s="12" t="n">
        <v>45426</v>
      </c>
      <c r="B1910" s="13" t="n">
        <v>0.4013</v>
      </c>
      <c r="C1910" s="14">
        <f>B1910*100</f>
        <v/>
      </c>
    </row>
    <row r="1911">
      <c r="A1911" s="12" t="n">
        <v>45427</v>
      </c>
      <c r="B1911" s="13" t="n">
        <v>0.3575</v>
      </c>
      <c r="C1911" s="14">
        <f>B1911*100</f>
        <v/>
      </c>
    </row>
    <row r="1912">
      <c r="A1912" s="12" t="n">
        <v>45428</v>
      </c>
      <c r="B1912" s="13" t="n">
        <v>0.3624</v>
      </c>
      <c r="C1912" s="14">
        <f>B1912*100</f>
        <v/>
      </c>
    </row>
    <row r="1913">
      <c r="A1913" s="12" t="n">
        <v>45429</v>
      </c>
      <c r="B1913" s="13" t="n">
        <v>0.3742</v>
      </c>
      <c r="C1913" s="14">
        <f>B1913*100</f>
        <v/>
      </c>
    </row>
    <row r="1914">
      <c r="A1914" s="12" t="n">
        <v>45432</v>
      </c>
      <c r="B1914" s="13" t="n">
        <v>0.3837</v>
      </c>
      <c r="C1914" s="14">
        <f>B1914*100</f>
        <v/>
      </c>
    </row>
    <row r="1915">
      <c r="A1915" s="12" t="n">
        <v>45433</v>
      </c>
      <c r="B1915" s="13" t="n">
        <v>0.3755</v>
      </c>
      <c r="C1915" s="14">
        <f>B1915*100</f>
        <v/>
      </c>
    </row>
    <row r="1916">
      <c r="A1916" s="12" t="n">
        <v>45434</v>
      </c>
      <c r="B1916" s="13" t="n">
        <v>0.3795</v>
      </c>
      <c r="C1916" s="14">
        <f>B1916*100</f>
        <v/>
      </c>
    </row>
    <row r="1917">
      <c r="A1917" s="12" t="n">
        <v>45435</v>
      </c>
      <c r="B1917" s="13" t="n">
        <v>0.4075</v>
      </c>
      <c r="C1917" s="14">
        <f>B1917*100</f>
        <v/>
      </c>
    </row>
    <row r="1918">
      <c r="A1918" s="12" t="n">
        <v>45436</v>
      </c>
      <c r="B1918" s="13" t="n">
        <v>0.4142</v>
      </c>
      <c r="C1918" s="14">
        <f>B1918*100</f>
        <v/>
      </c>
    </row>
    <row r="1919">
      <c r="A1919" s="12" t="n">
        <v>45440</v>
      </c>
      <c r="B1919" s="13" t="n">
        <v>0.4321</v>
      </c>
      <c r="C1919" s="14">
        <f>B1919*100</f>
        <v/>
      </c>
    </row>
    <row r="1920">
      <c r="A1920" s="12" t="n">
        <v>45441</v>
      </c>
      <c r="B1920" s="13" t="n">
        <v>0.4745</v>
      </c>
      <c r="C1920" s="14">
        <f>B1920*100</f>
        <v/>
      </c>
    </row>
    <row r="1921">
      <c r="A1921" s="12" t="n">
        <v>45442</v>
      </c>
      <c r="B1921" s="13" t="n">
        <v>0.4626</v>
      </c>
      <c r="C1921" s="14">
        <f>B1921*100</f>
        <v/>
      </c>
    </row>
    <row r="1922">
      <c r="A1922" s="12" t="n">
        <v>45443</v>
      </c>
      <c r="B1922" s="13" t="n">
        <v>0.4418</v>
      </c>
      <c r="C1922" s="14">
        <f>B1922*100</f>
        <v/>
      </c>
    </row>
    <row r="1923">
      <c r="A1923" s="12" t="n">
        <v>45446</v>
      </c>
      <c r="B1923" s="13" t="n">
        <v>0.3898</v>
      </c>
      <c r="C1923" s="14">
        <f>B1923*100</f>
        <v/>
      </c>
    </row>
    <row r="1924">
      <c r="A1924" s="12" t="n">
        <v>45447</v>
      </c>
      <c r="B1924" s="13" t="n">
        <v>0.3464</v>
      </c>
      <c r="C1924" s="14">
        <f>B1924*100</f>
        <v/>
      </c>
    </row>
    <row r="1925">
      <c r="A1925" s="12" t="n">
        <v>45448</v>
      </c>
      <c r="B1925" s="13" t="n">
        <v>0.3195</v>
      </c>
      <c r="C1925" s="14">
        <f>B1925*100</f>
        <v/>
      </c>
    </row>
    <row r="1926">
      <c r="A1926" s="12" t="n">
        <v>45449</v>
      </c>
      <c r="B1926" s="13" t="n">
        <v>0.3051</v>
      </c>
      <c r="C1926" s="14">
        <f>B1926*100</f>
        <v/>
      </c>
    </row>
    <row r="1927">
      <c r="A1927" s="12" t="n">
        <v>45450</v>
      </c>
      <c r="B1927" s="13" t="n">
        <v>0.3606</v>
      </c>
      <c r="C1927" s="14">
        <f>B1927*100</f>
        <v/>
      </c>
    </row>
    <row r="1928">
      <c r="A1928" s="12" t="n">
        <v>45453</v>
      </c>
      <c r="B1928" s="13" t="n">
        <v>0.393</v>
      </c>
      <c r="C1928" s="14">
        <f>B1928*100</f>
        <v/>
      </c>
    </row>
    <row r="1929">
      <c r="A1929" s="12" t="n">
        <v>45454</v>
      </c>
      <c r="B1929" s="13" t="n">
        <v>0.3683</v>
      </c>
      <c r="C1929" s="14">
        <f>B1929*100</f>
        <v/>
      </c>
    </row>
    <row r="1930">
      <c r="A1930" s="12" t="n">
        <v>45455</v>
      </c>
      <c r="B1930" s="13" t="n">
        <v>0.3297</v>
      </c>
      <c r="C1930" s="14">
        <f>B1930*100</f>
        <v/>
      </c>
    </row>
    <row r="1931">
      <c r="A1931" s="12" t="n">
        <v>45456</v>
      </c>
      <c r="B1931" s="13" t="n">
        <v>0.2893</v>
      </c>
      <c r="C1931" s="14">
        <f>B1931*100</f>
        <v/>
      </c>
    </row>
    <row r="1932">
      <c r="A1932" s="12" t="n">
        <v>45457</v>
      </c>
      <c r="B1932" s="13" t="n">
        <v>0.2714</v>
      </c>
      <c r="C1932" s="14">
        <f>B1932*100</f>
        <v/>
      </c>
    </row>
    <row r="1933">
      <c r="A1933" s="12" t="n">
        <v>45460</v>
      </c>
      <c r="B1933" s="13" t="n">
        <v>0.2908</v>
      </c>
      <c r="C1933" s="14">
        <f>B1933*100</f>
        <v/>
      </c>
    </row>
    <row r="1934">
      <c r="A1934" s="12" t="n">
        <v>45461</v>
      </c>
      <c r="B1934" s="13" t="n">
        <v>0.273</v>
      </c>
      <c r="C1934" s="14">
        <f>B1934*100</f>
        <v/>
      </c>
    </row>
    <row r="1935">
      <c r="A1935" s="12" t="n">
        <v>45463</v>
      </c>
      <c r="B1935" s="13" t="n">
        <v>0.2803</v>
      </c>
      <c r="C1935" s="14">
        <f>B1935*100</f>
        <v/>
      </c>
    </row>
    <row r="1936">
      <c r="A1936" s="12" t="n">
        <v>45464</v>
      </c>
      <c r="B1936" s="13" t="n">
        <v>0.2839</v>
      </c>
      <c r="C1936" s="14">
        <f>B1936*100</f>
        <v/>
      </c>
    </row>
    <row r="1937">
      <c r="A1937" s="12" t="n">
        <v>45467</v>
      </c>
      <c r="B1937" s="13" t="n">
        <v>0.2849</v>
      </c>
      <c r="C1937" s="14">
        <f>B1937*100</f>
        <v/>
      </c>
    </row>
    <row r="1938">
      <c r="A1938" s="12" t="n">
        <v>45468</v>
      </c>
      <c r="B1938" s="13" t="n">
        <v>0.28</v>
      </c>
      <c r="C1938" s="14">
        <f>B1938*100</f>
        <v/>
      </c>
    </row>
    <row r="1939">
      <c r="A1939" s="12" t="n">
        <v>45469</v>
      </c>
      <c r="B1939" s="13" t="n">
        <v>0.3123</v>
      </c>
      <c r="C1939" s="14">
        <f>B1939*100</f>
        <v/>
      </c>
    </row>
    <row r="1940">
      <c r="A1940" s="12" t="n">
        <v>45470</v>
      </c>
      <c r="B1940" s="13" t="n">
        <v>0.3089</v>
      </c>
      <c r="C1940" s="14">
        <f>B1940*100</f>
        <v/>
      </c>
    </row>
    <row r="1941">
      <c r="A1941" s="12" t="n">
        <v>45471</v>
      </c>
      <c r="B1941" s="13" t="n">
        <v>0.3312</v>
      </c>
      <c r="C1941" s="14">
        <f>B1941*100</f>
        <v/>
      </c>
    </row>
    <row r="1942">
      <c r="A1942" s="12" t="n">
        <v>45474</v>
      </c>
      <c r="B1942" s="13" t="n">
        <v>0.3852</v>
      </c>
      <c r="C1942" s="14">
        <f>B1942*100</f>
        <v/>
      </c>
    </row>
    <row r="1943">
      <c r="A1943" s="12" t="n">
        <v>45475</v>
      </c>
      <c r="B1943" s="13" t="n">
        <v>0.3806</v>
      </c>
      <c r="C1943" s="14">
        <f>B1943*100</f>
        <v/>
      </c>
    </row>
    <row r="1944">
      <c r="A1944" s="12" t="n">
        <v>45476</v>
      </c>
      <c r="B1944" s="13" t="n">
        <v>0.354</v>
      </c>
      <c r="C1944" s="14">
        <f>B1944*100</f>
        <v/>
      </c>
    </row>
    <row r="1945">
      <c r="A1945" s="12" t="n">
        <v>45478</v>
      </c>
      <c r="B1945" s="13" t="n">
        <v>0.311</v>
      </c>
      <c r="C1945" s="14">
        <f>B1945*100</f>
        <v/>
      </c>
    </row>
    <row r="1946">
      <c r="A1946" s="12" t="n">
        <v>45481</v>
      </c>
      <c r="B1946" s="13" t="n">
        <v>0.3012</v>
      </c>
      <c r="C1946" s="14">
        <f>B1946*100</f>
        <v/>
      </c>
    </row>
    <row r="1947">
      <c r="A1947" s="12" t="n">
        <v>45482</v>
      </c>
      <c r="B1947" s="13" t="n">
        <v>0.3072</v>
      </c>
      <c r="C1947" s="14">
        <f>B1947*100</f>
        <v/>
      </c>
    </row>
    <row r="1948">
      <c r="A1948" s="12" t="n">
        <v>45483</v>
      </c>
      <c r="B1948" s="13" t="n">
        <v>0.3041</v>
      </c>
      <c r="C1948" s="14">
        <f>B1948*100</f>
        <v/>
      </c>
    </row>
    <row r="1949">
      <c r="A1949" s="12" t="n">
        <v>45484</v>
      </c>
      <c r="B1949" s="13" t="n">
        <v>0.267</v>
      </c>
      <c r="C1949" s="14">
        <f>B1949*100</f>
        <v/>
      </c>
    </row>
    <row r="1950">
      <c r="A1950" s="12" t="n">
        <v>45485</v>
      </c>
      <c r="B1950" s="13" t="n">
        <v>0.2534</v>
      </c>
      <c r="C1950" s="14">
        <f>B1950*100</f>
        <v/>
      </c>
    </row>
    <row r="1951">
      <c r="A1951" s="12" t="n">
        <v>45488</v>
      </c>
      <c r="B1951" s="13" t="n">
        <v>0.2683</v>
      </c>
      <c r="C1951" s="14">
        <f>B1951*100</f>
        <v/>
      </c>
    </row>
    <row r="1952">
      <c r="A1952" s="12" t="n">
        <v>45489</v>
      </c>
      <c r="B1952" s="13" t="n">
        <v>0.2525</v>
      </c>
      <c r="C1952" s="14">
        <f>B1952*100</f>
        <v/>
      </c>
    </row>
    <row r="1953">
      <c r="A1953" s="12" t="n">
        <v>45490</v>
      </c>
      <c r="B1953" s="13" t="n">
        <v>0.2433</v>
      </c>
      <c r="C1953" s="14">
        <f>B1953*100</f>
        <v/>
      </c>
    </row>
    <row r="1954">
      <c r="A1954" s="12" t="n">
        <v>45491</v>
      </c>
      <c r="B1954" s="13" t="n">
        <v>0.2586</v>
      </c>
      <c r="C1954" s="14">
        <f>B1954*100</f>
        <v/>
      </c>
    </row>
    <row r="1955">
      <c r="A1955" s="12" t="n">
        <v>45492</v>
      </c>
      <c r="B1955" s="13" t="n">
        <v>0.2807</v>
      </c>
      <c r="C1955" s="14">
        <f>B1955*100</f>
        <v/>
      </c>
    </row>
    <row r="1956">
      <c r="A1956" s="12" t="n">
        <v>45495</v>
      </c>
      <c r="B1956" s="13" t="n">
        <v>0.2932</v>
      </c>
      <c r="C1956" s="14">
        <f>B1956*100</f>
        <v/>
      </c>
    </row>
    <row r="1957">
      <c r="A1957" s="12" t="n">
        <v>45496</v>
      </c>
      <c r="B1957" s="13" t="n">
        <v>0.2906</v>
      </c>
      <c r="C1957" s="14">
        <f>B1957*100</f>
        <v/>
      </c>
    </row>
    <row r="1958">
      <c r="A1958" s="12" t="n">
        <v>45497</v>
      </c>
      <c r="B1958" s="13" t="n">
        <v>0.2998</v>
      </c>
      <c r="C1958" s="14">
        <f>B1958*100</f>
        <v/>
      </c>
    </row>
    <row r="1959">
      <c r="A1959" s="12" t="n">
        <v>45498</v>
      </c>
      <c r="B1959" s="13" t="n">
        <v>0.3036</v>
      </c>
      <c r="C1959" s="14">
        <f>B1959*100</f>
        <v/>
      </c>
    </row>
    <row r="1960">
      <c r="A1960" s="12" t="n">
        <v>45499</v>
      </c>
      <c r="B1960" s="13" t="n">
        <v>0.2767</v>
      </c>
      <c r="C1960" s="14">
        <f>B1960*100</f>
        <v/>
      </c>
    </row>
    <row r="1961">
      <c r="A1961" s="12" t="n">
        <v>45502</v>
      </c>
      <c r="B1961" s="13" t="n">
        <v>0.2624</v>
      </c>
      <c r="C1961" s="14">
        <f>B1961*100</f>
        <v/>
      </c>
    </row>
    <row r="1962">
      <c r="A1962" s="12" t="n">
        <v>45503</v>
      </c>
      <c r="B1962" s="13" t="n">
        <v>0.2501</v>
      </c>
      <c r="C1962" s="14">
        <f>B1962*100</f>
        <v/>
      </c>
    </row>
    <row r="1963">
      <c r="A1963" s="12" t="n">
        <v>45504</v>
      </c>
      <c r="B1963" s="13" t="n">
        <v>0.2197</v>
      </c>
      <c r="C1963" s="14">
        <f>B1963*100</f>
        <v/>
      </c>
    </row>
    <row r="1964">
      <c r="A1964" s="12" t="n">
        <v>45505</v>
      </c>
      <c r="B1964" s="13" t="n">
        <v>0.1693</v>
      </c>
      <c r="C1964" s="14">
        <f>B1964*100</f>
        <v/>
      </c>
    </row>
    <row r="1965">
      <c r="A1965" s="12" t="n">
        <v>45506</v>
      </c>
      <c r="B1965" s="13" t="n">
        <v>0.08169999999999999</v>
      </c>
      <c r="C1965" s="14">
        <f>B1965*100</f>
        <v/>
      </c>
    </row>
    <row r="1966">
      <c r="A1966" s="12" t="n">
        <v>45509</v>
      </c>
      <c r="B1966" s="13" t="n">
        <v>0.0646</v>
      </c>
      <c r="C1966" s="14">
        <f>B1966*100</f>
        <v/>
      </c>
    </row>
    <row r="1967">
      <c r="A1967" s="12" t="n">
        <v>45510</v>
      </c>
      <c r="B1967" s="13" t="n">
        <v>0.107</v>
      </c>
      <c r="C1967" s="14">
        <f>B1967*100</f>
        <v/>
      </c>
    </row>
    <row r="1968">
      <c r="A1968" s="12" t="n">
        <v>45511</v>
      </c>
      <c r="B1968" s="13" t="n">
        <v>0.1439</v>
      </c>
      <c r="C1968" s="14">
        <f>B1968*100</f>
        <v/>
      </c>
    </row>
    <row r="1969">
      <c r="A1969" s="12" t="n">
        <v>45512</v>
      </c>
      <c r="B1969" s="13" t="n">
        <v>0.1695</v>
      </c>
      <c r="C1969" s="14">
        <f>B1969*100</f>
        <v/>
      </c>
    </row>
    <row r="1970">
      <c r="A1970" s="12" t="n">
        <v>45513</v>
      </c>
      <c r="B1970" s="13" t="n">
        <v>0.1631</v>
      </c>
      <c r="C1970" s="14">
        <f>B1970*100</f>
        <v/>
      </c>
    </row>
    <row r="1971">
      <c r="A1971" s="12" t="n">
        <v>45516</v>
      </c>
      <c r="B1971" s="13" t="n">
        <v>0.1425</v>
      </c>
      <c r="C1971" s="14">
        <f>B1971*100</f>
        <v/>
      </c>
    </row>
    <row r="1972">
      <c r="A1972" s="12" t="n">
        <v>45517</v>
      </c>
      <c r="B1972" s="13" t="n">
        <v>0.1108</v>
      </c>
      <c r="C1972" s="14">
        <f>B1972*100</f>
        <v/>
      </c>
    </row>
    <row r="1973">
      <c r="A1973" s="12" t="n">
        <v>45518</v>
      </c>
      <c r="B1973" s="13" t="n">
        <v>0.09619999999999999</v>
      </c>
      <c r="C1973" s="14">
        <f>B1973*100</f>
        <v/>
      </c>
    </row>
    <row r="1974">
      <c r="A1974" s="12" t="n">
        <v>45519</v>
      </c>
      <c r="B1974" s="13" t="n">
        <v>0.1357</v>
      </c>
      <c r="C1974" s="14">
        <f>B1974*100</f>
        <v/>
      </c>
    </row>
    <row r="1975">
      <c r="A1975" s="12" t="n">
        <v>45520</v>
      </c>
      <c r="B1975" s="13" t="n">
        <v>0.1321</v>
      </c>
      <c r="C1975" s="14">
        <f>B1975*100</f>
        <v/>
      </c>
    </row>
    <row r="1976">
      <c r="A1976" s="12" t="n">
        <v>45523</v>
      </c>
      <c r="B1976" s="13" t="n">
        <v>0.1237</v>
      </c>
      <c r="C1976" s="14">
        <f>B1976*100</f>
        <v/>
      </c>
    </row>
    <row r="1977">
      <c r="A1977" s="12" t="n">
        <v>45524</v>
      </c>
      <c r="B1977" s="13" t="n">
        <v>0.1034</v>
      </c>
      <c r="C1977" s="14">
        <f>B1977*100</f>
        <v/>
      </c>
    </row>
    <row r="1978">
      <c r="A1978" s="12" t="n">
        <v>45525</v>
      </c>
      <c r="B1978" s="13" t="n">
        <v>0.0852</v>
      </c>
      <c r="C1978" s="14">
        <f>B1978*100</f>
        <v/>
      </c>
    </row>
    <row r="1979">
      <c r="A1979" s="12" t="n">
        <v>45526</v>
      </c>
      <c r="B1979" s="13" t="n">
        <v>0.1121</v>
      </c>
      <c r="C1979" s="14">
        <f>B1979*100</f>
        <v/>
      </c>
    </row>
    <row r="1980">
      <c r="A1980" s="12" t="n">
        <v>45527</v>
      </c>
      <c r="B1980" s="13" t="n">
        <v>0.0954</v>
      </c>
      <c r="C1980" s="14">
        <f>B1980*100</f>
        <v/>
      </c>
    </row>
    <row r="1981">
      <c r="A1981" s="12" t="n">
        <v>45530</v>
      </c>
      <c r="B1981" s="13" t="n">
        <v>0.1009</v>
      </c>
      <c r="C1981" s="14">
        <f>B1981*100</f>
        <v/>
      </c>
    </row>
    <row r="1982">
      <c r="A1982" s="12" t="n">
        <v>45531</v>
      </c>
      <c r="B1982" s="13" t="n">
        <v>0.1081</v>
      </c>
      <c r="C1982" s="14">
        <f>B1982*100</f>
        <v/>
      </c>
    </row>
    <row r="1983">
      <c r="A1983" s="12" t="n">
        <v>45532</v>
      </c>
      <c r="B1983" s="13" t="n">
        <v>0.1158</v>
      </c>
      <c r="C1983" s="14">
        <f>B1983*100</f>
        <v/>
      </c>
    </row>
    <row r="1984">
      <c r="A1984" s="12" t="n">
        <v>45533</v>
      </c>
      <c r="B1984" s="13" t="n">
        <v>0.1294</v>
      </c>
      <c r="C1984" s="14">
        <f>B1984*100</f>
        <v/>
      </c>
    </row>
    <row r="1985">
      <c r="A1985" s="12" t="n">
        <v>45534</v>
      </c>
      <c r="B1985" s="13" t="n">
        <v>0.148</v>
      </c>
      <c r="C1985" s="14">
        <f>B1985*100</f>
        <v/>
      </c>
    </row>
    <row r="1986">
      <c r="A1986" s="12" t="n">
        <v>45538</v>
      </c>
      <c r="B1986" s="13" t="n">
        <v>0.1265</v>
      </c>
      <c r="C1986" s="14">
        <f>B1986*100</f>
        <v/>
      </c>
    </row>
    <row r="1987">
      <c r="A1987" s="12" t="n">
        <v>45539</v>
      </c>
      <c r="B1987" s="13" t="n">
        <v>0.0898</v>
      </c>
      <c r="C1987" s="14">
        <f>B1987*100</f>
        <v/>
      </c>
    </row>
    <row r="1988">
      <c r="A1988" s="12" t="n">
        <v>45540</v>
      </c>
      <c r="B1988" s="13" t="n">
        <v>0.07480000000000001</v>
      </c>
      <c r="C1988" s="14">
        <f>B1988*100</f>
        <v/>
      </c>
    </row>
    <row r="1989">
      <c r="A1989" s="12" t="n">
        <v>45541</v>
      </c>
      <c r="B1989" s="13" t="n">
        <v>0.0613</v>
      </c>
      <c r="C1989" s="14">
        <f>B1989*100</f>
        <v/>
      </c>
    </row>
    <row r="1990">
      <c r="A1990" s="12" t="n">
        <v>45544</v>
      </c>
      <c r="B1990" s="13" t="n">
        <v>0.0574</v>
      </c>
      <c r="C1990" s="14">
        <f>B1990*100</f>
        <v/>
      </c>
    </row>
    <row r="1991">
      <c r="A1991" s="12" t="n">
        <v>45545</v>
      </c>
      <c r="B1991" s="13" t="n">
        <v>0.0379</v>
      </c>
      <c r="C1991" s="14">
        <f>B1991*100</f>
        <v/>
      </c>
    </row>
    <row r="1992">
      <c r="A1992" s="12" t="n">
        <v>45546</v>
      </c>
      <c r="B1992" s="13" t="n">
        <v>0.0355</v>
      </c>
      <c r="C1992" s="14">
        <f>B1992*100</f>
        <v/>
      </c>
    </row>
    <row r="1993">
      <c r="A1993" s="12" t="n">
        <v>45547</v>
      </c>
      <c r="B1993" s="13" t="n">
        <v>0.0478</v>
      </c>
      <c r="C1993" s="14">
        <f>B1993*100</f>
        <v/>
      </c>
    </row>
    <row r="1994">
      <c r="A1994" s="12" t="n">
        <v>45548</v>
      </c>
      <c r="B1994" s="13" t="n">
        <v>0.0435</v>
      </c>
      <c r="C1994" s="14">
        <f>B1994*100</f>
        <v/>
      </c>
    </row>
    <row r="1995">
      <c r="A1995" s="12" t="n">
        <v>45551</v>
      </c>
      <c r="B1995" s="13" t="n">
        <v>0.0425</v>
      </c>
      <c r="C1995" s="14">
        <f>B1995*100</f>
        <v/>
      </c>
    </row>
    <row r="1996">
      <c r="A1996" s="12" t="n">
        <v>45552</v>
      </c>
      <c r="B1996" s="13" t="n">
        <v>0.0565</v>
      </c>
      <c r="C1996" s="14">
        <f>B1996*100</f>
        <v/>
      </c>
    </row>
    <row r="1997">
      <c r="A1997" s="12" t="n">
        <v>45553</v>
      </c>
      <c r="B1997" s="13" t="n">
        <v>0.0886</v>
      </c>
      <c r="C1997" s="14">
        <f>B1997*100</f>
        <v/>
      </c>
    </row>
    <row r="1998">
      <c r="A1998" s="12" t="n">
        <v>45554</v>
      </c>
      <c r="B1998" s="13" t="n">
        <v>0.1128</v>
      </c>
      <c r="C1998" s="14">
        <f>B1998*100</f>
        <v/>
      </c>
    </row>
    <row r="1999">
      <c r="A1999" s="12" t="n">
        <v>45555</v>
      </c>
      <c r="B1999" s="13" t="n">
        <v>0.1241</v>
      </c>
      <c r="C1999" s="14">
        <f>B1999*100</f>
        <v/>
      </c>
    </row>
    <row r="2000">
      <c r="A2000" s="12" t="n">
        <v>45558</v>
      </c>
      <c r="B2000" s="13" t="n">
        <v>0.1437</v>
      </c>
      <c r="C2000" s="14">
        <f>B2000*100</f>
        <v/>
      </c>
    </row>
    <row r="2001">
      <c r="A2001" s="12" t="n">
        <v>45559</v>
      </c>
      <c r="B2001" s="13" t="n">
        <v>0.147</v>
      </c>
      <c r="C2001" s="14">
        <f>B2001*100</f>
        <v/>
      </c>
    </row>
    <row r="2002">
      <c r="A2002" s="12" t="n">
        <v>45560</v>
      </c>
      <c r="B2002" s="13" t="n">
        <v>0.171</v>
      </c>
      <c r="C2002" s="14">
        <f>B2002*100</f>
        <v/>
      </c>
    </row>
    <row r="2003">
      <c r="A2003" s="12" t="n">
        <v>45561</v>
      </c>
      <c r="B2003" s="13" t="n">
        <v>0.1874</v>
      </c>
      <c r="C2003" s="14">
        <f>B2003*100</f>
        <v/>
      </c>
    </row>
    <row r="2004">
      <c r="A2004" s="12" t="n">
        <v>45562</v>
      </c>
      <c r="B2004" s="13" t="n">
        <v>0.1709</v>
      </c>
      <c r="C2004" s="14">
        <f>B2004*100</f>
        <v/>
      </c>
    </row>
    <row r="2005">
      <c r="A2005" s="12" t="n">
        <v>45565</v>
      </c>
      <c r="B2005" s="13" t="n">
        <v>0.1945</v>
      </c>
      <c r="C2005" s="14">
        <f>B2005*100</f>
        <v/>
      </c>
    </row>
    <row r="2006">
      <c r="A2006" s="12" t="n">
        <v>45566</v>
      </c>
      <c r="B2006" s="13" t="n">
        <v>0.1739</v>
      </c>
      <c r="C2006" s="14">
        <f>B2006*100</f>
        <v/>
      </c>
    </row>
    <row r="2007">
      <c r="A2007" s="12" t="n">
        <v>45567</v>
      </c>
      <c r="B2007" s="13" t="n">
        <v>0.1859</v>
      </c>
      <c r="C2007" s="14">
        <f>B2007*100</f>
        <v/>
      </c>
    </row>
    <row r="2008">
      <c r="A2008" s="12" t="n">
        <v>45568</v>
      </c>
      <c r="B2008" s="13" t="n">
        <v>0.2171</v>
      </c>
      <c r="C2008" s="14">
        <f>B2008*100</f>
        <v/>
      </c>
    </row>
    <row r="2009">
      <c r="A2009" s="12" t="n">
        <v>45569</v>
      </c>
      <c r="B2009" s="13" t="n">
        <v>0.2854</v>
      </c>
      <c r="C2009" s="14">
        <f>B2009*100</f>
        <v/>
      </c>
    </row>
    <row r="2010">
      <c r="A2010" s="12" t="n">
        <v>45572</v>
      </c>
      <c r="B2010" s="13" t="n">
        <v>0.3202</v>
      </c>
      <c r="C2010" s="14">
        <f>B2010*100</f>
        <v/>
      </c>
    </row>
    <row r="2011">
      <c r="A2011" s="12" t="n">
        <v>45573</v>
      </c>
      <c r="B2011" s="13" t="n">
        <v>0.3255</v>
      </c>
      <c r="C2011" s="14">
        <f>B2011*100</f>
        <v/>
      </c>
    </row>
    <row r="2012">
      <c r="A2012" s="12" t="n">
        <v>45574</v>
      </c>
      <c r="B2012" s="13" t="n">
        <v>0.3424</v>
      </c>
      <c r="C2012" s="14">
        <f>B2012*100</f>
        <v/>
      </c>
    </row>
    <row r="2013">
      <c r="A2013" s="12" t="n">
        <v>45575</v>
      </c>
      <c r="B2013" s="13" t="n">
        <v>0.3499</v>
      </c>
      <c r="C2013" s="14">
        <f>B2013*100</f>
        <v/>
      </c>
    </row>
    <row r="2014">
      <c r="A2014" s="12" t="n">
        <v>45576</v>
      </c>
      <c r="B2014" s="13" t="n">
        <v>0.3485</v>
      </c>
      <c r="C2014" s="14">
        <f>B2014*100</f>
        <v/>
      </c>
    </row>
    <row r="2015">
      <c r="A2015" s="12" t="n">
        <v>45580</v>
      </c>
      <c r="B2015" s="13" t="n">
        <v>0.3333</v>
      </c>
      <c r="C2015" s="14">
        <f>B2015*100</f>
        <v/>
      </c>
    </row>
    <row r="2016">
      <c r="A2016" s="12" t="n">
        <v>45581</v>
      </c>
      <c r="B2016" s="13" t="n">
        <v>0.3249</v>
      </c>
      <c r="C2016" s="14">
        <f>B2016*100</f>
        <v/>
      </c>
    </row>
    <row r="2017">
      <c r="A2017" s="12" t="n">
        <v>45582</v>
      </c>
      <c r="B2017" s="13" t="n">
        <v>0.3495</v>
      </c>
      <c r="C2017" s="14">
        <f>B2017*100</f>
        <v/>
      </c>
    </row>
    <row r="2018">
      <c r="A2018" s="12" t="n">
        <v>45583</v>
      </c>
      <c r="B2018" s="13" t="n">
        <v>0.349</v>
      </c>
      <c r="C2018" s="14">
        <f>B2018*100</f>
        <v/>
      </c>
    </row>
    <row r="2019">
      <c r="A2019" s="12" t="n">
        <v>45586</v>
      </c>
      <c r="B2019" s="13" t="n">
        <v>0.3916</v>
      </c>
      <c r="C2019" s="14">
        <f>B2019*100</f>
        <v/>
      </c>
    </row>
    <row r="2020">
      <c r="A2020" s="12" t="n">
        <v>45587</v>
      </c>
      <c r="B2020" s="13" t="n">
        <v>0.4123</v>
      </c>
      <c r="C2020" s="14">
        <f>B2020*100</f>
        <v/>
      </c>
    </row>
    <row r="2021">
      <c r="A2021" s="12" t="n">
        <v>45588</v>
      </c>
      <c r="B2021" s="13" t="n">
        <v>0.4356</v>
      </c>
      <c r="C2021" s="14">
        <f>B2021*100</f>
        <v/>
      </c>
    </row>
    <row r="2022">
      <c r="A2022" s="12" t="n">
        <v>45589</v>
      </c>
      <c r="B2022" s="13" t="n">
        <v>0.433</v>
      </c>
      <c r="C2022" s="14">
        <f>B2022*100</f>
        <v/>
      </c>
    </row>
    <row r="2023">
      <c r="A2023" s="12" t="n">
        <v>45590</v>
      </c>
      <c r="B2023" s="13" t="n">
        <v>0.4467</v>
      </c>
      <c r="C2023" s="14">
        <f>B2023*100</f>
        <v/>
      </c>
    </row>
    <row r="2024">
      <c r="A2024" s="12" t="n">
        <v>45593</v>
      </c>
      <c r="B2024" s="13" t="n">
        <v>0.4666</v>
      </c>
      <c r="C2024" s="14">
        <f>B2024*100</f>
        <v/>
      </c>
    </row>
    <row r="2025">
      <c r="A2025" s="12" t="n">
        <v>45594</v>
      </c>
      <c r="B2025" s="13" t="n">
        <v>0.472</v>
      </c>
      <c r="C2025" s="14">
        <f>B2025*100</f>
        <v/>
      </c>
    </row>
    <row r="2026">
      <c r="A2026" s="12" t="n">
        <v>45595</v>
      </c>
      <c r="B2026" s="13" t="n">
        <v>0.4842</v>
      </c>
      <c r="C2026" s="14">
        <f>B2026*100</f>
        <v/>
      </c>
    </row>
    <row r="2027">
      <c r="A2027" s="12" t="n">
        <v>45596</v>
      </c>
      <c r="B2027" s="13" t="n">
        <v>0.489</v>
      </c>
      <c r="C2027" s="14">
        <f>B2027*100</f>
        <v/>
      </c>
    </row>
    <row r="2028">
      <c r="A2028" s="12" t="n">
        <v>45597</v>
      </c>
      <c r="B2028" s="13" t="n">
        <v>0.5269</v>
      </c>
      <c r="C2028" s="14">
        <f>B2028*100</f>
        <v/>
      </c>
    </row>
    <row r="2029">
      <c r="A2029" s="12" t="n">
        <v>45600</v>
      </c>
      <c r="B2029" s="13" t="n">
        <v>0.5158</v>
      </c>
      <c r="C2029" s="14">
        <f>B2029*100</f>
        <v/>
      </c>
    </row>
    <row r="2030">
      <c r="A2030" s="12" t="n">
        <v>45601</v>
      </c>
      <c r="B2030" s="13" t="n">
        <v>0.5071</v>
      </c>
      <c r="C2030" s="14">
        <f>B2030*100</f>
        <v/>
      </c>
    </row>
    <row r="2031">
      <c r="A2031" s="12" t="n">
        <v>45602</v>
      </c>
      <c r="B2031" s="13" t="n">
        <v>0.5564</v>
      </c>
      <c r="C2031" s="14">
        <f>B2031*100</f>
        <v/>
      </c>
    </row>
    <row r="2032">
      <c r="A2032" s="12" t="n">
        <v>45603</v>
      </c>
      <c r="B2032" s="13" t="n">
        <v>0.5284</v>
      </c>
      <c r="C2032" s="14">
        <f>B2032*100</f>
        <v/>
      </c>
    </row>
    <row r="2033">
      <c r="A2033" s="12" t="n">
        <v>45604</v>
      </c>
      <c r="B2033" s="13" t="n">
        <v>0.5171</v>
      </c>
      <c r="C2033" s="14">
        <f>B2033*100</f>
        <v/>
      </c>
    </row>
    <row r="2034">
      <c r="A2034" s="12" t="n">
        <v>45608</v>
      </c>
      <c r="B2034" s="13" t="n">
        <v>0.5608</v>
      </c>
      <c r="C2034" s="14">
        <f>B2034*100</f>
        <v/>
      </c>
    </row>
    <row r="2035">
      <c r="A2035" s="12" t="n">
        <v>45609</v>
      </c>
      <c r="B2035" s="13" t="n">
        <v>0.5745</v>
      </c>
      <c r="C2035" s="14">
        <f>B2035*100</f>
        <v/>
      </c>
    </row>
    <row r="2036">
      <c r="A2036" s="12" t="n">
        <v>45610</v>
      </c>
      <c r="B2036" s="13" t="n">
        <v>0.5777</v>
      </c>
      <c r="C2036" s="14">
        <f>B2036*100</f>
        <v/>
      </c>
    </row>
    <row r="2037">
      <c r="A2037" s="12" t="n">
        <v>45611</v>
      </c>
      <c r="B2037" s="13" t="n">
        <v>0.5757</v>
      </c>
      <c r="C2037" s="14">
        <f>B2037*100</f>
        <v/>
      </c>
    </row>
    <row r="2038">
      <c r="A2038" s="12" t="n">
        <v>45614</v>
      </c>
      <c r="B2038" s="13" t="n">
        <v>0.5689</v>
      </c>
      <c r="C2038" s="14">
        <f>B2038*100</f>
        <v/>
      </c>
    </row>
    <row r="2039">
      <c r="A2039" s="12" t="n">
        <v>45615</v>
      </c>
      <c r="B2039" s="13" t="n">
        <v>0.5548</v>
      </c>
      <c r="C2039" s="14">
        <f>B2039*100</f>
        <v/>
      </c>
    </row>
    <row r="2040">
      <c r="A2040" s="12" t="n">
        <v>45616</v>
      </c>
      <c r="B2040" s="13" t="n">
        <v>0.5547</v>
      </c>
      <c r="C2040" s="14">
        <f>B2040*100</f>
        <v/>
      </c>
    </row>
    <row r="2041">
      <c r="A2041" s="12" t="n">
        <v>45617</v>
      </c>
      <c r="B2041" s="13" t="n">
        <v>0.5642</v>
      </c>
      <c r="C2041" s="14">
        <f>B2041*100</f>
        <v/>
      </c>
    </row>
    <row r="2042">
      <c r="A2042" s="12" t="n">
        <v>45618</v>
      </c>
      <c r="B2042" s="13" t="n">
        <v>0.5626</v>
      </c>
      <c r="C2042" s="14">
        <f>B2042*100</f>
        <v/>
      </c>
    </row>
    <row r="2043">
      <c r="A2043" s="12" t="n">
        <v>45621</v>
      </c>
      <c r="B2043" s="13" t="n">
        <v>0.5048</v>
      </c>
      <c r="C2043" s="14">
        <f>B2043*100</f>
        <v/>
      </c>
    </row>
    <row r="2044">
      <c r="A2044" s="12" t="n">
        <v>45622</v>
      </c>
      <c r="B2044" s="13" t="n">
        <v>0.5022</v>
      </c>
      <c r="C2044" s="14">
        <f>B2044*100</f>
        <v/>
      </c>
    </row>
    <row r="2045">
      <c r="A2045" s="12" t="n">
        <v>45623</v>
      </c>
      <c r="B2045" s="13" t="n">
        <v>0.4783</v>
      </c>
      <c r="C2045" s="14">
        <f>B2045*100</f>
        <v/>
      </c>
    </row>
    <row r="2046">
      <c r="A2046" s="12" t="n">
        <v>45625</v>
      </c>
      <c r="B2046" s="13" t="n">
        <v>0.4489</v>
      </c>
      <c r="C2046" s="14">
        <f>B2046*100</f>
        <v/>
      </c>
    </row>
    <row r="2047">
      <c r="A2047" s="12" t="n">
        <v>45628</v>
      </c>
      <c r="B2047" s="13" t="n">
        <v>0.4453</v>
      </c>
      <c r="C2047" s="14">
        <f>B2047*100</f>
        <v/>
      </c>
    </row>
    <row r="2048">
      <c r="A2048" s="12" t="n">
        <v>45629</v>
      </c>
      <c r="B2048" s="13" t="n">
        <v>0.4605</v>
      </c>
      <c r="C2048" s="14">
        <f>B2048*100</f>
        <v/>
      </c>
    </row>
    <row r="2049">
      <c r="A2049" s="12" t="n">
        <v>45630</v>
      </c>
      <c r="B2049" s="13" t="n">
        <v>0.4537</v>
      </c>
      <c r="C2049" s="14">
        <f>B2049*100</f>
        <v/>
      </c>
    </row>
    <row r="2050">
      <c r="A2050" s="12" t="n">
        <v>45631</v>
      </c>
      <c r="B2050" s="13" t="n">
        <v>0.4479</v>
      </c>
      <c r="C2050" s="14">
        <f>B2050*100</f>
        <v/>
      </c>
    </row>
    <row r="2051">
      <c r="A2051" s="12" t="n">
        <v>45632</v>
      </c>
      <c r="B2051" s="13" t="n">
        <v>0.439</v>
      </c>
      <c r="C2051" s="14">
        <f>B2051*100</f>
        <v/>
      </c>
    </row>
    <row r="2052">
      <c r="A2052" s="12" t="n">
        <v>45635</v>
      </c>
      <c r="B2052" s="13" t="n">
        <v>0.454</v>
      </c>
      <c r="C2052" s="14">
        <f>B2052*100</f>
        <v/>
      </c>
    </row>
    <row r="2053">
      <c r="A2053" s="12" t="n">
        <v>45636</v>
      </c>
      <c r="B2053" s="13" t="n">
        <v>0.4686</v>
      </c>
      <c r="C2053" s="14">
        <f>B2053*100</f>
        <v/>
      </c>
    </row>
    <row r="2054">
      <c r="A2054" s="12" t="n">
        <v>45637</v>
      </c>
      <c r="B2054" s="13" t="n">
        <v>0.4941</v>
      </c>
      <c r="C2054" s="14">
        <f>B2054*100</f>
        <v/>
      </c>
    </row>
    <row r="2055">
      <c r="A2055" s="12" t="n">
        <v>45638</v>
      </c>
      <c r="B2055" s="13" t="n">
        <v>0.5276</v>
      </c>
      <c r="C2055" s="14">
        <f>B2055*100</f>
        <v/>
      </c>
    </row>
    <row r="2056">
      <c r="A2056" s="12" t="n">
        <v>45639</v>
      </c>
      <c r="B2056" s="13" t="n">
        <v>0.5706</v>
      </c>
      <c r="C2056" s="14">
        <f>B2056*100</f>
        <v/>
      </c>
    </row>
    <row r="2057">
      <c r="A2057" s="12" t="n">
        <v>45642</v>
      </c>
      <c r="B2057" s="13" t="n">
        <v>0.5798</v>
      </c>
      <c r="C2057" s="14">
        <f>B2057*100</f>
        <v/>
      </c>
    </row>
    <row r="2058">
      <c r="A2058" s="12" t="n">
        <v>45643</v>
      </c>
      <c r="B2058" s="13" t="n">
        <v>0.5854</v>
      </c>
      <c r="C2058" s="14">
        <f>B2058*100</f>
        <v/>
      </c>
    </row>
    <row r="2059">
      <c r="A2059" s="12" t="n">
        <v>45644</v>
      </c>
      <c r="B2059" s="13" t="n">
        <v>0.6412</v>
      </c>
      <c r="C2059" s="14">
        <f>B2059*100</f>
        <v/>
      </c>
    </row>
    <row r="2060">
      <c r="A2060" s="12" t="n">
        <v>45645</v>
      </c>
      <c r="B2060" s="13" t="n">
        <v>0.6778</v>
      </c>
      <c r="C2060" s="14">
        <f>B2060*100</f>
        <v/>
      </c>
    </row>
    <row r="2061">
      <c r="A2061" s="12" t="n">
        <v>45646</v>
      </c>
      <c r="B2061" s="13" t="n">
        <v>0.6682</v>
      </c>
      <c r="C2061" s="14">
        <f>B2061*100</f>
        <v/>
      </c>
    </row>
    <row r="2062">
      <c r="A2062" s="12" t="n">
        <v>45649</v>
      </c>
      <c r="B2062" s="13" t="n">
        <v>0.6941000000000001</v>
      </c>
      <c r="C2062" s="14">
        <f>B2062*100</f>
        <v/>
      </c>
    </row>
    <row r="2063">
      <c r="A2063" s="12" t="n">
        <v>45650</v>
      </c>
      <c r="B2063" s="13" t="n">
        <v>0.7009</v>
      </c>
      <c r="C2063" s="14">
        <f>B2063*100</f>
        <v/>
      </c>
    </row>
    <row r="2064">
      <c r="A2064" s="12" t="n">
        <v>45652</v>
      </c>
      <c r="B2064" s="13" t="n">
        <v>0.6968</v>
      </c>
      <c r="C2064" s="14">
        <f>B2064*100</f>
        <v/>
      </c>
    </row>
    <row r="2065">
      <c r="A2065" s="12" t="n">
        <v>45653</v>
      </c>
      <c r="B2065" s="13" t="n">
        <v>0.7141</v>
      </c>
      <c r="C2065" s="14">
        <f>B2065*100</f>
        <v/>
      </c>
    </row>
    <row r="2066">
      <c r="A2066" s="12" t="n">
        <v>45656</v>
      </c>
      <c r="B2066" s="13" t="n">
        <v>0.6861</v>
      </c>
      <c r="C2066" s="14">
        <f>B2066*100</f>
        <v/>
      </c>
    </row>
    <row r="2067">
      <c r="A2067" s="12" t="n">
        <v>45657</v>
      </c>
      <c r="B2067" s="13" t="n">
        <v>0.6872</v>
      </c>
      <c r="C2067" s="14">
        <f>B2067*100</f>
        <v/>
      </c>
    </row>
    <row r="2068">
      <c r="A2068" s="12" t="n">
        <v>45659</v>
      </c>
      <c r="B2068" s="13" t="n">
        <v>0.6851</v>
      </c>
      <c r="C2068" s="14">
        <f>B2068*100</f>
        <v/>
      </c>
    </row>
    <row r="2069">
      <c r="A2069" s="12" t="n">
        <v>45660</v>
      </c>
      <c r="B2069" s="13" t="n">
        <v>0.7016</v>
      </c>
      <c r="C2069" s="14">
        <f>B2069*100</f>
        <v/>
      </c>
    </row>
    <row r="2070">
      <c r="A2070" s="12" t="n">
        <v>45663</v>
      </c>
      <c r="B2070" s="13" t="n">
        <v>0.7121</v>
      </c>
      <c r="C2070" s="14">
        <f>B2070*100</f>
        <v/>
      </c>
    </row>
    <row r="2071">
      <c r="A2071" s="12" t="n">
        <v>45664</v>
      </c>
      <c r="B2071" s="13" t="n">
        <v>0.7356</v>
      </c>
      <c r="C2071" s="14">
        <f>B2071*100</f>
        <v/>
      </c>
    </row>
    <row r="2072">
      <c r="A2072" s="12" t="n">
        <v>45665</v>
      </c>
      <c r="B2072" s="13" t="n">
        <v>0.7392</v>
      </c>
      <c r="C2072" s="14">
        <f>B2072*100</f>
        <v/>
      </c>
    </row>
    <row r="2073">
      <c r="A2073" s="12" t="n">
        <v>45666</v>
      </c>
      <c r="B2073" s="13" t="n">
        <v>0.7465000000000001</v>
      </c>
      <c r="C2073" s="14">
        <f>B2073*100</f>
        <v/>
      </c>
    </row>
    <row r="2074">
      <c r="A2074" s="12" t="n">
        <v>45667</v>
      </c>
      <c r="B2074" s="13" t="n">
        <v>0.7964</v>
      </c>
      <c r="C2074" s="14">
        <f>B2074*100</f>
        <v/>
      </c>
    </row>
    <row r="2075">
      <c r="A2075" s="12" t="n">
        <v>45670</v>
      </c>
      <c r="B2075" s="13" t="n">
        <v>0.8131</v>
      </c>
      <c r="C2075" s="14">
        <f>B2075*100</f>
        <v/>
      </c>
    </row>
    <row r="2076">
      <c r="A2076" s="12" t="n">
        <v>45671</v>
      </c>
      <c r="B2076" s="13" t="n">
        <v>0.8122</v>
      </c>
      <c r="C2076" s="14">
        <f>B2076*100</f>
        <v/>
      </c>
    </row>
    <row r="2077">
      <c r="A2077" s="12" t="n">
        <v>45672</v>
      </c>
      <c r="B2077" s="13" t="n">
        <v>0.7574</v>
      </c>
      <c r="C2077" s="14">
        <f>B2077*100</f>
        <v/>
      </c>
    </row>
    <row r="2078">
      <c r="A2078" s="12" t="n">
        <v>45673</v>
      </c>
      <c r="B2078" s="13" t="n">
        <v>0.7249</v>
      </c>
      <c r="C2078" s="14">
        <f>B2078*100</f>
        <v/>
      </c>
    </row>
    <row r="2079">
      <c r="A2079" s="12" t="n">
        <v>45674</v>
      </c>
      <c r="B2079" s="13" t="n">
        <v>0.7198</v>
      </c>
      <c r="C2079" s="14">
        <f>B2079*100</f>
        <v/>
      </c>
    </row>
    <row r="2080">
      <c r="A2080" s="12" t="n">
        <v>45678</v>
      </c>
      <c r="B2080" s="13" t="n">
        <v>0.7033</v>
      </c>
      <c r="C2080" s="14">
        <f>B2080*100</f>
        <v/>
      </c>
    </row>
    <row r="2081">
      <c r="A2081" s="12" t="n">
        <v>45679</v>
      </c>
      <c r="B2081" s="13" t="n">
        <v>0.7071</v>
      </c>
      <c r="C2081" s="14">
        <f>B2081*100</f>
        <v/>
      </c>
    </row>
    <row r="2082">
      <c r="A2082" s="12" t="n">
        <v>45680</v>
      </c>
      <c r="B2082" s="13" t="n">
        <v>0.7212</v>
      </c>
      <c r="C2082" s="14">
        <f>B2082*100</f>
        <v/>
      </c>
    </row>
    <row r="2083">
      <c r="A2083" s="12" t="n">
        <v>45681</v>
      </c>
      <c r="B2083" s="13" t="n">
        <v>0.7192</v>
      </c>
      <c r="C2083" s="14">
        <f>B2083*100</f>
        <v/>
      </c>
    </row>
    <row r="2084">
      <c r="A2084" s="12" t="n">
        <v>45684</v>
      </c>
      <c r="B2084" s="13" t="n">
        <v>0.6816</v>
      </c>
      <c r="C2084" s="14">
        <f>B2084*100</f>
        <v/>
      </c>
    </row>
    <row r="2085">
      <c r="A2085" s="12" t="n">
        <v>45685</v>
      </c>
      <c r="B2085" s="13" t="n">
        <v>0.6771</v>
      </c>
      <c r="C2085" s="14">
        <f>B2085*100</f>
        <v/>
      </c>
    </row>
    <row r="2086">
      <c r="A2086" s="12" t="n">
        <v>45686</v>
      </c>
      <c r="B2086" s="13" t="n">
        <v>0.6807</v>
      </c>
      <c r="C2086" s="14">
        <f>B2086*100</f>
        <v/>
      </c>
    </row>
    <row r="2087">
      <c r="A2087" s="12" t="n">
        <v>45687</v>
      </c>
      <c r="B2087" s="13" t="n">
        <v>0.6646</v>
      </c>
      <c r="C2087" s="14">
        <f>B2087*100</f>
        <v/>
      </c>
    </row>
    <row r="2088">
      <c r="A2088" s="12" t="n">
        <v>45688</v>
      </c>
      <c r="B2088" s="13" t="n">
        <v>0.6836</v>
      </c>
      <c r="C2088" s="14">
        <f>B2088*100</f>
        <v/>
      </c>
    </row>
    <row r="2089">
      <c r="A2089" s="12" t="n">
        <v>45691</v>
      </c>
      <c r="B2089" s="13" t="n">
        <v>0.6733</v>
      </c>
      <c r="C2089" s="14">
        <f>B2089*100</f>
        <v/>
      </c>
    </row>
    <row r="2090">
      <c r="A2090" s="12" t="n">
        <v>45692</v>
      </c>
      <c r="B2090" s="13" t="n">
        <v>0.6598000000000001</v>
      </c>
      <c r="C2090" s="14">
        <f>B2090*100</f>
        <v/>
      </c>
    </row>
    <row r="2091">
      <c r="A2091" s="12" t="n">
        <v>45693</v>
      </c>
      <c r="B2091" s="13" t="n">
        <v>0.6215000000000001</v>
      </c>
      <c r="C2091" s="14">
        <f>B2091*100</f>
        <v/>
      </c>
    </row>
    <row r="2092">
      <c r="A2092" s="12" t="n">
        <v>45694</v>
      </c>
      <c r="B2092" s="13" t="n">
        <v>0.62</v>
      </c>
      <c r="C2092" s="14">
        <f>B2092*100</f>
        <v/>
      </c>
    </row>
    <row r="2093">
      <c r="A2093" s="12" t="n">
        <v>45695</v>
      </c>
      <c r="B2093" s="13" t="n">
        <v>0.6365</v>
      </c>
      <c r="C2093" s="14">
        <f>B2093*100</f>
        <v/>
      </c>
    </row>
    <row r="2094">
      <c r="A2094" s="12" t="n">
        <v>45698</v>
      </c>
      <c r="B2094" s="13" t="n">
        <v>0.6387</v>
      </c>
      <c r="C2094" s="14">
        <f>B2094*100</f>
        <v/>
      </c>
    </row>
    <row r="2095">
      <c r="A2095" s="12" t="n">
        <v>45699</v>
      </c>
      <c r="B2095" s="13" t="n">
        <v>0.6508</v>
      </c>
      <c r="C2095" s="14">
        <f>B2095*100</f>
        <v/>
      </c>
    </row>
    <row r="2096">
      <c r="A2096" s="12" t="n">
        <v>45700</v>
      </c>
      <c r="B2096" s="13" t="n">
        <v>0.6974</v>
      </c>
      <c r="C2096" s="14">
        <f>B2096*100</f>
        <v/>
      </c>
    </row>
    <row r="2097">
      <c r="A2097" s="12" t="n">
        <v>45701</v>
      </c>
      <c r="B2097" s="13" t="n">
        <v>0.6705</v>
      </c>
      <c r="C2097" s="14">
        <f>B2097*100</f>
        <v/>
      </c>
    </row>
    <row r="2098">
      <c r="A2098" s="12" t="n">
        <v>45702</v>
      </c>
      <c r="B2098" s="13" t="n">
        <v>0.6417</v>
      </c>
      <c r="C2098" s="14">
        <f>B2098*100</f>
        <v/>
      </c>
    </row>
    <row r="2099">
      <c r="A2099" s="12" t="n">
        <v>45706</v>
      </c>
      <c r="B2099" s="13" t="n">
        <v>0.662</v>
      </c>
      <c r="C2099" s="14">
        <f>B2099*100</f>
        <v/>
      </c>
    </row>
    <row r="2100">
      <c r="A2100" s="12" t="n">
        <v>45707</v>
      </c>
      <c r="B2100" s="13" t="n">
        <v>0.657</v>
      </c>
      <c r="C2100" s="14">
        <f>B2100*100</f>
        <v/>
      </c>
    </row>
    <row r="2101">
      <c r="A2101" s="12" t="n">
        <v>45708</v>
      </c>
      <c r="B2101" s="13" t="n">
        <v>0.6477000000000001</v>
      </c>
      <c r="C2101" s="14">
        <f>B2101*100</f>
        <v/>
      </c>
    </row>
    <row r="2102">
      <c r="A2102" s="12" t="n">
        <v>45709</v>
      </c>
      <c r="B2102" s="13" t="n">
        <v>0.6161</v>
      </c>
      <c r="C2102" s="14">
        <f>B2102*100</f>
        <v/>
      </c>
    </row>
    <row r="2103">
      <c r="A2103" s="12" t="n">
        <v>45712</v>
      </c>
      <c r="B2103" s="13" t="n">
        <v>0.6017</v>
      </c>
      <c r="C2103" s="14">
        <f>B2103*100</f>
        <v/>
      </c>
    </row>
    <row r="2104">
      <c r="A2104" s="12" t="n">
        <v>45713</v>
      </c>
      <c r="B2104" s="13" t="n">
        <v>0.5570000000000001</v>
      </c>
      <c r="C2104" s="14">
        <f>B2104*100</f>
        <v/>
      </c>
    </row>
    <row r="2105">
      <c r="A2105" s="12" t="n">
        <v>45714</v>
      </c>
      <c r="B2105" s="13" t="n">
        <v>0.5249</v>
      </c>
      <c r="C2105" s="14">
        <f>B2105*100</f>
        <v/>
      </c>
    </row>
    <row r="2106">
      <c r="A2106" s="12" t="n">
        <v>45715</v>
      </c>
      <c r="B2106" s="13" t="n">
        <v>0.5274</v>
      </c>
      <c r="C2106" s="14">
        <f>B2106*100</f>
        <v/>
      </c>
    </row>
    <row r="2107">
      <c r="A2107" s="12" t="n">
        <v>45716</v>
      </c>
      <c r="B2107" s="13" t="n">
        <v>0.5063</v>
      </c>
      <c r="C2107" s="14">
        <f>B2107*100</f>
        <v/>
      </c>
    </row>
    <row r="2108">
      <c r="A2108" s="12" t="n">
        <v>45719</v>
      </c>
      <c r="B2108" s="13" t="n">
        <v>0.4751</v>
      </c>
      <c r="C2108" s="14">
        <f>B2108*100</f>
        <v/>
      </c>
    </row>
    <row r="2109">
      <c r="A2109" s="12" t="n">
        <v>45720</v>
      </c>
      <c r="B2109" s="13" t="n">
        <v>0.488</v>
      </c>
      <c r="C2109" s="14">
        <f>B2109*100</f>
        <v/>
      </c>
    </row>
    <row r="2110">
      <c r="A2110" s="12" t="n">
        <v>45721</v>
      </c>
      <c r="B2110" s="13" t="n">
        <v>0.5178</v>
      </c>
      <c r="C2110" s="14">
        <f>B2110*100</f>
        <v/>
      </c>
    </row>
    <row r="2111">
      <c r="A2111" s="12" t="n">
        <v>45722</v>
      </c>
      <c r="B2111" s="13" t="n">
        <v>0.5284</v>
      </c>
      <c r="C2111" s="14">
        <f>B2111*100</f>
        <v/>
      </c>
    </row>
    <row r="2112">
      <c r="A2112" s="12" t="n">
        <v>45723</v>
      </c>
      <c r="B2112" s="13" t="n">
        <v>0.5439000000000001</v>
      </c>
      <c r="C2112" s="14">
        <f>B2112*100</f>
        <v/>
      </c>
    </row>
    <row r="2113">
      <c r="A2113" s="12" t="n">
        <v>45726</v>
      </c>
      <c r="B2113" s="13" t="n">
        <v>0.5083</v>
      </c>
      <c r="C2113" s="14">
        <f>B2113*100</f>
        <v/>
      </c>
    </row>
    <row r="2114">
      <c r="A2114" s="12" t="n">
        <v>45727</v>
      </c>
      <c r="B2114" s="13" t="n">
        <v>0.5213</v>
      </c>
      <c r="C2114" s="14">
        <f>B2114*100</f>
        <v/>
      </c>
    </row>
    <row r="2115">
      <c r="A2115" s="12" t="n">
        <v>45728</v>
      </c>
      <c r="B2115" s="13" t="n">
        <v>0.5432</v>
      </c>
      <c r="C2115" s="14">
        <f>B2115*100</f>
        <v/>
      </c>
    </row>
    <row r="2116">
      <c r="A2116" s="12" t="n">
        <v>45729</v>
      </c>
      <c r="B2116" s="13" t="n">
        <v>0.5271</v>
      </c>
      <c r="C2116" s="14">
        <f>B2116*100</f>
        <v/>
      </c>
    </row>
    <row r="2117">
      <c r="A2117" s="12" t="n">
        <v>45730</v>
      </c>
      <c r="B2117" s="13" t="n">
        <v>0.5449000000000001</v>
      </c>
      <c r="C2117" s="14">
        <f>B2117*100</f>
        <v/>
      </c>
    </row>
    <row r="2118">
      <c r="A2118" s="12" t="n">
        <v>45733</v>
      </c>
      <c r="B2118" s="13" t="n">
        <v>0.5498</v>
      </c>
      <c r="C2118" s="14">
        <f>B2118*100</f>
        <v/>
      </c>
    </row>
    <row r="2119">
      <c r="A2119" s="12" t="n">
        <v>45734</v>
      </c>
      <c r="B2119" s="13" t="n">
        <v>0.5379</v>
      </c>
      <c r="C2119" s="14">
        <f>B2119*100</f>
        <v/>
      </c>
    </row>
    <row r="2120">
      <c r="A2120" s="12" t="n">
        <v>45735</v>
      </c>
      <c r="B2120" s="13" t="n">
        <v>0.5183</v>
      </c>
      <c r="C2120" s="14">
        <f>B2120*100</f>
        <v/>
      </c>
    </row>
    <row r="2121">
      <c r="A2121" s="12" t="n">
        <v>45736</v>
      </c>
      <c r="B2121" s="13" t="n">
        <v>0.506</v>
      </c>
      <c r="C2121" s="14">
        <f>B2121*100</f>
        <v/>
      </c>
    </row>
    <row r="2122">
      <c r="A2122" s="12" t="n">
        <v>45737</v>
      </c>
      <c r="B2122" s="13" t="n">
        <v>0.5056</v>
      </c>
      <c r="C2122" s="14">
        <f>B2122*100</f>
        <v/>
      </c>
    </row>
    <row r="2123">
      <c r="A2123" s="12" t="n">
        <v>45740</v>
      </c>
      <c r="B2123" s="13" t="n">
        <v>0.5424</v>
      </c>
      <c r="C2123" s="14">
        <f>B2123*100</f>
        <v/>
      </c>
    </row>
    <row r="2124">
      <c r="A2124" s="12" t="n">
        <v>45741</v>
      </c>
      <c r="B2124" s="13" t="n">
        <v>0.5406</v>
      </c>
      <c r="C2124" s="14">
        <f>B2124*100</f>
        <v/>
      </c>
    </row>
    <row r="2125">
      <c r="A2125" s="12" t="n">
        <v>45742</v>
      </c>
      <c r="B2125" s="13" t="n">
        <v>0.5522</v>
      </c>
      <c r="C2125" s="14">
        <f>B2125*100</f>
        <v/>
      </c>
    </row>
    <row r="2126">
      <c r="A2126" s="12" t="n">
        <v>45743</v>
      </c>
      <c r="B2126" s="13" t="n">
        <v>0.5627</v>
      </c>
      <c r="C2126" s="14">
        <f>B2126*100</f>
        <v/>
      </c>
    </row>
    <row r="2127">
      <c r="A2127" s="12" t="n">
        <v>45744</v>
      </c>
      <c r="B2127" s="13" t="n">
        <v>0.5214</v>
      </c>
      <c r="C2127" s="14">
        <f>B2127*100</f>
        <v/>
      </c>
    </row>
    <row r="2128">
      <c r="A2128" s="12" t="n">
        <v>45747</v>
      </c>
      <c r="B2128" s="13" t="n">
        <v>0.4988</v>
      </c>
      <c r="C2128" s="14">
        <f>B2128*100</f>
        <v/>
      </c>
    </row>
    <row r="2129">
      <c r="A2129" s="12" t="n">
        <v>45748</v>
      </c>
      <c r="B2129" s="13" t="n">
        <v>0.4715</v>
      </c>
      <c r="C2129" s="14">
        <f>B2129*100</f>
        <v/>
      </c>
    </row>
    <row r="2130">
      <c r="A2130" s="12" t="n">
        <v>45749</v>
      </c>
      <c r="B2130" s="13" t="n">
        <v>0.4775</v>
      </c>
      <c r="C2130" s="14">
        <f>B2130*100</f>
        <v/>
      </c>
    </row>
    <row r="2131">
      <c r="A2131" s="12" t="n">
        <v>45750</v>
      </c>
      <c r="B2131" s="13" t="n">
        <v>0.4094</v>
      </c>
      <c r="C2131" s="14">
        <f>B2131*100</f>
        <v/>
      </c>
    </row>
    <row r="2132">
      <c r="A2132" s="12" t="n">
        <v>45751</v>
      </c>
      <c r="B2132" s="13" t="n">
        <v>0.3821</v>
      </c>
      <c r="C2132" s="14">
        <f>B2132*100</f>
        <v/>
      </c>
    </row>
    <row r="2133">
      <c r="A2133" s="12" t="n">
        <v>45754</v>
      </c>
      <c r="B2133" s="13" t="n">
        <v>0.4271</v>
      </c>
      <c r="C2133" s="14">
        <f>B2133*100</f>
        <v/>
      </c>
    </row>
    <row r="2134">
      <c r="A2134" s="12" t="n">
        <v>45755</v>
      </c>
      <c r="B2134" s="13" t="n">
        <v>0.4769</v>
      </c>
      <c r="C2134" s="14">
        <f>B2134*100</f>
        <v/>
      </c>
    </row>
    <row r="2135">
      <c r="A2135" s="12" t="n">
        <v>45756</v>
      </c>
      <c r="B2135" s="13" t="n">
        <v>0.5436</v>
      </c>
      <c r="C2135" s="14">
        <f>B2135*100</f>
        <v/>
      </c>
    </row>
    <row r="2136">
      <c r="A2136" s="12" t="n">
        <v>45757</v>
      </c>
      <c r="B2136" s="13" t="n">
        <v>0.5682</v>
      </c>
      <c r="C2136" s="14">
        <f>B2136*100</f>
        <v/>
      </c>
    </row>
    <row r="2137">
      <c r="A2137" s="12" t="n">
        <v>45758</v>
      </c>
      <c r="B2137" s="13" t="n">
        <v>0.6161</v>
      </c>
      <c r="C2137" s="14">
        <f>B2137*100</f>
        <v/>
      </c>
    </row>
    <row r="2138">
      <c r="A2138" s="12" t="n">
        <v>45761</v>
      </c>
      <c r="B2138" s="13" t="n">
        <v>0.5794</v>
      </c>
      <c r="C2138" s="14">
        <f>B2138*100</f>
        <v/>
      </c>
    </row>
    <row r="2139">
      <c r="A2139" s="12" t="n">
        <v>45762</v>
      </c>
      <c r="B2139" s="13" t="n">
        <v>0.5580000000000001</v>
      </c>
      <c r="C2139" s="14">
        <f>B2139*100</f>
        <v/>
      </c>
    </row>
    <row r="2140">
      <c r="A2140" s="12" t="n">
        <v>45763</v>
      </c>
      <c r="B2140" s="13" t="n">
        <v>0.523</v>
      </c>
      <c r="C2140" s="14">
        <f>B2140*100</f>
        <v/>
      </c>
    </row>
    <row r="2141">
      <c r="A2141" s="12" t="n">
        <v>45764</v>
      </c>
      <c r="B2141" s="13" t="n">
        <v>0.5337</v>
      </c>
      <c r="C2141" s="14">
        <f>B2141*100</f>
        <v/>
      </c>
    </row>
    <row r="2142">
      <c r="A2142" s="12" t="n">
        <v>45768</v>
      </c>
      <c r="B2142" s="13" t="n">
        <v>0.5565</v>
      </c>
      <c r="C2142" s="14">
        <f>B2142*100</f>
        <v/>
      </c>
    </row>
    <row r="2143">
      <c r="A2143" s="12" t="n">
        <v>45769</v>
      </c>
      <c r="B2143" s="13" t="n">
        <v>0.5668</v>
      </c>
      <c r="C2143" s="14">
        <f>B2143*100</f>
        <v/>
      </c>
    </row>
    <row r="2144">
      <c r="A2144" s="12" t="n">
        <v>45770</v>
      </c>
      <c r="B2144" s="13" t="n">
        <v>0.5721000000000001</v>
      </c>
      <c r="C2144" s="14">
        <f>B2144*100</f>
        <v/>
      </c>
    </row>
    <row r="2145">
      <c r="A2145" s="12" t="n">
        <v>45771</v>
      </c>
      <c r="B2145" s="13" t="n">
        <v>0.5396</v>
      </c>
      <c r="C2145" s="14">
        <f>B2145*100</f>
        <v/>
      </c>
    </row>
    <row r="2146">
      <c r="A2146" s="12" t="n">
        <v>45772</v>
      </c>
      <c r="B2146" s="13" t="n">
        <v>0.5131</v>
      </c>
      <c r="C2146" s="14">
        <f>B2146*100</f>
        <v/>
      </c>
    </row>
    <row r="2147">
      <c r="A2147" s="12" t="n">
        <v>45775</v>
      </c>
      <c r="B2147" s="13" t="n">
        <v>0.4805</v>
      </c>
      <c r="C2147" s="14">
        <f>B2147*100</f>
        <v/>
      </c>
    </row>
    <row r="2148">
      <c r="A2148" s="12" t="n">
        <v>45776</v>
      </c>
      <c r="B2148" s="13" t="n">
        <v>0.4541</v>
      </c>
      <c r="C2148" s="14">
        <f>B2148*100</f>
        <v/>
      </c>
    </row>
    <row r="2149">
      <c r="A2149" s="12" t="n">
        <v>45777</v>
      </c>
      <c r="B2149" s="13" t="n">
        <v>0.435</v>
      </c>
      <c r="C2149" s="14">
        <f>B2149*100</f>
        <v/>
      </c>
    </row>
    <row r="2150">
      <c r="A2150" s="12" t="n">
        <v>45778</v>
      </c>
      <c r="B2150" s="13" t="n">
        <v>0.4655</v>
      </c>
      <c r="C2150" s="14">
        <f>B2150*100</f>
        <v/>
      </c>
    </row>
    <row r="2151">
      <c r="A2151" s="12" t="n">
        <v>45779</v>
      </c>
      <c r="B2151" s="13" t="n">
        <v>0.5073</v>
      </c>
      <c r="C2151" s="14">
        <f>B2151*100</f>
        <v/>
      </c>
    </row>
    <row r="2152">
      <c r="A2152" s="12" t="n">
        <v>45782</v>
      </c>
      <c r="B2152" s="13" t="n">
        <v>0.526</v>
      </c>
      <c r="C2152" s="14">
        <f>B2152*100</f>
        <v/>
      </c>
    </row>
    <row r="2153">
      <c r="A2153" s="12" t="n">
        <v>45783</v>
      </c>
      <c r="B2153" s="13" t="n">
        <v>0.5164</v>
      </c>
      <c r="C2153" s="14">
        <f>B2153*100</f>
        <v/>
      </c>
    </row>
    <row r="2154">
      <c r="A2154" s="12" t="n">
        <v>45784</v>
      </c>
      <c r="B2154" s="13" t="n">
        <v>0.4997</v>
      </c>
      <c r="C2154" s="14">
        <f>B2154*100</f>
        <v/>
      </c>
    </row>
    <row r="2155">
      <c r="A2155" s="12" t="n">
        <v>45785</v>
      </c>
      <c r="B2155" s="13" t="n">
        <v>0.5413</v>
      </c>
      <c r="C2155" s="14">
        <f>B2155*100</f>
        <v/>
      </c>
    </row>
    <row r="2156">
      <c r="A2156" s="12" t="n">
        <v>45786</v>
      </c>
      <c r="B2156" s="13" t="n">
        <v>0.5503</v>
      </c>
      <c r="C2156" s="14">
        <f>B2156*100</f>
        <v/>
      </c>
    </row>
    <row r="2157">
      <c r="A2157" s="12" t="n">
        <v>45789</v>
      </c>
      <c r="B2157" s="13" t="n">
        <v>0.5831</v>
      </c>
      <c r="C2157" s="14">
        <f>B2157*100</f>
        <v/>
      </c>
    </row>
    <row r="2158">
      <c r="A2158" s="12" t="n">
        <v>45790</v>
      </c>
      <c r="B2158" s="13" t="n">
        <v>0.6037</v>
      </c>
      <c r="C2158" s="14">
        <f>B2158*100</f>
        <v/>
      </c>
    </row>
    <row r="2159">
      <c r="A2159" s="12" t="n">
        <v>45791</v>
      </c>
      <c r="B2159" s="13" t="n">
        <v>0.6244</v>
      </c>
      <c r="C2159" s="14">
        <f>B2159*100</f>
        <v/>
      </c>
    </row>
    <row r="2160">
      <c r="A2160" s="12" t="n">
        <v>45792</v>
      </c>
      <c r="B2160" s="13" t="n">
        <v>0.5938</v>
      </c>
      <c r="C2160" s="14">
        <f>B2160*100</f>
        <v/>
      </c>
    </row>
    <row r="2161">
      <c r="A2161" s="12" t="n">
        <v>45793</v>
      </c>
      <c r="B2161" s="13" t="n">
        <v>0.5836</v>
      </c>
      <c r="C2161" s="14">
        <f>B2161*100</f>
        <v/>
      </c>
    </row>
    <row r="2162">
      <c r="A2162" s="12" t="n">
        <v>45796</v>
      </c>
      <c r="B2162" s="13" t="n">
        <v>0.5841</v>
      </c>
      <c r="C2162" s="14">
        <f>B2162*100</f>
        <v/>
      </c>
    </row>
    <row r="2163">
      <c r="A2163" s="12" t="n">
        <v>45797</v>
      </c>
      <c r="B2163" s="13" t="n">
        <v>0.5899</v>
      </c>
      <c r="C2163" s="14">
        <f>B2163*100</f>
        <v/>
      </c>
    </row>
    <row r="2164">
      <c r="A2164" s="12" t="n">
        <v>45798</v>
      </c>
      <c r="B2164" s="13" t="n">
        <v>0.6288</v>
      </c>
      <c r="C2164" s="14">
        <f>B2164*100</f>
        <v/>
      </c>
    </row>
    <row r="2165">
      <c r="A2165" s="12" t="n">
        <v>45799</v>
      </c>
      <c r="B2165" s="13" t="n">
        <v>0.6269</v>
      </c>
      <c r="C2165" s="14">
        <f>B2165*100</f>
        <v/>
      </c>
    </row>
    <row r="2166">
      <c r="A2166" s="12" t="n">
        <v>45800</v>
      </c>
      <c r="B2166" s="13" t="n">
        <v>0.6166</v>
      </c>
      <c r="C2166" s="14">
        <f>B2166*100</f>
        <v/>
      </c>
    </row>
    <row r="2167">
      <c r="A2167" s="12" t="n">
        <v>45804</v>
      </c>
      <c r="B2167" s="13" t="n">
        <v>0.5841</v>
      </c>
      <c r="C2167" s="14">
        <f>B2167*100</f>
        <v/>
      </c>
    </row>
    <row r="2168">
      <c r="A2168" s="12" t="n">
        <v>45805</v>
      </c>
      <c r="B2168" s="13" t="n">
        <v>0.5896</v>
      </c>
      <c r="C2168" s="14">
        <f>B2168*100</f>
        <v/>
      </c>
    </row>
    <row r="2169">
      <c r="A2169" s="12" t="n">
        <v>45806</v>
      </c>
      <c r="B2169" s="13" t="n">
        <v>0.5669999999999999</v>
      </c>
      <c r="C2169" s="14">
        <f>B2169*100</f>
        <v/>
      </c>
    </row>
    <row r="2170">
      <c r="A2170" s="12" t="n">
        <v>45807</v>
      </c>
      <c r="B2170" s="13" t="n">
        <v>0.5515</v>
      </c>
      <c r="C2170" s="14">
        <f>B2170*100</f>
        <v/>
      </c>
    </row>
    <row r="2171">
      <c r="A2171" s="12" t="n">
        <v>45810</v>
      </c>
      <c r="B2171" s="13" t="n">
        <v>0.5658</v>
      </c>
      <c r="C2171" s="14">
        <f>B2171*100</f>
        <v/>
      </c>
    </row>
    <row r="2172">
      <c r="A2172" s="12" t="n">
        <v>45811</v>
      </c>
      <c r="B2172" s="13" t="n">
        <v>0.5748</v>
      </c>
      <c r="C2172" s="14">
        <f>B2172*100</f>
        <v/>
      </c>
    </row>
    <row r="2173">
      <c r="A2173" s="12" t="n">
        <v>45812</v>
      </c>
      <c r="B2173" s="13" t="n">
        <v>0.5365</v>
      </c>
      <c r="C2173" s="14">
        <f>B2173*100</f>
        <v/>
      </c>
    </row>
    <row r="2174">
      <c r="A2174" s="12" t="n">
        <v>45813</v>
      </c>
      <c r="B2174" s="13" t="n">
        <v>0.5455</v>
      </c>
      <c r="C2174" s="14">
        <f>B2174*100</f>
        <v/>
      </c>
    </row>
    <row r="2175">
      <c r="A2175" s="12" t="n">
        <v>45814</v>
      </c>
      <c r="B2175" s="13" t="n">
        <v>0.5974</v>
      </c>
      <c r="C2175" s="14">
        <f>B2175*100</f>
        <v/>
      </c>
    </row>
    <row r="2176">
      <c r="A2176" s="12" t="n">
        <v>45817</v>
      </c>
      <c r="B2176" s="13" t="n">
        <v>0.5971</v>
      </c>
      <c r="C2176" s="14">
        <f>B2176*100</f>
        <v/>
      </c>
    </row>
    <row r="2177">
      <c r="A2177" s="12" t="n">
        <v>45818</v>
      </c>
      <c r="B2177" s="13" t="n">
        <v>0.5905</v>
      </c>
      <c r="C2177" s="14">
        <f>B2177*100</f>
        <v/>
      </c>
    </row>
    <row r="2178">
      <c r="A2178" s="12" t="n">
        <v>45819</v>
      </c>
      <c r="B2178" s="13" t="n">
        <v>0.5636</v>
      </c>
      <c r="C2178" s="14">
        <f>B2178*100</f>
        <v/>
      </c>
    </row>
    <row r="2179">
      <c r="A2179" s="12" t="n">
        <v>45820</v>
      </c>
      <c r="B2179" s="13" t="n">
        <v>0.5341</v>
      </c>
      <c r="C2179" s="14">
        <f>B2179*100</f>
        <v/>
      </c>
    </row>
    <row r="2180">
      <c r="A2180" s="12" t="n">
        <v>45821</v>
      </c>
      <c r="B2180" s="13" t="n">
        <v>0.5497</v>
      </c>
      <c r="C2180" s="14">
        <f>B2180*100</f>
        <v/>
      </c>
    </row>
    <row r="2181">
      <c r="A2181" s="12" t="n">
        <v>45824</v>
      </c>
      <c r="B2181" s="13" t="n">
        <v>0.5672</v>
      </c>
      <c r="C2181" s="14">
        <f>B2181*100</f>
        <v/>
      </c>
    </row>
    <row r="2182">
      <c r="A2182" s="12" t="n">
        <v>45825</v>
      </c>
      <c r="B2182" s="13" t="n">
        <v>0.5474</v>
      </c>
      <c r="C2182" s="14">
        <f>B2182*100</f>
        <v/>
      </c>
    </row>
    <row r="2183">
      <c r="A2183" s="12" t="n">
        <v>45826</v>
      </c>
      <c r="B2183" s="13" t="n">
        <v>0.5407999999999999</v>
      </c>
      <c r="C2183" s="14">
        <f>B2183*100</f>
        <v/>
      </c>
    </row>
    <row r="2184">
      <c r="A2184" s="12" t="n">
        <v>45828</v>
      </c>
      <c r="B2184" s="13" t="n">
        <v>0.5356</v>
      </c>
      <c r="C2184" s="14">
        <f>B2184*100</f>
        <v/>
      </c>
    </row>
    <row r="2185">
      <c r="A2185" s="12" t="n">
        <v>45831</v>
      </c>
      <c r="B2185" s="13" t="n">
        <v>0.5165</v>
      </c>
      <c r="C2185" s="14">
        <f>B2185*100</f>
        <v/>
      </c>
    </row>
    <row r="2186">
      <c r="A2186" s="12" t="n">
        <v>45832</v>
      </c>
      <c r="B2186" s="13" t="n">
        <v>0.4965</v>
      </c>
      <c r="C2186" s="14">
        <f>B2186*100</f>
        <v/>
      </c>
    </row>
    <row r="2187">
      <c r="A2187" s="12" t="n">
        <v>45833</v>
      </c>
      <c r="B2187" s="13" t="n">
        <v>0.4883</v>
      </c>
      <c r="C2187" s="14">
        <f>B2187*100</f>
        <v/>
      </c>
    </row>
    <row r="2188">
      <c r="A2188" s="12" t="n">
        <v>45834</v>
      </c>
      <c r="B2188" s="13" t="n">
        <v>0.4708</v>
      </c>
      <c r="C2188" s="14">
        <f>B2188*100</f>
        <v/>
      </c>
    </row>
    <row r="2189">
      <c r="A2189" s="12" t="n">
        <v>45835</v>
      </c>
      <c r="B2189" s="13" t="n">
        <v>0.4816</v>
      </c>
      <c r="C2189" s="14">
        <f>B2189*100</f>
        <v/>
      </c>
    </row>
    <row r="2190">
      <c r="A2190" s="12" t="n">
        <v>45838</v>
      </c>
      <c r="B2190" s="13" t="n">
        <v>0.4603</v>
      </c>
      <c r="C2190" s="14">
        <f>B2190*100</f>
        <v/>
      </c>
    </row>
    <row r="2191">
      <c r="A2191" s="12" t="n">
        <v>45839</v>
      </c>
      <c r="B2191" s="13" t="n">
        <v>0.4684</v>
      </c>
      <c r="C2191" s="14">
        <f>B2191*100</f>
        <v/>
      </c>
    </row>
    <row r="2192">
      <c r="A2192" s="12" t="n">
        <v>45840</v>
      </c>
      <c r="B2192" s="13" t="n">
        <v>0.4842</v>
      </c>
      <c r="C2192" s="14">
        <f>B2192*100</f>
        <v/>
      </c>
    </row>
    <row r="2193">
      <c r="A2193" s="12" t="n">
        <v>45841</v>
      </c>
      <c r="B2193" s="13" t="n">
        <v>0.5108</v>
      </c>
      <c r="C2193" s="14">
        <f>B2193*100</f>
        <v/>
      </c>
    </row>
    <row r="2194">
      <c r="A2194" s="12" t="n">
        <v>45845</v>
      </c>
      <c r="B2194" s="13" t="n">
        <v>0.5283</v>
      </c>
      <c r="C2194" s="14">
        <f>B2194*100</f>
        <v/>
      </c>
    </row>
    <row r="2195">
      <c r="A2195" s="12" t="n">
        <v>45846</v>
      </c>
      <c r="B2195" s="13" t="n">
        <v>0.5427</v>
      </c>
      <c r="C2195" s="14">
        <f>B2195*100</f>
        <v/>
      </c>
    </row>
    <row r="2196">
      <c r="A2196" s="12" t="n">
        <v>45847</v>
      </c>
      <c r="B2196" s="13" t="n">
        <v>0.5174</v>
      </c>
      <c r="C2196" s="14">
        <f>B2196*100</f>
        <v/>
      </c>
    </row>
    <row r="2197">
      <c r="A2197" s="12" t="n">
        <v>45848</v>
      </c>
      <c r="B2197" s="13" t="n">
        <v>0.516</v>
      </c>
      <c r="C2197" s="14">
        <f>B2197*100</f>
        <v/>
      </c>
    </row>
    <row r="2198">
      <c r="A2198" s="12" t="n">
        <v>45849</v>
      </c>
      <c r="B2198" s="13" t="n">
        <v>0.5452</v>
      </c>
      <c r="C2198" s="14">
        <f>B2198*100</f>
        <v/>
      </c>
    </row>
    <row r="2199">
      <c r="A2199" s="12" t="n">
        <v>45852</v>
      </c>
      <c r="B2199" s="13" t="n">
        <v>0.551</v>
      </c>
      <c r="C2199" s="14">
        <f>B2199*100</f>
        <v/>
      </c>
    </row>
    <row r="2200">
      <c r="A2200" s="12" t="n">
        <v>45853</v>
      </c>
      <c r="B2200" s="13" t="n">
        <v>0.5800999999999999</v>
      </c>
      <c r="C2200" s="14">
        <f>B2200*100</f>
        <v/>
      </c>
    </row>
    <row r="2201">
      <c r="A2201" s="12" t="n">
        <v>45854</v>
      </c>
      <c r="B2201" s="13" t="n">
        <v>0.5693</v>
      </c>
      <c r="C2201" s="14">
        <f>B2201*100</f>
        <v/>
      </c>
    </row>
    <row r="2202">
      <c r="A2202" s="12" t="n">
        <v>45855</v>
      </c>
      <c r="B2202" s="13" t="n">
        <v>0.5747</v>
      </c>
      <c r="C2202" s="14">
        <f>B2202*100</f>
        <v/>
      </c>
    </row>
    <row r="2203">
      <c r="A2203" s="12" t="n">
        <v>45856</v>
      </c>
      <c r="B2203" s="13" t="n">
        <v>0.5610000000000001</v>
      </c>
      <c r="C2203" s="14">
        <f>B2203*100</f>
        <v/>
      </c>
    </row>
    <row r="2204">
      <c r="A2204" s="12" t="n">
        <v>45859</v>
      </c>
      <c r="B2204" s="13" t="n">
        <v>0.5355</v>
      </c>
      <c r="C2204" s="14">
        <f>B2204*100</f>
        <v/>
      </c>
    </row>
    <row r="2205">
      <c r="A2205" s="12" t="n">
        <v>45860</v>
      </c>
      <c r="B2205" s="13" t="n">
        <v>0.5143</v>
      </c>
      <c r="C2205" s="14">
        <f>B2205*100</f>
        <v/>
      </c>
    </row>
    <row r="2206">
      <c r="A2206" s="12" t="n">
        <v>45861</v>
      </c>
      <c r="B2206" s="13" t="n">
        <v>0.5293</v>
      </c>
      <c r="C2206" s="14">
        <f>B2206*100</f>
        <v/>
      </c>
    </row>
    <row r="2207">
      <c r="A2207" s="12" t="n">
        <v>45862</v>
      </c>
      <c r="B2207" s="13" t="n">
        <v>0.544</v>
      </c>
      <c r="C2207" s="14">
        <f>B2207*100</f>
        <v/>
      </c>
    </row>
    <row r="2208">
      <c r="A2208" s="12" t="n">
        <v>45863</v>
      </c>
      <c r="B2208" s="13" t="n">
        <v>0.5362</v>
      </c>
      <c r="C2208" s="14">
        <f>B2208*100</f>
        <v/>
      </c>
    </row>
    <row r="2209">
      <c r="A2209" s="12" t="n">
        <v>45866</v>
      </c>
      <c r="B2209" s="13" t="n">
        <v>0.5445</v>
      </c>
      <c r="C2209" s="14">
        <f>B2209*100</f>
        <v/>
      </c>
    </row>
    <row r="2210">
      <c r="A2210" s="12" t="n">
        <v>45867</v>
      </c>
      <c r="B2210" s="13" t="n">
        <v>0.5153</v>
      </c>
      <c r="C2210" s="14">
        <f>B2210*100</f>
        <v/>
      </c>
    </row>
    <row r="2211">
      <c r="A2211" s="12" t="n">
        <v>45868</v>
      </c>
      <c r="B2211" s="13" t="n">
        <v>0.527</v>
      </c>
      <c r="C2211" s="14">
        <f>B2211*100</f>
        <v/>
      </c>
    </row>
    <row r="2212">
      <c r="A2212" s="12" t="n">
        <v>45869</v>
      </c>
      <c r="B2212" s="13" t="n">
        <v>0.5262</v>
      </c>
      <c r="C2212" s="14">
        <f>B2212*100</f>
        <v/>
      </c>
    </row>
    <row r="2213">
      <c r="A2213" s="12" t="n">
        <v>45870</v>
      </c>
      <c r="B2213" s="13" t="n">
        <v>0.4649</v>
      </c>
      <c r="C2213" s="14">
        <f>B2213*100</f>
        <v/>
      </c>
    </row>
    <row r="2214">
      <c r="A2214" s="12" t="n">
        <v>45873</v>
      </c>
      <c r="B2214" s="13" t="n">
        <v>0.4505</v>
      </c>
      <c r="C2214" s="14">
        <f>B2214*100</f>
        <v/>
      </c>
    </row>
    <row r="2215">
      <c r="A2215" s="12" t="n">
        <v>45874</v>
      </c>
      <c r="B2215" s="13" t="n">
        <v>0.4544</v>
      </c>
      <c r="C2215" s="14">
        <f>B2215*100</f>
        <v/>
      </c>
    </row>
    <row r="2216">
      <c r="A2216" s="12" t="n">
        <v>45875</v>
      </c>
      <c r="B2216" s="13" t="n">
        <v>0.46</v>
      </c>
      <c r="C2216" s="14">
        <f>B2216*100</f>
        <v/>
      </c>
    </row>
    <row r="2217">
      <c r="A2217" s="12" t="n">
        <v>45876</v>
      </c>
      <c r="B2217" s="13" t="n">
        <v>0.4718</v>
      </c>
      <c r="C2217" s="14">
        <f>B2217*100</f>
        <v/>
      </c>
    </row>
    <row r="2218">
      <c r="A2218" s="12" t="n">
        <v>45877</v>
      </c>
      <c r="B2218" s="13" t="n">
        <v>0.4913</v>
      </c>
      <c r="C2218" s="14">
        <f>B2218*100</f>
        <v/>
      </c>
    </row>
    <row r="2219">
      <c r="A2219" s="12" t="n">
        <v>45880</v>
      </c>
      <c r="B2219" s="13" t="n">
        <v>0.494</v>
      </c>
      <c r="C2219" s="14">
        <f>B2219*100</f>
        <v/>
      </c>
    </row>
    <row r="2220">
      <c r="A2220" s="12" t="n">
        <v>45881</v>
      </c>
      <c r="B2220" s="13" t="n">
        <v>0.4995</v>
      </c>
      <c r="C2220" s="14">
        <f>B2220*100</f>
        <v/>
      </c>
    </row>
    <row r="2221">
      <c r="A2221" s="12" t="n">
        <v>45882</v>
      </c>
      <c r="B2221" s="13" t="n">
        <v>0.4832</v>
      </c>
      <c r="C2221" s="14">
        <f>B2221*100</f>
        <v/>
      </c>
    </row>
    <row r="2222">
      <c r="A2222" s="12" t="n">
        <v>45883</v>
      </c>
      <c r="B2222" s="13" t="n">
        <v>0.5004</v>
      </c>
      <c r="C2222" s="14">
        <f>B2222*100</f>
        <v/>
      </c>
    </row>
    <row r="2223">
      <c r="A2223" s="12" t="n">
        <v>45884</v>
      </c>
      <c r="B2223" s="13" t="n">
        <v>0.5191</v>
      </c>
      <c r="C2223" s="14">
        <f>B2223*100</f>
        <v/>
      </c>
    </row>
    <row r="2224">
      <c r="A2224" s="12" t="n">
        <v>45887</v>
      </c>
      <c r="B2224" s="13" t="n">
        <v>0.526</v>
      </c>
      <c r="C2224" s="14">
        <f>B2224*100</f>
        <v/>
      </c>
    </row>
    <row r="2225">
      <c r="A2225" s="12" t="n">
        <v>45888</v>
      </c>
      <c r="B2225" s="13" t="n">
        <v>0.5161</v>
      </c>
      <c r="C2225" s="14">
        <f>B2225*100</f>
        <v/>
      </c>
    </row>
    <row r="2226">
      <c r="A2226" s="12" t="n">
        <v>45889</v>
      </c>
      <c r="B2226" s="13" t="n">
        <v>0.507</v>
      </c>
      <c r="C2226" s="14">
        <f>B2226*100</f>
        <v/>
      </c>
    </row>
    <row r="2227">
      <c r="A2227" s="12" t="n">
        <v>45890</v>
      </c>
      <c r="B2227" s="13" t="n">
        <v>0.5225</v>
      </c>
      <c r="C2227" s="14">
        <f>B2227*100</f>
        <v/>
      </c>
    </row>
    <row r="2228">
      <c r="A2228" s="12" t="n">
        <v>45891</v>
      </c>
      <c r="B2228" s="13" t="n">
        <v>0.4939</v>
      </c>
      <c r="C2228" s="14">
        <f>B2228*100</f>
        <v/>
      </c>
    </row>
    <row r="2229">
      <c r="A2229" s="12" t="n">
        <v>45894</v>
      </c>
      <c r="B2229" s="13" t="n">
        <v>0.5008</v>
      </c>
      <c r="C2229" s="14">
        <f>B2229*100</f>
        <v/>
      </c>
    </row>
    <row r="2230">
      <c r="A2230" s="12" t="n">
        <v>45895</v>
      </c>
      <c r="B2230" s="13" t="n">
        <v>0.4893</v>
      </c>
      <c r="C2230" s="14">
        <f>B2230*100</f>
        <v/>
      </c>
    </row>
    <row r="2231">
      <c r="A2231" s="12" t="n">
        <v>45896</v>
      </c>
      <c r="B2231" s="13" t="n">
        <v>0.4805</v>
      </c>
      <c r="C2231" s="14">
        <f>B2231*100</f>
        <v/>
      </c>
    </row>
    <row r="2232">
      <c r="A2232" s="12" t="n">
        <v>45897</v>
      </c>
      <c r="B2232" s="13" t="n">
        <v>0.4717</v>
      </c>
      <c r="C2232" s="14">
        <f>B2232*100</f>
        <v/>
      </c>
    </row>
    <row r="2233">
      <c r="A2233" s="12" t="n">
        <v>45898</v>
      </c>
      <c r="B2233" s="13" t="n">
        <v>0.4727</v>
      </c>
      <c r="C2233" s="14">
        <f>B2233*100</f>
        <v/>
      </c>
    </row>
    <row r="2234">
      <c r="A2234" s="12" t="n">
        <v>45902</v>
      </c>
      <c r="B2234" s="13" t="n">
        <v>0.4948</v>
      </c>
      <c r="C2234" s="14">
        <f>B2234*100</f>
        <v/>
      </c>
    </row>
    <row r="2235">
      <c r="A2235" s="12" t="n">
        <v>45903</v>
      </c>
      <c r="B2235" s="13" t="n">
        <v>0.4794</v>
      </c>
      <c r="C2235" s="14">
        <f>B2235*100</f>
        <v/>
      </c>
    </row>
    <row r="2236">
      <c r="A2236" s="12" t="n">
        <v>45904</v>
      </c>
      <c r="B2236" s="13" t="n">
        <v>0.4594</v>
      </c>
      <c r="C2236" s="14">
        <f>B2236*100</f>
        <v/>
      </c>
    </row>
    <row r="2237">
      <c r="A2237" s="12" t="n">
        <v>45905</v>
      </c>
      <c r="B2237" s="13" t="n">
        <v>0.436</v>
      </c>
      <c r="C2237" s="14">
        <f>B2237*100</f>
        <v/>
      </c>
    </row>
    <row r="2238">
      <c r="A2238" s="12" t="n">
        <v>45908</v>
      </c>
      <c r="B2238" s="13" t="n">
        <v>0.4207</v>
      </c>
      <c r="C2238" s="14">
        <f>B2238*100</f>
        <v/>
      </c>
    </row>
    <row r="2239">
      <c r="A2239" s="12" t="n">
        <v>45909</v>
      </c>
      <c r="B2239" s="13" t="n">
        <v>0.4275</v>
      </c>
      <c r="C2239" s="14">
        <f>B2239*100</f>
        <v/>
      </c>
    </row>
    <row r="2240">
      <c r="A2240" s="12" t="n">
        <v>45910</v>
      </c>
      <c r="B2240" s="13" t="n">
        <v>0.4205</v>
      </c>
      <c r="C2240" s="14">
        <f>B2240*100</f>
        <v/>
      </c>
    </row>
    <row r="2241">
      <c r="A2241" s="12" t="n">
        <v>45911</v>
      </c>
      <c r="B2241" s="13" t="n">
        <v>0.4121</v>
      </c>
      <c r="C2241" s="14">
        <f>B2241*100</f>
        <v/>
      </c>
    </row>
    <row r="2242">
      <c r="A2242" s="12" t="n">
        <v>45912</v>
      </c>
      <c r="B2242" s="13" t="n">
        <v>0.4291</v>
      </c>
      <c r="C2242" s="14">
        <f>B2242*100</f>
        <v/>
      </c>
    </row>
    <row r="2243">
      <c r="A2243" s="12" t="n">
        <v>45915</v>
      </c>
      <c r="B2243" s="13" t="n">
        <v>0.4273</v>
      </c>
      <c r="C2243" s="14">
        <f>B2243*100</f>
        <v/>
      </c>
    </row>
    <row r="2244">
      <c r="A2244" s="12" t="n">
        <v>45916</v>
      </c>
      <c r="B2244" s="13" t="n">
        <v>0.4237</v>
      </c>
      <c r="C2244" s="14">
        <f>B2244*100</f>
        <v/>
      </c>
    </row>
    <row r="2245">
      <c r="A2245" s="12" t="n">
        <v>45917</v>
      </c>
      <c r="B2245" s="13" t="n">
        <v>0.4369</v>
      </c>
      <c r="C2245" s="14">
        <f>B2245*100</f>
        <v/>
      </c>
    </row>
    <row r="2246">
      <c r="A2246" s="12" t="n">
        <v>45918</v>
      </c>
      <c r="B2246" s="13" t="n">
        <v>0.4597</v>
      </c>
      <c r="C2246" s="14">
        <f>B2246*100</f>
        <v/>
      </c>
    </row>
    <row r="2247">
      <c r="A2247" s="12" t="n">
        <v>45919</v>
      </c>
      <c r="B2247" s="13" t="n">
        <v>0.4748</v>
      </c>
      <c r="C2247" s="14">
        <f>B2247*100</f>
        <v/>
      </c>
    </row>
    <row r="2248">
      <c r="A2248" s="12" t="n">
        <v>45922</v>
      </c>
      <c r="B2248" s="13" t="n">
        <v>0.4869</v>
      </c>
      <c r="C2248" s="14">
        <f>B2248*100</f>
        <v/>
      </c>
    </row>
    <row r="2249">
      <c r="A2249" s="12" t="n">
        <v>45923</v>
      </c>
      <c r="B2249" s="13" t="n">
        <v>0.4797</v>
      </c>
      <c r="C2249" s="14">
        <f>B2249*100</f>
        <v/>
      </c>
    </row>
    <row r="2250">
      <c r="A2250" s="12" t="n">
        <v>45924</v>
      </c>
      <c r="B2250" s="13" t="n">
        <v>0.4926</v>
      </c>
      <c r="C2250" s="14">
        <f>B2250*100</f>
        <v/>
      </c>
    </row>
    <row r="2251">
      <c r="A2251" s="12" t="n">
        <v>45925</v>
      </c>
      <c r="B2251" s="13" t="n">
        <v>0.5069</v>
      </c>
      <c r="C2251" s="14">
        <f>B2251*100</f>
        <v/>
      </c>
    </row>
    <row r="2252">
      <c r="A2252" s="12" t="n">
        <v>45926</v>
      </c>
      <c r="B2252" s="13" t="n">
        <v>0.5162</v>
      </c>
      <c r="C2252" s="14">
        <f>B2252*100</f>
        <v/>
      </c>
    </row>
    <row r="2253">
      <c r="A2253" s="12" t="n">
        <v>45929</v>
      </c>
      <c r="B2253" s="13" t="n">
        <v>0.5047</v>
      </c>
      <c r="C2253" s="14">
        <f>B2253*100</f>
        <v/>
      </c>
    </row>
    <row r="2254">
      <c r="A2254" s="12" t="n">
        <v>45930</v>
      </c>
      <c r="B2254" s="13" t="n">
        <v>0.5031</v>
      </c>
      <c r="C2254" s="14">
        <f>B2254*100</f>
        <v/>
      </c>
    </row>
    <row r="2255">
      <c r="A2255" s="12" t="n">
        <v>45931</v>
      </c>
      <c r="B2255" s="13" t="n">
        <v>0.4872</v>
      </c>
      <c r="C2255" s="14">
        <f>B2255*100</f>
        <v/>
      </c>
    </row>
    <row r="2256">
      <c r="A2256" s="12" t="n">
        <v>45932</v>
      </c>
      <c r="B2256" s="13" t="n">
        <v>0.4777</v>
      </c>
      <c r="C2256" s="14">
        <f>B2256*100</f>
        <v/>
      </c>
    </row>
    <row r="2257">
      <c r="A2257" s="12" t="n">
        <v>45933</v>
      </c>
      <c r="B2257" s="13" t="n">
        <v>0.49</v>
      </c>
      <c r="C2257" s="14">
        <f>B2257*100</f>
        <v/>
      </c>
    </row>
    <row r="2258">
      <c r="A2258" s="12" t="n">
        <v>45936</v>
      </c>
      <c r="B2258" s="13" t="n">
        <v>0.5103</v>
      </c>
      <c r="C2258" s="14">
        <f>B2258*100</f>
        <v/>
      </c>
    </row>
    <row r="2259">
      <c r="A2259" s="12" t="n">
        <v>45937</v>
      </c>
      <c r="B2259" s="13" t="n">
        <v>0.5004999999999999</v>
      </c>
      <c r="C2259" s="14">
        <f>B2259*100</f>
        <v/>
      </c>
    </row>
    <row r="2260">
      <c r="A2260" s="12" t="n">
        <v>45938</v>
      </c>
      <c r="B2260" s="13" t="n">
        <v>0.5018</v>
      </c>
      <c r="C2260" s="14">
        <f>B2260*100</f>
        <v/>
      </c>
    </row>
    <row r="2261">
      <c r="A2261" s="12" t="n">
        <v>45939</v>
      </c>
      <c r="B2261" s="13" t="n">
        <v>0.5048</v>
      </c>
      <c r="C2261" s="14">
        <f>B2261*100</f>
        <v/>
      </c>
    </row>
    <row r="2262">
      <c r="A2262" s="12" t="n">
        <v>45940</v>
      </c>
      <c r="B2262" s="13" t="n">
        <v>0.4694</v>
      </c>
      <c r="C2262" s="14">
        <f>B2262*100</f>
        <v/>
      </c>
    </row>
    <row r="2263">
      <c r="A2263" s="12" t="n">
        <v>45944</v>
      </c>
      <c r="B2263" s="13" t="n">
        <v>0.4465</v>
      </c>
      <c r="C2263" s="14">
        <f>B2263*100</f>
        <v/>
      </c>
    </row>
    <row r="2264">
      <c r="A2264" s="12" t="n">
        <v>45945</v>
      </c>
      <c r="B2264" s="13" t="n">
        <v>0.4496</v>
      </c>
      <c r="C2264" s="14">
        <f>B2264*100</f>
        <v/>
      </c>
    </row>
    <row r="2265">
      <c r="A2265" s="12" t="n">
        <v>45946</v>
      </c>
      <c r="B2265" s="13" t="n">
        <v>0.4205</v>
      </c>
      <c r="C2265" s="14">
        <f>B2265*100</f>
        <v/>
      </c>
    </row>
    <row r="2266">
      <c r="A2266" s="12" t="n">
        <v>45947</v>
      </c>
      <c r="B2266" s="13" t="n">
        <v>0.4311</v>
      </c>
      <c r="C2266" s="14">
        <f>B2266*100</f>
        <v/>
      </c>
    </row>
    <row r="2267">
      <c r="A2267" s="12" t="n">
        <v>45950</v>
      </c>
      <c r="B2267" s="13" t="n">
        <v>0.4307</v>
      </c>
      <c r="C2267" s="14">
        <f>B2267*100</f>
        <v/>
      </c>
    </row>
    <row r="2268">
      <c r="A2268" s="12" t="n">
        <v>45951</v>
      </c>
      <c r="B2268" s="13" t="n">
        <v>0.4221</v>
      </c>
      <c r="C2268" s="14">
        <f>B2268*100</f>
        <v/>
      </c>
    </row>
    <row r="2269">
      <c r="A2269" s="12" t="n">
        <v>45952</v>
      </c>
      <c r="B2269" s="13" t="n">
        <v>0.4189</v>
      </c>
      <c r="C2269" s="14">
        <f>B2269*100</f>
        <v/>
      </c>
    </row>
    <row r="2270">
      <c r="A2270" s="12" t="n">
        <v>45953</v>
      </c>
      <c r="B2270" s="13" t="n">
        <v>0.4366</v>
      </c>
      <c r="C2270" s="14">
        <f>B2270*100</f>
        <v/>
      </c>
    </row>
    <row r="2271">
      <c r="A2271" s="12" t="n">
        <v>45954</v>
      </c>
      <c r="B2271" s="13" t="n">
        <v>0.4441</v>
      </c>
      <c r="C2271" s="14">
        <f>B2271*100</f>
        <v/>
      </c>
    </row>
    <row r="2272">
      <c r="A2272" s="12" t="n">
        <v>45957</v>
      </c>
      <c r="B2272" s="13" t="n">
        <v>0.4504</v>
      </c>
      <c r="C2272" s="14">
        <f>B2272*100</f>
        <v/>
      </c>
    </row>
    <row r="2273">
      <c r="A2273" s="12" t="n">
        <v>45958</v>
      </c>
      <c r="B2273" s="13" t="n">
        <v>0.4483</v>
      </c>
      <c r="C2273" s="14">
        <f>B2273*100</f>
        <v/>
      </c>
    </row>
    <row r="2274">
      <c r="A2274" s="12" t="n">
        <v>45959</v>
      </c>
      <c r="B2274" s="13" t="n">
        <v>0.4795</v>
      </c>
      <c r="C2274" s="14">
        <f>B2274*100</f>
        <v/>
      </c>
    </row>
    <row r="2275">
      <c r="A2275" s="12" t="n">
        <v>45960</v>
      </c>
      <c r="B2275" s="13" t="n">
        <v>0.4947</v>
      </c>
      <c r="C2275" s="14">
        <f>B2275*100</f>
        <v/>
      </c>
    </row>
    <row r="2276">
      <c r="A2276" s="12" t="n">
        <v>45961</v>
      </c>
      <c r="B2276" s="13" t="n">
        <v>0.4975</v>
      </c>
      <c r="C2276" s="14">
        <f>B2276*100</f>
        <v/>
      </c>
    </row>
    <row r="2277">
      <c r="A2277" s="12" t="n">
        <v>45964</v>
      </c>
      <c r="B2277" s="13" t="n">
        <v>0.4979</v>
      </c>
      <c r="C2277" s="14">
        <f>B2277*100</f>
        <v/>
      </c>
    </row>
    <row r="2278">
      <c r="A2278" s="12" t="n">
        <v>45965</v>
      </c>
      <c r="B2278" s="13" t="n">
        <v>0.4889</v>
      </c>
      <c r="C2278" s="14">
        <f>B2278*100</f>
        <v/>
      </c>
    </row>
    <row r="2279">
      <c r="A2279" s="12" t="n">
        <v>45966</v>
      </c>
      <c r="B2279" s="13" t="n">
        <v>0.5144</v>
      </c>
      <c r="C2279" s="14">
        <f>B2279*100</f>
        <v/>
      </c>
    </row>
    <row r="2280">
      <c r="A2280" s="12" t="n">
        <v>45967</v>
      </c>
      <c r="B2280" s="13" t="n">
        <v>0.4951</v>
      </c>
      <c r="C2280" s="14">
        <f>B2280*100</f>
        <v/>
      </c>
    </row>
    <row r="2281">
      <c r="A2281" s="12" t="n">
        <v>45968</v>
      </c>
      <c r="B2281" s="13" t="n">
        <v>0.4901</v>
      </c>
      <c r="C2281" s="14">
        <f>B2281*100</f>
        <v/>
      </c>
    </row>
    <row r="2282">
      <c r="A2282" s="12" t="n">
        <v>45971</v>
      </c>
      <c r="B2282" s="13" t="n">
        <v>0.4993</v>
      </c>
      <c r="C2282" s="14">
        <f>B2282*100</f>
        <v/>
      </c>
    </row>
    <row r="2283">
      <c r="A2283" s="12" t="n">
        <v>45973</v>
      </c>
      <c r="B2283" s="13" t="n">
        <v>0.4834</v>
      </c>
      <c r="C2283" s="14">
        <f>B2283*100</f>
        <v/>
      </c>
    </row>
    <row r="2284">
      <c r="A2284" s="12" t="n">
        <v>45974</v>
      </c>
      <c r="B2284" s="13" t="n">
        <v>0.4928</v>
      </c>
      <c r="C2284" s="14">
        <f>B2284*100</f>
        <v/>
      </c>
    </row>
    <row r="2285">
      <c r="A2285" s="12" t="n">
        <v>45975</v>
      </c>
      <c r="B2285" s="13" t="n">
        <v>0.5069</v>
      </c>
      <c r="C2285" s="14">
        <f>B2285*100</f>
        <v/>
      </c>
    </row>
    <row r="2286">
      <c r="A2286" s="12" t="n">
        <v>45978</v>
      </c>
      <c r="B2286" s="13" t="n">
        <v>0.5034</v>
      </c>
      <c r="C2286" s="14">
        <f>B2286*100</f>
        <v/>
      </c>
    </row>
    <row r="2287">
      <c r="A2287" s="12" t="n">
        <v>45979</v>
      </c>
      <c r="B2287" s="13" t="n">
        <v>0.4972</v>
      </c>
      <c r="C2287" s="14">
        <f>B2287*100</f>
        <v/>
      </c>
    </row>
    <row r="2288">
      <c r="A2288" s="12" t="n">
        <v>45980</v>
      </c>
      <c r="B2288" s="13" t="n">
        <v>0.4991</v>
      </c>
      <c r="C2288" s="14">
        <f>B2288*100</f>
        <v/>
      </c>
    </row>
    <row r="2289">
      <c r="A2289" s="12" t="n">
        <v>45981</v>
      </c>
      <c r="B2289" s="13" t="n">
        <v>0.4897</v>
      </c>
      <c r="C2289" s="14">
        <f>B2289*100</f>
        <v/>
      </c>
    </row>
    <row r="2290">
      <c r="A2290" s="12" t="n">
        <v>45982</v>
      </c>
      <c r="B2290" s="13" t="n">
        <v>0.4718</v>
      </c>
      <c r="C2290" s="14">
        <f>B2290*100</f>
        <v/>
      </c>
    </row>
    <row r="2291">
      <c r="A2291" s="12" t="n">
        <v>45985</v>
      </c>
      <c r="B2291" s="13" t="n">
        <v>0.4614</v>
      </c>
      <c r="C2291" s="14">
        <f>B2291*100</f>
        <v/>
      </c>
    </row>
    <row r="2292">
      <c r="A2292" s="12" t="n">
        <v>45986</v>
      </c>
      <c r="B2292" s="13" t="n">
        <v>0.4468</v>
      </c>
      <c r="C2292" s="14">
        <f>B2292*100</f>
        <v/>
      </c>
    </row>
    <row r="2293">
      <c r="A2293" s="12" t="n">
        <v>45987</v>
      </c>
      <c r="B2293" s="13" t="n">
        <v>0.4406</v>
      </c>
      <c r="C2293" s="14">
        <f>B2293*100</f>
        <v/>
      </c>
    </row>
    <row r="2294">
      <c r="A2294" s="12" t="n">
        <v>45989</v>
      </c>
      <c r="B2294" s="13" t="n">
        <v>0.4507</v>
      </c>
      <c r="C2294" s="14">
        <f>B2294*100</f>
        <v/>
      </c>
    </row>
    <row r="2295">
      <c r="A2295" s="12" t="n">
        <v>45992</v>
      </c>
      <c r="B2295" s="13" t="n">
        <v>0.4841</v>
      </c>
      <c r="C2295" s="14">
        <f>B2295*100</f>
        <v/>
      </c>
    </row>
    <row r="2296">
      <c r="A2296" s="12" t="n">
        <v>45993</v>
      </c>
      <c r="B2296" s="13" t="n">
        <v>0.4933</v>
      </c>
      <c r="C2296" s="14">
        <f>B2296*100</f>
        <v/>
      </c>
    </row>
    <row r="2297">
      <c r="A2297" s="12" t="n">
        <v>45994</v>
      </c>
      <c r="B2297" s="13" t="n">
        <v>0.4893</v>
      </c>
      <c r="C2297" s="14">
        <f>B2297*100</f>
        <v/>
      </c>
    </row>
    <row r="2298">
      <c r="A2298" s="12" t="n">
        <v>45995</v>
      </c>
      <c r="B2298" s="13" t="n">
        <v>0.5137</v>
      </c>
      <c r="C2298" s="14">
        <f>B2298*100</f>
        <v/>
      </c>
    </row>
    <row r="2299">
      <c r="A2299" s="12" t="n">
        <v>45996</v>
      </c>
      <c r="B2299" s="13" t="n">
        <v>0.5327</v>
      </c>
      <c r="C2299" s="14">
        <f>B2299*100</f>
        <v/>
      </c>
    </row>
    <row r="2300">
      <c r="A2300" s="12" t="n">
        <v>45999</v>
      </c>
      <c r="B2300" s="13" t="n">
        <v>0.5518</v>
      </c>
      <c r="C2300" s="14">
        <f>B2300*100</f>
        <v/>
      </c>
    </row>
    <row r="2301">
      <c r="A2301" s="12" t="n">
        <v>46000</v>
      </c>
      <c r="B2301" s="13" t="n">
        <v>0.5632</v>
      </c>
      <c r="C2301" s="14">
        <f>B2301*100</f>
        <v/>
      </c>
    </row>
    <row r="2302">
      <c r="A2302" s="12" t="n">
        <v>46001</v>
      </c>
      <c r="B2302" s="13" t="n">
        <v>0.555</v>
      </c>
      <c r="C2302" s="14">
        <f>B2302*100</f>
        <v/>
      </c>
    </row>
    <row r="2303">
      <c r="A2303" s="12" t="n">
        <v>46002</v>
      </c>
      <c r="B2303" s="13" t="n">
        <v>0.5531</v>
      </c>
      <c r="C2303" s="14">
        <f>B2303*100</f>
        <v/>
      </c>
    </row>
    <row r="2304">
      <c r="A2304" s="12" t="n">
        <v>46003</v>
      </c>
      <c r="B2304" s="13" t="n">
        <v>0.577</v>
      </c>
      <c r="C2304" s="14">
        <f>B2304*100</f>
        <v/>
      </c>
    </row>
    <row r="2305">
      <c r="A2305" s="12" t="n">
        <v>46006</v>
      </c>
      <c r="B2305" s="13" t="n">
        <v>0.5784</v>
      </c>
      <c r="C2305" s="14">
        <f>B2305*100</f>
        <v/>
      </c>
    </row>
    <row r="2306">
      <c r="A2306" s="12" t="n">
        <v>46007</v>
      </c>
      <c r="B2306" s="13" t="n">
        <v>0.5659999999999999</v>
      </c>
      <c r="C2306" s="14">
        <f>B2306*100</f>
        <v/>
      </c>
    </row>
    <row r="2307">
      <c r="A2307" s="12" t="n">
        <v>46008</v>
      </c>
      <c r="B2307" s="13" t="n">
        <v>0.5679</v>
      </c>
      <c r="C2307" s="14">
        <f>B2307*100</f>
        <v/>
      </c>
    </row>
    <row r="2308">
      <c r="A2308" s="12" t="n">
        <v>46009</v>
      </c>
      <c r="B2308" s="13" t="n">
        <v>0.5556</v>
      </c>
      <c r="C2308" s="14">
        <f>B2308*100</f>
        <v/>
      </c>
    </row>
    <row r="2309">
      <c r="A2309" s="12" t="n">
        <v>46010</v>
      </c>
      <c r="B2309" s="13" t="n">
        <v>0.5644</v>
      </c>
      <c r="C2309" s="14">
        <f>B2309*100</f>
        <v/>
      </c>
    </row>
    <row r="2310">
      <c r="A2310" s="12" t="n">
        <v>46013</v>
      </c>
      <c r="B2310" s="13" t="n">
        <v>0.5722</v>
      </c>
      <c r="C2310" s="14">
        <f>B2310*100</f>
        <v/>
      </c>
    </row>
    <row r="2311">
      <c r="A2311" s="12" t="n">
        <v>46014</v>
      </c>
      <c r="B2311" s="13" t="n">
        <v>0.5774</v>
      </c>
      <c r="C2311" s="14">
        <f>B2311*100</f>
        <v/>
      </c>
    </row>
    <row r="2312">
      <c r="A2312" s="12" t="n">
        <v>46015</v>
      </c>
      <c r="B2312" s="13" t="n">
        <v>0.5685</v>
      </c>
      <c r="C2312" s="14">
        <f>B2312*100</f>
        <v/>
      </c>
    </row>
    <row r="2313">
      <c r="A2313" s="12" t="n">
        <v>46017</v>
      </c>
      <c r="B2313" s="13" t="n">
        <v>0.5603</v>
      </c>
      <c r="C2313" s="14">
        <f>B2313*100</f>
        <v/>
      </c>
    </row>
    <row r="2314">
      <c r="A2314" s="12" t="n">
        <v>46020</v>
      </c>
      <c r="B2314" s="13" t="n">
        <v>0.5495</v>
      </c>
      <c r="C2314" s="14">
        <f>B2314*100</f>
        <v/>
      </c>
    </row>
    <row r="2315">
      <c r="A2315" s="12" t="n">
        <v>46021</v>
      </c>
      <c r="B2315" s="13" t="n">
        <v>0.5517</v>
      </c>
      <c r="C2315" s="14">
        <f>B2315*100</f>
        <v/>
      </c>
    </row>
    <row r="2316">
      <c r="A2316" s="12" t="n">
        <v>46022</v>
      </c>
      <c r="B2316" s="13" t="n">
        <v>0.571</v>
      </c>
      <c r="C2316" s="14">
        <f>B2316*100</f>
        <v/>
      </c>
    </row>
    <row r="2317">
      <c r="A2317" s="12" t="n">
        <v>46024</v>
      </c>
      <c r="B2317" s="13" t="n">
        <v>0.5844</v>
      </c>
      <c r="C2317" s="14">
        <f>B2317*100</f>
        <v/>
      </c>
    </row>
    <row r="2318">
      <c r="A2318" s="12" t="n">
        <v>46027</v>
      </c>
      <c r="B2318" s="13" t="n">
        <v>0.5787</v>
      </c>
      <c r="C2318" s="14">
        <f>B2318*100</f>
        <v/>
      </c>
    </row>
    <row r="2319">
      <c r="A2319" s="12" t="n">
        <v>46028</v>
      </c>
      <c r="B2319" s="13" t="n">
        <v>0.5833</v>
      </c>
      <c r="C2319" s="14">
        <f>B2319*100</f>
        <v/>
      </c>
    </row>
    <row r="2320">
      <c r="A2320" s="12" t="n">
        <v>46029</v>
      </c>
      <c r="B2320" s="13" t="n">
        <v>0.5727</v>
      </c>
      <c r="C2320" s="14">
        <f>B2320*100</f>
        <v/>
      </c>
    </row>
    <row r="2321">
      <c r="A2321" s="12" t="n">
        <v>46030</v>
      </c>
      <c r="B2321" s="13" t="n">
        <v>0.5875</v>
      </c>
      <c r="C2321" s="14">
        <f>B2321*100</f>
        <v/>
      </c>
    </row>
    <row r="2322">
      <c r="A2322" s="12" t="n">
        <v>46031</v>
      </c>
      <c r="B2322" s="13" t="n">
        <v>0.591</v>
      </c>
      <c r="C2322" s="14">
        <f>B2322*100</f>
        <v/>
      </c>
    </row>
    <row r="2323">
      <c r="A2323" s="12" t="n">
        <v>46034</v>
      </c>
      <c r="B2323" s="13" t="n">
        <v>0.5926</v>
      </c>
      <c r="C2323" s="14">
        <f>B2323*100</f>
        <v/>
      </c>
    </row>
    <row r="2324">
      <c r="A2324" s="12" t="n">
        <v>46035</v>
      </c>
      <c r="B2324" s="13" t="n">
        <v>0.5855</v>
      </c>
      <c r="C2324" s="14">
        <f>B2324*100</f>
        <v/>
      </c>
    </row>
    <row r="2325">
      <c r="A2325" s="12" t="n">
        <v>46036</v>
      </c>
      <c r="B2325" s="13" t="n">
        <v>0.5703</v>
      </c>
      <c r="C2325" s="14">
        <f>B2325*100</f>
        <v/>
      </c>
    </row>
    <row r="2326">
      <c r="A2326" s="12" t="n">
        <v>46037</v>
      </c>
      <c r="B2326" s="13" t="n">
        <v>0.5804</v>
      </c>
      <c r="C2326" s="14">
        <f>B2326*100</f>
        <v/>
      </c>
    </row>
    <row r="2327">
      <c r="A2327" s="12" t="n">
        <v>46038</v>
      </c>
      <c r="B2327" s="13" t="n">
        <v>0.6042</v>
      </c>
      <c r="C2327" s="14">
        <f>B2327*100</f>
        <v/>
      </c>
    </row>
    <row r="2328">
      <c r="A2328" s="12" t="n">
        <v>46042</v>
      </c>
      <c r="B2328" s="13" t="n">
        <v>0.6315</v>
      </c>
      <c r="C2328" s="14">
        <f>B2328*100</f>
        <v/>
      </c>
    </row>
    <row r="2329">
      <c r="A2329" s="12" t="n">
        <v>46043</v>
      </c>
      <c r="B2329" s="13" t="n">
        <v>0.6263</v>
      </c>
      <c r="C2329" s="14">
        <f>B2329*100</f>
        <v/>
      </c>
    </row>
    <row r="2330">
      <c r="A2330" s="12" t="n">
        <v>46044</v>
      </c>
      <c r="B2330" s="13" t="n">
        <v>0.6276</v>
      </c>
      <c r="C2330" s="14">
        <f>B2330*100</f>
        <v/>
      </c>
    </row>
    <row r="2331">
      <c r="A2331" s="12" t="n">
        <v>46045</v>
      </c>
      <c r="B2331" s="13" t="n">
        <v>0.6224</v>
      </c>
      <c r="C2331" s="14">
        <f>B2331*100</f>
        <v/>
      </c>
    </row>
    <row r="2332">
      <c r="A2332" s="12" t="n">
        <v>46048</v>
      </c>
      <c r="B2332" s="13" t="n">
        <v>0.6133</v>
      </c>
      <c r="C2332" s="14">
        <f>B2332*100</f>
        <v/>
      </c>
    </row>
    <row r="2333">
      <c r="A2333" s="12" t="n">
        <v>46049</v>
      </c>
      <c r="B2333" s="13" t="n">
        <v>0.6155</v>
      </c>
      <c r="C2333" s="14">
        <f>B2333*100</f>
        <v/>
      </c>
    </row>
    <row r="2334">
      <c r="A2334" s="12" t="n">
        <v>46050</v>
      </c>
      <c r="B2334" s="13" t="n">
        <v>0.6251</v>
      </c>
      <c r="C2334" s="14">
        <f>B2334*100</f>
        <v/>
      </c>
    </row>
    <row r="2335">
      <c r="A2335" s="12" t="n">
        <v>46051</v>
      </c>
      <c r="B2335" s="13" t="n">
        <v>0.6158</v>
      </c>
      <c r="C2335" s="14">
        <f>B2335*100</f>
        <v/>
      </c>
    </row>
    <row r="2336">
      <c r="A2336" s="12" t="n">
        <v>46052</v>
      </c>
      <c r="B2336" s="13" t="n">
        <v>0.6148</v>
      </c>
      <c r="C2336" s="14">
        <f>B2336*100</f>
        <v/>
      </c>
    </row>
    <row r="2337">
      <c r="A2337" s="12" t="n">
        <v>46055</v>
      </c>
      <c r="B2337" s="13" t="n">
        <v>0.6289</v>
      </c>
      <c r="C2337" s="14">
        <f>B2337*100</f>
        <v/>
      </c>
    </row>
    <row r="2338">
      <c r="A2338" s="12" t="n">
        <v>46056</v>
      </c>
      <c r="B2338" s="13" t="n">
        <v>0.6313</v>
      </c>
      <c r="C2338" s="14">
        <f>B2338*100</f>
        <v/>
      </c>
    </row>
    <row r="2339">
      <c r="A2339" s="12" t="n">
        <v>46057</v>
      </c>
      <c r="B2339" s="13" t="n">
        <v>0.635</v>
      </c>
      <c r="C2339" s="14">
        <f>B2339*100</f>
        <v/>
      </c>
    </row>
    <row r="2340">
      <c r="A2340" s="12" t="n">
        <v>46058</v>
      </c>
      <c r="B2340" s="13" t="n">
        <v>0.6022</v>
      </c>
      <c r="C2340" s="14">
        <f>B2340*100</f>
        <v/>
      </c>
    </row>
    <row r="2341">
      <c r="A2341" s="12" t="n">
        <v>46059</v>
      </c>
      <c r="B2341" s="13" t="n">
        <v>0.599</v>
      </c>
      <c r="C2341" s="14">
        <f>B2341*100</f>
        <v/>
      </c>
    </row>
    <row r="2342">
      <c r="A2342" s="12" t="n">
        <v>46062</v>
      </c>
      <c r="B2342" s="13" t="n">
        <v>0.5951</v>
      </c>
      <c r="C2342" s="14">
        <f>B2342*100</f>
        <v/>
      </c>
    </row>
    <row r="2343">
      <c r="A2343" s="12" t="n">
        <v>46063</v>
      </c>
      <c r="B2343" s="13" t="n">
        <v>0.5729</v>
      </c>
      <c r="C2343" s="14">
        <f>B2343*100</f>
        <v/>
      </c>
    </row>
    <row r="2344">
      <c r="A2344" s="12" t="n">
        <v>46064</v>
      </c>
      <c r="B2344" s="13" t="n">
        <v>0.5823</v>
      </c>
      <c r="C2344" s="14">
        <f>B2344*100</f>
        <v/>
      </c>
    </row>
    <row r="2345">
      <c r="A2345" s="12" t="n">
        <v>46065</v>
      </c>
      <c r="B2345" s="13" t="n">
        <v>0.5514</v>
      </c>
      <c r="C2345" s="14">
        <f>B2345*100</f>
        <v/>
      </c>
    </row>
    <row r="2346">
      <c r="A2346" s="12" t="n">
        <v>46066</v>
      </c>
      <c r="B2346" s="13" t="n">
        <v>0.5194</v>
      </c>
      <c r="C2346" s="14">
        <f>B2346*100</f>
        <v/>
      </c>
    </row>
    <row r="2347">
      <c r="A2347" s="12" t="n">
        <v>46070</v>
      </c>
      <c r="B2347" s="13" t="n">
        <v>0.5143</v>
      </c>
      <c r="C2347" s="14">
        <f>B2347*100</f>
        <v/>
      </c>
    </row>
    <row r="2348">
      <c r="A2348" s="12" t="n">
        <v>46071</v>
      </c>
      <c r="B2348" s="13" t="n">
        <v>0.5238</v>
      </c>
      <c r="C2348" s="14">
        <f>B2348*100</f>
        <v/>
      </c>
    </row>
    <row r="2349">
      <c r="A2349" s="12" t="n">
        <v>46072</v>
      </c>
      <c r="B2349" s="13" t="n">
        <v>0.5218</v>
      </c>
      <c r="C2349" s="14">
        <f>B2349*100</f>
        <v/>
      </c>
    </row>
    <row r="2350">
      <c r="A2350" s="12" t="n">
        <v>46073</v>
      </c>
      <c r="B2350" s="13" t="n">
        <v>0.5228</v>
      </c>
      <c r="C2350" s="14">
        <f>B2350*100</f>
        <v/>
      </c>
    </row>
    <row r="2351">
      <c r="A2351" s="12" t="n">
        <v>46076</v>
      </c>
      <c r="B2351" s="13" t="n">
        <v>0.4986</v>
      </c>
      <c r="C2351" s="14">
        <f>B2351*100</f>
        <v/>
      </c>
    </row>
    <row r="2352">
      <c r="A2352" s="12" t="n">
        <v>46077</v>
      </c>
      <c r="B2352" s="13" t="n">
        <v>0.4971</v>
      </c>
      <c r="C2352" s="14">
        <f>B2352*100</f>
        <v/>
      </c>
    </row>
    <row r="2353">
      <c r="A2353" s="12" t="n">
        <v>46078</v>
      </c>
      <c r="B2353" s="13" t="n">
        <v>0.5004999999999999</v>
      </c>
      <c r="C2353" s="14">
        <f>B2353*100</f>
        <v/>
      </c>
    </row>
    <row r="2354">
      <c r="A2354" s="12" t="n">
        <v>46079</v>
      </c>
      <c r="B2354" s="13" t="n">
        <v>0.4866</v>
      </c>
      <c r="C2354" s="14">
        <f>B2354*100</f>
        <v/>
      </c>
    </row>
    <row r="2355">
      <c r="A2355" s="12" t="n">
        <v>46080</v>
      </c>
      <c r="B2355" s="13" t="n">
        <v>0.4627</v>
      </c>
      <c r="C2355" s="14">
        <f>B2355*100</f>
        <v/>
      </c>
    </row>
    <row r="2356">
      <c r="A2356" s="12" t="n">
        <v>46083</v>
      </c>
      <c r="B2356" s="13" t="n">
        <v>0.4906</v>
      </c>
      <c r="C2356" s="14">
        <f>B2356*100</f>
        <v/>
      </c>
    </row>
    <row r="2357">
      <c r="A2357" s="12" t="n">
        <v>46084</v>
      </c>
      <c r="B2357" s="13" t="n">
        <v>0.5019</v>
      </c>
      <c r="C2357" s="14">
        <f>B2357*100</f>
        <v/>
      </c>
    </row>
    <row r="2358">
      <c r="A2358" s="12" t="n">
        <v>46085</v>
      </c>
      <c r="B2358" s="13" t="n">
        <v>0.5168</v>
      </c>
      <c r="C2358" s="14">
        <f>B2358*100</f>
        <v/>
      </c>
    </row>
    <row r="2359">
      <c r="A2359" s="12" t="n">
        <v>46086</v>
      </c>
      <c r="B2359" s="13" t="n">
        <v>0.5377999999999999</v>
      </c>
      <c r="C2359" s="14">
        <f>B2359*100</f>
        <v/>
      </c>
    </row>
    <row r="2360">
      <c r="A2360" s="12" t="n">
        <v>46087</v>
      </c>
      <c r="B2360" s="13" t="n">
        <v>0.5487</v>
      </c>
      <c r="C2360" s="14">
        <f>B2360*100</f>
        <v/>
      </c>
    </row>
    <row r="2361">
      <c r="A2361" s="12" t="n">
        <v>46090</v>
      </c>
      <c r="B2361" s="13" t="n">
        <v>0.542</v>
      </c>
      <c r="C2361" s="14">
        <f>B2361*100</f>
        <v/>
      </c>
    </row>
    <row r="2362">
      <c r="A2362" s="12" t="n">
        <v>46091</v>
      </c>
      <c r="B2362" s="13" t="n">
        <v>0.5496</v>
      </c>
      <c r="C2362" s="14">
        <f>B2362*100</f>
        <v/>
      </c>
    </row>
    <row r="2363">
      <c r="A2363" s="12" t="n">
        <v>46092</v>
      </c>
      <c r="B2363" s="13" t="n">
        <v>0.5772</v>
      </c>
      <c r="C2363" s="14">
        <f>B2363*100</f>
        <v/>
      </c>
    </row>
    <row r="2364">
      <c r="A2364" s="12" t="n">
        <v>46093</v>
      </c>
      <c r="B2364" s="13" t="n">
        <v>0.6185</v>
      </c>
      <c r="C2364" s="14">
        <f>B2364*100</f>
        <v/>
      </c>
    </row>
    <row r="2365">
      <c r="A2365" s="12" t="n">
        <v>46094</v>
      </c>
      <c r="B2365" s="13" t="n">
        <v>0.6286</v>
      </c>
      <c r="C2365" s="14">
        <f>B2365*100</f>
        <v/>
      </c>
    </row>
    <row r="2366">
      <c r="A2366" s="12" t="n">
        <v>46097</v>
      </c>
      <c r="B2366" s="13" t="n">
        <v>0.6034</v>
      </c>
      <c r="C2366" s="14">
        <f>B2366*100</f>
        <v/>
      </c>
    </row>
    <row r="2367">
      <c r="A2367" s="12" t="n">
        <v>46098</v>
      </c>
      <c r="B2367" s="13" t="n">
        <v>0.5887</v>
      </c>
      <c r="C2367" s="14">
        <f>B2367*100</f>
        <v/>
      </c>
    </row>
    <row r="2368">
      <c r="A2368" s="12" t="n">
        <v>46099</v>
      </c>
      <c r="B2368" s="13" t="n">
        <v>0.6139</v>
      </c>
      <c r="C2368" s="14">
        <f>B2368*100</f>
        <v/>
      </c>
    </row>
    <row r="2369">
      <c r="A2369" s="12" t="n">
        <v>46100</v>
      </c>
      <c r="B2369" s="13" t="n">
        <v>0.621</v>
      </c>
      <c r="C2369" s="14">
        <f>B2369*100</f>
        <v/>
      </c>
    </row>
    <row r="2370">
      <c r="A2370" s="12" t="n">
        <v>46101</v>
      </c>
      <c r="B2370" s="13" t="n">
        <v>0.678</v>
      </c>
      <c r="C2370" s="14">
        <f>B2370*100</f>
        <v/>
      </c>
    </row>
    <row r="2371">
      <c r="A2371" s="12" t="n">
        <v>46104</v>
      </c>
      <c r="B2371" s="13" t="n">
        <v>0.6691</v>
      </c>
      <c r="C2371" s="14">
        <f>B2371*100</f>
        <v/>
      </c>
    </row>
    <row r="2372">
      <c r="A2372" s="12" t="n">
        <v>46105</v>
      </c>
      <c r="B2372" s="13" t="n">
        <v>0.6921</v>
      </c>
      <c r="C2372" s="14">
        <f>B2372*100</f>
        <v/>
      </c>
    </row>
    <row r="2373">
      <c r="A2373" s="12" t="n">
        <v>46106</v>
      </c>
      <c r="B2373" s="13" t="n">
        <v>0.6717</v>
      </c>
      <c r="C2373" s="14">
        <f>B2373*100</f>
        <v/>
      </c>
    </row>
    <row r="2374">
      <c r="A2374" s="12" t="n">
        <v>46107</v>
      </c>
      <c r="B2374" s="13" t="n">
        <v>0.714</v>
      </c>
      <c r="C2374" s="14">
        <f>B2374*100</f>
        <v/>
      </c>
    </row>
    <row r="2375">
      <c r="A2375" s="12" t="n">
        <v>46108</v>
      </c>
      <c r="B2375" s="13" t="n">
        <v>0.7183</v>
      </c>
      <c r="C2375" s="14">
        <f>B2375*100</f>
        <v/>
      </c>
    </row>
    <row r="2376">
      <c r="A2376" s="12" t="n">
        <v>46111</v>
      </c>
      <c r="B2376" s="13" t="n">
        <v>0.6813</v>
      </c>
      <c r="C2376" s="14">
        <f>B2376*100</f>
        <v/>
      </c>
    </row>
    <row r="2377">
      <c r="A2377" s="12" t="n">
        <v>46112</v>
      </c>
      <c r="B2377" s="13" t="n">
        <v>0.654</v>
      </c>
      <c r="C2377" s="14">
        <f>B2377*100</f>
        <v/>
      </c>
    </row>
    <row r="2378">
      <c r="A2378" s="12" t="n">
        <v>46113</v>
      </c>
      <c r="B2378" s="13" t="n">
        <v>0.664</v>
      </c>
      <c r="C2378" s="14">
        <f>B2378*100</f>
        <v/>
      </c>
    </row>
    <row r="2379">
      <c r="A2379" s="12" t="n">
        <v>46114</v>
      </c>
      <c r="B2379" s="13" t="n">
        <v>0.6555</v>
      </c>
      <c r="C2379" s="14">
        <f>B2379*100</f>
        <v/>
      </c>
    </row>
    <row r="2380">
      <c r="A2380" s="12" t="n">
        <v>46115</v>
      </c>
      <c r="B2380" s="13" t="n">
        <v>0.672</v>
      </c>
      <c r="C2380" s="14">
        <f>B2380*100</f>
        <v/>
      </c>
    </row>
    <row r="2381">
      <c r="A2381" s="12" t="n">
        <v>46118</v>
      </c>
      <c r="B2381" s="13" t="n">
        <v>0.6694</v>
      </c>
      <c r="C2381" s="14">
        <f>B2381*100</f>
        <v/>
      </c>
    </row>
    <row r="2382">
      <c r="A2382" s="12" t="n">
        <v>46119</v>
      </c>
      <c r="B2382" s="13" t="n">
        <v>0.661</v>
      </c>
      <c r="C2382" s="14">
        <f>B2382*100</f>
        <v/>
      </c>
    </row>
    <row r="2383">
      <c r="A2383" s="12" t="n">
        <v>46120</v>
      </c>
      <c r="B2383" s="13" t="n">
        <v>0.6457000000000001</v>
      </c>
      <c r="C2383" s="14">
        <f>B2383*100</f>
        <v/>
      </c>
    </row>
    <row r="2384">
      <c r="A2384" s="12" t="n">
        <v>46121</v>
      </c>
      <c r="B2384" s="13" t="n">
        <v>0.6421</v>
      </c>
      <c r="C2384" s="14">
        <f>B2384*100</f>
        <v/>
      </c>
    </row>
    <row r="2385">
      <c r="A2385" s="12" t="n">
        <v>46122</v>
      </c>
      <c r="B2385" s="13" t="n">
        <v>0.6518</v>
      </c>
      <c r="C2385" s="14">
        <f>B2385*100</f>
        <v/>
      </c>
    </row>
    <row r="2386">
      <c r="A2386" s="12" t="n">
        <v>46125</v>
      </c>
      <c r="B2386" s="13" t="n">
        <v>0.6432</v>
      </c>
      <c r="C2386" s="14">
        <f>B2386*100</f>
        <v/>
      </c>
    </row>
    <row r="2387">
      <c r="A2387" s="12" t="n">
        <v>46126</v>
      </c>
      <c r="B2387" s="13" t="n">
        <v>0.6215000000000001</v>
      </c>
      <c r="C2387" s="14">
        <f>B2387*100</f>
        <v/>
      </c>
    </row>
    <row r="2388">
      <c r="A2388" s="12" t="n">
        <v>46127</v>
      </c>
      <c r="B2388" s="13" t="n">
        <v>0.6264</v>
      </c>
      <c r="C2388" s="14">
        <f>B2388*100</f>
        <v/>
      </c>
    </row>
    <row r="2389">
      <c r="A2389" s="12" t="n">
        <v>46128</v>
      </c>
      <c r="B2389" s="13" t="n">
        <v>0.6384</v>
      </c>
      <c r="C2389" s="14">
        <f>B2389*100</f>
        <v/>
      </c>
    </row>
    <row r="2390">
      <c r="A2390" s="12" t="n">
        <v>46129</v>
      </c>
      <c r="B2390" s="13" t="n">
        <v>0.6158</v>
      </c>
      <c r="C2390" s="14">
        <f>B2390*100</f>
        <v/>
      </c>
    </row>
    <row r="2391">
      <c r="A2391" s="12" t="n">
        <v>46132</v>
      </c>
      <c r="B2391" s="13" t="n">
        <v>0.612</v>
      </c>
      <c r="C2391" s="14">
        <f>B2391*100</f>
        <v/>
      </c>
    </row>
    <row r="2392">
      <c r="A2392" s="12" t="n">
        <v>46133</v>
      </c>
      <c r="B2392" s="13" t="n">
        <v>0.6311</v>
      </c>
      <c r="C2392" s="14">
        <f>B2392*100</f>
        <v/>
      </c>
    </row>
    <row r="2393">
      <c r="A2393" s="12" t="n">
        <v>46134</v>
      </c>
      <c r="B2393" s="13" t="n">
        <v>0.6402</v>
      </c>
      <c r="C2393" s="14">
        <f>B2393*100</f>
        <v/>
      </c>
    </row>
    <row r="2394">
      <c r="A2394" s="12" t="n">
        <v>46135</v>
      </c>
      <c r="B2394" s="13" t="n">
        <v>0.6596</v>
      </c>
      <c r="C2394" s="14">
        <f>B2394*100</f>
        <v/>
      </c>
    </row>
    <row r="2395">
      <c r="A2395" s="12" t="n">
        <v>46136</v>
      </c>
      <c r="B2395" s="13" t="n">
        <v>0.6481</v>
      </c>
      <c r="C2395" s="14">
        <f>B2395*100</f>
        <v/>
      </c>
    </row>
    <row r="2396">
      <c r="A2396" s="12" t="n">
        <v>46139</v>
      </c>
      <c r="B2396" s="13" t="n">
        <v>0.6603</v>
      </c>
      <c r="C2396" s="14">
        <f>B2396*100</f>
        <v/>
      </c>
    </row>
    <row r="2397">
      <c r="A2397" s="12" t="n">
        <v>46140</v>
      </c>
      <c r="B2397" s="13" t="n">
        <v>0.6747</v>
      </c>
      <c r="C2397" s="14">
        <f>B2397*100</f>
        <v/>
      </c>
    </row>
    <row r="2398">
      <c r="A2398" s="12" t="n">
        <v>46141</v>
      </c>
      <c r="B2398" s="13" t="n">
        <v>0.7075</v>
      </c>
      <c r="C2398" s="14">
        <f>B2398*100</f>
        <v/>
      </c>
    </row>
    <row r="2399">
      <c r="A2399" s="12" t="n">
        <v>46142</v>
      </c>
      <c r="B2399" s="13" t="n">
        <v>0.7038</v>
      </c>
      <c r="C2399" s="14">
        <f>B2399*100</f>
        <v/>
      </c>
    </row>
    <row r="2400">
      <c r="A2400" s="12" t="n">
        <v>46143</v>
      </c>
      <c r="B2400" s="13" t="n">
        <v>0.7036</v>
      </c>
      <c r="C2400" s="14">
        <f>B2400*100</f>
        <v/>
      </c>
    </row>
    <row r="2401">
      <c r="A2401" s="12" t="n">
        <v>46146</v>
      </c>
      <c r="B2401" s="13" t="n">
        <v>0.729</v>
      </c>
      <c r="C2401" s="14">
        <f>B2401*100</f>
        <v/>
      </c>
    </row>
    <row r="2402">
      <c r="A2402" s="12" t="n">
        <v>46147</v>
      </c>
      <c r="B2402" s="13" t="n">
        <v>0.7279</v>
      </c>
      <c r="C2402" s="14">
        <f>B2402*100</f>
        <v/>
      </c>
    </row>
    <row r="2403">
      <c r="A2403" s="12" t="n">
        <v>46148</v>
      </c>
      <c r="B2403" s="13" t="n">
        <v>0.6962</v>
      </c>
      <c r="C2403" s="14">
        <f>B2403*100</f>
        <v/>
      </c>
    </row>
    <row r="2404">
      <c r="A2404" s="12" t="n">
        <v>46149</v>
      </c>
      <c r="B2404" s="13" t="n">
        <v>0.7086</v>
      </c>
      <c r="C2404" s="14">
        <f>B2404*100</f>
        <v/>
      </c>
    </row>
    <row r="2405">
      <c r="A2405" s="12" t="n">
        <v>46150</v>
      </c>
      <c r="B2405" s="13" t="n">
        <v>0.6999</v>
      </c>
      <c r="C2405" s="14">
        <f>B2405*100</f>
        <v/>
      </c>
    </row>
    <row r="2406">
      <c r="A2406" s="12" t="n">
        <v>46153</v>
      </c>
      <c r="B2406" s="13" t="n">
        <v>0.7173</v>
      </c>
      <c r="C2406" s="14">
        <f>B2406*100</f>
        <v/>
      </c>
    </row>
    <row r="2407">
      <c r="A2407" s="12" t="n">
        <v>46154</v>
      </c>
      <c r="B2407" s="13" t="n">
        <v>0.7439</v>
      </c>
      <c r="C2407" s="14">
        <f>B2407*100</f>
        <v/>
      </c>
    </row>
    <row r="2408">
      <c r="A2408" s="12" t="n">
        <v>46155</v>
      </c>
      <c r="B2408" s="13" t="n">
        <v>0.7488</v>
      </c>
      <c r="C2408" s="14">
        <f>B2408*100</f>
        <v/>
      </c>
    </row>
    <row r="2409">
      <c r="A2409" s="12" t="n">
        <v>46156</v>
      </c>
      <c r="B2409" s="13" t="n">
        <v>0.7547</v>
      </c>
      <c r="C2409" s="14">
        <f>B2409*100</f>
        <v/>
      </c>
    </row>
    <row r="2410">
      <c r="A2410" s="12" t="n">
        <v>46157</v>
      </c>
      <c r="B2410" s="13" t="n">
        <v>0.8117</v>
      </c>
      <c r="C2410" s="14">
        <f>B2410*100</f>
        <v/>
      </c>
    </row>
    <row r="2411">
      <c r="A2411" s="12" t="n">
        <v>46160</v>
      </c>
      <c r="B2411" s="13" t="n">
        <v>0.8293</v>
      </c>
      <c r="C2411" s="14">
        <f>B2411*100</f>
        <v/>
      </c>
    </row>
    <row r="2412">
      <c r="A2412" s="12" t="n">
        <v>46161</v>
      </c>
      <c r="B2412" s="13" t="n">
        <v>0.8621</v>
      </c>
      <c r="C2412" s="14">
        <f>B2412*100</f>
        <v/>
      </c>
    </row>
    <row r="2413">
      <c r="A2413" s="12" t="n">
        <v>46162</v>
      </c>
      <c r="B2413" s="13" t="n">
        <v>0.8299</v>
      </c>
      <c r="C2413" s="14">
        <f>B2413*100</f>
        <v/>
      </c>
    </row>
    <row r="2414">
      <c r="A2414" s="12" t="n">
        <v>46163</v>
      </c>
      <c r="B2414" s="13" t="n">
        <v>0.8277</v>
      </c>
      <c r="C2414" s="14">
        <f>B2414*100</f>
        <v/>
      </c>
    </row>
    <row r="2415">
      <c r="A2415" s="12" t="n">
        <v>46164</v>
      </c>
      <c r="B2415" s="13" t="n">
        <v>0.8289</v>
      </c>
      <c r="C2415" s="14">
        <f>B2415*100</f>
        <v/>
      </c>
    </row>
    <row r="2416">
      <c r="A2416" s="12" t="n">
        <v>46168</v>
      </c>
      <c r="B2416" s="13" t="n">
        <v>0.7941</v>
      </c>
      <c r="C2416" s="14">
        <f>B2416*100</f>
        <v/>
      </c>
    </row>
    <row r="2417">
      <c r="A2417" s="12" t="n">
        <v>46169</v>
      </c>
      <c r="B2417" s="13" t="n">
        <v>0.7786</v>
      </c>
      <c r="C2417" s="14">
        <f>B2417*100</f>
        <v/>
      </c>
    </row>
    <row r="2418">
      <c r="A2418" s="12" t="n">
        <v>46170</v>
      </c>
      <c r="B2418" s="13" t="n">
        <v>0.764</v>
      </c>
      <c r="C2418" s="14">
        <f>B2418*100</f>
        <v/>
      </c>
    </row>
    <row r="2419">
      <c r="A2419" s="12" t="n">
        <v>46171</v>
      </c>
      <c r="B2419" s="13" t="n">
        <v>0.7541</v>
      </c>
      <c r="C2419" s="14">
        <f>B2419*100</f>
        <v/>
      </c>
    </row>
    <row r="2420">
      <c r="A2420" s="12" t="n">
        <v>46174</v>
      </c>
      <c r="B2420" s="13" t="n">
        <v>0.7627</v>
      </c>
      <c r="C2420" s="14">
        <f>B2420*100</f>
        <v/>
      </c>
    </row>
    <row r="2421">
      <c r="A2421" s="12" t="n">
        <v>46175</v>
      </c>
      <c r="B2421" s="13" t="n">
        <v>0.7582</v>
      </c>
      <c r="C2421" s="14">
        <f>B2421*100</f>
        <v/>
      </c>
    </row>
    <row r="2422">
      <c r="A2422" s="12" t="n">
        <v>46176</v>
      </c>
      <c r="B2422" s="13" t="n">
        <v>0.7733</v>
      </c>
      <c r="C2422" s="14">
        <f>B2422*100</f>
        <v/>
      </c>
    </row>
    <row r="2423">
      <c r="A2423" s="12" t="n">
        <v>46177</v>
      </c>
      <c r="B2423" s="13" t="n">
        <v>0.7654</v>
      </c>
      <c r="C2423" s="14">
        <f>B2423*100</f>
        <v/>
      </c>
    </row>
    <row r="2424">
      <c r="A2424" s="12" t="n">
        <v>46178</v>
      </c>
      <c r="B2424" s="13" t="n">
        <v>0.8018999999999999</v>
      </c>
      <c r="C2424" s="14">
        <f>B2424*100</f>
        <v/>
      </c>
    </row>
    <row r="2425">
      <c r="A2425" s="12" t="n">
        <v>46181</v>
      </c>
      <c r="B2425" s="13" t="n">
        <v>0.8081</v>
      </c>
      <c r="C2425" s="14">
        <f>B2425*100</f>
        <v/>
      </c>
    </row>
    <row r="2426">
      <c r="A2426" s="12" t="n">
        <v>46182</v>
      </c>
      <c r="B2426" s="13" t="n">
        <v>0.7977</v>
      </c>
      <c r="C2426" s="14">
        <f>B2426*100</f>
        <v/>
      </c>
    </row>
    <row r="2427">
      <c r="A2427" s="12" t="n">
        <v>46183</v>
      </c>
      <c r="B2427" s="13" t="n">
        <v>0.801</v>
      </c>
      <c r="C2427" s="14">
        <f>B2427*100</f>
        <v/>
      </c>
    </row>
    <row r="2428">
      <c r="A2428" s="12" t="n">
        <v>46184</v>
      </c>
      <c r="B2428" s="13" t="n">
        <v>0.763</v>
      </c>
      <c r="C2428" s="14">
        <f>B2428*100</f>
        <v/>
      </c>
    </row>
    <row r="2429">
      <c r="A2429" s="12" t="n">
        <v>46185</v>
      </c>
      <c r="B2429" s="13" t="n">
        <v>0.7671</v>
      </c>
      <c r="C2429" s="14">
        <f>B2429*100</f>
        <v/>
      </c>
    </row>
    <row r="2430">
      <c r="A2430" s="12" t="n">
        <v>46188</v>
      </c>
      <c r="B2430" s="13" t="n">
        <v>0.7574</v>
      </c>
      <c r="C2430" s="14">
        <f>B2430*100</f>
        <v/>
      </c>
    </row>
    <row r="2431">
      <c r="A2431" s="12" t="n">
        <v>46189</v>
      </c>
      <c r="B2431" s="13" t="n">
        <v>0.7392</v>
      </c>
      <c r="C2431" s="14">
        <f>B2431*100</f>
        <v/>
      </c>
    </row>
    <row r="2432">
      <c r="A2432" s="12" t="n">
        <v>46190</v>
      </c>
      <c r="B2432" s="13" t="n">
        <v>0.7665999999999999</v>
      </c>
      <c r="C2432" s="14">
        <f>B2432*100</f>
        <v/>
      </c>
    </row>
    <row r="2433">
      <c r="A2433" s="12" t="n">
        <v>46191</v>
      </c>
      <c r="B2433" s="13" t="n">
        <v>0.7519</v>
      </c>
      <c r="C2433" s="14">
        <f>B2433*100</f>
        <v/>
      </c>
    </row>
    <row r="2434">
      <c r="A2434" s="12" t="n">
        <v>46195</v>
      </c>
      <c r="B2434" s="13" t="n">
        <v>0.7647</v>
      </c>
      <c r="C2434" s="14">
        <f>B2434*100</f>
        <v/>
      </c>
    </row>
    <row r="2435">
      <c r="A2435" s="12" t="n">
        <v>46196</v>
      </c>
      <c r="B2435" s="13" t="n">
        <v>0.7568</v>
      </c>
      <c r="C2435" s="14">
        <f>B2435*100</f>
        <v/>
      </c>
    </row>
    <row r="2436">
      <c r="A2436" s="12" t="n">
        <v>46197</v>
      </c>
      <c r="B2436" s="13" t="n">
        <v>0.7175</v>
      </c>
      <c r="C2436" s="14">
        <f>B2436*100</f>
        <v/>
      </c>
    </row>
    <row r="2437">
      <c r="A2437" s="12" t="n">
        <v>46198</v>
      </c>
      <c r="B2437" s="13" t="n">
        <v>0.6991000000000001</v>
      </c>
      <c r="C2437" s="14">
        <f>B2437*100</f>
        <v/>
      </c>
    </row>
    <row r="2438">
      <c r="A2438" s="12" t="n">
        <v>46199</v>
      </c>
      <c r="B2438" s="13" t="n">
        <v>0.6849</v>
      </c>
      <c r="C2438" s="14">
        <f>B2438*100</f>
        <v/>
      </c>
    </row>
    <row r="2439">
      <c r="A2439" s="12" t="n">
        <v>46202</v>
      </c>
      <c r="B2439" s="13" t="n">
        <v>0.6782</v>
      </c>
      <c r="C2439" s="14">
        <f>B2439*100</f>
        <v/>
      </c>
    </row>
    <row r="2440">
      <c r="A2440" s="12" t="n">
        <v>46203</v>
      </c>
      <c r="B2440" s="13" t="n">
        <v>0.6967</v>
      </c>
      <c r="C2440" s="14">
        <f>B2440*100</f>
        <v/>
      </c>
    </row>
    <row r="2441">
      <c r="A2441" s="12" t="n">
        <v>46204</v>
      </c>
      <c r="B2441" s="13" t="n">
        <v>0.7216</v>
      </c>
      <c r="C2441" s="14">
        <f>B2441*100</f>
        <v/>
      </c>
    </row>
    <row r="2442">
      <c r="A2442" s="12" t="n">
        <v>46205</v>
      </c>
      <c r="B2442" s="13" t="n">
        <v>0.7322</v>
      </c>
      <c r="C2442" s="14">
        <f>B2442*100</f>
        <v/>
      </c>
    </row>
    <row r="2443">
      <c r="A2443" s="12" t="n">
        <v>46209</v>
      </c>
      <c r="B2443" s="13" t="n">
        <v>0.7261</v>
      </c>
      <c r="C2443" s="14">
        <f>B2443*100</f>
        <v/>
      </c>
    </row>
    <row r="2444">
      <c r="A2444" s="12" t="n">
        <v>46210</v>
      </c>
      <c r="B2444" s="13" t="n">
        <v>0.7531</v>
      </c>
      <c r="C2444" s="14">
        <f>B2444*100</f>
        <v/>
      </c>
    </row>
    <row r="2445">
      <c r="A2445" s="12" t="n">
        <v>46211</v>
      </c>
      <c r="B2445" s="13" t="n">
        <v>0.771</v>
      </c>
      <c r="C2445" s="14">
        <f>B2445*100</f>
        <v/>
      </c>
    </row>
    <row r="2446">
      <c r="A2446" s="12" t="n">
        <v>46212</v>
      </c>
      <c r="B2446" s="13" t="n">
        <v>0.7671</v>
      </c>
      <c r="C2446" s="14">
        <f>B2446*100</f>
        <v/>
      </c>
    </row>
    <row r="2447">
      <c r="A2447" s="12" t="n">
        <v>46213</v>
      </c>
      <c r="B2447" s="13" t="n">
        <v>0.7788</v>
      </c>
      <c r="C2447" s="14">
        <f>B2447*100</f>
        <v/>
      </c>
    </row>
    <row r="2448">
      <c r="A2448" s="12" t="n">
        <v>46216</v>
      </c>
      <c r="B2448" s="13" t="n">
        <v>0.8008</v>
      </c>
      <c r="C2448" s="14">
        <f>B2448*100</f>
        <v/>
      </c>
    </row>
    <row r="2449">
      <c r="A2449" s="12" t="n">
        <v>46217</v>
      </c>
      <c r="B2449" s="13" t="n">
        <v>0.7895</v>
      </c>
      <c r="C2449" s="14">
        <f>B2449*100</f>
        <v/>
      </c>
    </row>
    <row r="2450">
      <c r="A2450" s="12" t="n">
        <v>46218</v>
      </c>
      <c r="B2450" s="13" t="n">
        <v>0.7727000000000001</v>
      </c>
      <c r="C2450" s="14">
        <f>B2450*100</f>
        <v/>
      </c>
    </row>
    <row r="2451">
      <c r="A2451" s="12" t="n">
        <v>46219</v>
      </c>
      <c r="B2451" s="13" t="n">
        <v>0.7801</v>
      </c>
      <c r="C2451" s="14">
        <f>B2451*100</f>
        <v/>
      </c>
    </row>
    <row r="2452">
      <c r="A2452" s="12" t="n">
        <v>46220</v>
      </c>
      <c r="B2452" s="13" t="n">
        <v>0.7786999999999999</v>
      </c>
      <c r="C2452" s="14">
        <f>B2452*100</f>
        <v/>
      </c>
    </row>
    <row r="2453">
      <c r="A2453" s="12" t="n">
        <v>46223</v>
      </c>
      <c r="B2453" s="13" t="n">
        <v>0.7931</v>
      </c>
      <c r="C2453" s="14">
        <f>B2453*100</f>
        <v/>
      </c>
    </row>
    <row r="2454">
      <c r="A2454" s="12" t="n">
        <v>46224</v>
      </c>
      <c r="B2454" s="13" t="n">
        <v>0.8120000000000001</v>
      </c>
      <c r="C2454" s="14">
        <f>B2454*100</f>
        <v/>
      </c>
    </row>
    <row r="2455">
      <c r="A2455" s="12" t="n">
        <v>46225</v>
      </c>
      <c r="B2455" s="13" t="n">
        <v>0.831</v>
      </c>
      <c r="C2455" s="14">
        <f>B2455*100</f>
        <v/>
      </c>
    </row>
    <row r="2456">
      <c r="A2456" s="12" t="n">
        <v>46226</v>
      </c>
      <c r="B2456" s="13" t="n">
        <v>0.8488</v>
      </c>
      <c r="C2456" s="14">
        <f>B2456*100</f>
        <v/>
      </c>
    </row>
    <row r="2457">
      <c r="A2457" s="12" t="n">
        <v>46227</v>
      </c>
      <c r="B2457" s="13" t="n">
        <v>0.8384</v>
      </c>
      <c r="C2457" s="14">
        <f>B2457*100</f>
        <v/>
      </c>
    </row>
    <row r="2458">
      <c r="A2458" s="12" t="n">
        <v>46230</v>
      </c>
      <c r="B2458" s="13" t="n">
        <v>0.8208</v>
      </c>
      <c r="C2458" s="14">
        <f>B2458*100</f>
        <v/>
      </c>
    </row>
    <row r="2459">
      <c r="A2459" s="12" t="n">
        <v>46231</v>
      </c>
      <c r="B2459" s="13" t="n">
        <v>0.7998</v>
      </c>
      <c r="C2459" s="14">
        <f>B2459*100</f>
        <v/>
      </c>
    </row>
    <row r="2460">
      <c r="A2460" s="12" t="n">
        <v>46232</v>
      </c>
      <c r="B2460" s="13" t="n">
        <v>0.8181</v>
      </c>
      <c r="C2460" s="14">
        <f>B2460*100</f>
        <v/>
      </c>
    </row>
    <row r="2461">
      <c r="A2461" s="12" t="n">
        <v>46233</v>
      </c>
      <c r="B2461" s="13" t="n">
        <v>0.833</v>
      </c>
      <c r="C2461" s="14">
        <f>B2461*100</f>
        <v/>
      </c>
    </row>
    <row r="2462">
      <c r="A2462" s="12" t="n">
        <v>46234</v>
      </c>
      <c r="B2462" s="13" t="n">
        <v>0.8681</v>
      </c>
      <c r="C2462" s="14">
        <f>B2462*100</f>
        <v/>
      </c>
    </row>
    <row r="2463">
      <c r="A2463" s="12" t="n">
        <v>46237</v>
      </c>
      <c r="B2463" s="13" t="n">
        <v>0.8531</v>
      </c>
      <c r="C2463" s="14">
        <f>B2463*100</f>
        <v/>
      </c>
    </row>
    <row r="2464">
      <c r="A2464" s="12" t="n">
        <v>46238</v>
      </c>
      <c r="B2464" s="13" t="n">
        <v>0.8216</v>
      </c>
      <c r="C2464" s="14">
        <f>B2464*100</f>
        <v/>
      </c>
    </row>
    <row r="2465">
      <c r="A2465" s="12" t="n">
        <v>46239</v>
      </c>
      <c r="B2465" s="13" t="n">
        <v>0.8129999999999999</v>
      </c>
      <c r="C2465" s="14">
        <f>B2465*100</f>
        <v/>
      </c>
    </row>
    <row r="2466">
      <c r="A2466" s="12" t="n">
        <v>46240</v>
      </c>
      <c r="B2466" s="13" t="n">
        <v>0.8361</v>
      </c>
      <c r="C2466" s="14">
        <f>B2466*100</f>
        <v/>
      </c>
    </row>
    <row r="2467">
      <c r="A2467" s="12" t="n">
        <v>46241</v>
      </c>
      <c r="B2467" s="13" t="n">
        <v>0.8257</v>
      </c>
      <c r="C2467" s="14">
        <f>B2467*100</f>
        <v/>
      </c>
    </row>
    <row r="2468">
      <c r="A2468" s="12" t="n">
        <v>46244</v>
      </c>
      <c r="B2468" s="13" t="n">
        <v>0.8488</v>
      </c>
      <c r="C2468" s="14">
        <f>B2468*100</f>
        <v/>
      </c>
    </row>
    <row r="2469">
      <c r="A2469" s="12" t="n">
        <v>46245</v>
      </c>
      <c r="B2469" s="13" t="n">
        <v>0.8479</v>
      </c>
      <c r="C2469" s="14">
        <f>B2469*100</f>
        <v/>
      </c>
    </row>
    <row r="2470">
      <c r="A2470" s="12" t="n">
        <v>46246</v>
      </c>
      <c r="B2470" s="13" t="n">
        <v>0.8438</v>
      </c>
      <c r="C2470" s="14">
        <f>B2470*100</f>
        <v/>
      </c>
    </row>
    <row r="2471">
      <c r="A2471" s="12" t="n">
        <v>46247</v>
      </c>
      <c r="B2471" s="13" t="n">
        <v>0.8233</v>
      </c>
      <c r="C2471" s="14">
        <f>B2471*100</f>
        <v/>
      </c>
    </row>
    <row r="2472">
      <c r="A2472" s="12" t="n">
        <v>46248</v>
      </c>
      <c r="B2472" s="13" t="n">
        <v>0.8393</v>
      </c>
      <c r="C2472" s="14">
        <f>B2472*100</f>
        <v/>
      </c>
    </row>
    <row r="2473">
      <c r="A2473" s="12" t="n">
        <v>46251</v>
      </c>
      <c r="B2473" s="13" t="n">
        <v>0.8536</v>
      </c>
      <c r="C2473" s="14">
        <f>B2473*100</f>
        <v/>
      </c>
    </row>
    <row r="2474">
      <c r="A2474" s="12" t="n">
        <v>46252</v>
      </c>
      <c r="B2474" s="13" t="n">
        <v>0.8549</v>
      </c>
      <c r="C2474" s="14">
        <f>B2474*100</f>
        <v/>
      </c>
    </row>
    <row r="2475">
      <c r="A2475" s="12" t="n">
        <v>46253</v>
      </c>
      <c r="B2475" s="13" t="n">
        <v>0.8378</v>
      </c>
      <c r="C2475" s="14">
        <f>B2475*100</f>
        <v/>
      </c>
    </row>
    <row r="2476">
      <c r="A2476" s="12" t="n">
        <v>46254</v>
      </c>
      <c r="B2476" s="13" t="n">
        <v>0.8478</v>
      </c>
      <c r="C2476" s="14">
        <f>B2476*100</f>
        <v/>
      </c>
    </row>
    <row r="2477">
      <c r="A2477" s="12" t="n">
        <v>46255</v>
      </c>
      <c r="B2477" s="13" t="n">
        <v>0.8682</v>
      </c>
      <c r="C2477" s="14">
        <f>B2477*100</f>
        <v/>
      </c>
    </row>
    <row r="2478">
      <c r="A2478" s="12" t="n">
        <v>46258</v>
      </c>
      <c r="B2478" s="13" t="n">
        <v>0.8631</v>
      </c>
      <c r="C2478" s="14">
        <f>B2478*100</f>
        <v/>
      </c>
    </row>
    <row r="2479">
      <c r="A2479" s="12" t="n">
        <v>46259</v>
      </c>
      <c r="B2479" s="13" t="n">
        <v>0.8347</v>
      </c>
      <c r="C2479" s="14">
        <f>B2479*100</f>
        <v/>
      </c>
    </row>
    <row r="2480">
      <c r="A2480" s="12" t="n">
        <v>46260</v>
      </c>
      <c r="B2480" s="13" t="n">
        <v>0.8394</v>
      </c>
      <c r="C2480" s="14">
        <f>B2480*100</f>
        <v/>
      </c>
    </row>
    <row r="2481">
      <c r="A2481" s="12" t="n">
        <v>46261</v>
      </c>
      <c r="B2481" s="13" t="n">
        <v>0.8472</v>
      </c>
      <c r="C2481" s="14">
        <f>B2481*100</f>
        <v/>
      </c>
    </row>
    <row r="2482">
      <c r="A2482" s="12" t="n">
        <v>46262</v>
      </c>
      <c r="B2482" s="13" t="n">
        <v>0.8756</v>
      </c>
      <c r="C2482" s="14">
        <f>B2482*100</f>
        <v/>
      </c>
    </row>
    <row r="2483">
      <c r="A2483" s="12" t="n">
        <v>46265</v>
      </c>
      <c r="B2483" s="13" t="n">
        <v>0.8803</v>
      </c>
      <c r="C2483" s="14">
        <f>B2483*100</f>
        <v/>
      </c>
    </row>
    <row r="2484">
      <c r="A2484" s="12" t="n">
        <v>46266</v>
      </c>
      <c r="B2484" s="13" t="n">
        <v>0.8997000000000001</v>
      </c>
      <c r="C2484" s="14">
        <f>B2484*100</f>
        <v/>
      </c>
    </row>
    <row r="2485">
      <c r="A2485" s="12" t="n">
        <v>46267</v>
      </c>
      <c r="B2485" s="13" t="n">
        <v>0.8992</v>
      </c>
      <c r="C2485" s="14">
        <f>B2485*100</f>
        <v/>
      </c>
    </row>
    <row r="2486">
      <c r="A2486" s="12" t="n">
        <v>46268</v>
      </c>
      <c r="B2486" s="13" t="n">
        <v>0.8812</v>
      </c>
      <c r="C2486" s="14">
        <f>B2486*100</f>
        <v/>
      </c>
    </row>
    <row r="2487">
      <c r="A2487" s="12" t="n">
        <v>46269</v>
      </c>
      <c r="B2487" s="13" t="n">
        <v>0.8892</v>
      </c>
      <c r="C2487" s="14">
        <f>B2487*100</f>
        <v/>
      </c>
    </row>
    <row r="2488">
      <c r="A2488" s="12" t="n">
        <v>46273</v>
      </c>
      <c r="B2488" s="13" t="n">
        <v>0.8919</v>
      </c>
      <c r="C2488" s="14">
        <f>B2488*100</f>
        <v/>
      </c>
    </row>
    <row r="2489">
      <c r="A2489" s="12" t="n">
        <v>46274</v>
      </c>
      <c r="B2489" s="13" t="n">
        <v>0.9002</v>
      </c>
      <c r="C2489" s="14">
        <f>B2489*100</f>
        <v/>
      </c>
    </row>
    <row r="2490">
      <c r="A2490" s="12" t="n">
        <v>46275</v>
      </c>
      <c r="B2490" s="13" t="n">
        <v>0.9481000000000001</v>
      </c>
      <c r="C2490" s="14">
        <f>B2490*100</f>
        <v/>
      </c>
    </row>
    <row r="2491">
      <c r="A2491" s="12" t="n">
        <v>46276</v>
      </c>
      <c r="B2491" s="13" t="n">
        <v>0.961</v>
      </c>
      <c r="C2491" s="14">
        <f>B2491*100</f>
        <v/>
      </c>
    </row>
    <row r="2492">
      <c r="A2492" s="12" t="n">
        <v>46279</v>
      </c>
      <c r="B2492" s="13" t="n">
        <v>0.959</v>
      </c>
      <c r="C2492" s="14">
        <f>B2492*100</f>
        <v/>
      </c>
    </row>
    <row r="2493">
      <c r="A2493" s="12" t="n">
        <v>46280</v>
      </c>
      <c r="B2493" s="13" t="n">
        <v>0.9641</v>
      </c>
      <c r="C2493" s="14">
        <f>B2493*100</f>
        <v/>
      </c>
    </row>
    <row r="2494">
      <c r="A2494" s="12" t="n">
        <v>46281</v>
      </c>
      <c r="B2494" s="13" t="n">
        <v>0.9719</v>
      </c>
      <c r="C2494" s="14">
        <f>B2494*100</f>
        <v/>
      </c>
    </row>
    <row r="2495">
      <c r="A2495" s="12" t="n">
        <v>46282</v>
      </c>
      <c r="B2495" s="13" t="n">
        <v>0.9396</v>
      </c>
      <c r="C2495" s="14">
        <f>B2495*100</f>
        <v/>
      </c>
    </row>
    <row r="2496">
      <c r="A2496" s="12" t="n">
        <v>46283</v>
      </c>
      <c r="B2496" s="13" t="n">
        <v>0.9595</v>
      </c>
      <c r="C2496" s="14">
        <f>B2496*100</f>
        <v/>
      </c>
    </row>
    <row r="2497">
      <c r="A2497" s="12" t="n">
        <v>46286</v>
      </c>
      <c r="B2497" s="13" t="n">
        <v>0.9416</v>
      </c>
      <c r="C2497" s="14">
        <f>B2497*100</f>
        <v/>
      </c>
    </row>
    <row r="2498">
      <c r="A2498" s="12" t="n">
        <v>46287</v>
      </c>
      <c r="B2498" s="13" t="n">
        <v>0.9344</v>
      </c>
      <c r="C2498" s="14">
        <f>B2498*100</f>
        <v/>
      </c>
    </row>
    <row r="2499">
      <c r="A2499" s="12" t="n">
        <v>46288</v>
      </c>
      <c r="B2499" s="13" t="n">
        <v>0.9932</v>
      </c>
      <c r="C2499" s="14">
        <f>B2499*100</f>
        <v/>
      </c>
    </row>
    <row r="2500">
      <c r="A2500" s="12" t="n">
        <v>46289</v>
      </c>
      <c r="B2500" s="13" t="n">
        <v>1.0251</v>
      </c>
      <c r="C2500" s="14">
        <f>B2500*100</f>
        <v/>
      </c>
    </row>
    <row r="2501">
      <c r="A2501" s="12" t="n">
        <v>46290</v>
      </c>
      <c r="B2501" s="13" t="n">
        <v>1.0203</v>
      </c>
      <c r="C2501" s="14">
        <f>B2501*100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2" customWidth="1" min="5" max="5"/>
    <col width="11" customWidth="1" min="6" max="6"/>
    <col width="11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4" customWidth="1" min="13" max="13"/>
    <col width="14" customWidth="1" min="14" max="14"/>
    <col width="15" customWidth="1" min="15" max="15"/>
    <col width="12" customWidth="1" min="16" max="16"/>
  </cols>
  <sheetData>
    <row r="1" ht="45" customHeight="1">
      <c r="A1" s="5" t="inlineStr">
        <is>
          <t>日期</t>
        </is>
      </c>
      <c r="B1" s="5" t="inlineStr">
        <is>
          <t>10Y 公債 (%)</t>
        </is>
      </c>
      <c r="C1" s="5" t="inlineStr">
        <is>
          <t>10Y Swap (%)</t>
        </is>
      </c>
      <c r="D1" s="5" t="inlineStr">
        <is>
          <t>MOVE (bp)</t>
        </is>
      </c>
      <c r="E1" s="5" t="inlineStr">
        <is>
          <t>Swaption IV (bp/y)</t>
        </is>
      </c>
      <c r="F1" s="5" t="inlineStr">
        <is>
          <t>Δ 10Y 公債 (bp)</t>
        </is>
      </c>
      <c r="G1" s="5" t="inlineStr">
        <is>
          <t>Δ 10Y Swap (bp)</t>
        </is>
      </c>
      <c r="H1" s="5" t="inlineStr">
        <is>
          <t>RV 公債 短期 (bp/y)</t>
        </is>
      </c>
      <c r="I1" s="5" t="inlineStr">
        <is>
          <t>RV 公債 長期 (bp/y)</t>
        </is>
      </c>
      <c r="J1" s="5" t="inlineStr">
        <is>
          <t>RV Swap 短期 (bp/y)</t>
        </is>
      </c>
      <c r="K1" s="5" t="inlineStr">
        <is>
          <t>RV Swap 長期 (bp/y)</t>
        </is>
      </c>
      <c r="L1" s="5" t="inlineStr">
        <is>
          <t>MOVE − RV 公債短期</t>
        </is>
      </c>
      <c r="M1" s="5" t="inlineStr">
        <is>
          <t>Swaption IV − RV Swap 長期</t>
        </is>
      </c>
      <c r="N1" s="5" t="inlineStr">
        <is>
          <t>未來長期視窗 Swap RV (bp/y)</t>
        </is>
      </c>
      <c r="O1" s="5" t="inlineStr">
        <is>
          <t>事後 VRP：Swaption IV − 未來 RV</t>
        </is>
      </c>
      <c r="P1" s="5" t="inlineStr">
        <is>
          <t>Kim-Wright TP (bp)</t>
        </is>
      </c>
    </row>
    <row r="2">
      <c r="A2" s="15">
        <f>IF(ISNUMBER(BBG_Data!A2),BBG_Data!A2,"")</f>
        <v/>
      </c>
      <c r="B2" s="16">
        <f>IF(AND(ISNUMBER($A2),ISNUMBER(BBG_Data!B2)),BBG_Data!B2,NA())</f>
        <v/>
      </c>
      <c r="C2" s="16">
        <f>IF(AND(ISNUMBER($A2),ISNUMBER(BBG_Data!C2)),BBG_Data!C2,NA())</f>
        <v/>
      </c>
      <c r="D2" s="17">
        <f>IF(AND(ISNUMBER($A2),ISNUMBER(BBG_Data!D2)),BBG_Data!D2,NA())</f>
        <v/>
      </c>
      <c r="E2" s="17">
        <f>IF(AND(ISNUMBER($A2),ISNUMBER(BBG_Data!E2)),BBG_Data!E2,NA())</f>
        <v/>
      </c>
      <c r="F2" s="18">
        <f>""</f>
        <v/>
      </c>
      <c r="G2" s="18">
        <f>""</f>
        <v/>
      </c>
      <c r="H2" s="18">
        <f>IF(OR(NOT(ISNUMBER($A2)),ROW()-2&lt;Settings!$B$11),NA(),IF(COUNT(OFFSET(F2,1-Settings!$B$11,0,Settings!$B$11,1))&lt;Settings!$B$11,NA(),STDEV(OFFSET(F2,1-Settings!$B$11,0,Settings!$B$11,1))*SQRT(Settings!$B$13)))</f>
        <v/>
      </c>
      <c r="I2" s="18">
        <f>IF(OR(NOT(ISNUMBER($A2)),ROW()-2&lt;Settings!$B$12),NA(),IF(COUNT(OFFSET(F2,1-Settings!$B$12,0,Settings!$B$12,1))&lt;Settings!$B$12,NA(),STDEV(OFFSET(F2,1-Settings!$B$12,0,Settings!$B$12,1))*SQRT(Settings!$B$13)))</f>
        <v/>
      </c>
      <c r="J2" s="18">
        <f>IF(OR(NOT(ISNUMBER($A2)),ROW()-2&lt;Settings!$B$11),NA(),IF(COUNT(OFFSET(G2,1-Settings!$B$11,0,Settings!$B$11,1))&lt;Settings!$B$11,NA(),STDEV(OFFSET(G2,1-Settings!$B$11,0,Settings!$B$11,1))*SQRT(Settings!$B$13)))</f>
        <v/>
      </c>
      <c r="K2" s="18">
        <f>IF(OR(NOT(ISNUMBER($A2)),ROW()-2&lt;Settings!$B$12),NA(),IF(COUNT(OFFSET(G2,1-Settings!$B$12,0,Settings!$B$12,1))&lt;Settings!$B$12,NA(),STDEV(OFFSET(G2,1-Settings!$B$12,0,Settings!$B$12,1))*SQRT(Settings!$B$13)))</f>
        <v/>
      </c>
      <c r="L2" s="18">
        <f>IF(AND(ISNUMBER(D2),ISNUMBER(H2)),D2-H2,NA())</f>
        <v/>
      </c>
      <c r="M2" s="18">
        <f>IF(AND(ISNUMBER(E2),ISNUMBER(K2)),E2-K2,NA())</f>
        <v/>
      </c>
      <c r="N2" s="18">
        <f>IF(NOT(ISNUMBER($A2)),NA(),IF(COUNT(OFFSET(G2,1,0,Settings!$B$12,1))&lt;Settings!$B$12,NA(),STDEV(OFFSET(G2,1,0,Settings!$B$12,1))*SQRT(Settings!$B$13)))</f>
        <v/>
      </c>
      <c r="O2" s="18">
        <f>IF(AND(ISNUMBER(E2),ISNUMBER(N2)),E2-N2,NA())</f>
        <v/>
      </c>
      <c r="P2" s="17">
        <f>IF(NOT(ISNUMBER($A2)),NA(),IF(OR($A2&lt;MIN(KW_TP!$A$2:$A$2501),$A2&gt;MAX(KW_TP!$A$2:$A$2501)),NA(),INDEX(KW_TP!$C$2:$C$2501,MATCH($A2,KW_TP!$A$2:$A$2501,1))))</f>
        <v/>
      </c>
    </row>
    <row r="3">
      <c r="A3" s="15">
        <f>IF(ISNUMBER(BBG_Data!A3),BBG_Data!A3,"")</f>
        <v/>
      </c>
      <c r="B3" s="16">
        <f>IF(AND(ISNUMBER($A3),ISNUMBER(BBG_Data!B3)),BBG_Data!B3,NA())</f>
        <v/>
      </c>
      <c r="C3" s="16">
        <f>IF(AND(ISNUMBER($A3),ISNUMBER(BBG_Data!C3)),BBG_Data!C3,NA())</f>
        <v/>
      </c>
      <c r="D3" s="17">
        <f>IF(AND(ISNUMBER($A3),ISNUMBER(BBG_Data!D3)),BBG_Data!D3,NA())</f>
        <v/>
      </c>
      <c r="E3" s="17">
        <f>IF(AND(ISNUMBER($A3),ISNUMBER(BBG_Data!E3)),BBG_Data!E3,NA())</f>
        <v/>
      </c>
      <c r="F3" s="18">
        <f>IF(AND(ISNUMBER(B3),ISNUMBER(B2)),(B3-B2)*100,"")</f>
        <v/>
      </c>
      <c r="G3" s="18">
        <f>IF(AND(ISNUMBER(C3),ISNUMBER(C2)),(C3-C2)*100,"")</f>
        <v/>
      </c>
      <c r="H3" s="18">
        <f>IF(OR(NOT(ISNUMBER($A3)),ROW()-2&lt;Settings!$B$11),NA(),IF(COUNT(OFFSET(F3,1-Settings!$B$11,0,Settings!$B$11,1))&lt;Settings!$B$11,NA(),STDEV(OFFSET(F3,1-Settings!$B$11,0,Settings!$B$11,1))*SQRT(Settings!$B$13)))</f>
        <v/>
      </c>
      <c r="I3" s="18">
        <f>IF(OR(NOT(ISNUMBER($A3)),ROW()-2&lt;Settings!$B$12),NA(),IF(COUNT(OFFSET(F3,1-Settings!$B$12,0,Settings!$B$12,1))&lt;Settings!$B$12,NA(),STDEV(OFFSET(F3,1-Settings!$B$12,0,Settings!$B$12,1))*SQRT(Settings!$B$13)))</f>
        <v/>
      </c>
      <c r="J3" s="18">
        <f>IF(OR(NOT(ISNUMBER($A3)),ROW()-2&lt;Settings!$B$11),NA(),IF(COUNT(OFFSET(G3,1-Settings!$B$11,0,Settings!$B$11,1))&lt;Settings!$B$11,NA(),STDEV(OFFSET(G3,1-Settings!$B$11,0,Settings!$B$11,1))*SQRT(Settings!$B$13)))</f>
        <v/>
      </c>
      <c r="K3" s="18">
        <f>IF(OR(NOT(ISNUMBER($A3)),ROW()-2&lt;Settings!$B$12),NA(),IF(COUNT(OFFSET(G3,1-Settings!$B$12,0,Settings!$B$12,1))&lt;Settings!$B$12,NA(),STDEV(OFFSET(G3,1-Settings!$B$12,0,Settings!$B$12,1))*SQRT(Settings!$B$13)))</f>
        <v/>
      </c>
      <c r="L3" s="18">
        <f>IF(AND(ISNUMBER(D3),ISNUMBER(H3)),D3-H3,NA())</f>
        <v/>
      </c>
      <c r="M3" s="18">
        <f>IF(AND(ISNUMBER(E3),ISNUMBER(K3)),E3-K3,NA())</f>
        <v/>
      </c>
      <c r="N3" s="18">
        <f>IF(NOT(ISNUMBER($A3)),NA(),IF(COUNT(OFFSET(G3,1,0,Settings!$B$12,1))&lt;Settings!$B$12,NA(),STDEV(OFFSET(G3,1,0,Settings!$B$12,1))*SQRT(Settings!$B$13)))</f>
        <v/>
      </c>
      <c r="O3" s="18">
        <f>IF(AND(ISNUMBER(E3),ISNUMBER(N3)),E3-N3,NA())</f>
        <v/>
      </c>
      <c r="P3" s="17">
        <f>IF(NOT(ISNUMBER($A3)),NA(),IF(OR($A3&lt;MIN(KW_TP!$A$2:$A$2501),$A3&gt;MAX(KW_TP!$A$2:$A$2501)),NA(),INDEX(KW_TP!$C$2:$C$2501,MATCH($A3,KW_TP!$A$2:$A$2501,1))))</f>
        <v/>
      </c>
    </row>
    <row r="4">
      <c r="A4" s="15">
        <f>IF(ISNUMBER(BBG_Data!A4),BBG_Data!A4,"")</f>
        <v/>
      </c>
      <c r="B4" s="16">
        <f>IF(AND(ISNUMBER($A4),ISNUMBER(BBG_Data!B4)),BBG_Data!B4,NA())</f>
        <v/>
      </c>
      <c r="C4" s="16">
        <f>IF(AND(ISNUMBER($A4),ISNUMBER(BBG_Data!C4)),BBG_Data!C4,NA())</f>
        <v/>
      </c>
      <c r="D4" s="17">
        <f>IF(AND(ISNUMBER($A4),ISNUMBER(BBG_Data!D4)),BBG_Data!D4,NA())</f>
        <v/>
      </c>
      <c r="E4" s="17">
        <f>IF(AND(ISNUMBER($A4),ISNUMBER(BBG_Data!E4)),BBG_Data!E4,NA())</f>
        <v/>
      </c>
      <c r="F4" s="18">
        <f>IF(AND(ISNUMBER(B4),ISNUMBER(B3)),(B4-B3)*100,"")</f>
        <v/>
      </c>
      <c r="G4" s="18">
        <f>IF(AND(ISNUMBER(C4),ISNUMBER(C3)),(C4-C3)*100,"")</f>
        <v/>
      </c>
      <c r="H4" s="18">
        <f>IF(OR(NOT(ISNUMBER($A4)),ROW()-2&lt;Settings!$B$11),NA(),IF(COUNT(OFFSET(F4,1-Settings!$B$11,0,Settings!$B$11,1))&lt;Settings!$B$11,NA(),STDEV(OFFSET(F4,1-Settings!$B$11,0,Settings!$B$11,1))*SQRT(Settings!$B$13)))</f>
        <v/>
      </c>
      <c r="I4" s="18">
        <f>IF(OR(NOT(ISNUMBER($A4)),ROW()-2&lt;Settings!$B$12),NA(),IF(COUNT(OFFSET(F4,1-Settings!$B$12,0,Settings!$B$12,1))&lt;Settings!$B$12,NA(),STDEV(OFFSET(F4,1-Settings!$B$12,0,Settings!$B$12,1))*SQRT(Settings!$B$13)))</f>
        <v/>
      </c>
      <c r="J4" s="18">
        <f>IF(OR(NOT(ISNUMBER($A4)),ROW()-2&lt;Settings!$B$11),NA(),IF(COUNT(OFFSET(G4,1-Settings!$B$11,0,Settings!$B$11,1))&lt;Settings!$B$11,NA(),STDEV(OFFSET(G4,1-Settings!$B$11,0,Settings!$B$11,1))*SQRT(Settings!$B$13)))</f>
        <v/>
      </c>
      <c r="K4" s="18">
        <f>IF(OR(NOT(ISNUMBER($A4)),ROW()-2&lt;Settings!$B$12),NA(),IF(COUNT(OFFSET(G4,1-Settings!$B$12,0,Settings!$B$12,1))&lt;Settings!$B$12,NA(),STDEV(OFFSET(G4,1-Settings!$B$12,0,Settings!$B$12,1))*SQRT(Settings!$B$13)))</f>
        <v/>
      </c>
      <c r="L4" s="18">
        <f>IF(AND(ISNUMBER(D4),ISNUMBER(H4)),D4-H4,NA())</f>
        <v/>
      </c>
      <c r="M4" s="18">
        <f>IF(AND(ISNUMBER(E4),ISNUMBER(K4)),E4-K4,NA())</f>
        <v/>
      </c>
      <c r="N4" s="18">
        <f>IF(NOT(ISNUMBER($A4)),NA(),IF(COUNT(OFFSET(G4,1,0,Settings!$B$12,1))&lt;Settings!$B$12,NA(),STDEV(OFFSET(G4,1,0,Settings!$B$12,1))*SQRT(Settings!$B$13)))</f>
        <v/>
      </c>
      <c r="O4" s="18">
        <f>IF(AND(ISNUMBER(E4),ISNUMBER(N4)),E4-N4,NA())</f>
        <v/>
      </c>
      <c r="P4" s="17">
        <f>IF(NOT(ISNUMBER($A4)),NA(),IF(OR($A4&lt;MIN(KW_TP!$A$2:$A$2501),$A4&gt;MAX(KW_TP!$A$2:$A$2501)),NA(),INDEX(KW_TP!$C$2:$C$2501,MATCH($A4,KW_TP!$A$2:$A$2501,1))))</f>
        <v/>
      </c>
    </row>
    <row r="5">
      <c r="A5" s="15">
        <f>IF(ISNUMBER(BBG_Data!A5),BBG_Data!A5,"")</f>
        <v/>
      </c>
      <c r="B5" s="16">
        <f>IF(AND(ISNUMBER($A5),ISNUMBER(BBG_Data!B5)),BBG_Data!B5,NA())</f>
        <v/>
      </c>
      <c r="C5" s="16">
        <f>IF(AND(ISNUMBER($A5),ISNUMBER(BBG_Data!C5)),BBG_Data!C5,NA())</f>
        <v/>
      </c>
      <c r="D5" s="17">
        <f>IF(AND(ISNUMBER($A5),ISNUMBER(BBG_Data!D5)),BBG_Data!D5,NA())</f>
        <v/>
      </c>
      <c r="E5" s="17">
        <f>IF(AND(ISNUMBER($A5),ISNUMBER(BBG_Data!E5)),BBG_Data!E5,NA())</f>
        <v/>
      </c>
      <c r="F5" s="18">
        <f>IF(AND(ISNUMBER(B5),ISNUMBER(B4)),(B5-B4)*100,"")</f>
        <v/>
      </c>
      <c r="G5" s="18">
        <f>IF(AND(ISNUMBER(C5),ISNUMBER(C4)),(C5-C4)*100,"")</f>
        <v/>
      </c>
      <c r="H5" s="18">
        <f>IF(OR(NOT(ISNUMBER($A5)),ROW()-2&lt;Settings!$B$11),NA(),IF(COUNT(OFFSET(F5,1-Settings!$B$11,0,Settings!$B$11,1))&lt;Settings!$B$11,NA(),STDEV(OFFSET(F5,1-Settings!$B$11,0,Settings!$B$11,1))*SQRT(Settings!$B$13)))</f>
        <v/>
      </c>
      <c r="I5" s="18">
        <f>IF(OR(NOT(ISNUMBER($A5)),ROW()-2&lt;Settings!$B$12),NA(),IF(COUNT(OFFSET(F5,1-Settings!$B$12,0,Settings!$B$12,1))&lt;Settings!$B$12,NA(),STDEV(OFFSET(F5,1-Settings!$B$12,0,Settings!$B$12,1))*SQRT(Settings!$B$13)))</f>
        <v/>
      </c>
      <c r="J5" s="18">
        <f>IF(OR(NOT(ISNUMBER($A5)),ROW()-2&lt;Settings!$B$11),NA(),IF(COUNT(OFFSET(G5,1-Settings!$B$11,0,Settings!$B$11,1))&lt;Settings!$B$11,NA(),STDEV(OFFSET(G5,1-Settings!$B$11,0,Settings!$B$11,1))*SQRT(Settings!$B$13)))</f>
        <v/>
      </c>
      <c r="K5" s="18">
        <f>IF(OR(NOT(ISNUMBER($A5)),ROW()-2&lt;Settings!$B$12),NA(),IF(COUNT(OFFSET(G5,1-Settings!$B$12,0,Settings!$B$12,1))&lt;Settings!$B$12,NA(),STDEV(OFFSET(G5,1-Settings!$B$12,0,Settings!$B$12,1))*SQRT(Settings!$B$13)))</f>
        <v/>
      </c>
      <c r="L5" s="18">
        <f>IF(AND(ISNUMBER(D5),ISNUMBER(H5)),D5-H5,NA())</f>
        <v/>
      </c>
      <c r="M5" s="18">
        <f>IF(AND(ISNUMBER(E5),ISNUMBER(K5)),E5-K5,NA())</f>
        <v/>
      </c>
      <c r="N5" s="18">
        <f>IF(NOT(ISNUMBER($A5)),NA(),IF(COUNT(OFFSET(G5,1,0,Settings!$B$12,1))&lt;Settings!$B$12,NA(),STDEV(OFFSET(G5,1,0,Settings!$B$12,1))*SQRT(Settings!$B$13)))</f>
        <v/>
      </c>
      <c r="O5" s="18">
        <f>IF(AND(ISNUMBER(E5),ISNUMBER(N5)),E5-N5,NA())</f>
        <v/>
      </c>
      <c r="P5" s="17">
        <f>IF(NOT(ISNUMBER($A5)),NA(),IF(OR($A5&lt;MIN(KW_TP!$A$2:$A$2501),$A5&gt;MAX(KW_TP!$A$2:$A$2501)),NA(),INDEX(KW_TP!$C$2:$C$2501,MATCH($A5,KW_TP!$A$2:$A$2501,1))))</f>
        <v/>
      </c>
    </row>
    <row r="6">
      <c r="A6" s="15">
        <f>IF(ISNUMBER(BBG_Data!A6),BBG_Data!A6,"")</f>
        <v/>
      </c>
      <c r="B6" s="16">
        <f>IF(AND(ISNUMBER($A6),ISNUMBER(BBG_Data!B6)),BBG_Data!B6,NA())</f>
        <v/>
      </c>
      <c r="C6" s="16">
        <f>IF(AND(ISNUMBER($A6),ISNUMBER(BBG_Data!C6)),BBG_Data!C6,NA())</f>
        <v/>
      </c>
      <c r="D6" s="17">
        <f>IF(AND(ISNUMBER($A6),ISNUMBER(BBG_Data!D6)),BBG_Data!D6,NA())</f>
        <v/>
      </c>
      <c r="E6" s="17">
        <f>IF(AND(ISNUMBER($A6),ISNUMBER(BBG_Data!E6)),BBG_Data!E6,NA())</f>
        <v/>
      </c>
      <c r="F6" s="18">
        <f>IF(AND(ISNUMBER(B6),ISNUMBER(B5)),(B6-B5)*100,"")</f>
        <v/>
      </c>
      <c r="G6" s="18">
        <f>IF(AND(ISNUMBER(C6),ISNUMBER(C5)),(C6-C5)*100,"")</f>
        <v/>
      </c>
      <c r="H6" s="18">
        <f>IF(OR(NOT(ISNUMBER($A6)),ROW()-2&lt;Settings!$B$11),NA(),IF(COUNT(OFFSET(F6,1-Settings!$B$11,0,Settings!$B$11,1))&lt;Settings!$B$11,NA(),STDEV(OFFSET(F6,1-Settings!$B$11,0,Settings!$B$11,1))*SQRT(Settings!$B$13)))</f>
        <v/>
      </c>
      <c r="I6" s="18">
        <f>IF(OR(NOT(ISNUMBER($A6)),ROW()-2&lt;Settings!$B$12),NA(),IF(COUNT(OFFSET(F6,1-Settings!$B$12,0,Settings!$B$12,1))&lt;Settings!$B$12,NA(),STDEV(OFFSET(F6,1-Settings!$B$12,0,Settings!$B$12,1))*SQRT(Settings!$B$13)))</f>
        <v/>
      </c>
      <c r="J6" s="18">
        <f>IF(OR(NOT(ISNUMBER($A6)),ROW()-2&lt;Settings!$B$11),NA(),IF(COUNT(OFFSET(G6,1-Settings!$B$11,0,Settings!$B$11,1))&lt;Settings!$B$11,NA(),STDEV(OFFSET(G6,1-Settings!$B$11,0,Settings!$B$11,1))*SQRT(Settings!$B$13)))</f>
        <v/>
      </c>
      <c r="K6" s="18">
        <f>IF(OR(NOT(ISNUMBER($A6)),ROW()-2&lt;Settings!$B$12),NA(),IF(COUNT(OFFSET(G6,1-Settings!$B$12,0,Settings!$B$12,1))&lt;Settings!$B$12,NA(),STDEV(OFFSET(G6,1-Settings!$B$12,0,Settings!$B$12,1))*SQRT(Settings!$B$13)))</f>
        <v/>
      </c>
      <c r="L6" s="18">
        <f>IF(AND(ISNUMBER(D6),ISNUMBER(H6)),D6-H6,NA())</f>
        <v/>
      </c>
      <c r="M6" s="18">
        <f>IF(AND(ISNUMBER(E6),ISNUMBER(K6)),E6-K6,NA())</f>
        <v/>
      </c>
      <c r="N6" s="18">
        <f>IF(NOT(ISNUMBER($A6)),NA(),IF(COUNT(OFFSET(G6,1,0,Settings!$B$12,1))&lt;Settings!$B$12,NA(),STDEV(OFFSET(G6,1,0,Settings!$B$12,1))*SQRT(Settings!$B$13)))</f>
        <v/>
      </c>
      <c r="O6" s="18">
        <f>IF(AND(ISNUMBER(E6),ISNUMBER(N6)),E6-N6,NA())</f>
        <v/>
      </c>
      <c r="P6" s="17">
        <f>IF(NOT(ISNUMBER($A6)),NA(),IF(OR($A6&lt;MIN(KW_TP!$A$2:$A$2501),$A6&gt;MAX(KW_TP!$A$2:$A$2501)),NA(),INDEX(KW_TP!$C$2:$C$2501,MATCH($A6,KW_TP!$A$2:$A$2501,1))))</f>
        <v/>
      </c>
    </row>
    <row r="7">
      <c r="A7" s="15">
        <f>IF(ISNUMBER(BBG_Data!A7),BBG_Data!A7,"")</f>
        <v/>
      </c>
      <c r="B7" s="16">
        <f>IF(AND(ISNUMBER($A7),ISNUMBER(BBG_Data!B7)),BBG_Data!B7,NA())</f>
        <v/>
      </c>
      <c r="C7" s="16">
        <f>IF(AND(ISNUMBER($A7),ISNUMBER(BBG_Data!C7)),BBG_Data!C7,NA())</f>
        <v/>
      </c>
      <c r="D7" s="17">
        <f>IF(AND(ISNUMBER($A7),ISNUMBER(BBG_Data!D7)),BBG_Data!D7,NA())</f>
        <v/>
      </c>
      <c r="E7" s="17">
        <f>IF(AND(ISNUMBER($A7),ISNUMBER(BBG_Data!E7)),BBG_Data!E7,NA())</f>
        <v/>
      </c>
      <c r="F7" s="18">
        <f>IF(AND(ISNUMBER(B7),ISNUMBER(B6)),(B7-B6)*100,"")</f>
        <v/>
      </c>
      <c r="G7" s="18">
        <f>IF(AND(ISNUMBER(C7),ISNUMBER(C6)),(C7-C6)*100,"")</f>
        <v/>
      </c>
      <c r="H7" s="18">
        <f>IF(OR(NOT(ISNUMBER($A7)),ROW()-2&lt;Settings!$B$11),NA(),IF(COUNT(OFFSET(F7,1-Settings!$B$11,0,Settings!$B$11,1))&lt;Settings!$B$11,NA(),STDEV(OFFSET(F7,1-Settings!$B$11,0,Settings!$B$11,1))*SQRT(Settings!$B$13)))</f>
        <v/>
      </c>
      <c r="I7" s="18">
        <f>IF(OR(NOT(ISNUMBER($A7)),ROW()-2&lt;Settings!$B$12),NA(),IF(COUNT(OFFSET(F7,1-Settings!$B$12,0,Settings!$B$12,1))&lt;Settings!$B$12,NA(),STDEV(OFFSET(F7,1-Settings!$B$12,0,Settings!$B$12,1))*SQRT(Settings!$B$13)))</f>
        <v/>
      </c>
      <c r="J7" s="18">
        <f>IF(OR(NOT(ISNUMBER($A7)),ROW()-2&lt;Settings!$B$11),NA(),IF(COUNT(OFFSET(G7,1-Settings!$B$11,0,Settings!$B$11,1))&lt;Settings!$B$11,NA(),STDEV(OFFSET(G7,1-Settings!$B$11,0,Settings!$B$11,1))*SQRT(Settings!$B$13)))</f>
        <v/>
      </c>
      <c r="K7" s="18">
        <f>IF(OR(NOT(ISNUMBER($A7)),ROW()-2&lt;Settings!$B$12),NA(),IF(COUNT(OFFSET(G7,1-Settings!$B$12,0,Settings!$B$12,1))&lt;Settings!$B$12,NA(),STDEV(OFFSET(G7,1-Settings!$B$12,0,Settings!$B$12,1))*SQRT(Settings!$B$13)))</f>
        <v/>
      </c>
      <c r="L7" s="18">
        <f>IF(AND(ISNUMBER(D7),ISNUMBER(H7)),D7-H7,NA())</f>
        <v/>
      </c>
      <c r="M7" s="18">
        <f>IF(AND(ISNUMBER(E7),ISNUMBER(K7)),E7-K7,NA())</f>
        <v/>
      </c>
      <c r="N7" s="18">
        <f>IF(NOT(ISNUMBER($A7)),NA(),IF(COUNT(OFFSET(G7,1,0,Settings!$B$12,1))&lt;Settings!$B$12,NA(),STDEV(OFFSET(G7,1,0,Settings!$B$12,1))*SQRT(Settings!$B$13)))</f>
        <v/>
      </c>
      <c r="O7" s="18">
        <f>IF(AND(ISNUMBER(E7),ISNUMBER(N7)),E7-N7,NA())</f>
        <v/>
      </c>
      <c r="P7" s="17">
        <f>IF(NOT(ISNUMBER($A7)),NA(),IF(OR($A7&lt;MIN(KW_TP!$A$2:$A$2501),$A7&gt;MAX(KW_TP!$A$2:$A$2501)),NA(),INDEX(KW_TP!$C$2:$C$2501,MATCH($A7,KW_TP!$A$2:$A$2501,1))))</f>
        <v/>
      </c>
    </row>
    <row r="8">
      <c r="A8" s="15">
        <f>IF(ISNUMBER(BBG_Data!A8),BBG_Data!A8,"")</f>
        <v/>
      </c>
      <c r="B8" s="16">
        <f>IF(AND(ISNUMBER($A8),ISNUMBER(BBG_Data!B8)),BBG_Data!B8,NA())</f>
        <v/>
      </c>
      <c r="C8" s="16">
        <f>IF(AND(ISNUMBER($A8),ISNUMBER(BBG_Data!C8)),BBG_Data!C8,NA())</f>
        <v/>
      </c>
      <c r="D8" s="17">
        <f>IF(AND(ISNUMBER($A8),ISNUMBER(BBG_Data!D8)),BBG_Data!D8,NA())</f>
        <v/>
      </c>
      <c r="E8" s="17">
        <f>IF(AND(ISNUMBER($A8),ISNUMBER(BBG_Data!E8)),BBG_Data!E8,NA())</f>
        <v/>
      </c>
      <c r="F8" s="18">
        <f>IF(AND(ISNUMBER(B8),ISNUMBER(B7)),(B8-B7)*100,"")</f>
        <v/>
      </c>
      <c r="G8" s="18">
        <f>IF(AND(ISNUMBER(C8),ISNUMBER(C7)),(C8-C7)*100,"")</f>
        <v/>
      </c>
      <c r="H8" s="18">
        <f>IF(OR(NOT(ISNUMBER($A8)),ROW()-2&lt;Settings!$B$11),NA(),IF(COUNT(OFFSET(F8,1-Settings!$B$11,0,Settings!$B$11,1))&lt;Settings!$B$11,NA(),STDEV(OFFSET(F8,1-Settings!$B$11,0,Settings!$B$11,1))*SQRT(Settings!$B$13)))</f>
        <v/>
      </c>
      <c r="I8" s="18">
        <f>IF(OR(NOT(ISNUMBER($A8)),ROW()-2&lt;Settings!$B$12),NA(),IF(COUNT(OFFSET(F8,1-Settings!$B$12,0,Settings!$B$12,1))&lt;Settings!$B$12,NA(),STDEV(OFFSET(F8,1-Settings!$B$12,0,Settings!$B$12,1))*SQRT(Settings!$B$13)))</f>
        <v/>
      </c>
      <c r="J8" s="18">
        <f>IF(OR(NOT(ISNUMBER($A8)),ROW()-2&lt;Settings!$B$11),NA(),IF(COUNT(OFFSET(G8,1-Settings!$B$11,0,Settings!$B$11,1))&lt;Settings!$B$11,NA(),STDEV(OFFSET(G8,1-Settings!$B$11,0,Settings!$B$11,1))*SQRT(Settings!$B$13)))</f>
        <v/>
      </c>
      <c r="K8" s="18">
        <f>IF(OR(NOT(ISNUMBER($A8)),ROW()-2&lt;Settings!$B$12),NA(),IF(COUNT(OFFSET(G8,1-Settings!$B$12,0,Settings!$B$12,1))&lt;Settings!$B$12,NA(),STDEV(OFFSET(G8,1-Settings!$B$12,0,Settings!$B$12,1))*SQRT(Settings!$B$13)))</f>
        <v/>
      </c>
      <c r="L8" s="18">
        <f>IF(AND(ISNUMBER(D8),ISNUMBER(H8)),D8-H8,NA())</f>
        <v/>
      </c>
      <c r="M8" s="18">
        <f>IF(AND(ISNUMBER(E8),ISNUMBER(K8)),E8-K8,NA())</f>
        <v/>
      </c>
      <c r="N8" s="18">
        <f>IF(NOT(ISNUMBER($A8)),NA(),IF(COUNT(OFFSET(G8,1,0,Settings!$B$12,1))&lt;Settings!$B$12,NA(),STDEV(OFFSET(G8,1,0,Settings!$B$12,1))*SQRT(Settings!$B$13)))</f>
        <v/>
      </c>
      <c r="O8" s="18">
        <f>IF(AND(ISNUMBER(E8),ISNUMBER(N8)),E8-N8,NA())</f>
        <v/>
      </c>
      <c r="P8" s="17">
        <f>IF(NOT(ISNUMBER($A8)),NA(),IF(OR($A8&lt;MIN(KW_TP!$A$2:$A$2501),$A8&gt;MAX(KW_TP!$A$2:$A$2501)),NA(),INDEX(KW_TP!$C$2:$C$2501,MATCH($A8,KW_TP!$A$2:$A$2501,1))))</f>
        <v/>
      </c>
    </row>
    <row r="9">
      <c r="A9" s="15">
        <f>IF(ISNUMBER(BBG_Data!A9),BBG_Data!A9,"")</f>
        <v/>
      </c>
      <c r="B9" s="16">
        <f>IF(AND(ISNUMBER($A9),ISNUMBER(BBG_Data!B9)),BBG_Data!B9,NA())</f>
        <v/>
      </c>
      <c r="C9" s="16">
        <f>IF(AND(ISNUMBER($A9),ISNUMBER(BBG_Data!C9)),BBG_Data!C9,NA())</f>
        <v/>
      </c>
      <c r="D9" s="17">
        <f>IF(AND(ISNUMBER($A9),ISNUMBER(BBG_Data!D9)),BBG_Data!D9,NA())</f>
        <v/>
      </c>
      <c r="E9" s="17">
        <f>IF(AND(ISNUMBER($A9),ISNUMBER(BBG_Data!E9)),BBG_Data!E9,NA())</f>
        <v/>
      </c>
      <c r="F9" s="18">
        <f>IF(AND(ISNUMBER(B9),ISNUMBER(B8)),(B9-B8)*100,"")</f>
        <v/>
      </c>
      <c r="G9" s="18">
        <f>IF(AND(ISNUMBER(C9),ISNUMBER(C8)),(C9-C8)*100,"")</f>
        <v/>
      </c>
      <c r="H9" s="18">
        <f>IF(OR(NOT(ISNUMBER($A9)),ROW()-2&lt;Settings!$B$11),NA(),IF(COUNT(OFFSET(F9,1-Settings!$B$11,0,Settings!$B$11,1))&lt;Settings!$B$11,NA(),STDEV(OFFSET(F9,1-Settings!$B$11,0,Settings!$B$11,1))*SQRT(Settings!$B$13)))</f>
        <v/>
      </c>
      <c r="I9" s="18">
        <f>IF(OR(NOT(ISNUMBER($A9)),ROW()-2&lt;Settings!$B$12),NA(),IF(COUNT(OFFSET(F9,1-Settings!$B$12,0,Settings!$B$12,1))&lt;Settings!$B$12,NA(),STDEV(OFFSET(F9,1-Settings!$B$12,0,Settings!$B$12,1))*SQRT(Settings!$B$13)))</f>
        <v/>
      </c>
      <c r="J9" s="18">
        <f>IF(OR(NOT(ISNUMBER($A9)),ROW()-2&lt;Settings!$B$11),NA(),IF(COUNT(OFFSET(G9,1-Settings!$B$11,0,Settings!$B$11,1))&lt;Settings!$B$11,NA(),STDEV(OFFSET(G9,1-Settings!$B$11,0,Settings!$B$11,1))*SQRT(Settings!$B$13)))</f>
        <v/>
      </c>
      <c r="K9" s="18">
        <f>IF(OR(NOT(ISNUMBER($A9)),ROW()-2&lt;Settings!$B$12),NA(),IF(COUNT(OFFSET(G9,1-Settings!$B$12,0,Settings!$B$12,1))&lt;Settings!$B$12,NA(),STDEV(OFFSET(G9,1-Settings!$B$12,0,Settings!$B$12,1))*SQRT(Settings!$B$13)))</f>
        <v/>
      </c>
      <c r="L9" s="18">
        <f>IF(AND(ISNUMBER(D9),ISNUMBER(H9)),D9-H9,NA())</f>
        <v/>
      </c>
      <c r="M9" s="18">
        <f>IF(AND(ISNUMBER(E9),ISNUMBER(K9)),E9-K9,NA())</f>
        <v/>
      </c>
      <c r="N9" s="18">
        <f>IF(NOT(ISNUMBER($A9)),NA(),IF(COUNT(OFFSET(G9,1,0,Settings!$B$12,1))&lt;Settings!$B$12,NA(),STDEV(OFFSET(G9,1,0,Settings!$B$12,1))*SQRT(Settings!$B$13)))</f>
        <v/>
      </c>
      <c r="O9" s="18">
        <f>IF(AND(ISNUMBER(E9),ISNUMBER(N9)),E9-N9,NA())</f>
        <v/>
      </c>
      <c r="P9" s="17">
        <f>IF(NOT(ISNUMBER($A9)),NA(),IF(OR($A9&lt;MIN(KW_TP!$A$2:$A$2501),$A9&gt;MAX(KW_TP!$A$2:$A$2501)),NA(),INDEX(KW_TP!$C$2:$C$2501,MATCH($A9,KW_TP!$A$2:$A$2501,1))))</f>
        <v/>
      </c>
    </row>
    <row r="10">
      <c r="A10" s="15">
        <f>IF(ISNUMBER(BBG_Data!A10),BBG_Data!A10,"")</f>
        <v/>
      </c>
      <c r="B10" s="16">
        <f>IF(AND(ISNUMBER($A10),ISNUMBER(BBG_Data!B10)),BBG_Data!B10,NA())</f>
        <v/>
      </c>
      <c r="C10" s="16">
        <f>IF(AND(ISNUMBER($A10),ISNUMBER(BBG_Data!C10)),BBG_Data!C10,NA())</f>
        <v/>
      </c>
      <c r="D10" s="17">
        <f>IF(AND(ISNUMBER($A10),ISNUMBER(BBG_Data!D10)),BBG_Data!D10,NA())</f>
        <v/>
      </c>
      <c r="E10" s="17">
        <f>IF(AND(ISNUMBER($A10),ISNUMBER(BBG_Data!E10)),BBG_Data!E10,NA())</f>
        <v/>
      </c>
      <c r="F10" s="18">
        <f>IF(AND(ISNUMBER(B10),ISNUMBER(B9)),(B10-B9)*100,"")</f>
        <v/>
      </c>
      <c r="G10" s="18">
        <f>IF(AND(ISNUMBER(C10),ISNUMBER(C9)),(C10-C9)*100,"")</f>
        <v/>
      </c>
      <c r="H10" s="18">
        <f>IF(OR(NOT(ISNUMBER($A10)),ROW()-2&lt;Settings!$B$11),NA(),IF(COUNT(OFFSET(F10,1-Settings!$B$11,0,Settings!$B$11,1))&lt;Settings!$B$11,NA(),STDEV(OFFSET(F10,1-Settings!$B$11,0,Settings!$B$11,1))*SQRT(Settings!$B$13)))</f>
        <v/>
      </c>
      <c r="I10" s="18">
        <f>IF(OR(NOT(ISNUMBER($A10)),ROW()-2&lt;Settings!$B$12),NA(),IF(COUNT(OFFSET(F10,1-Settings!$B$12,0,Settings!$B$12,1))&lt;Settings!$B$12,NA(),STDEV(OFFSET(F10,1-Settings!$B$12,0,Settings!$B$12,1))*SQRT(Settings!$B$13)))</f>
        <v/>
      </c>
      <c r="J10" s="18">
        <f>IF(OR(NOT(ISNUMBER($A10)),ROW()-2&lt;Settings!$B$11),NA(),IF(COUNT(OFFSET(G10,1-Settings!$B$11,0,Settings!$B$11,1))&lt;Settings!$B$11,NA(),STDEV(OFFSET(G10,1-Settings!$B$11,0,Settings!$B$11,1))*SQRT(Settings!$B$13)))</f>
        <v/>
      </c>
      <c r="K10" s="18">
        <f>IF(OR(NOT(ISNUMBER($A10)),ROW()-2&lt;Settings!$B$12),NA(),IF(COUNT(OFFSET(G10,1-Settings!$B$12,0,Settings!$B$12,1))&lt;Settings!$B$12,NA(),STDEV(OFFSET(G10,1-Settings!$B$12,0,Settings!$B$12,1))*SQRT(Settings!$B$13)))</f>
        <v/>
      </c>
      <c r="L10" s="18">
        <f>IF(AND(ISNUMBER(D10),ISNUMBER(H10)),D10-H10,NA())</f>
        <v/>
      </c>
      <c r="M10" s="18">
        <f>IF(AND(ISNUMBER(E10),ISNUMBER(K10)),E10-K10,NA())</f>
        <v/>
      </c>
      <c r="N10" s="18">
        <f>IF(NOT(ISNUMBER($A10)),NA(),IF(COUNT(OFFSET(G10,1,0,Settings!$B$12,1))&lt;Settings!$B$12,NA(),STDEV(OFFSET(G10,1,0,Settings!$B$12,1))*SQRT(Settings!$B$13)))</f>
        <v/>
      </c>
      <c r="O10" s="18">
        <f>IF(AND(ISNUMBER(E10),ISNUMBER(N10)),E10-N10,NA())</f>
        <v/>
      </c>
      <c r="P10" s="17">
        <f>IF(NOT(ISNUMBER($A10)),NA(),IF(OR($A10&lt;MIN(KW_TP!$A$2:$A$2501),$A10&gt;MAX(KW_TP!$A$2:$A$2501)),NA(),INDEX(KW_TP!$C$2:$C$2501,MATCH($A10,KW_TP!$A$2:$A$2501,1))))</f>
        <v/>
      </c>
    </row>
    <row r="11">
      <c r="A11" s="15">
        <f>IF(ISNUMBER(BBG_Data!A11),BBG_Data!A11,"")</f>
        <v/>
      </c>
      <c r="B11" s="16">
        <f>IF(AND(ISNUMBER($A11),ISNUMBER(BBG_Data!B11)),BBG_Data!B11,NA())</f>
        <v/>
      </c>
      <c r="C11" s="16">
        <f>IF(AND(ISNUMBER($A11),ISNUMBER(BBG_Data!C11)),BBG_Data!C11,NA())</f>
        <v/>
      </c>
      <c r="D11" s="17">
        <f>IF(AND(ISNUMBER($A11),ISNUMBER(BBG_Data!D11)),BBG_Data!D11,NA())</f>
        <v/>
      </c>
      <c r="E11" s="17">
        <f>IF(AND(ISNUMBER($A11),ISNUMBER(BBG_Data!E11)),BBG_Data!E11,NA())</f>
        <v/>
      </c>
      <c r="F11" s="18">
        <f>IF(AND(ISNUMBER(B11),ISNUMBER(B10)),(B11-B10)*100,"")</f>
        <v/>
      </c>
      <c r="G11" s="18">
        <f>IF(AND(ISNUMBER(C11),ISNUMBER(C10)),(C11-C10)*100,"")</f>
        <v/>
      </c>
      <c r="H11" s="18">
        <f>IF(OR(NOT(ISNUMBER($A11)),ROW()-2&lt;Settings!$B$11),NA(),IF(COUNT(OFFSET(F11,1-Settings!$B$11,0,Settings!$B$11,1))&lt;Settings!$B$11,NA(),STDEV(OFFSET(F11,1-Settings!$B$11,0,Settings!$B$11,1))*SQRT(Settings!$B$13)))</f>
        <v/>
      </c>
      <c r="I11" s="18">
        <f>IF(OR(NOT(ISNUMBER($A11)),ROW()-2&lt;Settings!$B$12),NA(),IF(COUNT(OFFSET(F11,1-Settings!$B$12,0,Settings!$B$12,1))&lt;Settings!$B$12,NA(),STDEV(OFFSET(F11,1-Settings!$B$12,0,Settings!$B$12,1))*SQRT(Settings!$B$13)))</f>
        <v/>
      </c>
      <c r="J11" s="18">
        <f>IF(OR(NOT(ISNUMBER($A11)),ROW()-2&lt;Settings!$B$11),NA(),IF(COUNT(OFFSET(G11,1-Settings!$B$11,0,Settings!$B$11,1))&lt;Settings!$B$11,NA(),STDEV(OFFSET(G11,1-Settings!$B$11,0,Settings!$B$11,1))*SQRT(Settings!$B$13)))</f>
        <v/>
      </c>
      <c r="K11" s="18">
        <f>IF(OR(NOT(ISNUMBER($A11)),ROW()-2&lt;Settings!$B$12),NA(),IF(COUNT(OFFSET(G11,1-Settings!$B$12,0,Settings!$B$12,1))&lt;Settings!$B$12,NA(),STDEV(OFFSET(G11,1-Settings!$B$12,0,Settings!$B$12,1))*SQRT(Settings!$B$13)))</f>
        <v/>
      </c>
      <c r="L11" s="18">
        <f>IF(AND(ISNUMBER(D11),ISNUMBER(H11)),D11-H11,NA())</f>
        <v/>
      </c>
      <c r="M11" s="18">
        <f>IF(AND(ISNUMBER(E11),ISNUMBER(K11)),E11-K11,NA())</f>
        <v/>
      </c>
      <c r="N11" s="18">
        <f>IF(NOT(ISNUMBER($A11)),NA(),IF(COUNT(OFFSET(G11,1,0,Settings!$B$12,1))&lt;Settings!$B$12,NA(),STDEV(OFFSET(G11,1,0,Settings!$B$12,1))*SQRT(Settings!$B$13)))</f>
        <v/>
      </c>
      <c r="O11" s="18">
        <f>IF(AND(ISNUMBER(E11),ISNUMBER(N11)),E11-N11,NA())</f>
        <v/>
      </c>
      <c r="P11" s="17">
        <f>IF(NOT(ISNUMBER($A11)),NA(),IF(OR($A11&lt;MIN(KW_TP!$A$2:$A$2501),$A11&gt;MAX(KW_TP!$A$2:$A$2501)),NA(),INDEX(KW_TP!$C$2:$C$2501,MATCH($A11,KW_TP!$A$2:$A$2501,1))))</f>
        <v/>
      </c>
    </row>
    <row r="12">
      <c r="A12" s="15">
        <f>IF(ISNUMBER(BBG_Data!A12),BBG_Data!A12,"")</f>
        <v/>
      </c>
      <c r="B12" s="16">
        <f>IF(AND(ISNUMBER($A12),ISNUMBER(BBG_Data!B12)),BBG_Data!B12,NA())</f>
        <v/>
      </c>
      <c r="C12" s="16">
        <f>IF(AND(ISNUMBER($A12),ISNUMBER(BBG_Data!C12)),BBG_Data!C12,NA())</f>
        <v/>
      </c>
      <c r="D12" s="17">
        <f>IF(AND(ISNUMBER($A12),ISNUMBER(BBG_Data!D12)),BBG_Data!D12,NA())</f>
        <v/>
      </c>
      <c r="E12" s="17">
        <f>IF(AND(ISNUMBER($A12),ISNUMBER(BBG_Data!E12)),BBG_Data!E12,NA())</f>
        <v/>
      </c>
      <c r="F12" s="18">
        <f>IF(AND(ISNUMBER(B12),ISNUMBER(B11)),(B12-B11)*100,"")</f>
        <v/>
      </c>
      <c r="G12" s="18">
        <f>IF(AND(ISNUMBER(C12),ISNUMBER(C11)),(C12-C11)*100,"")</f>
        <v/>
      </c>
      <c r="H12" s="18">
        <f>IF(OR(NOT(ISNUMBER($A12)),ROW()-2&lt;Settings!$B$11),NA(),IF(COUNT(OFFSET(F12,1-Settings!$B$11,0,Settings!$B$11,1))&lt;Settings!$B$11,NA(),STDEV(OFFSET(F12,1-Settings!$B$11,0,Settings!$B$11,1))*SQRT(Settings!$B$13)))</f>
        <v/>
      </c>
      <c r="I12" s="18">
        <f>IF(OR(NOT(ISNUMBER($A12)),ROW()-2&lt;Settings!$B$12),NA(),IF(COUNT(OFFSET(F12,1-Settings!$B$12,0,Settings!$B$12,1))&lt;Settings!$B$12,NA(),STDEV(OFFSET(F12,1-Settings!$B$12,0,Settings!$B$12,1))*SQRT(Settings!$B$13)))</f>
        <v/>
      </c>
      <c r="J12" s="18">
        <f>IF(OR(NOT(ISNUMBER($A12)),ROW()-2&lt;Settings!$B$11),NA(),IF(COUNT(OFFSET(G12,1-Settings!$B$11,0,Settings!$B$11,1))&lt;Settings!$B$11,NA(),STDEV(OFFSET(G12,1-Settings!$B$11,0,Settings!$B$11,1))*SQRT(Settings!$B$13)))</f>
        <v/>
      </c>
      <c r="K12" s="18">
        <f>IF(OR(NOT(ISNUMBER($A12)),ROW()-2&lt;Settings!$B$12),NA(),IF(COUNT(OFFSET(G12,1-Settings!$B$12,0,Settings!$B$12,1))&lt;Settings!$B$12,NA(),STDEV(OFFSET(G12,1-Settings!$B$12,0,Settings!$B$12,1))*SQRT(Settings!$B$13)))</f>
        <v/>
      </c>
      <c r="L12" s="18">
        <f>IF(AND(ISNUMBER(D12),ISNUMBER(H12)),D12-H12,NA())</f>
        <v/>
      </c>
      <c r="M12" s="18">
        <f>IF(AND(ISNUMBER(E12),ISNUMBER(K12)),E12-K12,NA())</f>
        <v/>
      </c>
      <c r="N12" s="18">
        <f>IF(NOT(ISNUMBER($A12)),NA(),IF(COUNT(OFFSET(G12,1,0,Settings!$B$12,1))&lt;Settings!$B$12,NA(),STDEV(OFFSET(G12,1,0,Settings!$B$12,1))*SQRT(Settings!$B$13)))</f>
        <v/>
      </c>
      <c r="O12" s="18">
        <f>IF(AND(ISNUMBER(E12),ISNUMBER(N12)),E12-N12,NA())</f>
        <v/>
      </c>
      <c r="P12" s="17">
        <f>IF(NOT(ISNUMBER($A12)),NA(),IF(OR($A12&lt;MIN(KW_TP!$A$2:$A$2501),$A12&gt;MAX(KW_TP!$A$2:$A$2501)),NA(),INDEX(KW_TP!$C$2:$C$2501,MATCH($A12,KW_TP!$A$2:$A$2501,1))))</f>
        <v/>
      </c>
    </row>
    <row r="13">
      <c r="A13" s="15">
        <f>IF(ISNUMBER(BBG_Data!A13),BBG_Data!A13,"")</f>
        <v/>
      </c>
      <c r="B13" s="16">
        <f>IF(AND(ISNUMBER($A13),ISNUMBER(BBG_Data!B13)),BBG_Data!B13,NA())</f>
        <v/>
      </c>
      <c r="C13" s="16">
        <f>IF(AND(ISNUMBER($A13),ISNUMBER(BBG_Data!C13)),BBG_Data!C13,NA())</f>
        <v/>
      </c>
      <c r="D13" s="17">
        <f>IF(AND(ISNUMBER($A13),ISNUMBER(BBG_Data!D13)),BBG_Data!D13,NA())</f>
        <v/>
      </c>
      <c r="E13" s="17">
        <f>IF(AND(ISNUMBER($A13),ISNUMBER(BBG_Data!E13)),BBG_Data!E13,NA())</f>
        <v/>
      </c>
      <c r="F13" s="18">
        <f>IF(AND(ISNUMBER(B13),ISNUMBER(B12)),(B13-B12)*100,"")</f>
        <v/>
      </c>
      <c r="G13" s="18">
        <f>IF(AND(ISNUMBER(C13),ISNUMBER(C12)),(C13-C12)*100,"")</f>
        <v/>
      </c>
      <c r="H13" s="18">
        <f>IF(OR(NOT(ISNUMBER($A13)),ROW()-2&lt;Settings!$B$11),NA(),IF(COUNT(OFFSET(F13,1-Settings!$B$11,0,Settings!$B$11,1))&lt;Settings!$B$11,NA(),STDEV(OFFSET(F13,1-Settings!$B$11,0,Settings!$B$11,1))*SQRT(Settings!$B$13)))</f>
        <v/>
      </c>
      <c r="I13" s="18">
        <f>IF(OR(NOT(ISNUMBER($A13)),ROW()-2&lt;Settings!$B$12),NA(),IF(COUNT(OFFSET(F13,1-Settings!$B$12,0,Settings!$B$12,1))&lt;Settings!$B$12,NA(),STDEV(OFFSET(F13,1-Settings!$B$12,0,Settings!$B$12,1))*SQRT(Settings!$B$13)))</f>
        <v/>
      </c>
      <c r="J13" s="18">
        <f>IF(OR(NOT(ISNUMBER($A13)),ROW()-2&lt;Settings!$B$11),NA(),IF(COUNT(OFFSET(G13,1-Settings!$B$11,0,Settings!$B$11,1))&lt;Settings!$B$11,NA(),STDEV(OFFSET(G13,1-Settings!$B$11,0,Settings!$B$11,1))*SQRT(Settings!$B$13)))</f>
        <v/>
      </c>
      <c r="K13" s="18">
        <f>IF(OR(NOT(ISNUMBER($A13)),ROW()-2&lt;Settings!$B$12),NA(),IF(COUNT(OFFSET(G13,1-Settings!$B$12,0,Settings!$B$12,1))&lt;Settings!$B$12,NA(),STDEV(OFFSET(G13,1-Settings!$B$12,0,Settings!$B$12,1))*SQRT(Settings!$B$13)))</f>
        <v/>
      </c>
      <c r="L13" s="18">
        <f>IF(AND(ISNUMBER(D13),ISNUMBER(H13)),D13-H13,NA())</f>
        <v/>
      </c>
      <c r="M13" s="18">
        <f>IF(AND(ISNUMBER(E13),ISNUMBER(K13)),E13-K13,NA())</f>
        <v/>
      </c>
      <c r="N13" s="18">
        <f>IF(NOT(ISNUMBER($A13)),NA(),IF(COUNT(OFFSET(G13,1,0,Settings!$B$12,1))&lt;Settings!$B$12,NA(),STDEV(OFFSET(G13,1,0,Settings!$B$12,1))*SQRT(Settings!$B$13)))</f>
        <v/>
      </c>
      <c r="O13" s="18">
        <f>IF(AND(ISNUMBER(E13),ISNUMBER(N13)),E13-N13,NA())</f>
        <v/>
      </c>
      <c r="P13" s="17">
        <f>IF(NOT(ISNUMBER($A13)),NA(),IF(OR($A13&lt;MIN(KW_TP!$A$2:$A$2501),$A13&gt;MAX(KW_TP!$A$2:$A$2501)),NA(),INDEX(KW_TP!$C$2:$C$2501,MATCH($A13,KW_TP!$A$2:$A$2501,1))))</f>
        <v/>
      </c>
    </row>
    <row r="14">
      <c r="A14" s="15">
        <f>IF(ISNUMBER(BBG_Data!A14),BBG_Data!A14,"")</f>
        <v/>
      </c>
      <c r="B14" s="16">
        <f>IF(AND(ISNUMBER($A14),ISNUMBER(BBG_Data!B14)),BBG_Data!B14,NA())</f>
        <v/>
      </c>
      <c r="C14" s="16">
        <f>IF(AND(ISNUMBER($A14),ISNUMBER(BBG_Data!C14)),BBG_Data!C14,NA())</f>
        <v/>
      </c>
      <c r="D14" s="17">
        <f>IF(AND(ISNUMBER($A14),ISNUMBER(BBG_Data!D14)),BBG_Data!D14,NA())</f>
        <v/>
      </c>
      <c r="E14" s="17">
        <f>IF(AND(ISNUMBER($A14),ISNUMBER(BBG_Data!E14)),BBG_Data!E14,NA())</f>
        <v/>
      </c>
      <c r="F14" s="18">
        <f>IF(AND(ISNUMBER(B14),ISNUMBER(B13)),(B14-B13)*100,"")</f>
        <v/>
      </c>
      <c r="G14" s="18">
        <f>IF(AND(ISNUMBER(C14),ISNUMBER(C13)),(C14-C13)*100,"")</f>
        <v/>
      </c>
      <c r="H14" s="18">
        <f>IF(OR(NOT(ISNUMBER($A14)),ROW()-2&lt;Settings!$B$11),NA(),IF(COUNT(OFFSET(F14,1-Settings!$B$11,0,Settings!$B$11,1))&lt;Settings!$B$11,NA(),STDEV(OFFSET(F14,1-Settings!$B$11,0,Settings!$B$11,1))*SQRT(Settings!$B$13)))</f>
        <v/>
      </c>
      <c r="I14" s="18">
        <f>IF(OR(NOT(ISNUMBER($A14)),ROW()-2&lt;Settings!$B$12),NA(),IF(COUNT(OFFSET(F14,1-Settings!$B$12,0,Settings!$B$12,1))&lt;Settings!$B$12,NA(),STDEV(OFFSET(F14,1-Settings!$B$12,0,Settings!$B$12,1))*SQRT(Settings!$B$13)))</f>
        <v/>
      </c>
      <c r="J14" s="18">
        <f>IF(OR(NOT(ISNUMBER($A14)),ROW()-2&lt;Settings!$B$11),NA(),IF(COUNT(OFFSET(G14,1-Settings!$B$11,0,Settings!$B$11,1))&lt;Settings!$B$11,NA(),STDEV(OFFSET(G14,1-Settings!$B$11,0,Settings!$B$11,1))*SQRT(Settings!$B$13)))</f>
        <v/>
      </c>
      <c r="K14" s="18">
        <f>IF(OR(NOT(ISNUMBER($A14)),ROW()-2&lt;Settings!$B$12),NA(),IF(COUNT(OFFSET(G14,1-Settings!$B$12,0,Settings!$B$12,1))&lt;Settings!$B$12,NA(),STDEV(OFFSET(G14,1-Settings!$B$12,0,Settings!$B$12,1))*SQRT(Settings!$B$13)))</f>
        <v/>
      </c>
      <c r="L14" s="18">
        <f>IF(AND(ISNUMBER(D14),ISNUMBER(H14)),D14-H14,NA())</f>
        <v/>
      </c>
      <c r="M14" s="18">
        <f>IF(AND(ISNUMBER(E14),ISNUMBER(K14)),E14-K14,NA())</f>
        <v/>
      </c>
      <c r="N14" s="18">
        <f>IF(NOT(ISNUMBER($A14)),NA(),IF(COUNT(OFFSET(G14,1,0,Settings!$B$12,1))&lt;Settings!$B$12,NA(),STDEV(OFFSET(G14,1,0,Settings!$B$12,1))*SQRT(Settings!$B$13)))</f>
        <v/>
      </c>
      <c r="O14" s="18">
        <f>IF(AND(ISNUMBER(E14),ISNUMBER(N14)),E14-N14,NA())</f>
        <v/>
      </c>
      <c r="P14" s="17">
        <f>IF(NOT(ISNUMBER($A14)),NA(),IF(OR($A14&lt;MIN(KW_TP!$A$2:$A$2501),$A14&gt;MAX(KW_TP!$A$2:$A$2501)),NA(),INDEX(KW_TP!$C$2:$C$2501,MATCH($A14,KW_TP!$A$2:$A$2501,1))))</f>
        <v/>
      </c>
    </row>
    <row r="15">
      <c r="A15" s="15">
        <f>IF(ISNUMBER(BBG_Data!A15),BBG_Data!A15,"")</f>
        <v/>
      </c>
      <c r="B15" s="16">
        <f>IF(AND(ISNUMBER($A15),ISNUMBER(BBG_Data!B15)),BBG_Data!B15,NA())</f>
        <v/>
      </c>
      <c r="C15" s="16">
        <f>IF(AND(ISNUMBER($A15),ISNUMBER(BBG_Data!C15)),BBG_Data!C15,NA())</f>
        <v/>
      </c>
      <c r="D15" s="17">
        <f>IF(AND(ISNUMBER($A15),ISNUMBER(BBG_Data!D15)),BBG_Data!D15,NA())</f>
        <v/>
      </c>
      <c r="E15" s="17">
        <f>IF(AND(ISNUMBER($A15),ISNUMBER(BBG_Data!E15)),BBG_Data!E15,NA())</f>
        <v/>
      </c>
      <c r="F15" s="18">
        <f>IF(AND(ISNUMBER(B15),ISNUMBER(B14)),(B15-B14)*100,"")</f>
        <v/>
      </c>
      <c r="G15" s="18">
        <f>IF(AND(ISNUMBER(C15),ISNUMBER(C14)),(C15-C14)*100,"")</f>
        <v/>
      </c>
      <c r="H15" s="18">
        <f>IF(OR(NOT(ISNUMBER($A15)),ROW()-2&lt;Settings!$B$11),NA(),IF(COUNT(OFFSET(F15,1-Settings!$B$11,0,Settings!$B$11,1))&lt;Settings!$B$11,NA(),STDEV(OFFSET(F15,1-Settings!$B$11,0,Settings!$B$11,1))*SQRT(Settings!$B$13)))</f>
        <v/>
      </c>
      <c r="I15" s="18">
        <f>IF(OR(NOT(ISNUMBER($A15)),ROW()-2&lt;Settings!$B$12),NA(),IF(COUNT(OFFSET(F15,1-Settings!$B$12,0,Settings!$B$12,1))&lt;Settings!$B$12,NA(),STDEV(OFFSET(F15,1-Settings!$B$12,0,Settings!$B$12,1))*SQRT(Settings!$B$13)))</f>
        <v/>
      </c>
      <c r="J15" s="18">
        <f>IF(OR(NOT(ISNUMBER($A15)),ROW()-2&lt;Settings!$B$11),NA(),IF(COUNT(OFFSET(G15,1-Settings!$B$11,0,Settings!$B$11,1))&lt;Settings!$B$11,NA(),STDEV(OFFSET(G15,1-Settings!$B$11,0,Settings!$B$11,1))*SQRT(Settings!$B$13)))</f>
        <v/>
      </c>
      <c r="K15" s="18">
        <f>IF(OR(NOT(ISNUMBER($A15)),ROW()-2&lt;Settings!$B$12),NA(),IF(COUNT(OFFSET(G15,1-Settings!$B$12,0,Settings!$B$12,1))&lt;Settings!$B$12,NA(),STDEV(OFFSET(G15,1-Settings!$B$12,0,Settings!$B$12,1))*SQRT(Settings!$B$13)))</f>
        <v/>
      </c>
      <c r="L15" s="18">
        <f>IF(AND(ISNUMBER(D15),ISNUMBER(H15)),D15-H15,NA())</f>
        <v/>
      </c>
      <c r="M15" s="18">
        <f>IF(AND(ISNUMBER(E15),ISNUMBER(K15)),E15-K15,NA())</f>
        <v/>
      </c>
      <c r="N15" s="18">
        <f>IF(NOT(ISNUMBER($A15)),NA(),IF(COUNT(OFFSET(G15,1,0,Settings!$B$12,1))&lt;Settings!$B$12,NA(),STDEV(OFFSET(G15,1,0,Settings!$B$12,1))*SQRT(Settings!$B$13)))</f>
        <v/>
      </c>
      <c r="O15" s="18">
        <f>IF(AND(ISNUMBER(E15),ISNUMBER(N15)),E15-N15,NA())</f>
        <v/>
      </c>
      <c r="P15" s="17">
        <f>IF(NOT(ISNUMBER($A15)),NA(),IF(OR($A15&lt;MIN(KW_TP!$A$2:$A$2501),$A15&gt;MAX(KW_TP!$A$2:$A$2501)),NA(),INDEX(KW_TP!$C$2:$C$2501,MATCH($A15,KW_TP!$A$2:$A$2501,1))))</f>
        <v/>
      </c>
    </row>
    <row r="16">
      <c r="A16" s="15">
        <f>IF(ISNUMBER(BBG_Data!A16),BBG_Data!A16,"")</f>
        <v/>
      </c>
      <c r="B16" s="16">
        <f>IF(AND(ISNUMBER($A16),ISNUMBER(BBG_Data!B16)),BBG_Data!B16,NA())</f>
        <v/>
      </c>
      <c r="C16" s="16">
        <f>IF(AND(ISNUMBER($A16),ISNUMBER(BBG_Data!C16)),BBG_Data!C16,NA())</f>
        <v/>
      </c>
      <c r="D16" s="17">
        <f>IF(AND(ISNUMBER($A16),ISNUMBER(BBG_Data!D16)),BBG_Data!D16,NA())</f>
        <v/>
      </c>
      <c r="E16" s="17">
        <f>IF(AND(ISNUMBER($A16),ISNUMBER(BBG_Data!E16)),BBG_Data!E16,NA())</f>
        <v/>
      </c>
      <c r="F16" s="18">
        <f>IF(AND(ISNUMBER(B16),ISNUMBER(B15)),(B16-B15)*100,"")</f>
        <v/>
      </c>
      <c r="G16" s="18">
        <f>IF(AND(ISNUMBER(C16),ISNUMBER(C15)),(C16-C15)*100,"")</f>
        <v/>
      </c>
      <c r="H16" s="18">
        <f>IF(OR(NOT(ISNUMBER($A16)),ROW()-2&lt;Settings!$B$11),NA(),IF(COUNT(OFFSET(F16,1-Settings!$B$11,0,Settings!$B$11,1))&lt;Settings!$B$11,NA(),STDEV(OFFSET(F16,1-Settings!$B$11,0,Settings!$B$11,1))*SQRT(Settings!$B$13)))</f>
        <v/>
      </c>
      <c r="I16" s="18">
        <f>IF(OR(NOT(ISNUMBER($A16)),ROW()-2&lt;Settings!$B$12),NA(),IF(COUNT(OFFSET(F16,1-Settings!$B$12,0,Settings!$B$12,1))&lt;Settings!$B$12,NA(),STDEV(OFFSET(F16,1-Settings!$B$12,0,Settings!$B$12,1))*SQRT(Settings!$B$13)))</f>
        <v/>
      </c>
      <c r="J16" s="18">
        <f>IF(OR(NOT(ISNUMBER($A16)),ROW()-2&lt;Settings!$B$11),NA(),IF(COUNT(OFFSET(G16,1-Settings!$B$11,0,Settings!$B$11,1))&lt;Settings!$B$11,NA(),STDEV(OFFSET(G16,1-Settings!$B$11,0,Settings!$B$11,1))*SQRT(Settings!$B$13)))</f>
        <v/>
      </c>
      <c r="K16" s="18">
        <f>IF(OR(NOT(ISNUMBER($A16)),ROW()-2&lt;Settings!$B$12),NA(),IF(COUNT(OFFSET(G16,1-Settings!$B$12,0,Settings!$B$12,1))&lt;Settings!$B$12,NA(),STDEV(OFFSET(G16,1-Settings!$B$12,0,Settings!$B$12,1))*SQRT(Settings!$B$13)))</f>
        <v/>
      </c>
      <c r="L16" s="18">
        <f>IF(AND(ISNUMBER(D16),ISNUMBER(H16)),D16-H16,NA())</f>
        <v/>
      </c>
      <c r="M16" s="18">
        <f>IF(AND(ISNUMBER(E16),ISNUMBER(K16)),E16-K16,NA())</f>
        <v/>
      </c>
      <c r="N16" s="18">
        <f>IF(NOT(ISNUMBER($A16)),NA(),IF(COUNT(OFFSET(G16,1,0,Settings!$B$12,1))&lt;Settings!$B$12,NA(),STDEV(OFFSET(G16,1,0,Settings!$B$12,1))*SQRT(Settings!$B$13)))</f>
        <v/>
      </c>
      <c r="O16" s="18">
        <f>IF(AND(ISNUMBER(E16),ISNUMBER(N16)),E16-N16,NA())</f>
        <v/>
      </c>
      <c r="P16" s="17">
        <f>IF(NOT(ISNUMBER($A16)),NA(),IF(OR($A16&lt;MIN(KW_TP!$A$2:$A$2501),$A16&gt;MAX(KW_TP!$A$2:$A$2501)),NA(),INDEX(KW_TP!$C$2:$C$2501,MATCH($A16,KW_TP!$A$2:$A$2501,1))))</f>
        <v/>
      </c>
    </row>
    <row r="17">
      <c r="A17" s="15">
        <f>IF(ISNUMBER(BBG_Data!A17),BBG_Data!A17,"")</f>
        <v/>
      </c>
      <c r="B17" s="16">
        <f>IF(AND(ISNUMBER($A17),ISNUMBER(BBG_Data!B17)),BBG_Data!B17,NA())</f>
        <v/>
      </c>
      <c r="C17" s="16">
        <f>IF(AND(ISNUMBER($A17),ISNUMBER(BBG_Data!C17)),BBG_Data!C17,NA())</f>
        <v/>
      </c>
      <c r="D17" s="17">
        <f>IF(AND(ISNUMBER($A17),ISNUMBER(BBG_Data!D17)),BBG_Data!D17,NA())</f>
        <v/>
      </c>
      <c r="E17" s="17">
        <f>IF(AND(ISNUMBER($A17),ISNUMBER(BBG_Data!E17)),BBG_Data!E17,NA())</f>
        <v/>
      </c>
      <c r="F17" s="18">
        <f>IF(AND(ISNUMBER(B17),ISNUMBER(B16)),(B17-B16)*100,"")</f>
        <v/>
      </c>
      <c r="G17" s="18">
        <f>IF(AND(ISNUMBER(C17),ISNUMBER(C16)),(C17-C16)*100,"")</f>
        <v/>
      </c>
      <c r="H17" s="18">
        <f>IF(OR(NOT(ISNUMBER($A17)),ROW()-2&lt;Settings!$B$11),NA(),IF(COUNT(OFFSET(F17,1-Settings!$B$11,0,Settings!$B$11,1))&lt;Settings!$B$11,NA(),STDEV(OFFSET(F17,1-Settings!$B$11,0,Settings!$B$11,1))*SQRT(Settings!$B$13)))</f>
        <v/>
      </c>
      <c r="I17" s="18">
        <f>IF(OR(NOT(ISNUMBER($A17)),ROW()-2&lt;Settings!$B$12),NA(),IF(COUNT(OFFSET(F17,1-Settings!$B$12,0,Settings!$B$12,1))&lt;Settings!$B$12,NA(),STDEV(OFFSET(F17,1-Settings!$B$12,0,Settings!$B$12,1))*SQRT(Settings!$B$13)))</f>
        <v/>
      </c>
      <c r="J17" s="18">
        <f>IF(OR(NOT(ISNUMBER($A17)),ROW()-2&lt;Settings!$B$11),NA(),IF(COUNT(OFFSET(G17,1-Settings!$B$11,0,Settings!$B$11,1))&lt;Settings!$B$11,NA(),STDEV(OFFSET(G17,1-Settings!$B$11,0,Settings!$B$11,1))*SQRT(Settings!$B$13)))</f>
        <v/>
      </c>
      <c r="K17" s="18">
        <f>IF(OR(NOT(ISNUMBER($A17)),ROW()-2&lt;Settings!$B$12),NA(),IF(COUNT(OFFSET(G17,1-Settings!$B$12,0,Settings!$B$12,1))&lt;Settings!$B$12,NA(),STDEV(OFFSET(G17,1-Settings!$B$12,0,Settings!$B$12,1))*SQRT(Settings!$B$13)))</f>
        <v/>
      </c>
      <c r="L17" s="18">
        <f>IF(AND(ISNUMBER(D17),ISNUMBER(H17)),D17-H17,NA())</f>
        <v/>
      </c>
      <c r="M17" s="18">
        <f>IF(AND(ISNUMBER(E17),ISNUMBER(K17)),E17-K17,NA())</f>
        <v/>
      </c>
      <c r="N17" s="18">
        <f>IF(NOT(ISNUMBER($A17)),NA(),IF(COUNT(OFFSET(G17,1,0,Settings!$B$12,1))&lt;Settings!$B$12,NA(),STDEV(OFFSET(G17,1,0,Settings!$B$12,1))*SQRT(Settings!$B$13)))</f>
        <v/>
      </c>
      <c r="O17" s="18">
        <f>IF(AND(ISNUMBER(E17),ISNUMBER(N17)),E17-N17,NA())</f>
        <v/>
      </c>
      <c r="P17" s="17">
        <f>IF(NOT(ISNUMBER($A17)),NA(),IF(OR($A17&lt;MIN(KW_TP!$A$2:$A$2501),$A17&gt;MAX(KW_TP!$A$2:$A$2501)),NA(),INDEX(KW_TP!$C$2:$C$2501,MATCH($A17,KW_TP!$A$2:$A$2501,1))))</f>
        <v/>
      </c>
    </row>
    <row r="18">
      <c r="A18" s="15">
        <f>IF(ISNUMBER(BBG_Data!A18),BBG_Data!A18,"")</f>
        <v/>
      </c>
      <c r="B18" s="16">
        <f>IF(AND(ISNUMBER($A18),ISNUMBER(BBG_Data!B18)),BBG_Data!B18,NA())</f>
        <v/>
      </c>
      <c r="C18" s="16">
        <f>IF(AND(ISNUMBER($A18),ISNUMBER(BBG_Data!C18)),BBG_Data!C18,NA())</f>
        <v/>
      </c>
      <c r="D18" s="17">
        <f>IF(AND(ISNUMBER($A18),ISNUMBER(BBG_Data!D18)),BBG_Data!D18,NA())</f>
        <v/>
      </c>
      <c r="E18" s="17">
        <f>IF(AND(ISNUMBER($A18),ISNUMBER(BBG_Data!E18)),BBG_Data!E18,NA())</f>
        <v/>
      </c>
      <c r="F18" s="18">
        <f>IF(AND(ISNUMBER(B18),ISNUMBER(B17)),(B18-B17)*100,"")</f>
        <v/>
      </c>
      <c r="G18" s="18">
        <f>IF(AND(ISNUMBER(C18),ISNUMBER(C17)),(C18-C17)*100,"")</f>
        <v/>
      </c>
      <c r="H18" s="18">
        <f>IF(OR(NOT(ISNUMBER($A18)),ROW()-2&lt;Settings!$B$11),NA(),IF(COUNT(OFFSET(F18,1-Settings!$B$11,0,Settings!$B$11,1))&lt;Settings!$B$11,NA(),STDEV(OFFSET(F18,1-Settings!$B$11,0,Settings!$B$11,1))*SQRT(Settings!$B$13)))</f>
        <v/>
      </c>
      <c r="I18" s="18">
        <f>IF(OR(NOT(ISNUMBER($A18)),ROW()-2&lt;Settings!$B$12),NA(),IF(COUNT(OFFSET(F18,1-Settings!$B$12,0,Settings!$B$12,1))&lt;Settings!$B$12,NA(),STDEV(OFFSET(F18,1-Settings!$B$12,0,Settings!$B$12,1))*SQRT(Settings!$B$13)))</f>
        <v/>
      </c>
      <c r="J18" s="18">
        <f>IF(OR(NOT(ISNUMBER($A18)),ROW()-2&lt;Settings!$B$11),NA(),IF(COUNT(OFFSET(G18,1-Settings!$B$11,0,Settings!$B$11,1))&lt;Settings!$B$11,NA(),STDEV(OFFSET(G18,1-Settings!$B$11,0,Settings!$B$11,1))*SQRT(Settings!$B$13)))</f>
        <v/>
      </c>
      <c r="K18" s="18">
        <f>IF(OR(NOT(ISNUMBER($A18)),ROW()-2&lt;Settings!$B$12),NA(),IF(COUNT(OFFSET(G18,1-Settings!$B$12,0,Settings!$B$12,1))&lt;Settings!$B$12,NA(),STDEV(OFFSET(G18,1-Settings!$B$12,0,Settings!$B$12,1))*SQRT(Settings!$B$13)))</f>
        <v/>
      </c>
      <c r="L18" s="18">
        <f>IF(AND(ISNUMBER(D18),ISNUMBER(H18)),D18-H18,NA())</f>
        <v/>
      </c>
      <c r="M18" s="18">
        <f>IF(AND(ISNUMBER(E18),ISNUMBER(K18)),E18-K18,NA())</f>
        <v/>
      </c>
      <c r="N18" s="18">
        <f>IF(NOT(ISNUMBER($A18)),NA(),IF(COUNT(OFFSET(G18,1,0,Settings!$B$12,1))&lt;Settings!$B$12,NA(),STDEV(OFFSET(G18,1,0,Settings!$B$12,1))*SQRT(Settings!$B$13)))</f>
        <v/>
      </c>
      <c r="O18" s="18">
        <f>IF(AND(ISNUMBER(E18),ISNUMBER(N18)),E18-N18,NA())</f>
        <v/>
      </c>
      <c r="P18" s="17">
        <f>IF(NOT(ISNUMBER($A18)),NA(),IF(OR($A18&lt;MIN(KW_TP!$A$2:$A$2501),$A18&gt;MAX(KW_TP!$A$2:$A$2501)),NA(),INDEX(KW_TP!$C$2:$C$2501,MATCH($A18,KW_TP!$A$2:$A$2501,1))))</f>
        <v/>
      </c>
    </row>
    <row r="19">
      <c r="A19" s="15">
        <f>IF(ISNUMBER(BBG_Data!A19),BBG_Data!A19,"")</f>
        <v/>
      </c>
      <c r="B19" s="16">
        <f>IF(AND(ISNUMBER($A19),ISNUMBER(BBG_Data!B19)),BBG_Data!B19,NA())</f>
        <v/>
      </c>
      <c r="C19" s="16">
        <f>IF(AND(ISNUMBER($A19),ISNUMBER(BBG_Data!C19)),BBG_Data!C19,NA())</f>
        <v/>
      </c>
      <c r="D19" s="17">
        <f>IF(AND(ISNUMBER($A19),ISNUMBER(BBG_Data!D19)),BBG_Data!D19,NA())</f>
        <v/>
      </c>
      <c r="E19" s="17">
        <f>IF(AND(ISNUMBER($A19),ISNUMBER(BBG_Data!E19)),BBG_Data!E19,NA())</f>
        <v/>
      </c>
      <c r="F19" s="18">
        <f>IF(AND(ISNUMBER(B19),ISNUMBER(B18)),(B19-B18)*100,"")</f>
        <v/>
      </c>
      <c r="G19" s="18">
        <f>IF(AND(ISNUMBER(C19),ISNUMBER(C18)),(C19-C18)*100,"")</f>
        <v/>
      </c>
      <c r="H19" s="18">
        <f>IF(OR(NOT(ISNUMBER($A19)),ROW()-2&lt;Settings!$B$11),NA(),IF(COUNT(OFFSET(F19,1-Settings!$B$11,0,Settings!$B$11,1))&lt;Settings!$B$11,NA(),STDEV(OFFSET(F19,1-Settings!$B$11,0,Settings!$B$11,1))*SQRT(Settings!$B$13)))</f>
        <v/>
      </c>
      <c r="I19" s="18">
        <f>IF(OR(NOT(ISNUMBER($A19)),ROW()-2&lt;Settings!$B$12),NA(),IF(COUNT(OFFSET(F19,1-Settings!$B$12,0,Settings!$B$12,1))&lt;Settings!$B$12,NA(),STDEV(OFFSET(F19,1-Settings!$B$12,0,Settings!$B$12,1))*SQRT(Settings!$B$13)))</f>
        <v/>
      </c>
      <c r="J19" s="18">
        <f>IF(OR(NOT(ISNUMBER($A19)),ROW()-2&lt;Settings!$B$11),NA(),IF(COUNT(OFFSET(G19,1-Settings!$B$11,0,Settings!$B$11,1))&lt;Settings!$B$11,NA(),STDEV(OFFSET(G19,1-Settings!$B$11,0,Settings!$B$11,1))*SQRT(Settings!$B$13)))</f>
        <v/>
      </c>
      <c r="K19" s="18">
        <f>IF(OR(NOT(ISNUMBER($A19)),ROW()-2&lt;Settings!$B$12),NA(),IF(COUNT(OFFSET(G19,1-Settings!$B$12,0,Settings!$B$12,1))&lt;Settings!$B$12,NA(),STDEV(OFFSET(G19,1-Settings!$B$12,0,Settings!$B$12,1))*SQRT(Settings!$B$13)))</f>
        <v/>
      </c>
      <c r="L19" s="18">
        <f>IF(AND(ISNUMBER(D19),ISNUMBER(H19)),D19-H19,NA())</f>
        <v/>
      </c>
      <c r="M19" s="18">
        <f>IF(AND(ISNUMBER(E19),ISNUMBER(K19)),E19-K19,NA())</f>
        <v/>
      </c>
      <c r="N19" s="18">
        <f>IF(NOT(ISNUMBER($A19)),NA(),IF(COUNT(OFFSET(G19,1,0,Settings!$B$12,1))&lt;Settings!$B$12,NA(),STDEV(OFFSET(G19,1,0,Settings!$B$12,1))*SQRT(Settings!$B$13)))</f>
        <v/>
      </c>
      <c r="O19" s="18">
        <f>IF(AND(ISNUMBER(E19),ISNUMBER(N19)),E19-N19,NA())</f>
        <v/>
      </c>
      <c r="P19" s="17">
        <f>IF(NOT(ISNUMBER($A19)),NA(),IF(OR($A19&lt;MIN(KW_TP!$A$2:$A$2501),$A19&gt;MAX(KW_TP!$A$2:$A$2501)),NA(),INDEX(KW_TP!$C$2:$C$2501,MATCH($A19,KW_TP!$A$2:$A$2501,1))))</f>
        <v/>
      </c>
    </row>
    <row r="20">
      <c r="A20" s="15">
        <f>IF(ISNUMBER(BBG_Data!A20),BBG_Data!A20,"")</f>
        <v/>
      </c>
      <c r="B20" s="16">
        <f>IF(AND(ISNUMBER($A20),ISNUMBER(BBG_Data!B20)),BBG_Data!B20,NA())</f>
        <v/>
      </c>
      <c r="C20" s="16">
        <f>IF(AND(ISNUMBER($A20),ISNUMBER(BBG_Data!C20)),BBG_Data!C20,NA())</f>
        <v/>
      </c>
      <c r="D20" s="17">
        <f>IF(AND(ISNUMBER($A20),ISNUMBER(BBG_Data!D20)),BBG_Data!D20,NA())</f>
        <v/>
      </c>
      <c r="E20" s="17">
        <f>IF(AND(ISNUMBER($A20),ISNUMBER(BBG_Data!E20)),BBG_Data!E20,NA())</f>
        <v/>
      </c>
      <c r="F20" s="18">
        <f>IF(AND(ISNUMBER(B20),ISNUMBER(B19)),(B20-B19)*100,"")</f>
        <v/>
      </c>
      <c r="G20" s="18">
        <f>IF(AND(ISNUMBER(C20),ISNUMBER(C19)),(C20-C19)*100,"")</f>
        <v/>
      </c>
      <c r="H20" s="18">
        <f>IF(OR(NOT(ISNUMBER($A20)),ROW()-2&lt;Settings!$B$11),NA(),IF(COUNT(OFFSET(F20,1-Settings!$B$11,0,Settings!$B$11,1))&lt;Settings!$B$11,NA(),STDEV(OFFSET(F20,1-Settings!$B$11,0,Settings!$B$11,1))*SQRT(Settings!$B$13)))</f>
        <v/>
      </c>
      <c r="I20" s="18">
        <f>IF(OR(NOT(ISNUMBER($A20)),ROW()-2&lt;Settings!$B$12),NA(),IF(COUNT(OFFSET(F20,1-Settings!$B$12,0,Settings!$B$12,1))&lt;Settings!$B$12,NA(),STDEV(OFFSET(F20,1-Settings!$B$12,0,Settings!$B$12,1))*SQRT(Settings!$B$13)))</f>
        <v/>
      </c>
      <c r="J20" s="18">
        <f>IF(OR(NOT(ISNUMBER($A20)),ROW()-2&lt;Settings!$B$11),NA(),IF(COUNT(OFFSET(G20,1-Settings!$B$11,0,Settings!$B$11,1))&lt;Settings!$B$11,NA(),STDEV(OFFSET(G20,1-Settings!$B$11,0,Settings!$B$11,1))*SQRT(Settings!$B$13)))</f>
        <v/>
      </c>
      <c r="K20" s="18">
        <f>IF(OR(NOT(ISNUMBER($A20)),ROW()-2&lt;Settings!$B$12),NA(),IF(COUNT(OFFSET(G20,1-Settings!$B$12,0,Settings!$B$12,1))&lt;Settings!$B$12,NA(),STDEV(OFFSET(G20,1-Settings!$B$12,0,Settings!$B$12,1))*SQRT(Settings!$B$13)))</f>
        <v/>
      </c>
      <c r="L20" s="18">
        <f>IF(AND(ISNUMBER(D20),ISNUMBER(H20)),D20-H20,NA())</f>
        <v/>
      </c>
      <c r="M20" s="18">
        <f>IF(AND(ISNUMBER(E20),ISNUMBER(K20)),E20-K20,NA())</f>
        <v/>
      </c>
      <c r="N20" s="18">
        <f>IF(NOT(ISNUMBER($A20)),NA(),IF(COUNT(OFFSET(G20,1,0,Settings!$B$12,1))&lt;Settings!$B$12,NA(),STDEV(OFFSET(G20,1,0,Settings!$B$12,1))*SQRT(Settings!$B$13)))</f>
        <v/>
      </c>
      <c r="O20" s="18">
        <f>IF(AND(ISNUMBER(E20),ISNUMBER(N20)),E20-N20,NA())</f>
        <v/>
      </c>
      <c r="P20" s="17">
        <f>IF(NOT(ISNUMBER($A20)),NA(),IF(OR($A20&lt;MIN(KW_TP!$A$2:$A$2501),$A20&gt;MAX(KW_TP!$A$2:$A$2501)),NA(),INDEX(KW_TP!$C$2:$C$2501,MATCH($A20,KW_TP!$A$2:$A$2501,1))))</f>
        <v/>
      </c>
    </row>
    <row r="21">
      <c r="A21" s="15">
        <f>IF(ISNUMBER(BBG_Data!A21),BBG_Data!A21,"")</f>
        <v/>
      </c>
      <c r="B21" s="16">
        <f>IF(AND(ISNUMBER($A21),ISNUMBER(BBG_Data!B21)),BBG_Data!B21,NA())</f>
        <v/>
      </c>
      <c r="C21" s="16">
        <f>IF(AND(ISNUMBER($A21),ISNUMBER(BBG_Data!C21)),BBG_Data!C21,NA())</f>
        <v/>
      </c>
      <c r="D21" s="17">
        <f>IF(AND(ISNUMBER($A21),ISNUMBER(BBG_Data!D21)),BBG_Data!D21,NA())</f>
        <v/>
      </c>
      <c r="E21" s="17">
        <f>IF(AND(ISNUMBER($A21),ISNUMBER(BBG_Data!E21)),BBG_Data!E21,NA())</f>
        <v/>
      </c>
      <c r="F21" s="18">
        <f>IF(AND(ISNUMBER(B21),ISNUMBER(B20)),(B21-B20)*100,"")</f>
        <v/>
      </c>
      <c r="G21" s="18">
        <f>IF(AND(ISNUMBER(C21),ISNUMBER(C20)),(C21-C20)*100,"")</f>
        <v/>
      </c>
      <c r="H21" s="18">
        <f>IF(OR(NOT(ISNUMBER($A21)),ROW()-2&lt;Settings!$B$11),NA(),IF(COUNT(OFFSET(F21,1-Settings!$B$11,0,Settings!$B$11,1))&lt;Settings!$B$11,NA(),STDEV(OFFSET(F21,1-Settings!$B$11,0,Settings!$B$11,1))*SQRT(Settings!$B$13)))</f>
        <v/>
      </c>
      <c r="I21" s="18">
        <f>IF(OR(NOT(ISNUMBER($A21)),ROW()-2&lt;Settings!$B$12),NA(),IF(COUNT(OFFSET(F21,1-Settings!$B$12,0,Settings!$B$12,1))&lt;Settings!$B$12,NA(),STDEV(OFFSET(F21,1-Settings!$B$12,0,Settings!$B$12,1))*SQRT(Settings!$B$13)))</f>
        <v/>
      </c>
      <c r="J21" s="18">
        <f>IF(OR(NOT(ISNUMBER($A21)),ROW()-2&lt;Settings!$B$11),NA(),IF(COUNT(OFFSET(G21,1-Settings!$B$11,0,Settings!$B$11,1))&lt;Settings!$B$11,NA(),STDEV(OFFSET(G21,1-Settings!$B$11,0,Settings!$B$11,1))*SQRT(Settings!$B$13)))</f>
        <v/>
      </c>
      <c r="K21" s="18">
        <f>IF(OR(NOT(ISNUMBER($A21)),ROW()-2&lt;Settings!$B$12),NA(),IF(COUNT(OFFSET(G21,1-Settings!$B$12,0,Settings!$B$12,1))&lt;Settings!$B$12,NA(),STDEV(OFFSET(G21,1-Settings!$B$12,0,Settings!$B$12,1))*SQRT(Settings!$B$13)))</f>
        <v/>
      </c>
      <c r="L21" s="18">
        <f>IF(AND(ISNUMBER(D21),ISNUMBER(H21)),D21-H21,NA())</f>
        <v/>
      </c>
      <c r="M21" s="18">
        <f>IF(AND(ISNUMBER(E21),ISNUMBER(K21)),E21-K21,NA())</f>
        <v/>
      </c>
      <c r="N21" s="18">
        <f>IF(NOT(ISNUMBER($A21)),NA(),IF(COUNT(OFFSET(G21,1,0,Settings!$B$12,1))&lt;Settings!$B$12,NA(),STDEV(OFFSET(G21,1,0,Settings!$B$12,1))*SQRT(Settings!$B$13)))</f>
        <v/>
      </c>
      <c r="O21" s="18">
        <f>IF(AND(ISNUMBER(E21),ISNUMBER(N21)),E21-N21,NA())</f>
        <v/>
      </c>
      <c r="P21" s="17">
        <f>IF(NOT(ISNUMBER($A21)),NA(),IF(OR($A21&lt;MIN(KW_TP!$A$2:$A$2501),$A21&gt;MAX(KW_TP!$A$2:$A$2501)),NA(),INDEX(KW_TP!$C$2:$C$2501,MATCH($A21,KW_TP!$A$2:$A$2501,1))))</f>
        <v/>
      </c>
    </row>
    <row r="22">
      <c r="A22" s="15">
        <f>IF(ISNUMBER(BBG_Data!A22),BBG_Data!A22,"")</f>
        <v/>
      </c>
      <c r="B22" s="16">
        <f>IF(AND(ISNUMBER($A22),ISNUMBER(BBG_Data!B22)),BBG_Data!B22,NA())</f>
        <v/>
      </c>
      <c r="C22" s="16">
        <f>IF(AND(ISNUMBER($A22),ISNUMBER(BBG_Data!C22)),BBG_Data!C22,NA())</f>
        <v/>
      </c>
      <c r="D22" s="17">
        <f>IF(AND(ISNUMBER($A22),ISNUMBER(BBG_Data!D22)),BBG_Data!D22,NA())</f>
        <v/>
      </c>
      <c r="E22" s="17">
        <f>IF(AND(ISNUMBER($A22),ISNUMBER(BBG_Data!E22)),BBG_Data!E22,NA())</f>
        <v/>
      </c>
      <c r="F22" s="18">
        <f>IF(AND(ISNUMBER(B22),ISNUMBER(B21)),(B22-B21)*100,"")</f>
        <v/>
      </c>
      <c r="G22" s="18">
        <f>IF(AND(ISNUMBER(C22),ISNUMBER(C21)),(C22-C21)*100,"")</f>
        <v/>
      </c>
      <c r="H22" s="18">
        <f>IF(OR(NOT(ISNUMBER($A22)),ROW()-2&lt;Settings!$B$11),NA(),IF(COUNT(OFFSET(F22,1-Settings!$B$11,0,Settings!$B$11,1))&lt;Settings!$B$11,NA(),STDEV(OFFSET(F22,1-Settings!$B$11,0,Settings!$B$11,1))*SQRT(Settings!$B$13)))</f>
        <v/>
      </c>
      <c r="I22" s="18">
        <f>IF(OR(NOT(ISNUMBER($A22)),ROW()-2&lt;Settings!$B$12),NA(),IF(COUNT(OFFSET(F22,1-Settings!$B$12,0,Settings!$B$12,1))&lt;Settings!$B$12,NA(),STDEV(OFFSET(F22,1-Settings!$B$12,0,Settings!$B$12,1))*SQRT(Settings!$B$13)))</f>
        <v/>
      </c>
      <c r="J22" s="18">
        <f>IF(OR(NOT(ISNUMBER($A22)),ROW()-2&lt;Settings!$B$11),NA(),IF(COUNT(OFFSET(G22,1-Settings!$B$11,0,Settings!$B$11,1))&lt;Settings!$B$11,NA(),STDEV(OFFSET(G22,1-Settings!$B$11,0,Settings!$B$11,1))*SQRT(Settings!$B$13)))</f>
        <v/>
      </c>
      <c r="K22" s="18">
        <f>IF(OR(NOT(ISNUMBER($A22)),ROW()-2&lt;Settings!$B$12),NA(),IF(COUNT(OFFSET(G22,1-Settings!$B$12,0,Settings!$B$12,1))&lt;Settings!$B$12,NA(),STDEV(OFFSET(G22,1-Settings!$B$12,0,Settings!$B$12,1))*SQRT(Settings!$B$13)))</f>
        <v/>
      </c>
      <c r="L22" s="18">
        <f>IF(AND(ISNUMBER(D22),ISNUMBER(H22)),D22-H22,NA())</f>
        <v/>
      </c>
      <c r="M22" s="18">
        <f>IF(AND(ISNUMBER(E22),ISNUMBER(K22)),E22-K22,NA())</f>
        <v/>
      </c>
      <c r="N22" s="18">
        <f>IF(NOT(ISNUMBER($A22)),NA(),IF(COUNT(OFFSET(G22,1,0,Settings!$B$12,1))&lt;Settings!$B$12,NA(),STDEV(OFFSET(G22,1,0,Settings!$B$12,1))*SQRT(Settings!$B$13)))</f>
        <v/>
      </c>
      <c r="O22" s="18">
        <f>IF(AND(ISNUMBER(E22),ISNUMBER(N22)),E22-N22,NA())</f>
        <v/>
      </c>
      <c r="P22" s="17">
        <f>IF(NOT(ISNUMBER($A22)),NA(),IF(OR($A22&lt;MIN(KW_TP!$A$2:$A$2501),$A22&gt;MAX(KW_TP!$A$2:$A$2501)),NA(),INDEX(KW_TP!$C$2:$C$2501,MATCH($A22,KW_TP!$A$2:$A$2501,1))))</f>
        <v/>
      </c>
    </row>
    <row r="23">
      <c r="A23" s="15">
        <f>IF(ISNUMBER(BBG_Data!A23),BBG_Data!A23,"")</f>
        <v/>
      </c>
      <c r="B23" s="16">
        <f>IF(AND(ISNUMBER($A23),ISNUMBER(BBG_Data!B23)),BBG_Data!B23,NA())</f>
        <v/>
      </c>
      <c r="C23" s="16">
        <f>IF(AND(ISNUMBER($A23),ISNUMBER(BBG_Data!C23)),BBG_Data!C23,NA())</f>
        <v/>
      </c>
      <c r="D23" s="17">
        <f>IF(AND(ISNUMBER($A23),ISNUMBER(BBG_Data!D23)),BBG_Data!D23,NA())</f>
        <v/>
      </c>
      <c r="E23" s="17">
        <f>IF(AND(ISNUMBER($A23),ISNUMBER(BBG_Data!E23)),BBG_Data!E23,NA())</f>
        <v/>
      </c>
      <c r="F23" s="18">
        <f>IF(AND(ISNUMBER(B23),ISNUMBER(B22)),(B23-B22)*100,"")</f>
        <v/>
      </c>
      <c r="G23" s="18">
        <f>IF(AND(ISNUMBER(C23),ISNUMBER(C22)),(C23-C22)*100,"")</f>
        <v/>
      </c>
      <c r="H23" s="18">
        <f>IF(OR(NOT(ISNUMBER($A23)),ROW()-2&lt;Settings!$B$11),NA(),IF(COUNT(OFFSET(F23,1-Settings!$B$11,0,Settings!$B$11,1))&lt;Settings!$B$11,NA(),STDEV(OFFSET(F23,1-Settings!$B$11,0,Settings!$B$11,1))*SQRT(Settings!$B$13)))</f>
        <v/>
      </c>
      <c r="I23" s="18">
        <f>IF(OR(NOT(ISNUMBER($A23)),ROW()-2&lt;Settings!$B$12),NA(),IF(COUNT(OFFSET(F23,1-Settings!$B$12,0,Settings!$B$12,1))&lt;Settings!$B$12,NA(),STDEV(OFFSET(F23,1-Settings!$B$12,0,Settings!$B$12,1))*SQRT(Settings!$B$13)))</f>
        <v/>
      </c>
      <c r="J23" s="18">
        <f>IF(OR(NOT(ISNUMBER($A23)),ROW()-2&lt;Settings!$B$11),NA(),IF(COUNT(OFFSET(G23,1-Settings!$B$11,0,Settings!$B$11,1))&lt;Settings!$B$11,NA(),STDEV(OFFSET(G23,1-Settings!$B$11,0,Settings!$B$11,1))*SQRT(Settings!$B$13)))</f>
        <v/>
      </c>
      <c r="K23" s="18">
        <f>IF(OR(NOT(ISNUMBER($A23)),ROW()-2&lt;Settings!$B$12),NA(),IF(COUNT(OFFSET(G23,1-Settings!$B$12,0,Settings!$B$12,1))&lt;Settings!$B$12,NA(),STDEV(OFFSET(G23,1-Settings!$B$12,0,Settings!$B$12,1))*SQRT(Settings!$B$13)))</f>
        <v/>
      </c>
      <c r="L23" s="18">
        <f>IF(AND(ISNUMBER(D23),ISNUMBER(H23)),D23-H23,NA())</f>
        <v/>
      </c>
      <c r="M23" s="18">
        <f>IF(AND(ISNUMBER(E23),ISNUMBER(K23)),E23-K23,NA())</f>
        <v/>
      </c>
      <c r="N23" s="18">
        <f>IF(NOT(ISNUMBER($A23)),NA(),IF(COUNT(OFFSET(G23,1,0,Settings!$B$12,1))&lt;Settings!$B$12,NA(),STDEV(OFFSET(G23,1,0,Settings!$B$12,1))*SQRT(Settings!$B$13)))</f>
        <v/>
      </c>
      <c r="O23" s="18">
        <f>IF(AND(ISNUMBER(E23),ISNUMBER(N23)),E23-N23,NA())</f>
        <v/>
      </c>
      <c r="P23" s="17">
        <f>IF(NOT(ISNUMBER($A23)),NA(),IF(OR($A23&lt;MIN(KW_TP!$A$2:$A$2501),$A23&gt;MAX(KW_TP!$A$2:$A$2501)),NA(),INDEX(KW_TP!$C$2:$C$2501,MATCH($A23,KW_TP!$A$2:$A$2501,1))))</f>
        <v/>
      </c>
    </row>
    <row r="24">
      <c r="A24" s="15">
        <f>IF(ISNUMBER(BBG_Data!A24),BBG_Data!A24,"")</f>
        <v/>
      </c>
      <c r="B24" s="16">
        <f>IF(AND(ISNUMBER($A24),ISNUMBER(BBG_Data!B24)),BBG_Data!B24,NA())</f>
        <v/>
      </c>
      <c r="C24" s="16">
        <f>IF(AND(ISNUMBER($A24),ISNUMBER(BBG_Data!C24)),BBG_Data!C24,NA())</f>
        <v/>
      </c>
      <c r="D24" s="17">
        <f>IF(AND(ISNUMBER($A24),ISNUMBER(BBG_Data!D24)),BBG_Data!D24,NA())</f>
        <v/>
      </c>
      <c r="E24" s="17">
        <f>IF(AND(ISNUMBER($A24),ISNUMBER(BBG_Data!E24)),BBG_Data!E24,NA())</f>
        <v/>
      </c>
      <c r="F24" s="18">
        <f>IF(AND(ISNUMBER(B24),ISNUMBER(B23)),(B24-B23)*100,"")</f>
        <v/>
      </c>
      <c r="G24" s="18">
        <f>IF(AND(ISNUMBER(C24),ISNUMBER(C23)),(C24-C23)*100,"")</f>
        <v/>
      </c>
      <c r="H24" s="18">
        <f>IF(OR(NOT(ISNUMBER($A24)),ROW()-2&lt;Settings!$B$11),NA(),IF(COUNT(OFFSET(F24,1-Settings!$B$11,0,Settings!$B$11,1))&lt;Settings!$B$11,NA(),STDEV(OFFSET(F24,1-Settings!$B$11,0,Settings!$B$11,1))*SQRT(Settings!$B$13)))</f>
        <v/>
      </c>
      <c r="I24" s="18">
        <f>IF(OR(NOT(ISNUMBER($A24)),ROW()-2&lt;Settings!$B$12),NA(),IF(COUNT(OFFSET(F24,1-Settings!$B$12,0,Settings!$B$12,1))&lt;Settings!$B$12,NA(),STDEV(OFFSET(F24,1-Settings!$B$12,0,Settings!$B$12,1))*SQRT(Settings!$B$13)))</f>
        <v/>
      </c>
      <c r="J24" s="18">
        <f>IF(OR(NOT(ISNUMBER($A24)),ROW()-2&lt;Settings!$B$11),NA(),IF(COUNT(OFFSET(G24,1-Settings!$B$11,0,Settings!$B$11,1))&lt;Settings!$B$11,NA(),STDEV(OFFSET(G24,1-Settings!$B$11,0,Settings!$B$11,1))*SQRT(Settings!$B$13)))</f>
        <v/>
      </c>
      <c r="K24" s="18">
        <f>IF(OR(NOT(ISNUMBER($A24)),ROW()-2&lt;Settings!$B$12),NA(),IF(COUNT(OFFSET(G24,1-Settings!$B$12,0,Settings!$B$12,1))&lt;Settings!$B$12,NA(),STDEV(OFFSET(G24,1-Settings!$B$12,0,Settings!$B$12,1))*SQRT(Settings!$B$13)))</f>
        <v/>
      </c>
      <c r="L24" s="18">
        <f>IF(AND(ISNUMBER(D24),ISNUMBER(H24)),D24-H24,NA())</f>
        <v/>
      </c>
      <c r="M24" s="18">
        <f>IF(AND(ISNUMBER(E24),ISNUMBER(K24)),E24-K24,NA())</f>
        <v/>
      </c>
      <c r="N24" s="18">
        <f>IF(NOT(ISNUMBER($A24)),NA(),IF(COUNT(OFFSET(G24,1,0,Settings!$B$12,1))&lt;Settings!$B$12,NA(),STDEV(OFFSET(G24,1,0,Settings!$B$12,1))*SQRT(Settings!$B$13)))</f>
        <v/>
      </c>
      <c r="O24" s="18">
        <f>IF(AND(ISNUMBER(E24),ISNUMBER(N24)),E24-N24,NA())</f>
        <v/>
      </c>
      <c r="P24" s="17">
        <f>IF(NOT(ISNUMBER($A24)),NA(),IF(OR($A24&lt;MIN(KW_TP!$A$2:$A$2501),$A24&gt;MAX(KW_TP!$A$2:$A$2501)),NA(),INDEX(KW_TP!$C$2:$C$2501,MATCH($A24,KW_TP!$A$2:$A$2501,1))))</f>
        <v/>
      </c>
    </row>
    <row r="25">
      <c r="A25" s="15">
        <f>IF(ISNUMBER(BBG_Data!A25),BBG_Data!A25,"")</f>
        <v/>
      </c>
      <c r="B25" s="16">
        <f>IF(AND(ISNUMBER($A25),ISNUMBER(BBG_Data!B25)),BBG_Data!B25,NA())</f>
        <v/>
      </c>
      <c r="C25" s="16">
        <f>IF(AND(ISNUMBER($A25),ISNUMBER(BBG_Data!C25)),BBG_Data!C25,NA())</f>
        <v/>
      </c>
      <c r="D25" s="17">
        <f>IF(AND(ISNUMBER($A25),ISNUMBER(BBG_Data!D25)),BBG_Data!D25,NA())</f>
        <v/>
      </c>
      <c r="E25" s="17">
        <f>IF(AND(ISNUMBER($A25),ISNUMBER(BBG_Data!E25)),BBG_Data!E25,NA())</f>
        <v/>
      </c>
      <c r="F25" s="18">
        <f>IF(AND(ISNUMBER(B25),ISNUMBER(B24)),(B25-B24)*100,"")</f>
        <v/>
      </c>
      <c r="G25" s="18">
        <f>IF(AND(ISNUMBER(C25),ISNUMBER(C24)),(C25-C24)*100,"")</f>
        <v/>
      </c>
      <c r="H25" s="18">
        <f>IF(OR(NOT(ISNUMBER($A25)),ROW()-2&lt;Settings!$B$11),NA(),IF(COUNT(OFFSET(F25,1-Settings!$B$11,0,Settings!$B$11,1))&lt;Settings!$B$11,NA(),STDEV(OFFSET(F25,1-Settings!$B$11,0,Settings!$B$11,1))*SQRT(Settings!$B$13)))</f>
        <v/>
      </c>
      <c r="I25" s="18">
        <f>IF(OR(NOT(ISNUMBER($A25)),ROW()-2&lt;Settings!$B$12),NA(),IF(COUNT(OFFSET(F25,1-Settings!$B$12,0,Settings!$B$12,1))&lt;Settings!$B$12,NA(),STDEV(OFFSET(F25,1-Settings!$B$12,0,Settings!$B$12,1))*SQRT(Settings!$B$13)))</f>
        <v/>
      </c>
      <c r="J25" s="18">
        <f>IF(OR(NOT(ISNUMBER($A25)),ROW()-2&lt;Settings!$B$11),NA(),IF(COUNT(OFFSET(G25,1-Settings!$B$11,0,Settings!$B$11,1))&lt;Settings!$B$11,NA(),STDEV(OFFSET(G25,1-Settings!$B$11,0,Settings!$B$11,1))*SQRT(Settings!$B$13)))</f>
        <v/>
      </c>
      <c r="K25" s="18">
        <f>IF(OR(NOT(ISNUMBER($A25)),ROW()-2&lt;Settings!$B$12),NA(),IF(COUNT(OFFSET(G25,1-Settings!$B$12,0,Settings!$B$12,1))&lt;Settings!$B$12,NA(),STDEV(OFFSET(G25,1-Settings!$B$12,0,Settings!$B$12,1))*SQRT(Settings!$B$13)))</f>
        <v/>
      </c>
      <c r="L25" s="18">
        <f>IF(AND(ISNUMBER(D25),ISNUMBER(H25)),D25-H25,NA())</f>
        <v/>
      </c>
      <c r="M25" s="18">
        <f>IF(AND(ISNUMBER(E25),ISNUMBER(K25)),E25-K25,NA())</f>
        <v/>
      </c>
      <c r="N25" s="18">
        <f>IF(NOT(ISNUMBER($A25)),NA(),IF(COUNT(OFFSET(G25,1,0,Settings!$B$12,1))&lt;Settings!$B$12,NA(),STDEV(OFFSET(G25,1,0,Settings!$B$12,1))*SQRT(Settings!$B$13)))</f>
        <v/>
      </c>
      <c r="O25" s="18">
        <f>IF(AND(ISNUMBER(E25),ISNUMBER(N25)),E25-N25,NA())</f>
        <v/>
      </c>
      <c r="P25" s="17">
        <f>IF(NOT(ISNUMBER($A25)),NA(),IF(OR($A25&lt;MIN(KW_TP!$A$2:$A$2501),$A25&gt;MAX(KW_TP!$A$2:$A$2501)),NA(),INDEX(KW_TP!$C$2:$C$2501,MATCH($A25,KW_TP!$A$2:$A$2501,1))))</f>
        <v/>
      </c>
    </row>
    <row r="26">
      <c r="A26" s="15">
        <f>IF(ISNUMBER(BBG_Data!A26),BBG_Data!A26,"")</f>
        <v/>
      </c>
      <c r="B26" s="16">
        <f>IF(AND(ISNUMBER($A26),ISNUMBER(BBG_Data!B26)),BBG_Data!B26,NA())</f>
        <v/>
      </c>
      <c r="C26" s="16">
        <f>IF(AND(ISNUMBER($A26),ISNUMBER(BBG_Data!C26)),BBG_Data!C26,NA())</f>
        <v/>
      </c>
      <c r="D26" s="17">
        <f>IF(AND(ISNUMBER($A26),ISNUMBER(BBG_Data!D26)),BBG_Data!D26,NA())</f>
        <v/>
      </c>
      <c r="E26" s="17">
        <f>IF(AND(ISNUMBER($A26),ISNUMBER(BBG_Data!E26)),BBG_Data!E26,NA())</f>
        <v/>
      </c>
      <c r="F26" s="18">
        <f>IF(AND(ISNUMBER(B26),ISNUMBER(B25)),(B26-B25)*100,"")</f>
        <v/>
      </c>
      <c r="G26" s="18">
        <f>IF(AND(ISNUMBER(C26),ISNUMBER(C25)),(C26-C25)*100,"")</f>
        <v/>
      </c>
      <c r="H26" s="18">
        <f>IF(OR(NOT(ISNUMBER($A26)),ROW()-2&lt;Settings!$B$11),NA(),IF(COUNT(OFFSET(F26,1-Settings!$B$11,0,Settings!$B$11,1))&lt;Settings!$B$11,NA(),STDEV(OFFSET(F26,1-Settings!$B$11,0,Settings!$B$11,1))*SQRT(Settings!$B$13)))</f>
        <v/>
      </c>
      <c r="I26" s="18">
        <f>IF(OR(NOT(ISNUMBER($A26)),ROW()-2&lt;Settings!$B$12),NA(),IF(COUNT(OFFSET(F26,1-Settings!$B$12,0,Settings!$B$12,1))&lt;Settings!$B$12,NA(),STDEV(OFFSET(F26,1-Settings!$B$12,0,Settings!$B$12,1))*SQRT(Settings!$B$13)))</f>
        <v/>
      </c>
      <c r="J26" s="18">
        <f>IF(OR(NOT(ISNUMBER($A26)),ROW()-2&lt;Settings!$B$11),NA(),IF(COUNT(OFFSET(G26,1-Settings!$B$11,0,Settings!$B$11,1))&lt;Settings!$B$11,NA(),STDEV(OFFSET(G26,1-Settings!$B$11,0,Settings!$B$11,1))*SQRT(Settings!$B$13)))</f>
        <v/>
      </c>
      <c r="K26" s="18">
        <f>IF(OR(NOT(ISNUMBER($A26)),ROW()-2&lt;Settings!$B$12),NA(),IF(COUNT(OFFSET(G26,1-Settings!$B$12,0,Settings!$B$12,1))&lt;Settings!$B$12,NA(),STDEV(OFFSET(G26,1-Settings!$B$12,0,Settings!$B$12,1))*SQRT(Settings!$B$13)))</f>
        <v/>
      </c>
      <c r="L26" s="18">
        <f>IF(AND(ISNUMBER(D26),ISNUMBER(H26)),D26-H26,NA())</f>
        <v/>
      </c>
      <c r="M26" s="18">
        <f>IF(AND(ISNUMBER(E26),ISNUMBER(K26)),E26-K26,NA())</f>
        <v/>
      </c>
      <c r="N26" s="18">
        <f>IF(NOT(ISNUMBER($A26)),NA(),IF(COUNT(OFFSET(G26,1,0,Settings!$B$12,1))&lt;Settings!$B$12,NA(),STDEV(OFFSET(G26,1,0,Settings!$B$12,1))*SQRT(Settings!$B$13)))</f>
        <v/>
      </c>
      <c r="O26" s="18">
        <f>IF(AND(ISNUMBER(E26),ISNUMBER(N26)),E26-N26,NA())</f>
        <v/>
      </c>
      <c r="P26" s="17">
        <f>IF(NOT(ISNUMBER($A26)),NA(),IF(OR($A26&lt;MIN(KW_TP!$A$2:$A$2501),$A26&gt;MAX(KW_TP!$A$2:$A$2501)),NA(),INDEX(KW_TP!$C$2:$C$2501,MATCH($A26,KW_TP!$A$2:$A$2501,1))))</f>
        <v/>
      </c>
    </row>
    <row r="27">
      <c r="A27" s="15">
        <f>IF(ISNUMBER(BBG_Data!A27),BBG_Data!A27,"")</f>
        <v/>
      </c>
      <c r="B27" s="16">
        <f>IF(AND(ISNUMBER($A27),ISNUMBER(BBG_Data!B27)),BBG_Data!B27,NA())</f>
        <v/>
      </c>
      <c r="C27" s="16">
        <f>IF(AND(ISNUMBER($A27),ISNUMBER(BBG_Data!C27)),BBG_Data!C27,NA())</f>
        <v/>
      </c>
      <c r="D27" s="17">
        <f>IF(AND(ISNUMBER($A27),ISNUMBER(BBG_Data!D27)),BBG_Data!D27,NA())</f>
        <v/>
      </c>
      <c r="E27" s="17">
        <f>IF(AND(ISNUMBER($A27),ISNUMBER(BBG_Data!E27)),BBG_Data!E27,NA())</f>
        <v/>
      </c>
      <c r="F27" s="18">
        <f>IF(AND(ISNUMBER(B27),ISNUMBER(B26)),(B27-B26)*100,"")</f>
        <v/>
      </c>
      <c r="G27" s="18">
        <f>IF(AND(ISNUMBER(C27),ISNUMBER(C26)),(C27-C26)*100,"")</f>
        <v/>
      </c>
      <c r="H27" s="18">
        <f>IF(OR(NOT(ISNUMBER($A27)),ROW()-2&lt;Settings!$B$11),NA(),IF(COUNT(OFFSET(F27,1-Settings!$B$11,0,Settings!$B$11,1))&lt;Settings!$B$11,NA(),STDEV(OFFSET(F27,1-Settings!$B$11,0,Settings!$B$11,1))*SQRT(Settings!$B$13)))</f>
        <v/>
      </c>
      <c r="I27" s="18">
        <f>IF(OR(NOT(ISNUMBER($A27)),ROW()-2&lt;Settings!$B$12),NA(),IF(COUNT(OFFSET(F27,1-Settings!$B$12,0,Settings!$B$12,1))&lt;Settings!$B$12,NA(),STDEV(OFFSET(F27,1-Settings!$B$12,0,Settings!$B$12,1))*SQRT(Settings!$B$13)))</f>
        <v/>
      </c>
      <c r="J27" s="18">
        <f>IF(OR(NOT(ISNUMBER($A27)),ROW()-2&lt;Settings!$B$11),NA(),IF(COUNT(OFFSET(G27,1-Settings!$B$11,0,Settings!$B$11,1))&lt;Settings!$B$11,NA(),STDEV(OFFSET(G27,1-Settings!$B$11,0,Settings!$B$11,1))*SQRT(Settings!$B$13)))</f>
        <v/>
      </c>
      <c r="K27" s="18">
        <f>IF(OR(NOT(ISNUMBER($A27)),ROW()-2&lt;Settings!$B$12),NA(),IF(COUNT(OFFSET(G27,1-Settings!$B$12,0,Settings!$B$12,1))&lt;Settings!$B$12,NA(),STDEV(OFFSET(G27,1-Settings!$B$12,0,Settings!$B$12,1))*SQRT(Settings!$B$13)))</f>
        <v/>
      </c>
      <c r="L27" s="18">
        <f>IF(AND(ISNUMBER(D27),ISNUMBER(H27)),D27-H27,NA())</f>
        <v/>
      </c>
      <c r="M27" s="18">
        <f>IF(AND(ISNUMBER(E27),ISNUMBER(K27)),E27-K27,NA())</f>
        <v/>
      </c>
      <c r="N27" s="18">
        <f>IF(NOT(ISNUMBER($A27)),NA(),IF(COUNT(OFFSET(G27,1,0,Settings!$B$12,1))&lt;Settings!$B$12,NA(),STDEV(OFFSET(G27,1,0,Settings!$B$12,1))*SQRT(Settings!$B$13)))</f>
        <v/>
      </c>
      <c r="O27" s="18">
        <f>IF(AND(ISNUMBER(E27),ISNUMBER(N27)),E27-N27,NA())</f>
        <v/>
      </c>
      <c r="P27" s="17">
        <f>IF(NOT(ISNUMBER($A27)),NA(),IF(OR($A27&lt;MIN(KW_TP!$A$2:$A$2501),$A27&gt;MAX(KW_TP!$A$2:$A$2501)),NA(),INDEX(KW_TP!$C$2:$C$2501,MATCH($A27,KW_TP!$A$2:$A$2501,1))))</f>
        <v/>
      </c>
    </row>
    <row r="28">
      <c r="A28" s="15">
        <f>IF(ISNUMBER(BBG_Data!A28),BBG_Data!A28,"")</f>
        <v/>
      </c>
      <c r="B28" s="16">
        <f>IF(AND(ISNUMBER($A28),ISNUMBER(BBG_Data!B28)),BBG_Data!B28,NA())</f>
        <v/>
      </c>
      <c r="C28" s="16">
        <f>IF(AND(ISNUMBER($A28),ISNUMBER(BBG_Data!C28)),BBG_Data!C28,NA())</f>
        <v/>
      </c>
      <c r="D28" s="17">
        <f>IF(AND(ISNUMBER($A28),ISNUMBER(BBG_Data!D28)),BBG_Data!D28,NA())</f>
        <v/>
      </c>
      <c r="E28" s="17">
        <f>IF(AND(ISNUMBER($A28),ISNUMBER(BBG_Data!E28)),BBG_Data!E28,NA())</f>
        <v/>
      </c>
      <c r="F28" s="18">
        <f>IF(AND(ISNUMBER(B28),ISNUMBER(B27)),(B28-B27)*100,"")</f>
        <v/>
      </c>
      <c r="G28" s="18">
        <f>IF(AND(ISNUMBER(C28),ISNUMBER(C27)),(C28-C27)*100,"")</f>
        <v/>
      </c>
      <c r="H28" s="18">
        <f>IF(OR(NOT(ISNUMBER($A28)),ROW()-2&lt;Settings!$B$11),NA(),IF(COUNT(OFFSET(F28,1-Settings!$B$11,0,Settings!$B$11,1))&lt;Settings!$B$11,NA(),STDEV(OFFSET(F28,1-Settings!$B$11,0,Settings!$B$11,1))*SQRT(Settings!$B$13)))</f>
        <v/>
      </c>
      <c r="I28" s="18">
        <f>IF(OR(NOT(ISNUMBER($A28)),ROW()-2&lt;Settings!$B$12),NA(),IF(COUNT(OFFSET(F28,1-Settings!$B$12,0,Settings!$B$12,1))&lt;Settings!$B$12,NA(),STDEV(OFFSET(F28,1-Settings!$B$12,0,Settings!$B$12,1))*SQRT(Settings!$B$13)))</f>
        <v/>
      </c>
      <c r="J28" s="18">
        <f>IF(OR(NOT(ISNUMBER($A28)),ROW()-2&lt;Settings!$B$11),NA(),IF(COUNT(OFFSET(G28,1-Settings!$B$11,0,Settings!$B$11,1))&lt;Settings!$B$11,NA(),STDEV(OFFSET(G28,1-Settings!$B$11,0,Settings!$B$11,1))*SQRT(Settings!$B$13)))</f>
        <v/>
      </c>
      <c r="K28" s="18">
        <f>IF(OR(NOT(ISNUMBER($A28)),ROW()-2&lt;Settings!$B$12),NA(),IF(COUNT(OFFSET(G28,1-Settings!$B$12,0,Settings!$B$12,1))&lt;Settings!$B$12,NA(),STDEV(OFFSET(G28,1-Settings!$B$12,0,Settings!$B$12,1))*SQRT(Settings!$B$13)))</f>
        <v/>
      </c>
      <c r="L28" s="18">
        <f>IF(AND(ISNUMBER(D28),ISNUMBER(H28)),D28-H28,NA())</f>
        <v/>
      </c>
      <c r="M28" s="18">
        <f>IF(AND(ISNUMBER(E28),ISNUMBER(K28)),E28-K28,NA())</f>
        <v/>
      </c>
      <c r="N28" s="18">
        <f>IF(NOT(ISNUMBER($A28)),NA(),IF(COUNT(OFFSET(G28,1,0,Settings!$B$12,1))&lt;Settings!$B$12,NA(),STDEV(OFFSET(G28,1,0,Settings!$B$12,1))*SQRT(Settings!$B$13)))</f>
        <v/>
      </c>
      <c r="O28" s="18">
        <f>IF(AND(ISNUMBER(E28),ISNUMBER(N28)),E28-N28,NA())</f>
        <v/>
      </c>
      <c r="P28" s="17">
        <f>IF(NOT(ISNUMBER($A28)),NA(),IF(OR($A28&lt;MIN(KW_TP!$A$2:$A$2501),$A28&gt;MAX(KW_TP!$A$2:$A$2501)),NA(),INDEX(KW_TP!$C$2:$C$2501,MATCH($A28,KW_TP!$A$2:$A$2501,1))))</f>
        <v/>
      </c>
    </row>
    <row r="29">
      <c r="A29" s="15">
        <f>IF(ISNUMBER(BBG_Data!A29),BBG_Data!A29,"")</f>
        <v/>
      </c>
      <c r="B29" s="16">
        <f>IF(AND(ISNUMBER($A29),ISNUMBER(BBG_Data!B29)),BBG_Data!B29,NA())</f>
        <v/>
      </c>
      <c r="C29" s="16">
        <f>IF(AND(ISNUMBER($A29),ISNUMBER(BBG_Data!C29)),BBG_Data!C29,NA())</f>
        <v/>
      </c>
      <c r="D29" s="17">
        <f>IF(AND(ISNUMBER($A29),ISNUMBER(BBG_Data!D29)),BBG_Data!D29,NA())</f>
        <v/>
      </c>
      <c r="E29" s="17">
        <f>IF(AND(ISNUMBER($A29),ISNUMBER(BBG_Data!E29)),BBG_Data!E29,NA())</f>
        <v/>
      </c>
      <c r="F29" s="18">
        <f>IF(AND(ISNUMBER(B29),ISNUMBER(B28)),(B29-B28)*100,"")</f>
        <v/>
      </c>
      <c r="G29" s="18">
        <f>IF(AND(ISNUMBER(C29),ISNUMBER(C28)),(C29-C28)*100,"")</f>
        <v/>
      </c>
      <c r="H29" s="18">
        <f>IF(OR(NOT(ISNUMBER($A29)),ROW()-2&lt;Settings!$B$11),NA(),IF(COUNT(OFFSET(F29,1-Settings!$B$11,0,Settings!$B$11,1))&lt;Settings!$B$11,NA(),STDEV(OFFSET(F29,1-Settings!$B$11,0,Settings!$B$11,1))*SQRT(Settings!$B$13)))</f>
        <v/>
      </c>
      <c r="I29" s="18">
        <f>IF(OR(NOT(ISNUMBER($A29)),ROW()-2&lt;Settings!$B$12),NA(),IF(COUNT(OFFSET(F29,1-Settings!$B$12,0,Settings!$B$12,1))&lt;Settings!$B$12,NA(),STDEV(OFFSET(F29,1-Settings!$B$12,0,Settings!$B$12,1))*SQRT(Settings!$B$13)))</f>
        <v/>
      </c>
      <c r="J29" s="18">
        <f>IF(OR(NOT(ISNUMBER($A29)),ROW()-2&lt;Settings!$B$11),NA(),IF(COUNT(OFFSET(G29,1-Settings!$B$11,0,Settings!$B$11,1))&lt;Settings!$B$11,NA(),STDEV(OFFSET(G29,1-Settings!$B$11,0,Settings!$B$11,1))*SQRT(Settings!$B$13)))</f>
        <v/>
      </c>
      <c r="K29" s="18">
        <f>IF(OR(NOT(ISNUMBER($A29)),ROW()-2&lt;Settings!$B$12),NA(),IF(COUNT(OFFSET(G29,1-Settings!$B$12,0,Settings!$B$12,1))&lt;Settings!$B$12,NA(),STDEV(OFFSET(G29,1-Settings!$B$12,0,Settings!$B$12,1))*SQRT(Settings!$B$13)))</f>
        <v/>
      </c>
      <c r="L29" s="18">
        <f>IF(AND(ISNUMBER(D29),ISNUMBER(H29)),D29-H29,NA())</f>
        <v/>
      </c>
      <c r="M29" s="18">
        <f>IF(AND(ISNUMBER(E29),ISNUMBER(K29)),E29-K29,NA())</f>
        <v/>
      </c>
      <c r="N29" s="18">
        <f>IF(NOT(ISNUMBER($A29)),NA(),IF(COUNT(OFFSET(G29,1,0,Settings!$B$12,1))&lt;Settings!$B$12,NA(),STDEV(OFFSET(G29,1,0,Settings!$B$12,1))*SQRT(Settings!$B$13)))</f>
        <v/>
      </c>
      <c r="O29" s="18">
        <f>IF(AND(ISNUMBER(E29),ISNUMBER(N29)),E29-N29,NA())</f>
        <v/>
      </c>
      <c r="P29" s="17">
        <f>IF(NOT(ISNUMBER($A29)),NA(),IF(OR($A29&lt;MIN(KW_TP!$A$2:$A$2501),$A29&gt;MAX(KW_TP!$A$2:$A$2501)),NA(),INDEX(KW_TP!$C$2:$C$2501,MATCH($A29,KW_TP!$A$2:$A$2501,1))))</f>
        <v/>
      </c>
    </row>
    <row r="30">
      <c r="A30" s="15">
        <f>IF(ISNUMBER(BBG_Data!A30),BBG_Data!A30,"")</f>
        <v/>
      </c>
      <c r="B30" s="16">
        <f>IF(AND(ISNUMBER($A30),ISNUMBER(BBG_Data!B30)),BBG_Data!B30,NA())</f>
        <v/>
      </c>
      <c r="C30" s="16">
        <f>IF(AND(ISNUMBER($A30),ISNUMBER(BBG_Data!C30)),BBG_Data!C30,NA())</f>
        <v/>
      </c>
      <c r="D30" s="17">
        <f>IF(AND(ISNUMBER($A30),ISNUMBER(BBG_Data!D30)),BBG_Data!D30,NA())</f>
        <v/>
      </c>
      <c r="E30" s="17">
        <f>IF(AND(ISNUMBER($A30),ISNUMBER(BBG_Data!E30)),BBG_Data!E30,NA())</f>
        <v/>
      </c>
      <c r="F30" s="18">
        <f>IF(AND(ISNUMBER(B30),ISNUMBER(B29)),(B30-B29)*100,"")</f>
        <v/>
      </c>
      <c r="G30" s="18">
        <f>IF(AND(ISNUMBER(C30),ISNUMBER(C29)),(C30-C29)*100,"")</f>
        <v/>
      </c>
      <c r="H30" s="18">
        <f>IF(OR(NOT(ISNUMBER($A30)),ROW()-2&lt;Settings!$B$11),NA(),IF(COUNT(OFFSET(F30,1-Settings!$B$11,0,Settings!$B$11,1))&lt;Settings!$B$11,NA(),STDEV(OFFSET(F30,1-Settings!$B$11,0,Settings!$B$11,1))*SQRT(Settings!$B$13)))</f>
        <v/>
      </c>
      <c r="I30" s="18">
        <f>IF(OR(NOT(ISNUMBER($A30)),ROW()-2&lt;Settings!$B$12),NA(),IF(COUNT(OFFSET(F30,1-Settings!$B$12,0,Settings!$B$12,1))&lt;Settings!$B$12,NA(),STDEV(OFFSET(F30,1-Settings!$B$12,0,Settings!$B$12,1))*SQRT(Settings!$B$13)))</f>
        <v/>
      </c>
      <c r="J30" s="18">
        <f>IF(OR(NOT(ISNUMBER($A30)),ROW()-2&lt;Settings!$B$11),NA(),IF(COUNT(OFFSET(G30,1-Settings!$B$11,0,Settings!$B$11,1))&lt;Settings!$B$11,NA(),STDEV(OFFSET(G30,1-Settings!$B$11,0,Settings!$B$11,1))*SQRT(Settings!$B$13)))</f>
        <v/>
      </c>
      <c r="K30" s="18">
        <f>IF(OR(NOT(ISNUMBER($A30)),ROW()-2&lt;Settings!$B$12),NA(),IF(COUNT(OFFSET(G30,1-Settings!$B$12,0,Settings!$B$12,1))&lt;Settings!$B$12,NA(),STDEV(OFFSET(G30,1-Settings!$B$12,0,Settings!$B$12,1))*SQRT(Settings!$B$13)))</f>
        <v/>
      </c>
      <c r="L30" s="18">
        <f>IF(AND(ISNUMBER(D30),ISNUMBER(H30)),D30-H30,NA())</f>
        <v/>
      </c>
      <c r="M30" s="18">
        <f>IF(AND(ISNUMBER(E30),ISNUMBER(K30)),E30-K30,NA())</f>
        <v/>
      </c>
      <c r="N30" s="18">
        <f>IF(NOT(ISNUMBER($A30)),NA(),IF(COUNT(OFFSET(G30,1,0,Settings!$B$12,1))&lt;Settings!$B$12,NA(),STDEV(OFFSET(G30,1,0,Settings!$B$12,1))*SQRT(Settings!$B$13)))</f>
        <v/>
      </c>
      <c r="O30" s="18">
        <f>IF(AND(ISNUMBER(E30),ISNUMBER(N30)),E30-N30,NA())</f>
        <v/>
      </c>
      <c r="P30" s="17">
        <f>IF(NOT(ISNUMBER($A30)),NA(),IF(OR($A30&lt;MIN(KW_TP!$A$2:$A$2501),$A30&gt;MAX(KW_TP!$A$2:$A$2501)),NA(),INDEX(KW_TP!$C$2:$C$2501,MATCH($A30,KW_TP!$A$2:$A$2501,1))))</f>
        <v/>
      </c>
    </row>
    <row r="31">
      <c r="A31" s="15">
        <f>IF(ISNUMBER(BBG_Data!A31),BBG_Data!A31,"")</f>
        <v/>
      </c>
      <c r="B31" s="16">
        <f>IF(AND(ISNUMBER($A31),ISNUMBER(BBG_Data!B31)),BBG_Data!B31,NA())</f>
        <v/>
      </c>
      <c r="C31" s="16">
        <f>IF(AND(ISNUMBER($A31),ISNUMBER(BBG_Data!C31)),BBG_Data!C31,NA())</f>
        <v/>
      </c>
      <c r="D31" s="17">
        <f>IF(AND(ISNUMBER($A31),ISNUMBER(BBG_Data!D31)),BBG_Data!D31,NA())</f>
        <v/>
      </c>
      <c r="E31" s="17">
        <f>IF(AND(ISNUMBER($A31),ISNUMBER(BBG_Data!E31)),BBG_Data!E31,NA())</f>
        <v/>
      </c>
      <c r="F31" s="18">
        <f>IF(AND(ISNUMBER(B31),ISNUMBER(B30)),(B31-B30)*100,"")</f>
        <v/>
      </c>
      <c r="G31" s="18">
        <f>IF(AND(ISNUMBER(C31),ISNUMBER(C30)),(C31-C30)*100,"")</f>
        <v/>
      </c>
      <c r="H31" s="18">
        <f>IF(OR(NOT(ISNUMBER($A31)),ROW()-2&lt;Settings!$B$11),NA(),IF(COUNT(OFFSET(F31,1-Settings!$B$11,0,Settings!$B$11,1))&lt;Settings!$B$11,NA(),STDEV(OFFSET(F31,1-Settings!$B$11,0,Settings!$B$11,1))*SQRT(Settings!$B$13)))</f>
        <v/>
      </c>
      <c r="I31" s="18">
        <f>IF(OR(NOT(ISNUMBER($A31)),ROW()-2&lt;Settings!$B$12),NA(),IF(COUNT(OFFSET(F31,1-Settings!$B$12,0,Settings!$B$12,1))&lt;Settings!$B$12,NA(),STDEV(OFFSET(F31,1-Settings!$B$12,0,Settings!$B$12,1))*SQRT(Settings!$B$13)))</f>
        <v/>
      </c>
      <c r="J31" s="18">
        <f>IF(OR(NOT(ISNUMBER($A31)),ROW()-2&lt;Settings!$B$11),NA(),IF(COUNT(OFFSET(G31,1-Settings!$B$11,0,Settings!$B$11,1))&lt;Settings!$B$11,NA(),STDEV(OFFSET(G31,1-Settings!$B$11,0,Settings!$B$11,1))*SQRT(Settings!$B$13)))</f>
        <v/>
      </c>
      <c r="K31" s="18">
        <f>IF(OR(NOT(ISNUMBER($A31)),ROW()-2&lt;Settings!$B$12),NA(),IF(COUNT(OFFSET(G31,1-Settings!$B$12,0,Settings!$B$12,1))&lt;Settings!$B$12,NA(),STDEV(OFFSET(G31,1-Settings!$B$12,0,Settings!$B$12,1))*SQRT(Settings!$B$13)))</f>
        <v/>
      </c>
      <c r="L31" s="18">
        <f>IF(AND(ISNUMBER(D31),ISNUMBER(H31)),D31-H31,NA())</f>
        <v/>
      </c>
      <c r="M31" s="18">
        <f>IF(AND(ISNUMBER(E31),ISNUMBER(K31)),E31-K31,NA())</f>
        <v/>
      </c>
      <c r="N31" s="18">
        <f>IF(NOT(ISNUMBER($A31)),NA(),IF(COUNT(OFFSET(G31,1,0,Settings!$B$12,1))&lt;Settings!$B$12,NA(),STDEV(OFFSET(G31,1,0,Settings!$B$12,1))*SQRT(Settings!$B$13)))</f>
        <v/>
      </c>
      <c r="O31" s="18">
        <f>IF(AND(ISNUMBER(E31),ISNUMBER(N31)),E31-N31,NA())</f>
        <v/>
      </c>
      <c r="P31" s="17">
        <f>IF(NOT(ISNUMBER($A31)),NA(),IF(OR($A31&lt;MIN(KW_TP!$A$2:$A$2501),$A31&gt;MAX(KW_TP!$A$2:$A$2501)),NA(),INDEX(KW_TP!$C$2:$C$2501,MATCH($A31,KW_TP!$A$2:$A$2501,1))))</f>
        <v/>
      </c>
    </row>
    <row r="32">
      <c r="A32" s="15">
        <f>IF(ISNUMBER(BBG_Data!A32),BBG_Data!A32,"")</f>
        <v/>
      </c>
      <c r="B32" s="16">
        <f>IF(AND(ISNUMBER($A32),ISNUMBER(BBG_Data!B32)),BBG_Data!B32,NA())</f>
        <v/>
      </c>
      <c r="C32" s="16">
        <f>IF(AND(ISNUMBER($A32),ISNUMBER(BBG_Data!C32)),BBG_Data!C32,NA())</f>
        <v/>
      </c>
      <c r="D32" s="17">
        <f>IF(AND(ISNUMBER($A32),ISNUMBER(BBG_Data!D32)),BBG_Data!D32,NA())</f>
        <v/>
      </c>
      <c r="E32" s="17">
        <f>IF(AND(ISNUMBER($A32),ISNUMBER(BBG_Data!E32)),BBG_Data!E32,NA())</f>
        <v/>
      </c>
      <c r="F32" s="18">
        <f>IF(AND(ISNUMBER(B32),ISNUMBER(B31)),(B32-B31)*100,"")</f>
        <v/>
      </c>
      <c r="G32" s="18">
        <f>IF(AND(ISNUMBER(C32),ISNUMBER(C31)),(C32-C31)*100,"")</f>
        <v/>
      </c>
      <c r="H32" s="18">
        <f>IF(OR(NOT(ISNUMBER($A32)),ROW()-2&lt;Settings!$B$11),NA(),IF(COUNT(OFFSET(F32,1-Settings!$B$11,0,Settings!$B$11,1))&lt;Settings!$B$11,NA(),STDEV(OFFSET(F32,1-Settings!$B$11,0,Settings!$B$11,1))*SQRT(Settings!$B$13)))</f>
        <v/>
      </c>
      <c r="I32" s="18">
        <f>IF(OR(NOT(ISNUMBER($A32)),ROW()-2&lt;Settings!$B$12),NA(),IF(COUNT(OFFSET(F32,1-Settings!$B$12,0,Settings!$B$12,1))&lt;Settings!$B$12,NA(),STDEV(OFFSET(F32,1-Settings!$B$12,0,Settings!$B$12,1))*SQRT(Settings!$B$13)))</f>
        <v/>
      </c>
      <c r="J32" s="18">
        <f>IF(OR(NOT(ISNUMBER($A32)),ROW()-2&lt;Settings!$B$11),NA(),IF(COUNT(OFFSET(G32,1-Settings!$B$11,0,Settings!$B$11,1))&lt;Settings!$B$11,NA(),STDEV(OFFSET(G32,1-Settings!$B$11,0,Settings!$B$11,1))*SQRT(Settings!$B$13)))</f>
        <v/>
      </c>
      <c r="K32" s="18">
        <f>IF(OR(NOT(ISNUMBER($A32)),ROW()-2&lt;Settings!$B$12),NA(),IF(COUNT(OFFSET(G32,1-Settings!$B$12,0,Settings!$B$12,1))&lt;Settings!$B$12,NA(),STDEV(OFFSET(G32,1-Settings!$B$12,0,Settings!$B$12,1))*SQRT(Settings!$B$13)))</f>
        <v/>
      </c>
      <c r="L32" s="18">
        <f>IF(AND(ISNUMBER(D32),ISNUMBER(H32)),D32-H32,NA())</f>
        <v/>
      </c>
      <c r="M32" s="18">
        <f>IF(AND(ISNUMBER(E32),ISNUMBER(K32)),E32-K32,NA())</f>
        <v/>
      </c>
      <c r="N32" s="18">
        <f>IF(NOT(ISNUMBER($A32)),NA(),IF(COUNT(OFFSET(G32,1,0,Settings!$B$12,1))&lt;Settings!$B$12,NA(),STDEV(OFFSET(G32,1,0,Settings!$B$12,1))*SQRT(Settings!$B$13)))</f>
        <v/>
      </c>
      <c r="O32" s="18">
        <f>IF(AND(ISNUMBER(E32),ISNUMBER(N32)),E32-N32,NA())</f>
        <v/>
      </c>
      <c r="P32" s="17">
        <f>IF(NOT(ISNUMBER($A32)),NA(),IF(OR($A32&lt;MIN(KW_TP!$A$2:$A$2501),$A32&gt;MAX(KW_TP!$A$2:$A$2501)),NA(),INDEX(KW_TP!$C$2:$C$2501,MATCH($A32,KW_TP!$A$2:$A$2501,1))))</f>
        <v/>
      </c>
    </row>
    <row r="33">
      <c r="A33" s="15">
        <f>IF(ISNUMBER(BBG_Data!A33),BBG_Data!A33,"")</f>
        <v/>
      </c>
      <c r="B33" s="16">
        <f>IF(AND(ISNUMBER($A33),ISNUMBER(BBG_Data!B33)),BBG_Data!B33,NA())</f>
        <v/>
      </c>
      <c r="C33" s="16">
        <f>IF(AND(ISNUMBER($A33),ISNUMBER(BBG_Data!C33)),BBG_Data!C33,NA())</f>
        <v/>
      </c>
      <c r="D33" s="17">
        <f>IF(AND(ISNUMBER($A33),ISNUMBER(BBG_Data!D33)),BBG_Data!D33,NA())</f>
        <v/>
      </c>
      <c r="E33" s="17">
        <f>IF(AND(ISNUMBER($A33),ISNUMBER(BBG_Data!E33)),BBG_Data!E33,NA())</f>
        <v/>
      </c>
      <c r="F33" s="18">
        <f>IF(AND(ISNUMBER(B33),ISNUMBER(B32)),(B33-B32)*100,"")</f>
        <v/>
      </c>
      <c r="G33" s="18">
        <f>IF(AND(ISNUMBER(C33),ISNUMBER(C32)),(C33-C32)*100,"")</f>
        <v/>
      </c>
      <c r="H33" s="18">
        <f>IF(OR(NOT(ISNUMBER($A33)),ROW()-2&lt;Settings!$B$11),NA(),IF(COUNT(OFFSET(F33,1-Settings!$B$11,0,Settings!$B$11,1))&lt;Settings!$B$11,NA(),STDEV(OFFSET(F33,1-Settings!$B$11,0,Settings!$B$11,1))*SQRT(Settings!$B$13)))</f>
        <v/>
      </c>
      <c r="I33" s="18">
        <f>IF(OR(NOT(ISNUMBER($A33)),ROW()-2&lt;Settings!$B$12),NA(),IF(COUNT(OFFSET(F33,1-Settings!$B$12,0,Settings!$B$12,1))&lt;Settings!$B$12,NA(),STDEV(OFFSET(F33,1-Settings!$B$12,0,Settings!$B$12,1))*SQRT(Settings!$B$13)))</f>
        <v/>
      </c>
      <c r="J33" s="18">
        <f>IF(OR(NOT(ISNUMBER($A33)),ROW()-2&lt;Settings!$B$11),NA(),IF(COUNT(OFFSET(G33,1-Settings!$B$11,0,Settings!$B$11,1))&lt;Settings!$B$11,NA(),STDEV(OFFSET(G33,1-Settings!$B$11,0,Settings!$B$11,1))*SQRT(Settings!$B$13)))</f>
        <v/>
      </c>
      <c r="K33" s="18">
        <f>IF(OR(NOT(ISNUMBER($A33)),ROW()-2&lt;Settings!$B$12),NA(),IF(COUNT(OFFSET(G33,1-Settings!$B$12,0,Settings!$B$12,1))&lt;Settings!$B$12,NA(),STDEV(OFFSET(G33,1-Settings!$B$12,0,Settings!$B$12,1))*SQRT(Settings!$B$13)))</f>
        <v/>
      </c>
      <c r="L33" s="18">
        <f>IF(AND(ISNUMBER(D33),ISNUMBER(H33)),D33-H33,NA())</f>
        <v/>
      </c>
      <c r="M33" s="18">
        <f>IF(AND(ISNUMBER(E33),ISNUMBER(K33)),E33-K33,NA())</f>
        <v/>
      </c>
      <c r="N33" s="18">
        <f>IF(NOT(ISNUMBER($A33)),NA(),IF(COUNT(OFFSET(G33,1,0,Settings!$B$12,1))&lt;Settings!$B$12,NA(),STDEV(OFFSET(G33,1,0,Settings!$B$12,1))*SQRT(Settings!$B$13)))</f>
        <v/>
      </c>
      <c r="O33" s="18">
        <f>IF(AND(ISNUMBER(E33),ISNUMBER(N33)),E33-N33,NA())</f>
        <v/>
      </c>
      <c r="P33" s="17">
        <f>IF(NOT(ISNUMBER($A33)),NA(),IF(OR($A33&lt;MIN(KW_TP!$A$2:$A$2501),$A33&gt;MAX(KW_TP!$A$2:$A$2501)),NA(),INDEX(KW_TP!$C$2:$C$2501,MATCH($A33,KW_TP!$A$2:$A$2501,1))))</f>
        <v/>
      </c>
    </row>
    <row r="34">
      <c r="A34" s="15">
        <f>IF(ISNUMBER(BBG_Data!A34),BBG_Data!A34,"")</f>
        <v/>
      </c>
      <c r="B34" s="16">
        <f>IF(AND(ISNUMBER($A34),ISNUMBER(BBG_Data!B34)),BBG_Data!B34,NA())</f>
        <v/>
      </c>
      <c r="C34" s="16">
        <f>IF(AND(ISNUMBER($A34),ISNUMBER(BBG_Data!C34)),BBG_Data!C34,NA())</f>
        <v/>
      </c>
      <c r="D34" s="17">
        <f>IF(AND(ISNUMBER($A34),ISNUMBER(BBG_Data!D34)),BBG_Data!D34,NA())</f>
        <v/>
      </c>
      <c r="E34" s="17">
        <f>IF(AND(ISNUMBER($A34),ISNUMBER(BBG_Data!E34)),BBG_Data!E34,NA())</f>
        <v/>
      </c>
      <c r="F34" s="18">
        <f>IF(AND(ISNUMBER(B34),ISNUMBER(B33)),(B34-B33)*100,"")</f>
        <v/>
      </c>
      <c r="G34" s="18">
        <f>IF(AND(ISNUMBER(C34),ISNUMBER(C33)),(C34-C33)*100,"")</f>
        <v/>
      </c>
      <c r="H34" s="18">
        <f>IF(OR(NOT(ISNUMBER($A34)),ROW()-2&lt;Settings!$B$11),NA(),IF(COUNT(OFFSET(F34,1-Settings!$B$11,0,Settings!$B$11,1))&lt;Settings!$B$11,NA(),STDEV(OFFSET(F34,1-Settings!$B$11,0,Settings!$B$11,1))*SQRT(Settings!$B$13)))</f>
        <v/>
      </c>
      <c r="I34" s="18">
        <f>IF(OR(NOT(ISNUMBER($A34)),ROW()-2&lt;Settings!$B$12),NA(),IF(COUNT(OFFSET(F34,1-Settings!$B$12,0,Settings!$B$12,1))&lt;Settings!$B$12,NA(),STDEV(OFFSET(F34,1-Settings!$B$12,0,Settings!$B$12,1))*SQRT(Settings!$B$13)))</f>
        <v/>
      </c>
      <c r="J34" s="18">
        <f>IF(OR(NOT(ISNUMBER($A34)),ROW()-2&lt;Settings!$B$11),NA(),IF(COUNT(OFFSET(G34,1-Settings!$B$11,0,Settings!$B$11,1))&lt;Settings!$B$11,NA(),STDEV(OFFSET(G34,1-Settings!$B$11,0,Settings!$B$11,1))*SQRT(Settings!$B$13)))</f>
        <v/>
      </c>
      <c r="K34" s="18">
        <f>IF(OR(NOT(ISNUMBER($A34)),ROW()-2&lt;Settings!$B$12),NA(),IF(COUNT(OFFSET(G34,1-Settings!$B$12,0,Settings!$B$12,1))&lt;Settings!$B$12,NA(),STDEV(OFFSET(G34,1-Settings!$B$12,0,Settings!$B$12,1))*SQRT(Settings!$B$13)))</f>
        <v/>
      </c>
      <c r="L34" s="18">
        <f>IF(AND(ISNUMBER(D34),ISNUMBER(H34)),D34-H34,NA())</f>
        <v/>
      </c>
      <c r="M34" s="18">
        <f>IF(AND(ISNUMBER(E34),ISNUMBER(K34)),E34-K34,NA())</f>
        <v/>
      </c>
      <c r="N34" s="18">
        <f>IF(NOT(ISNUMBER($A34)),NA(),IF(COUNT(OFFSET(G34,1,0,Settings!$B$12,1))&lt;Settings!$B$12,NA(),STDEV(OFFSET(G34,1,0,Settings!$B$12,1))*SQRT(Settings!$B$13)))</f>
        <v/>
      </c>
      <c r="O34" s="18">
        <f>IF(AND(ISNUMBER(E34),ISNUMBER(N34)),E34-N34,NA())</f>
        <v/>
      </c>
      <c r="P34" s="17">
        <f>IF(NOT(ISNUMBER($A34)),NA(),IF(OR($A34&lt;MIN(KW_TP!$A$2:$A$2501),$A34&gt;MAX(KW_TP!$A$2:$A$2501)),NA(),INDEX(KW_TP!$C$2:$C$2501,MATCH($A34,KW_TP!$A$2:$A$2501,1))))</f>
        <v/>
      </c>
    </row>
    <row r="35">
      <c r="A35" s="15">
        <f>IF(ISNUMBER(BBG_Data!A35),BBG_Data!A35,"")</f>
        <v/>
      </c>
      <c r="B35" s="16">
        <f>IF(AND(ISNUMBER($A35),ISNUMBER(BBG_Data!B35)),BBG_Data!B35,NA())</f>
        <v/>
      </c>
      <c r="C35" s="16">
        <f>IF(AND(ISNUMBER($A35),ISNUMBER(BBG_Data!C35)),BBG_Data!C35,NA())</f>
        <v/>
      </c>
      <c r="D35" s="17">
        <f>IF(AND(ISNUMBER($A35),ISNUMBER(BBG_Data!D35)),BBG_Data!D35,NA())</f>
        <v/>
      </c>
      <c r="E35" s="17">
        <f>IF(AND(ISNUMBER($A35),ISNUMBER(BBG_Data!E35)),BBG_Data!E35,NA())</f>
        <v/>
      </c>
      <c r="F35" s="18">
        <f>IF(AND(ISNUMBER(B35),ISNUMBER(B34)),(B35-B34)*100,"")</f>
        <v/>
      </c>
      <c r="G35" s="18">
        <f>IF(AND(ISNUMBER(C35),ISNUMBER(C34)),(C35-C34)*100,"")</f>
        <v/>
      </c>
      <c r="H35" s="18">
        <f>IF(OR(NOT(ISNUMBER($A35)),ROW()-2&lt;Settings!$B$11),NA(),IF(COUNT(OFFSET(F35,1-Settings!$B$11,0,Settings!$B$11,1))&lt;Settings!$B$11,NA(),STDEV(OFFSET(F35,1-Settings!$B$11,0,Settings!$B$11,1))*SQRT(Settings!$B$13)))</f>
        <v/>
      </c>
      <c r="I35" s="18">
        <f>IF(OR(NOT(ISNUMBER($A35)),ROW()-2&lt;Settings!$B$12),NA(),IF(COUNT(OFFSET(F35,1-Settings!$B$12,0,Settings!$B$12,1))&lt;Settings!$B$12,NA(),STDEV(OFFSET(F35,1-Settings!$B$12,0,Settings!$B$12,1))*SQRT(Settings!$B$13)))</f>
        <v/>
      </c>
      <c r="J35" s="18">
        <f>IF(OR(NOT(ISNUMBER($A35)),ROW()-2&lt;Settings!$B$11),NA(),IF(COUNT(OFFSET(G35,1-Settings!$B$11,0,Settings!$B$11,1))&lt;Settings!$B$11,NA(),STDEV(OFFSET(G35,1-Settings!$B$11,0,Settings!$B$11,1))*SQRT(Settings!$B$13)))</f>
        <v/>
      </c>
      <c r="K35" s="18">
        <f>IF(OR(NOT(ISNUMBER($A35)),ROW()-2&lt;Settings!$B$12),NA(),IF(COUNT(OFFSET(G35,1-Settings!$B$12,0,Settings!$B$12,1))&lt;Settings!$B$12,NA(),STDEV(OFFSET(G35,1-Settings!$B$12,0,Settings!$B$12,1))*SQRT(Settings!$B$13)))</f>
        <v/>
      </c>
      <c r="L35" s="18">
        <f>IF(AND(ISNUMBER(D35),ISNUMBER(H35)),D35-H35,NA())</f>
        <v/>
      </c>
      <c r="M35" s="18">
        <f>IF(AND(ISNUMBER(E35),ISNUMBER(K35)),E35-K35,NA())</f>
        <v/>
      </c>
      <c r="N35" s="18">
        <f>IF(NOT(ISNUMBER($A35)),NA(),IF(COUNT(OFFSET(G35,1,0,Settings!$B$12,1))&lt;Settings!$B$12,NA(),STDEV(OFFSET(G35,1,0,Settings!$B$12,1))*SQRT(Settings!$B$13)))</f>
        <v/>
      </c>
      <c r="O35" s="18">
        <f>IF(AND(ISNUMBER(E35),ISNUMBER(N35)),E35-N35,NA())</f>
        <v/>
      </c>
      <c r="P35" s="17">
        <f>IF(NOT(ISNUMBER($A35)),NA(),IF(OR($A35&lt;MIN(KW_TP!$A$2:$A$2501),$A35&gt;MAX(KW_TP!$A$2:$A$2501)),NA(),INDEX(KW_TP!$C$2:$C$2501,MATCH($A35,KW_TP!$A$2:$A$2501,1))))</f>
        <v/>
      </c>
    </row>
    <row r="36">
      <c r="A36" s="15">
        <f>IF(ISNUMBER(BBG_Data!A36),BBG_Data!A36,"")</f>
        <v/>
      </c>
      <c r="B36" s="16">
        <f>IF(AND(ISNUMBER($A36),ISNUMBER(BBG_Data!B36)),BBG_Data!B36,NA())</f>
        <v/>
      </c>
      <c r="C36" s="16">
        <f>IF(AND(ISNUMBER($A36),ISNUMBER(BBG_Data!C36)),BBG_Data!C36,NA())</f>
        <v/>
      </c>
      <c r="D36" s="17">
        <f>IF(AND(ISNUMBER($A36),ISNUMBER(BBG_Data!D36)),BBG_Data!D36,NA())</f>
        <v/>
      </c>
      <c r="E36" s="17">
        <f>IF(AND(ISNUMBER($A36),ISNUMBER(BBG_Data!E36)),BBG_Data!E36,NA())</f>
        <v/>
      </c>
      <c r="F36" s="18">
        <f>IF(AND(ISNUMBER(B36),ISNUMBER(B35)),(B36-B35)*100,"")</f>
        <v/>
      </c>
      <c r="G36" s="18">
        <f>IF(AND(ISNUMBER(C36),ISNUMBER(C35)),(C36-C35)*100,"")</f>
        <v/>
      </c>
      <c r="H36" s="18">
        <f>IF(OR(NOT(ISNUMBER($A36)),ROW()-2&lt;Settings!$B$11),NA(),IF(COUNT(OFFSET(F36,1-Settings!$B$11,0,Settings!$B$11,1))&lt;Settings!$B$11,NA(),STDEV(OFFSET(F36,1-Settings!$B$11,0,Settings!$B$11,1))*SQRT(Settings!$B$13)))</f>
        <v/>
      </c>
      <c r="I36" s="18">
        <f>IF(OR(NOT(ISNUMBER($A36)),ROW()-2&lt;Settings!$B$12),NA(),IF(COUNT(OFFSET(F36,1-Settings!$B$12,0,Settings!$B$12,1))&lt;Settings!$B$12,NA(),STDEV(OFFSET(F36,1-Settings!$B$12,0,Settings!$B$12,1))*SQRT(Settings!$B$13)))</f>
        <v/>
      </c>
      <c r="J36" s="18">
        <f>IF(OR(NOT(ISNUMBER($A36)),ROW()-2&lt;Settings!$B$11),NA(),IF(COUNT(OFFSET(G36,1-Settings!$B$11,0,Settings!$B$11,1))&lt;Settings!$B$11,NA(),STDEV(OFFSET(G36,1-Settings!$B$11,0,Settings!$B$11,1))*SQRT(Settings!$B$13)))</f>
        <v/>
      </c>
      <c r="K36" s="18">
        <f>IF(OR(NOT(ISNUMBER($A36)),ROW()-2&lt;Settings!$B$12),NA(),IF(COUNT(OFFSET(G36,1-Settings!$B$12,0,Settings!$B$12,1))&lt;Settings!$B$12,NA(),STDEV(OFFSET(G36,1-Settings!$B$12,0,Settings!$B$12,1))*SQRT(Settings!$B$13)))</f>
        <v/>
      </c>
      <c r="L36" s="18">
        <f>IF(AND(ISNUMBER(D36),ISNUMBER(H36)),D36-H36,NA())</f>
        <v/>
      </c>
      <c r="M36" s="18">
        <f>IF(AND(ISNUMBER(E36),ISNUMBER(K36)),E36-K36,NA())</f>
        <v/>
      </c>
      <c r="N36" s="18">
        <f>IF(NOT(ISNUMBER($A36)),NA(),IF(COUNT(OFFSET(G36,1,0,Settings!$B$12,1))&lt;Settings!$B$12,NA(),STDEV(OFFSET(G36,1,0,Settings!$B$12,1))*SQRT(Settings!$B$13)))</f>
        <v/>
      </c>
      <c r="O36" s="18">
        <f>IF(AND(ISNUMBER(E36),ISNUMBER(N36)),E36-N36,NA())</f>
        <v/>
      </c>
      <c r="P36" s="17">
        <f>IF(NOT(ISNUMBER($A36)),NA(),IF(OR($A36&lt;MIN(KW_TP!$A$2:$A$2501),$A36&gt;MAX(KW_TP!$A$2:$A$2501)),NA(),INDEX(KW_TP!$C$2:$C$2501,MATCH($A36,KW_TP!$A$2:$A$2501,1))))</f>
        <v/>
      </c>
    </row>
    <row r="37">
      <c r="A37" s="15">
        <f>IF(ISNUMBER(BBG_Data!A37),BBG_Data!A37,"")</f>
        <v/>
      </c>
      <c r="B37" s="16">
        <f>IF(AND(ISNUMBER($A37),ISNUMBER(BBG_Data!B37)),BBG_Data!B37,NA())</f>
        <v/>
      </c>
      <c r="C37" s="16">
        <f>IF(AND(ISNUMBER($A37),ISNUMBER(BBG_Data!C37)),BBG_Data!C37,NA())</f>
        <v/>
      </c>
      <c r="D37" s="17">
        <f>IF(AND(ISNUMBER($A37),ISNUMBER(BBG_Data!D37)),BBG_Data!D37,NA())</f>
        <v/>
      </c>
      <c r="E37" s="17">
        <f>IF(AND(ISNUMBER($A37),ISNUMBER(BBG_Data!E37)),BBG_Data!E37,NA())</f>
        <v/>
      </c>
      <c r="F37" s="18">
        <f>IF(AND(ISNUMBER(B37),ISNUMBER(B36)),(B37-B36)*100,"")</f>
        <v/>
      </c>
      <c r="G37" s="18">
        <f>IF(AND(ISNUMBER(C37),ISNUMBER(C36)),(C37-C36)*100,"")</f>
        <v/>
      </c>
      <c r="H37" s="18">
        <f>IF(OR(NOT(ISNUMBER($A37)),ROW()-2&lt;Settings!$B$11),NA(),IF(COUNT(OFFSET(F37,1-Settings!$B$11,0,Settings!$B$11,1))&lt;Settings!$B$11,NA(),STDEV(OFFSET(F37,1-Settings!$B$11,0,Settings!$B$11,1))*SQRT(Settings!$B$13)))</f>
        <v/>
      </c>
      <c r="I37" s="18">
        <f>IF(OR(NOT(ISNUMBER($A37)),ROW()-2&lt;Settings!$B$12),NA(),IF(COUNT(OFFSET(F37,1-Settings!$B$12,0,Settings!$B$12,1))&lt;Settings!$B$12,NA(),STDEV(OFFSET(F37,1-Settings!$B$12,0,Settings!$B$12,1))*SQRT(Settings!$B$13)))</f>
        <v/>
      </c>
      <c r="J37" s="18">
        <f>IF(OR(NOT(ISNUMBER($A37)),ROW()-2&lt;Settings!$B$11),NA(),IF(COUNT(OFFSET(G37,1-Settings!$B$11,0,Settings!$B$11,1))&lt;Settings!$B$11,NA(),STDEV(OFFSET(G37,1-Settings!$B$11,0,Settings!$B$11,1))*SQRT(Settings!$B$13)))</f>
        <v/>
      </c>
      <c r="K37" s="18">
        <f>IF(OR(NOT(ISNUMBER($A37)),ROW()-2&lt;Settings!$B$12),NA(),IF(COUNT(OFFSET(G37,1-Settings!$B$12,0,Settings!$B$12,1))&lt;Settings!$B$12,NA(),STDEV(OFFSET(G37,1-Settings!$B$12,0,Settings!$B$12,1))*SQRT(Settings!$B$13)))</f>
        <v/>
      </c>
      <c r="L37" s="18">
        <f>IF(AND(ISNUMBER(D37),ISNUMBER(H37)),D37-H37,NA())</f>
        <v/>
      </c>
      <c r="M37" s="18">
        <f>IF(AND(ISNUMBER(E37),ISNUMBER(K37)),E37-K37,NA())</f>
        <v/>
      </c>
      <c r="N37" s="18">
        <f>IF(NOT(ISNUMBER($A37)),NA(),IF(COUNT(OFFSET(G37,1,0,Settings!$B$12,1))&lt;Settings!$B$12,NA(),STDEV(OFFSET(G37,1,0,Settings!$B$12,1))*SQRT(Settings!$B$13)))</f>
        <v/>
      </c>
      <c r="O37" s="18">
        <f>IF(AND(ISNUMBER(E37),ISNUMBER(N37)),E37-N37,NA())</f>
        <v/>
      </c>
      <c r="P37" s="17">
        <f>IF(NOT(ISNUMBER($A37)),NA(),IF(OR($A37&lt;MIN(KW_TP!$A$2:$A$2501),$A37&gt;MAX(KW_TP!$A$2:$A$2501)),NA(),INDEX(KW_TP!$C$2:$C$2501,MATCH($A37,KW_TP!$A$2:$A$2501,1))))</f>
        <v/>
      </c>
    </row>
    <row r="38">
      <c r="A38" s="15">
        <f>IF(ISNUMBER(BBG_Data!A38),BBG_Data!A38,"")</f>
        <v/>
      </c>
      <c r="B38" s="16">
        <f>IF(AND(ISNUMBER($A38),ISNUMBER(BBG_Data!B38)),BBG_Data!B38,NA())</f>
        <v/>
      </c>
      <c r="C38" s="16">
        <f>IF(AND(ISNUMBER($A38),ISNUMBER(BBG_Data!C38)),BBG_Data!C38,NA())</f>
        <v/>
      </c>
      <c r="D38" s="17">
        <f>IF(AND(ISNUMBER($A38),ISNUMBER(BBG_Data!D38)),BBG_Data!D38,NA())</f>
        <v/>
      </c>
      <c r="E38" s="17">
        <f>IF(AND(ISNUMBER($A38),ISNUMBER(BBG_Data!E38)),BBG_Data!E38,NA())</f>
        <v/>
      </c>
      <c r="F38" s="18">
        <f>IF(AND(ISNUMBER(B38),ISNUMBER(B37)),(B38-B37)*100,"")</f>
        <v/>
      </c>
      <c r="G38" s="18">
        <f>IF(AND(ISNUMBER(C38),ISNUMBER(C37)),(C38-C37)*100,"")</f>
        <v/>
      </c>
      <c r="H38" s="18">
        <f>IF(OR(NOT(ISNUMBER($A38)),ROW()-2&lt;Settings!$B$11),NA(),IF(COUNT(OFFSET(F38,1-Settings!$B$11,0,Settings!$B$11,1))&lt;Settings!$B$11,NA(),STDEV(OFFSET(F38,1-Settings!$B$11,0,Settings!$B$11,1))*SQRT(Settings!$B$13)))</f>
        <v/>
      </c>
      <c r="I38" s="18">
        <f>IF(OR(NOT(ISNUMBER($A38)),ROW()-2&lt;Settings!$B$12),NA(),IF(COUNT(OFFSET(F38,1-Settings!$B$12,0,Settings!$B$12,1))&lt;Settings!$B$12,NA(),STDEV(OFFSET(F38,1-Settings!$B$12,0,Settings!$B$12,1))*SQRT(Settings!$B$13)))</f>
        <v/>
      </c>
      <c r="J38" s="18">
        <f>IF(OR(NOT(ISNUMBER($A38)),ROW()-2&lt;Settings!$B$11),NA(),IF(COUNT(OFFSET(G38,1-Settings!$B$11,0,Settings!$B$11,1))&lt;Settings!$B$11,NA(),STDEV(OFFSET(G38,1-Settings!$B$11,0,Settings!$B$11,1))*SQRT(Settings!$B$13)))</f>
        <v/>
      </c>
      <c r="K38" s="18">
        <f>IF(OR(NOT(ISNUMBER($A38)),ROW()-2&lt;Settings!$B$12),NA(),IF(COUNT(OFFSET(G38,1-Settings!$B$12,0,Settings!$B$12,1))&lt;Settings!$B$12,NA(),STDEV(OFFSET(G38,1-Settings!$B$12,0,Settings!$B$12,1))*SQRT(Settings!$B$13)))</f>
        <v/>
      </c>
      <c r="L38" s="18">
        <f>IF(AND(ISNUMBER(D38),ISNUMBER(H38)),D38-H38,NA())</f>
        <v/>
      </c>
      <c r="M38" s="18">
        <f>IF(AND(ISNUMBER(E38),ISNUMBER(K38)),E38-K38,NA())</f>
        <v/>
      </c>
      <c r="N38" s="18">
        <f>IF(NOT(ISNUMBER($A38)),NA(),IF(COUNT(OFFSET(G38,1,0,Settings!$B$12,1))&lt;Settings!$B$12,NA(),STDEV(OFFSET(G38,1,0,Settings!$B$12,1))*SQRT(Settings!$B$13)))</f>
        <v/>
      </c>
      <c r="O38" s="18">
        <f>IF(AND(ISNUMBER(E38),ISNUMBER(N38)),E38-N38,NA())</f>
        <v/>
      </c>
      <c r="P38" s="17">
        <f>IF(NOT(ISNUMBER($A38)),NA(),IF(OR($A38&lt;MIN(KW_TP!$A$2:$A$2501),$A38&gt;MAX(KW_TP!$A$2:$A$2501)),NA(),INDEX(KW_TP!$C$2:$C$2501,MATCH($A38,KW_TP!$A$2:$A$2501,1))))</f>
        <v/>
      </c>
    </row>
    <row r="39">
      <c r="A39" s="15">
        <f>IF(ISNUMBER(BBG_Data!A39),BBG_Data!A39,"")</f>
        <v/>
      </c>
      <c r="B39" s="16">
        <f>IF(AND(ISNUMBER($A39),ISNUMBER(BBG_Data!B39)),BBG_Data!B39,NA())</f>
        <v/>
      </c>
      <c r="C39" s="16">
        <f>IF(AND(ISNUMBER($A39),ISNUMBER(BBG_Data!C39)),BBG_Data!C39,NA())</f>
        <v/>
      </c>
      <c r="D39" s="17">
        <f>IF(AND(ISNUMBER($A39),ISNUMBER(BBG_Data!D39)),BBG_Data!D39,NA())</f>
        <v/>
      </c>
      <c r="E39" s="17">
        <f>IF(AND(ISNUMBER($A39),ISNUMBER(BBG_Data!E39)),BBG_Data!E39,NA())</f>
        <v/>
      </c>
      <c r="F39" s="18">
        <f>IF(AND(ISNUMBER(B39),ISNUMBER(B38)),(B39-B38)*100,"")</f>
        <v/>
      </c>
      <c r="G39" s="18">
        <f>IF(AND(ISNUMBER(C39),ISNUMBER(C38)),(C39-C38)*100,"")</f>
        <v/>
      </c>
      <c r="H39" s="18">
        <f>IF(OR(NOT(ISNUMBER($A39)),ROW()-2&lt;Settings!$B$11),NA(),IF(COUNT(OFFSET(F39,1-Settings!$B$11,0,Settings!$B$11,1))&lt;Settings!$B$11,NA(),STDEV(OFFSET(F39,1-Settings!$B$11,0,Settings!$B$11,1))*SQRT(Settings!$B$13)))</f>
        <v/>
      </c>
      <c r="I39" s="18">
        <f>IF(OR(NOT(ISNUMBER($A39)),ROW()-2&lt;Settings!$B$12),NA(),IF(COUNT(OFFSET(F39,1-Settings!$B$12,0,Settings!$B$12,1))&lt;Settings!$B$12,NA(),STDEV(OFFSET(F39,1-Settings!$B$12,0,Settings!$B$12,1))*SQRT(Settings!$B$13)))</f>
        <v/>
      </c>
      <c r="J39" s="18">
        <f>IF(OR(NOT(ISNUMBER($A39)),ROW()-2&lt;Settings!$B$11),NA(),IF(COUNT(OFFSET(G39,1-Settings!$B$11,0,Settings!$B$11,1))&lt;Settings!$B$11,NA(),STDEV(OFFSET(G39,1-Settings!$B$11,0,Settings!$B$11,1))*SQRT(Settings!$B$13)))</f>
        <v/>
      </c>
      <c r="K39" s="18">
        <f>IF(OR(NOT(ISNUMBER($A39)),ROW()-2&lt;Settings!$B$12),NA(),IF(COUNT(OFFSET(G39,1-Settings!$B$12,0,Settings!$B$12,1))&lt;Settings!$B$12,NA(),STDEV(OFFSET(G39,1-Settings!$B$12,0,Settings!$B$12,1))*SQRT(Settings!$B$13)))</f>
        <v/>
      </c>
      <c r="L39" s="18">
        <f>IF(AND(ISNUMBER(D39),ISNUMBER(H39)),D39-H39,NA())</f>
        <v/>
      </c>
      <c r="M39" s="18">
        <f>IF(AND(ISNUMBER(E39),ISNUMBER(K39)),E39-K39,NA())</f>
        <v/>
      </c>
      <c r="N39" s="18">
        <f>IF(NOT(ISNUMBER($A39)),NA(),IF(COUNT(OFFSET(G39,1,0,Settings!$B$12,1))&lt;Settings!$B$12,NA(),STDEV(OFFSET(G39,1,0,Settings!$B$12,1))*SQRT(Settings!$B$13)))</f>
        <v/>
      </c>
      <c r="O39" s="18">
        <f>IF(AND(ISNUMBER(E39),ISNUMBER(N39)),E39-N39,NA())</f>
        <v/>
      </c>
      <c r="P39" s="17">
        <f>IF(NOT(ISNUMBER($A39)),NA(),IF(OR($A39&lt;MIN(KW_TP!$A$2:$A$2501),$A39&gt;MAX(KW_TP!$A$2:$A$2501)),NA(),INDEX(KW_TP!$C$2:$C$2501,MATCH($A39,KW_TP!$A$2:$A$2501,1))))</f>
        <v/>
      </c>
    </row>
    <row r="40">
      <c r="A40" s="15">
        <f>IF(ISNUMBER(BBG_Data!A40),BBG_Data!A40,"")</f>
        <v/>
      </c>
      <c r="B40" s="16">
        <f>IF(AND(ISNUMBER($A40),ISNUMBER(BBG_Data!B40)),BBG_Data!B40,NA())</f>
        <v/>
      </c>
      <c r="C40" s="16">
        <f>IF(AND(ISNUMBER($A40),ISNUMBER(BBG_Data!C40)),BBG_Data!C40,NA())</f>
        <v/>
      </c>
      <c r="D40" s="17">
        <f>IF(AND(ISNUMBER($A40),ISNUMBER(BBG_Data!D40)),BBG_Data!D40,NA())</f>
        <v/>
      </c>
      <c r="E40" s="17">
        <f>IF(AND(ISNUMBER($A40),ISNUMBER(BBG_Data!E40)),BBG_Data!E40,NA())</f>
        <v/>
      </c>
      <c r="F40" s="18">
        <f>IF(AND(ISNUMBER(B40),ISNUMBER(B39)),(B40-B39)*100,"")</f>
        <v/>
      </c>
      <c r="G40" s="18">
        <f>IF(AND(ISNUMBER(C40),ISNUMBER(C39)),(C40-C39)*100,"")</f>
        <v/>
      </c>
      <c r="H40" s="18">
        <f>IF(OR(NOT(ISNUMBER($A40)),ROW()-2&lt;Settings!$B$11),NA(),IF(COUNT(OFFSET(F40,1-Settings!$B$11,0,Settings!$B$11,1))&lt;Settings!$B$11,NA(),STDEV(OFFSET(F40,1-Settings!$B$11,0,Settings!$B$11,1))*SQRT(Settings!$B$13)))</f>
        <v/>
      </c>
      <c r="I40" s="18">
        <f>IF(OR(NOT(ISNUMBER($A40)),ROW()-2&lt;Settings!$B$12),NA(),IF(COUNT(OFFSET(F40,1-Settings!$B$12,0,Settings!$B$12,1))&lt;Settings!$B$12,NA(),STDEV(OFFSET(F40,1-Settings!$B$12,0,Settings!$B$12,1))*SQRT(Settings!$B$13)))</f>
        <v/>
      </c>
      <c r="J40" s="18">
        <f>IF(OR(NOT(ISNUMBER($A40)),ROW()-2&lt;Settings!$B$11),NA(),IF(COUNT(OFFSET(G40,1-Settings!$B$11,0,Settings!$B$11,1))&lt;Settings!$B$11,NA(),STDEV(OFFSET(G40,1-Settings!$B$11,0,Settings!$B$11,1))*SQRT(Settings!$B$13)))</f>
        <v/>
      </c>
      <c r="K40" s="18">
        <f>IF(OR(NOT(ISNUMBER($A40)),ROW()-2&lt;Settings!$B$12),NA(),IF(COUNT(OFFSET(G40,1-Settings!$B$12,0,Settings!$B$12,1))&lt;Settings!$B$12,NA(),STDEV(OFFSET(G40,1-Settings!$B$12,0,Settings!$B$12,1))*SQRT(Settings!$B$13)))</f>
        <v/>
      </c>
      <c r="L40" s="18">
        <f>IF(AND(ISNUMBER(D40),ISNUMBER(H40)),D40-H40,NA())</f>
        <v/>
      </c>
      <c r="M40" s="18">
        <f>IF(AND(ISNUMBER(E40),ISNUMBER(K40)),E40-K40,NA())</f>
        <v/>
      </c>
      <c r="N40" s="18">
        <f>IF(NOT(ISNUMBER($A40)),NA(),IF(COUNT(OFFSET(G40,1,0,Settings!$B$12,1))&lt;Settings!$B$12,NA(),STDEV(OFFSET(G40,1,0,Settings!$B$12,1))*SQRT(Settings!$B$13)))</f>
        <v/>
      </c>
      <c r="O40" s="18">
        <f>IF(AND(ISNUMBER(E40),ISNUMBER(N40)),E40-N40,NA())</f>
        <v/>
      </c>
      <c r="P40" s="17">
        <f>IF(NOT(ISNUMBER($A40)),NA(),IF(OR($A40&lt;MIN(KW_TP!$A$2:$A$2501),$A40&gt;MAX(KW_TP!$A$2:$A$2501)),NA(),INDEX(KW_TP!$C$2:$C$2501,MATCH($A40,KW_TP!$A$2:$A$2501,1))))</f>
        <v/>
      </c>
    </row>
    <row r="41">
      <c r="A41" s="15">
        <f>IF(ISNUMBER(BBG_Data!A41),BBG_Data!A41,"")</f>
        <v/>
      </c>
      <c r="B41" s="16">
        <f>IF(AND(ISNUMBER($A41),ISNUMBER(BBG_Data!B41)),BBG_Data!B41,NA())</f>
        <v/>
      </c>
      <c r="C41" s="16">
        <f>IF(AND(ISNUMBER($A41),ISNUMBER(BBG_Data!C41)),BBG_Data!C41,NA())</f>
        <v/>
      </c>
      <c r="D41" s="17">
        <f>IF(AND(ISNUMBER($A41),ISNUMBER(BBG_Data!D41)),BBG_Data!D41,NA())</f>
        <v/>
      </c>
      <c r="E41" s="17">
        <f>IF(AND(ISNUMBER($A41),ISNUMBER(BBG_Data!E41)),BBG_Data!E41,NA())</f>
        <v/>
      </c>
      <c r="F41" s="18">
        <f>IF(AND(ISNUMBER(B41),ISNUMBER(B40)),(B41-B40)*100,"")</f>
        <v/>
      </c>
      <c r="G41" s="18">
        <f>IF(AND(ISNUMBER(C41),ISNUMBER(C40)),(C41-C40)*100,"")</f>
        <v/>
      </c>
      <c r="H41" s="18">
        <f>IF(OR(NOT(ISNUMBER($A41)),ROW()-2&lt;Settings!$B$11),NA(),IF(COUNT(OFFSET(F41,1-Settings!$B$11,0,Settings!$B$11,1))&lt;Settings!$B$11,NA(),STDEV(OFFSET(F41,1-Settings!$B$11,0,Settings!$B$11,1))*SQRT(Settings!$B$13)))</f>
        <v/>
      </c>
      <c r="I41" s="18">
        <f>IF(OR(NOT(ISNUMBER($A41)),ROW()-2&lt;Settings!$B$12),NA(),IF(COUNT(OFFSET(F41,1-Settings!$B$12,0,Settings!$B$12,1))&lt;Settings!$B$12,NA(),STDEV(OFFSET(F41,1-Settings!$B$12,0,Settings!$B$12,1))*SQRT(Settings!$B$13)))</f>
        <v/>
      </c>
      <c r="J41" s="18">
        <f>IF(OR(NOT(ISNUMBER($A41)),ROW()-2&lt;Settings!$B$11),NA(),IF(COUNT(OFFSET(G41,1-Settings!$B$11,0,Settings!$B$11,1))&lt;Settings!$B$11,NA(),STDEV(OFFSET(G41,1-Settings!$B$11,0,Settings!$B$11,1))*SQRT(Settings!$B$13)))</f>
        <v/>
      </c>
      <c r="K41" s="18">
        <f>IF(OR(NOT(ISNUMBER($A41)),ROW()-2&lt;Settings!$B$12),NA(),IF(COUNT(OFFSET(G41,1-Settings!$B$12,0,Settings!$B$12,1))&lt;Settings!$B$12,NA(),STDEV(OFFSET(G41,1-Settings!$B$12,0,Settings!$B$12,1))*SQRT(Settings!$B$13)))</f>
        <v/>
      </c>
      <c r="L41" s="18">
        <f>IF(AND(ISNUMBER(D41),ISNUMBER(H41)),D41-H41,NA())</f>
        <v/>
      </c>
      <c r="M41" s="18">
        <f>IF(AND(ISNUMBER(E41),ISNUMBER(K41)),E41-K41,NA())</f>
        <v/>
      </c>
      <c r="N41" s="18">
        <f>IF(NOT(ISNUMBER($A41)),NA(),IF(COUNT(OFFSET(G41,1,0,Settings!$B$12,1))&lt;Settings!$B$12,NA(),STDEV(OFFSET(G41,1,0,Settings!$B$12,1))*SQRT(Settings!$B$13)))</f>
        <v/>
      </c>
      <c r="O41" s="18">
        <f>IF(AND(ISNUMBER(E41),ISNUMBER(N41)),E41-N41,NA())</f>
        <v/>
      </c>
      <c r="P41" s="17">
        <f>IF(NOT(ISNUMBER($A41)),NA(),IF(OR($A41&lt;MIN(KW_TP!$A$2:$A$2501),$A41&gt;MAX(KW_TP!$A$2:$A$2501)),NA(),INDEX(KW_TP!$C$2:$C$2501,MATCH($A41,KW_TP!$A$2:$A$2501,1))))</f>
        <v/>
      </c>
    </row>
    <row r="42">
      <c r="A42" s="15">
        <f>IF(ISNUMBER(BBG_Data!A42),BBG_Data!A42,"")</f>
        <v/>
      </c>
      <c r="B42" s="16">
        <f>IF(AND(ISNUMBER($A42),ISNUMBER(BBG_Data!B42)),BBG_Data!B42,NA())</f>
        <v/>
      </c>
      <c r="C42" s="16">
        <f>IF(AND(ISNUMBER($A42),ISNUMBER(BBG_Data!C42)),BBG_Data!C42,NA())</f>
        <v/>
      </c>
      <c r="D42" s="17">
        <f>IF(AND(ISNUMBER($A42),ISNUMBER(BBG_Data!D42)),BBG_Data!D42,NA())</f>
        <v/>
      </c>
      <c r="E42" s="17">
        <f>IF(AND(ISNUMBER($A42),ISNUMBER(BBG_Data!E42)),BBG_Data!E42,NA())</f>
        <v/>
      </c>
      <c r="F42" s="18">
        <f>IF(AND(ISNUMBER(B42),ISNUMBER(B41)),(B42-B41)*100,"")</f>
        <v/>
      </c>
      <c r="G42" s="18">
        <f>IF(AND(ISNUMBER(C42),ISNUMBER(C41)),(C42-C41)*100,"")</f>
        <v/>
      </c>
      <c r="H42" s="18">
        <f>IF(OR(NOT(ISNUMBER($A42)),ROW()-2&lt;Settings!$B$11),NA(),IF(COUNT(OFFSET(F42,1-Settings!$B$11,0,Settings!$B$11,1))&lt;Settings!$B$11,NA(),STDEV(OFFSET(F42,1-Settings!$B$11,0,Settings!$B$11,1))*SQRT(Settings!$B$13)))</f>
        <v/>
      </c>
      <c r="I42" s="18">
        <f>IF(OR(NOT(ISNUMBER($A42)),ROW()-2&lt;Settings!$B$12),NA(),IF(COUNT(OFFSET(F42,1-Settings!$B$12,0,Settings!$B$12,1))&lt;Settings!$B$12,NA(),STDEV(OFFSET(F42,1-Settings!$B$12,0,Settings!$B$12,1))*SQRT(Settings!$B$13)))</f>
        <v/>
      </c>
      <c r="J42" s="18">
        <f>IF(OR(NOT(ISNUMBER($A42)),ROW()-2&lt;Settings!$B$11),NA(),IF(COUNT(OFFSET(G42,1-Settings!$B$11,0,Settings!$B$11,1))&lt;Settings!$B$11,NA(),STDEV(OFFSET(G42,1-Settings!$B$11,0,Settings!$B$11,1))*SQRT(Settings!$B$13)))</f>
        <v/>
      </c>
      <c r="K42" s="18">
        <f>IF(OR(NOT(ISNUMBER($A42)),ROW()-2&lt;Settings!$B$12),NA(),IF(COUNT(OFFSET(G42,1-Settings!$B$12,0,Settings!$B$12,1))&lt;Settings!$B$12,NA(),STDEV(OFFSET(G42,1-Settings!$B$12,0,Settings!$B$12,1))*SQRT(Settings!$B$13)))</f>
        <v/>
      </c>
      <c r="L42" s="18">
        <f>IF(AND(ISNUMBER(D42),ISNUMBER(H42)),D42-H42,NA())</f>
        <v/>
      </c>
      <c r="M42" s="18">
        <f>IF(AND(ISNUMBER(E42),ISNUMBER(K42)),E42-K42,NA())</f>
        <v/>
      </c>
      <c r="N42" s="18">
        <f>IF(NOT(ISNUMBER($A42)),NA(),IF(COUNT(OFFSET(G42,1,0,Settings!$B$12,1))&lt;Settings!$B$12,NA(),STDEV(OFFSET(G42,1,0,Settings!$B$12,1))*SQRT(Settings!$B$13)))</f>
        <v/>
      </c>
      <c r="O42" s="18">
        <f>IF(AND(ISNUMBER(E42),ISNUMBER(N42)),E42-N42,NA())</f>
        <v/>
      </c>
      <c r="P42" s="17">
        <f>IF(NOT(ISNUMBER($A42)),NA(),IF(OR($A42&lt;MIN(KW_TP!$A$2:$A$2501),$A42&gt;MAX(KW_TP!$A$2:$A$2501)),NA(),INDEX(KW_TP!$C$2:$C$2501,MATCH($A42,KW_TP!$A$2:$A$2501,1))))</f>
        <v/>
      </c>
    </row>
    <row r="43">
      <c r="A43" s="15">
        <f>IF(ISNUMBER(BBG_Data!A43),BBG_Data!A43,"")</f>
        <v/>
      </c>
      <c r="B43" s="16">
        <f>IF(AND(ISNUMBER($A43),ISNUMBER(BBG_Data!B43)),BBG_Data!B43,NA())</f>
        <v/>
      </c>
      <c r="C43" s="16">
        <f>IF(AND(ISNUMBER($A43),ISNUMBER(BBG_Data!C43)),BBG_Data!C43,NA())</f>
        <v/>
      </c>
      <c r="D43" s="17">
        <f>IF(AND(ISNUMBER($A43),ISNUMBER(BBG_Data!D43)),BBG_Data!D43,NA())</f>
        <v/>
      </c>
      <c r="E43" s="17">
        <f>IF(AND(ISNUMBER($A43),ISNUMBER(BBG_Data!E43)),BBG_Data!E43,NA())</f>
        <v/>
      </c>
      <c r="F43" s="18">
        <f>IF(AND(ISNUMBER(B43),ISNUMBER(B42)),(B43-B42)*100,"")</f>
        <v/>
      </c>
      <c r="G43" s="18">
        <f>IF(AND(ISNUMBER(C43),ISNUMBER(C42)),(C43-C42)*100,"")</f>
        <v/>
      </c>
      <c r="H43" s="18">
        <f>IF(OR(NOT(ISNUMBER($A43)),ROW()-2&lt;Settings!$B$11),NA(),IF(COUNT(OFFSET(F43,1-Settings!$B$11,0,Settings!$B$11,1))&lt;Settings!$B$11,NA(),STDEV(OFFSET(F43,1-Settings!$B$11,0,Settings!$B$11,1))*SQRT(Settings!$B$13)))</f>
        <v/>
      </c>
      <c r="I43" s="18">
        <f>IF(OR(NOT(ISNUMBER($A43)),ROW()-2&lt;Settings!$B$12),NA(),IF(COUNT(OFFSET(F43,1-Settings!$B$12,0,Settings!$B$12,1))&lt;Settings!$B$12,NA(),STDEV(OFFSET(F43,1-Settings!$B$12,0,Settings!$B$12,1))*SQRT(Settings!$B$13)))</f>
        <v/>
      </c>
      <c r="J43" s="18">
        <f>IF(OR(NOT(ISNUMBER($A43)),ROW()-2&lt;Settings!$B$11),NA(),IF(COUNT(OFFSET(G43,1-Settings!$B$11,0,Settings!$B$11,1))&lt;Settings!$B$11,NA(),STDEV(OFFSET(G43,1-Settings!$B$11,0,Settings!$B$11,1))*SQRT(Settings!$B$13)))</f>
        <v/>
      </c>
      <c r="K43" s="18">
        <f>IF(OR(NOT(ISNUMBER($A43)),ROW()-2&lt;Settings!$B$12),NA(),IF(COUNT(OFFSET(G43,1-Settings!$B$12,0,Settings!$B$12,1))&lt;Settings!$B$12,NA(),STDEV(OFFSET(G43,1-Settings!$B$12,0,Settings!$B$12,1))*SQRT(Settings!$B$13)))</f>
        <v/>
      </c>
      <c r="L43" s="18">
        <f>IF(AND(ISNUMBER(D43),ISNUMBER(H43)),D43-H43,NA())</f>
        <v/>
      </c>
      <c r="M43" s="18">
        <f>IF(AND(ISNUMBER(E43),ISNUMBER(K43)),E43-K43,NA())</f>
        <v/>
      </c>
      <c r="N43" s="18">
        <f>IF(NOT(ISNUMBER($A43)),NA(),IF(COUNT(OFFSET(G43,1,0,Settings!$B$12,1))&lt;Settings!$B$12,NA(),STDEV(OFFSET(G43,1,0,Settings!$B$12,1))*SQRT(Settings!$B$13)))</f>
        <v/>
      </c>
      <c r="O43" s="18">
        <f>IF(AND(ISNUMBER(E43),ISNUMBER(N43)),E43-N43,NA())</f>
        <v/>
      </c>
      <c r="P43" s="17">
        <f>IF(NOT(ISNUMBER($A43)),NA(),IF(OR($A43&lt;MIN(KW_TP!$A$2:$A$2501),$A43&gt;MAX(KW_TP!$A$2:$A$2501)),NA(),INDEX(KW_TP!$C$2:$C$2501,MATCH($A43,KW_TP!$A$2:$A$2501,1))))</f>
        <v/>
      </c>
    </row>
    <row r="44">
      <c r="A44" s="15">
        <f>IF(ISNUMBER(BBG_Data!A44),BBG_Data!A44,"")</f>
        <v/>
      </c>
      <c r="B44" s="16">
        <f>IF(AND(ISNUMBER($A44),ISNUMBER(BBG_Data!B44)),BBG_Data!B44,NA())</f>
        <v/>
      </c>
      <c r="C44" s="16">
        <f>IF(AND(ISNUMBER($A44),ISNUMBER(BBG_Data!C44)),BBG_Data!C44,NA())</f>
        <v/>
      </c>
      <c r="D44" s="17">
        <f>IF(AND(ISNUMBER($A44),ISNUMBER(BBG_Data!D44)),BBG_Data!D44,NA())</f>
        <v/>
      </c>
      <c r="E44" s="17">
        <f>IF(AND(ISNUMBER($A44),ISNUMBER(BBG_Data!E44)),BBG_Data!E44,NA())</f>
        <v/>
      </c>
      <c r="F44" s="18">
        <f>IF(AND(ISNUMBER(B44),ISNUMBER(B43)),(B44-B43)*100,"")</f>
        <v/>
      </c>
      <c r="G44" s="18">
        <f>IF(AND(ISNUMBER(C44),ISNUMBER(C43)),(C44-C43)*100,"")</f>
        <v/>
      </c>
      <c r="H44" s="18">
        <f>IF(OR(NOT(ISNUMBER($A44)),ROW()-2&lt;Settings!$B$11),NA(),IF(COUNT(OFFSET(F44,1-Settings!$B$11,0,Settings!$B$11,1))&lt;Settings!$B$11,NA(),STDEV(OFFSET(F44,1-Settings!$B$11,0,Settings!$B$11,1))*SQRT(Settings!$B$13)))</f>
        <v/>
      </c>
      <c r="I44" s="18">
        <f>IF(OR(NOT(ISNUMBER($A44)),ROW()-2&lt;Settings!$B$12),NA(),IF(COUNT(OFFSET(F44,1-Settings!$B$12,0,Settings!$B$12,1))&lt;Settings!$B$12,NA(),STDEV(OFFSET(F44,1-Settings!$B$12,0,Settings!$B$12,1))*SQRT(Settings!$B$13)))</f>
        <v/>
      </c>
      <c r="J44" s="18">
        <f>IF(OR(NOT(ISNUMBER($A44)),ROW()-2&lt;Settings!$B$11),NA(),IF(COUNT(OFFSET(G44,1-Settings!$B$11,0,Settings!$B$11,1))&lt;Settings!$B$11,NA(),STDEV(OFFSET(G44,1-Settings!$B$11,0,Settings!$B$11,1))*SQRT(Settings!$B$13)))</f>
        <v/>
      </c>
      <c r="K44" s="18">
        <f>IF(OR(NOT(ISNUMBER($A44)),ROW()-2&lt;Settings!$B$12),NA(),IF(COUNT(OFFSET(G44,1-Settings!$B$12,0,Settings!$B$12,1))&lt;Settings!$B$12,NA(),STDEV(OFFSET(G44,1-Settings!$B$12,0,Settings!$B$12,1))*SQRT(Settings!$B$13)))</f>
        <v/>
      </c>
      <c r="L44" s="18">
        <f>IF(AND(ISNUMBER(D44),ISNUMBER(H44)),D44-H44,NA())</f>
        <v/>
      </c>
      <c r="M44" s="18">
        <f>IF(AND(ISNUMBER(E44),ISNUMBER(K44)),E44-K44,NA())</f>
        <v/>
      </c>
      <c r="N44" s="18">
        <f>IF(NOT(ISNUMBER($A44)),NA(),IF(COUNT(OFFSET(G44,1,0,Settings!$B$12,1))&lt;Settings!$B$12,NA(),STDEV(OFFSET(G44,1,0,Settings!$B$12,1))*SQRT(Settings!$B$13)))</f>
        <v/>
      </c>
      <c r="O44" s="18">
        <f>IF(AND(ISNUMBER(E44),ISNUMBER(N44)),E44-N44,NA())</f>
        <v/>
      </c>
      <c r="P44" s="17">
        <f>IF(NOT(ISNUMBER($A44)),NA(),IF(OR($A44&lt;MIN(KW_TP!$A$2:$A$2501),$A44&gt;MAX(KW_TP!$A$2:$A$2501)),NA(),INDEX(KW_TP!$C$2:$C$2501,MATCH($A44,KW_TP!$A$2:$A$2501,1))))</f>
        <v/>
      </c>
    </row>
    <row r="45">
      <c r="A45" s="15">
        <f>IF(ISNUMBER(BBG_Data!A45),BBG_Data!A45,"")</f>
        <v/>
      </c>
      <c r="B45" s="16">
        <f>IF(AND(ISNUMBER($A45),ISNUMBER(BBG_Data!B45)),BBG_Data!B45,NA())</f>
        <v/>
      </c>
      <c r="C45" s="16">
        <f>IF(AND(ISNUMBER($A45),ISNUMBER(BBG_Data!C45)),BBG_Data!C45,NA())</f>
        <v/>
      </c>
      <c r="D45" s="17">
        <f>IF(AND(ISNUMBER($A45),ISNUMBER(BBG_Data!D45)),BBG_Data!D45,NA())</f>
        <v/>
      </c>
      <c r="E45" s="17">
        <f>IF(AND(ISNUMBER($A45),ISNUMBER(BBG_Data!E45)),BBG_Data!E45,NA())</f>
        <v/>
      </c>
      <c r="F45" s="18">
        <f>IF(AND(ISNUMBER(B45),ISNUMBER(B44)),(B45-B44)*100,"")</f>
        <v/>
      </c>
      <c r="G45" s="18">
        <f>IF(AND(ISNUMBER(C45),ISNUMBER(C44)),(C45-C44)*100,"")</f>
        <v/>
      </c>
      <c r="H45" s="18">
        <f>IF(OR(NOT(ISNUMBER($A45)),ROW()-2&lt;Settings!$B$11),NA(),IF(COUNT(OFFSET(F45,1-Settings!$B$11,0,Settings!$B$11,1))&lt;Settings!$B$11,NA(),STDEV(OFFSET(F45,1-Settings!$B$11,0,Settings!$B$11,1))*SQRT(Settings!$B$13)))</f>
        <v/>
      </c>
      <c r="I45" s="18">
        <f>IF(OR(NOT(ISNUMBER($A45)),ROW()-2&lt;Settings!$B$12),NA(),IF(COUNT(OFFSET(F45,1-Settings!$B$12,0,Settings!$B$12,1))&lt;Settings!$B$12,NA(),STDEV(OFFSET(F45,1-Settings!$B$12,0,Settings!$B$12,1))*SQRT(Settings!$B$13)))</f>
        <v/>
      </c>
      <c r="J45" s="18">
        <f>IF(OR(NOT(ISNUMBER($A45)),ROW()-2&lt;Settings!$B$11),NA(),IF(COUNT(OFFSET(G45,1-Settings!$B$11,0,Settings!$B$11,1))&lt;Settings!$B$11,NA(),STDEV(OFFSET(G45,1-Settings!$B$11,0,Settings!$B$11,1))*SQRT(Settings!$B$13)))</f>
        <v/>
      </c>
      <c r="K45" s="18">
        <f>IF(OR(NOT(ISNUMBER($A45)),ROW()-2&lt;Settings!$B$12),NA(),IF(COUNT(OFFSET(G45,1-Settings!$B$12,0,Settings!$B$12,1))&lt;Settings!$B$12,NA(),STDEV(OFFSET(G45,1-Settings!$B$12,0,Settings!$B$12,1))*SQRT(Settings!$B$13)))</f>
        <v/>
      </c>
      <c r="L45" s="18">
        <f>IF(AND(ISNUMBER(D45),ISNUMBER(H45)),D45-H45,NA())</f>
        <v/>
      </c>
      <c r="M45" s="18">
        <f>IF(AND(ISNUMBER(E45),ISNUMBER(K45)),E45-K45,NA())</f>
        <v/>
      </c>
      <c r="N45" s="18">
        <f>IF(NOT(ISNUMBER($A45)),NA(),IF(COUNT(OFFSET(G45,1,0,Settings!$B$12,1))&lt;Settings!$B$12,NA(),STDEV(OFFSET(G45,1,0,Settings!$B$12,1))*SQRT(Settings!$B$13)))</f>
        <v/>
      </c>
      <c r="O45" s="18">
        <f>IF(AND(ISNUMBER(E45),ISNUMBER(N45)),E45-N45,NA())</f>
        <v/>
      </c>
      <c r="P45" s="17">
        <f>IF(NOT(ISNUMBER($A45)),NA(),IF(OR($A45&lt;MIN(KW_TP!$A$2:$A$2501),$A45&gt;MAX(KW_TP!$A$2:$A$2501)),NA(),INDEX(KW_TP!$C$2:$C$2501,MATCH($A45,KW_TP!$A$2:$A$2501,1))))</f>
        <v/>
      </c>
    </row>
    <row r="46">
      <c r="A46" s="15">
        <f>IF(ISNUMBER(BBG_Data!A46),BBG_Data!A46,"")</f>
        <v/>
      </c>
      <c r="B46" s="16">
        <f>IF(AND(ISNUMBER($A46),ISNUMBER(BBG_Data!B46)),BBG_Data!B46,NA())</f>
        <v/>
      </c>
      <c r="C46" s="16">
        <f>IF(AND(ISNUMBER($A46),ISNUMBER(BBG_Data!C46)),BBG_Data!C46,NA())</f>
        <v/>
      </c>
      <c r="D46" s="17">
        <f>IF(AND(ISNUMBER($A46),ISNUMBER(BBG_Data!D46)),BBG_Data!D46,NA())</f>
        <v/>
      </c>
      <c r="E46" s="17">
        <f>IF(AND(ISNUMBER($A46),ISNUMBER(BBG_Data!E46)),BBG_Data!E46,NA())</f>
        <v/>
      </c>
      <c r="F46" s="18">
        <f>IF(AND(ISNUMBER(B46),ISNUMBER(B45)),(B46-B45)*100,"")</f>
        <v/>
      </c>
      <c r="G46" s="18">
        <f>IF(AND(ISNUMBER(C46),ISNUMBER(C45)),(C46-C45)*100,"")</f>
        <v/>
      </c>
      <c r="H46" s="18">
        <f>IF(OR(NOT(ISNUMBER($A46)),ROW()-2&lt;Settings!$B$11),NA(),IF(COUNT(OFFSET(F46,1-Settings!$B$11,0,Settings!$B$11,1))&lt;Settings!$B$11,NA(),STDEV(OFFSET(F46,1-Settings!$B$11,0,Settings!$B$11,1))*SQRT(Settings!$B$13)))</f>
        <v/>
      </c>
      <c r="I46" s="18">
        <f>IF(OR(NOT(ISNUMBER($A46)),ROW()-2&lt;Settings!$B$12),NA(),IF(COUNT(OFFSET(F46,1-Settings!$B$12,0,Settings!$B$12,1))&lt;Settings!$B$12,NA(),STDEV(OFFSET(F46,1-Settings!$B$12,0,Settings!$B$12,1))*SQRT(Settings!$B$13)))</f>
        <v/>
      </c>
      <c r="J46" s="18">
        <f>IF(OR(NOT(ISNUMBER($A46)),ROW()-2&lt;Settings!$B$11),NA(),IF(COUNT(OFFSET(G46,1-Settings!$B$11,0,Settings!$B$11,1))&lt;Settings!$B$11,NA(),STDEV(OFFSET(G46,1-Settings!$B$11,0,Settings!$B$11,1))*SQRT(Settings!$B$13)))</f>
        <v/>
      </c>
      <c r="K46" s="18">
        <f>IF(OR(NOT(ISNUMBER($A46)),ROW()-2&lt;Settings!$B$12),NA(),IF(COUNT(OFFSET(G46,1-Settings!$B$12,0,Settings!$B$12,1))&lt;Settings!$B$12,NA(),STDEV(OFFSET(G46,1-Settings!$B$12,0,Settings!$B$12,1))*SQRT(Settings!$B$13)))</f>
        <v/>
      </c>
      <c r="L46" s="18">
        <f>IF(AND(ISNUMBER(D46),ISNUMBER(H46)),D46-H46,NA())</f>
        <v/>
      </c>
      <c r="M46" s="18">
        <f>IF(AND(ISNUMBER(E46),ISNUMBER(K46)),E46-K46,NA())</f>
        <v/>
      </c>
      <c r="N46" s="18">
        <f>IF(NOT(ISNUMBER($A46)),NA(),IF(COUNT(OFFSET(G46,1,0,Settings!$B$12,1))&lt;Settings!$B$12,NA(),STDEV(OFFSET(G46,1,0,Settings!$B$12,1))*SQRT(Settings!$B$13)))</f>
        <v/>
      </c>
      <c r="O46" s="18">
        <f>IF(AND(ISNUMBER(E46),ISNUMBER(N46)),E46-N46,NA())</f>
        <v/>
      </c>
      <c r="P46" s="17">
        <f>IF(NOT(ISNUMBER($A46)),NA(),IF(OR($A46&lt;MIN(KW_TP!$A$2:$A$2501),$A46&gt;MAX(KW_TP!$A$2:$A$2501)),NA(),INDEX(KW_TP!$C$2:$C$2501,MATCH($A46,KW_TP!$A$2:$A$2501,1))))</f>
        <v/>
      </c>
    </row>
    <row r="47">
      <c r="A47" s="15">
        <f>IF(ISNUMBER(BBG_Data!A47),BBG_Data!A47,"")</f>
        <v/>
      </c>
      <c r="B47" s="16">
        <f>IF(AND(ISNUMBER($A47),ISNUMBER(BBG_Data!B47)),BBG_Data!B47,NA())</f>
        <v/>
      </c>
      <c r="C47" s="16">
        <f>IF(AND(ISNUMBER($A47),ISNUMBER(BBG_Data!C47)),BBG_Data!C47,NA())</f>
        <v/>
      </c>
      <c r="D47" s="17">
        <f>IF(AND(ISNUMBER($A47),ISNUMBER(BBG_Data!D47)),BBG_Data!D47,NA())</f>
        <v/>
      </c>
      <c r="E47" s="17">
        <f>IF(AND(ISNUMBER($A47),ISNUMBER(BBG_Data!E47)),BBG_Data!E47,NA())</f>
        <v/>
      </c>
      <c r="F47" s="18">
        <f>IF(AND(ISNUMBER(B47),ISNUMBER(B46)),(B47-B46)*100,"")</f>
        <v/>
      </c>
      <c r="G47" s="18">
        <f>IF(AND(ISNUMBER(C47),ISNUMBER(C46)),(C47-C46)*100,"")</f>
        <v/>
      </c>
      <c r="H47" s="18">
        <f>IF(OR(NOT(ISNUMBER($A47)),ROW()-2&lt;Settings!$B$11),NA(),IF(COUNT(OFFSET(F47,1-Settings!$B$11,0,Settings!$B$11,1))&lt;Settings!$B$11,NA(),STDEV(OFFSET(F47,1-Settings!$B$11,0,Settings!$B$11,1))*SQRT(Settings!$B$13)))</f>
        <v/>
      </c>
      <c r="I47" s="18">
        <f>IF(OR(NOT(ISNUMBER($A47)),ROW()-2&lt;Settings!$B$12),NA(),IF(COUNT(OFFSET(F47,1-Settings!$B$12,0,Settings!$B$12,1))&lt;Settings!$B$12,NA(),STDEV(OFFSET(F47,1-Settings!$B$12,0,Settings!$B$12,1))*SQRT(Settings!$B$13)))</f>
        <v/>
      </c>
      <c r="J47" s="18">
        <f>IF(OR(NOT(ISNUMBER($A47)),ROW()-2&lt;Settings!$B$11),NA(),IF(COUNT(OFFSET(G47,1-Settings!$B$11,0,Settings!$B$11,1))&lt;Settings!$B$11,NA(),STDEV(OFFSET(G47,1-Settings!$B$11,0,Settings!$B$11,1))*SQRT(Settings!$B$13)))</f>
        <v/>
      </c>
      <c r="K47" s="18">
        <f>IF(OR(NOT(ISNUMBER($A47)),ROW()-2&lt;Settings!$B$12),NA(),IF(COUNT(OFFSET(G47,1-Settings!$B$12,0,Settings!$B$12,1))&lt;Settings!$B$12,NA(),STDEV(OFFSET(G47,1-Settings!$B$12,0,Settings!$B$12,1))*SQRT(Settings!$B$13)))</f>
        <v/>
      </c>
      <c r="L47" s="18">
        <f>IF(AND(ISNUMBER(D47),ISNUMBER(H47)),D47-H47,NA())</f>
        <v/>
      </c>
      <c r="M47" s="18">
        <f>IF(AND(ISNUMBER(E47),ISNUMBER(K47)),E47-K47,NA())</f>
        <v/>
      </c>
      <c r="N47" s="18">
        <f>IF(NOT(ISNUMBER($A47)),NA(),IF(COUNT(OFFSET(G47,1,0,Settings!$B$12,1))&lt;Settings!$B$12,NA(),STDEV(OFFSET(G47,1,0,Settings!$B$12,1))*SQRT(Settings!$B$13)))</f>
        <v/>
      </c>
      <c r="O47" s="18">
        <f>IF(AND(ISNUMBER(E47),ISNUMBER(N47)),E47-N47,NA())</f>
        <v/>
      </c>
      <c r="P47" s="17">
        <f>IF(NOT(ISNUMBER($A47)),NA(),IF(OR($A47&lt;MIN(KW_TP!$A$2:$A$2501),$A47&gt;MAX(KW_TP!$A$2:$A$2501)),NA(),INDEX(KW_TP!$C$2:$C$2501,MATCH($A47,KW_TP!$A$2:$A$2501,1))))</f>
        <v/>
      </c>
    </row>
    <row r="48">
      <c r="A48" s="15">
        <f>IF(ISNUMBER(BBG_Data!A48),BBG_Data!A48,"")</f>
        <v/>
      </c>
      <c r="B48" s="16">
        <f>IF(AND(ISNUMBER($A48),ISNUMBER(BBG_Data!B48)),BBG_Data!B48,NA())</f>
        <v/>
      </c>
      <c r="C48" s="16">
        <f>IF(AND(ISNUMBER($A48),ISNUMBER(BBG_Data!C48)),BBG_Data!C48,NA())</f>
        <v/>
      </c>
      <c r="D48" s="17">
        <f>IF(AND(ISNUMBER($A48),ISNUMBER(BBG_Data!D48)),BBG_Data!D48,NA())</f>
        <v/>
      </c>
      <c r="E48" s="17">
        <f>IF(AND(ISNUMBER($A48),ISNUMBER(BBG_Data!E48)),BBG_Data!E48,NA())</f>
        <v/>
      </c>
      <c r="F48" s="18">
        <f>IF(AND(ISNUMBER(B48),ISNUMBER(B47)),(B48-B47)*100,"")</f>
        <v/>
      </c>
      <c r="G48" s="18">
        <f>IF(AND(ISNUMBER(C48),ISNUMBER(C47)),(C48-C47)*100,"")</f>
        <v/>
      </c>
      <c r="H48" s="18">
        <f>IF(OR(NOT(ISNUMBER($A48)),ROW()-2&lt;Settings!$B$11),NA(),IF(COUNT(OFFSET(F48,1-Settings!$B$11,0,Settings!$B$11,1))&lt;Settings!$B$11,NA(),STDEV(OFFSET(F48,1-Settings!$B$11,0,Settings!$B$11,1))*SQRT(Settings!$B$13)))</f>
        <v/>
      </c>
      <c r="I48" s="18">
        <f>IF(OR(NOT(ISNUMBER($A48)),ROW()-2&lt;Settings!$B$12),NA(),IF(COUNT(OFFSET(F48,1-Settings!$B$12,0,Settings!$B$12,1))&lt;Settings!$B$12,NA(),STDEV(OFFSET(F48,1-Settings!$B$12,0,Settings!$B$12,1))*SQRT(Settings!$B$13)))</f>
        <v/>
      </c>
      <c r="J48" s="18">
        <f>IF(OR(NOT(ISNUMBER($A48)),ROW()-2&lt;Settings!$B$11),NA(),IF(COUNT(OFFSET(G48,1-Settings!$B$11,0,Settings!$B$11,1))&lt;Settings!$B$11,NA(),STDEV(OFFSET(G48,1-Settings!$B$11,0,Settings!$B$11,1))*SQRT(Settings!$B$13)))</f>
        <v/>
      </c>
      <c r="K48" s="18">
        <f>IF(OR(NOT(ISNUMBER($A48)),ROW()-2&lt;Settings!$B$12),NA(),IF(COUNT(OFFSET(G48,1-Settings!$B$12,0,Settings!$B$12,1))&lt;Settings!$B$12,NA(),STDEV(OFFSET(G48,1-Settings!$B$12,0,Settings!$B$12,1))*SQRT(Settings!$B$13)))</f>
        <v/>
      </c>
      <c r="L48" s="18">
        <f>IF(AND(ISNUMBER(D48),ISNUMBER(H48)),D48-H48,NA())</f>
        <v/>
      </c>
      <c r="M48" s="18">
        <f>IF(AND(ISNUMBER(E48),ISNUMBER(K48)),E48-K48,NA())</f>
        <v/>
      </c>
      <c r="N48" s="18">
        <f>IF(NOT(ISNUMBER($A48)),NA(),IF(COUNT(OFFSET(G48,1,0,Settings!$B$12,1))&lt;Settings!$B$12,NA(),STDEV(OFFSET(G48,1,0,Settings!$B$12,1))*SQRT(Settings!$B$13)))</f>
        <v/>
      </c>
      <c r="O48" s="18">
        <f>IF(AND(ISNUMBER(E48),ISNUMBER(N48)),E48-N48,NA())</f>
        <v/>
      </c>
      <c r="P48" s="17">
        <f>IF(NOT(ISNUMBER($A48)),NA(),IF(OR($A48&lt;MIN(KW_TP!$A$2:$A$2501),$A48&gt;MAX(KW_TP!$A$2:$A$2501)),NA(),INDEX(KW_TP!$C$2:$C$2501,MATCH($A48,KW_TP!$A$2:$A$2501,1))))</f>
        <v/>
      </c>
    </row>
    <row r="49">
      <c r="A49" s="15">
        <f>IF(ISNUMBER(BBG_Data!A49),BBG_Data!A49,"")</f>
        <v/>
      </c>
      <c r="B49" s="16">
        <f>IF(AND(ISNUMBER($A49),ISNUMBER(BBG_Data!B49)),BBG_Data!B49,NA())</f>
        <v/>
      </c>
      <c r="C49" s="16">
        <f>IF(AND(ISNUMBER($A49),ISNUMBER(BBG_Data!C49)),BBG_Data!C49,NA())</f>
        <v/>
      </c>
      <c r="D49" s="17">
        <f>IF(AND(ISNUMBER($A49),ISNUMBER(BBG_Data!D49)),BBG_Data!D49,NA())</f>
        <v/>
      </c>
      <c r="E49" s="17">
        <f>IF(AND(ISNUMBER($A49),ISNUMBER(BBG_Data!E49)),BBG_Data!E49,NA())</f>
        <v/>
      </c>
      <c r="F49" s="18">
        <f>IF(AND(ISNUMBER(B49),ISNUMBER(B48)),(B49-B48)*100,"")</f>
        <v/>
      </c>
      <c r="G49" s="18">
        <f>IF(AND(ISNUMBER(C49),ISNUMBER(C48)),(C49-C48)*100,"")</f>
        <v/>
      </c>
      <c r="H49" s="18">
        <f>IF(OR(NOT(ISNUMBER($A49)),ROW()-2&lt;Settings!$B$11),NA(),IF(COUNT(OFFSET(F49,1-Settings!$B$11,0,Settings!$B$11,1))&lt;Settings!$B$11,NA(),STDEV(OFFSET(F49,1-Settings!$B$11,0,Settings!$B$11,1))*SQRT(Settings!$B$13)))</f>
        <v/>
      </c>
      <c r="I49" s="18">
        <f>IF(OR(NOT(ISNUMBER($A49)),ROW()-2&lt;Settings!$B$12),NA(),IF(COUNT(OFFSET(F49,1-Settings!$B$12,0,Settings!$B$12,1))&lt;Settings!$B$12,NA(),STDEV(OFFSET(F49,1-Settings!$B$12,0,Settings!$B$12,1))*SQRT(Settings!$B$13)))</f>
        <v/>
      </c>
      <c r="J49" s="18">
        <f>IF(OR(NOT(ISNUMBER($A49)),ROW()-2&lt;Settings!$B$11),NA(),IF(COUNT(OFFSET(G49,1-Settings!$B$11,0,Settings!$B$11,1))&lt;Settings!$B$11,NA(),STDEV(OFFSET(G49,1-Settings!$B$11,0,Settings!$B$11,1))*SQRT(Settings!$B$13)))</f>
        <v/>
      </c>
      <c r="K49" s="18">
        <f>IF(OR(NOT(ISNUMBER($A49)),ROW()-2&lt;Settings!$B$12),NA(),IF(COUNT(OFFSET(G49,1-Settings!$B$12,0,Settings!$B$12,1))&lt;Settings!$B$12,NA(),STDEV(OFFSET(G49,1-Settings!$B$12,0,Settings!$B$12,1))*SQRT(Settings!$B$13)))</f>
        <v/>
      </c>
      <c r="L49" s="18">
        <f>IF(AND(ISNUMBER(D49),ISNUMBER(H49)),D49-H49,NA())</f>
        <v/>
      </c>
      <c r="M49" s="18">
        <f>IF(AND(ISNUMBER(E49),ISNUMBER(K49)),E49-K49,NA())</f>
        <v/>
      </c>
      <c r="N49" s="18">
        <f>IF(NOT(ISNUMBER($A49)),NA(),IF(COUNT(OFFSET(G49,1,0,Settings!$B$12,1))&lt;Settings!$B$12,NA(),STDEV(OFFSET(G49,1,0,Settings!$B$12,1))*SQRT(Settings!$B$13)))</f>
        <v/>
      </c>
      <c r="O49" s="18">
        <f>IF(AND(ISNUMBER(E49),ISNUMBER(N49)),E49-N49,NA())</f>
        <v/>
      </c>
      <c r="P49" s="17">
        <f>IF(NOT(ISNUMBER($A49)),NA(),IF(OR($A49&lt;MIN(KW_TP!$A$2:$A$2501),$A49&gt;MAX(KW_TP!$A$2:$A$2501)),NA(),INDEX(KW_TP!$C$2:$C$2501,MATCH($A49,KW_TP!$A$2:$A$2501,1))))</f>
        <v/>
      </c>
    </row>
    <row r="50">
      <c r="A50" s="15">
        <f>IF(ISNUMBER(BBG_Data!A50),BBG_Data!A50,"")</f>
        <v/>
      </c>
      <c r="B50" s="16">
        <f>IF(AND(ISNUMBER($A50),ISNUMBER(BBG_Data!B50)),BBG_Data!B50,NA())</f>
        <v/>
      </c>
      <c r="C50" s="16">
        <f>IF(AND(ISNUMBER($A50),ISNUMBER(BBG_Data!C50)),BBG_Data!C50,NA())</f>
        <v/>
      </c>
      <c r="D50" s="17">
        <f>IF(AND(ISNUMBER($A50),ISNUMBER(BBG_Data!D50)),BBG_Data!D50,NA())</f>
        <v/>
      </c>
      <c r="E50" s="17">
        <f>IF(AND(ISNUMBER($A50),ISNUMBER(BBG_Data!E50)),BBG_Data!E50,NA())</f>
        <v/>
      </c>
      <c r="F50" s="18">
        <f>IF(AND(ISNUMBER(B50),ISNUMBER(B49)),(B50-B49)*100,"")</f>
        <v/>
      </c>
      <c r="G50" s="18">
        <f>IF(AND(ISNUMBER(C50),ISNUMBER(C49)),(C50-C49)*100,"")</f>
        <v/>
      </c>
      <c r="H50" s="18">
        <f>IF(OR(NOT(ISNUMBER($A50)),ROW()-2&lt;Settings!$B$11),NA(),IF(COUNT(OFFSET(F50,1-Settings!$B$11,0,Settings!$B$11,1))&lt;Settings!$B$11,NA(),STDEV(OFFSET(F50,1-Settings!$B$11,0,Settings!$B$11,1))*SQRT(Settings!$B$13)))</f>
        <v/>
      </c>
      <c r="I50" s="18">
        <f>IF(OR(NOT(ISNUMBER($A50)),ROW()-2&lt;Settings!$B$12),NA(),IF(COUNT(OFFSET(F50,1-Settings!$B$12,0,Settings!$B$12,1))&lt;Settings!$B$12,NA(),STDEV(OFFSET(F50,1-Settings!$B$12,0,Settings!$B$12,1))*SQRT(Settings!$B$13)))</f>
        <v/>
      </c>
      <c r="J50" s="18">
        <f>IF(OR(NOT(ISNUMBER($A50)),ROW()-2&lt;Settings!$B$11),NA(),IF(COUNT(OFFSET(G50,1-Settings!$B$11,0,Settings!$B$11,1))&lt;Settings!$B$11,NA(),STDEV(OFFSET(G50,1-Settings!$B$11,0,Settings!$B$11,1))*SQRT(Settings!$B$13)))</f>
        <v/>
      </c>
      <c r="K50" s="18">
        <f>IF(OR(NOT(ISNUMBER($A50)),ROW()-2&lt;Settings!$B$12),NA(),IF(COUNT(OFFSET(G50,1-Settings!$B$12,0,Settings!$B$12,1))&lt;Settings!$B$12,NA(),STDEV(OFFSET(G50,1-Settings!$B$12,0,Settings!$B$12,1))*SQRT(Settings!$B$13)))</f>
        <v/>
      </c>
      <c r="L50" s="18">
        <f>IF(AND(ISNUMBER(D50),ISNUMBER(H50)),D50-H50,NA())</f>
        <v/>
      </c>
      <c r="M50" s="18">
        <f>IF(AND(ISNUMBER(E50),ISNUMBER(K50)),E50-K50,NA())</f>
        <v/>
      </c>
      <c r="N50" s="18">
        <f>IF(NOT(ISNUMBER($A50)),NA(),IF(COUNT(OFFSET(G50,1,0,Settings!$B$12,1))&lt;Settings!$B$12,NA(),STDEV(OFFSET(G50,1,0,Settings!$B$12,1))*SQRT(Settings!$B$13)))</f>
        <v/>
      </c>
      <c r="O50" s="18">
        <f>IF(AND(ISNUMBER(E50),ISNUMBER(N50)),E50-N50,NA())</f>
        <v/>
      </c>
      <c r="P50" s="17">
        <f>IF(NOT(ISNUMBER($A50)),NA(),IF(OR($A50&lt;MIN(KW_TP!$A$2:$A$2501),$A50&gt;MAX(KW_TP!$A$2:$A$2501)),NA(),INDEX(KW_TP!$C$2:$C$2501,MATCH($A50,KW_TP!$A$2:$A$2501,1))))</f>
        <v/>
      </c>
    </row>
    <row r="51">
      <c r="A51" s="15">
        <f>IF(ISNUMBER(BBG_Data!A51),BBG_Data!A51,"")</f>
        <v/>
      </c>
      <c r="B51" s="16">
        <f>IF(AND(ISNUMBER($A51),ISNUMBER(BBG_Data!B51)),BBG_Data!B51,NA())</f>
        <v/>
      </c>
      <c r="C51" s="16">
        <f>IF(AND(ISNUMBER($A51),ISNUMBER(BBG_Data!C51)),BBG_Data!C51,NA())</f>
        <v/>
      </c>
      <c r="D51" s="17">
        <f>IF(AND(ISNUMBER($A51),ISNUMBER(BBG_Data!D51)),BBG_Data!D51,NA())</f>
        <v/>
      </c>
      <c r="E51" s="17">
        <f>IF(AND(ISNUMBER($A51),ISNUMBER(BBG_Data!E51)),BBG_Data!E51,NA())</f>
        <v/>
      </c>
      <c r="F51" s="18">
        <f>IF(AND(ISNUMBER(B51),ISNUMBER(B50)),(B51-B50)*100,"")</f>
        <v/>
      </c>
      <c r="G51" s="18">
        <f>IF(AND(ISNUMBER(C51),ISNUMBER(C50)),(C51-C50)*100,"")</f>
        <v/>
      </c>
      <c r="H51" s="18">
        <f>IF(OR(NOT(ISNUMBER($A51)),ROW()-2&lt;Settings!$B$11),NA(),IF(COUNT(OFFSET(F51,1-Settings!$B$11,0,Settings!$B$11,1))&lt;Settings!$B$11,NA(),STDEV(OFFSET(F51,1-Settings!$B$11,0,Settings!$B$11,1))*SQRT(Settings!$B$13)))</f>
        <v/>
      </c>
      <c r="I51" s="18">
        <f>IF(OR(NOT(ISNUMBER($A51)),ROW()-2&lt;Settings!$B$12),NA(),IF(COUNT(OFFSET(F51,1-Settings!$B$12,0,Settings!$B$12,1))&lt;Settings!$B$12,NA(),STDEV(OFFSET(F51,1-Settings!$B$12,0,Settings!$B$12,1))*SQRT(Settings!$B$13)))</f>
        <v/>
      </c>
      <c r="J51" s="18">
        <f>IF(OR(NOT(ISNUMBER($A51)),ROW()-2&lt;Settings!$B$11),NA(),IF(COUNT(OFFSET(G51,1-Settings!$B$11,0,Settings!$B$11,1))&lt;Settings!$B$11,NA(),STDEV(OFFSET(G51,1-Settings!$B$11,0,Settings!$B$11,1))*SQRT(Settings!$B$13)))</f>
        <v/>
      </c>
      <c r="K51" s="18">
        <f>IF(OR(NOT(ISNUMBER($A51)),ROW()-2&lt;Settings!$B$12),NA(),IF(COUNT(OFFSET(G51,1-Settings!$B$12,0,Settings!$B$12,1))&lt;Settings!$B$12,NA(),STDEV(OFFSET(G51,1-Settings!$B$12,0,Settings!$B$12,1))*SQRT(Settings!$B$13)))</f>
        <v/>
      </c>
      <c r="L51" s="18">
        <f>IF(AND(ISNUMBER(D51),ISNUMBER(H51)),D51-H51,NA())</f>
        <v/>
      </c>
      <c r="M51" s="18">
        <f>IF(AND(ISNUMBER(E51),ISNUMBER(K51)),E51-K51,NA())</f>
        <v/>
      </c>
      <c r="N51" s="18">
        <f>IF(NOT(ISNUMBER($A51)),NA(),IF(COUNT(OFFSET(G51,1,0,Settings!$B$12,1))&lt;Settings!$B$12,NA(),STDEV(OFFSET(G51,1,0,Settings!$B$12,1))*SQRT(Settings!$B$13)))</f>
        <v/>
      </c>
      <c r="O51" s="18">
        <f>IF(AND(ISNUMBER(E51),ISNUMBER(N51)),E51-N51,NA())</f>
        <v/>
      </c>
      <c r="P51" s="17">
        <f>IF(NOT(ISNUMBER($A51)),NA(),IF(OR($A51&lt;MIN(KW_TP!$A$2:$A$2501),$A51&gt;MAX(KW_TP!$A$2:$A$2501)),NA(),INDEX(KW_TP!$C$2:$C$2501,MATCH($A51,KW_TP!$A$2:$A$2501,1))))</f>
        <v/>
      </c>
    </row>
    <row r="52">
      <c r="A52" s="15">
        <f>IF(ISNUMBER(BBG_Data!A52),BBG_Data!A52,"")</f>
        <v/>
      </c>
      <c r="B52" s="16">
        <f>IF(AND(ISNUMBER($A52),ISNUMBER(BBG_Data!B52)),BBG_Data!B52,NA())</f>
        <v/>
      </c>
      <c r="C52" s="16">
        <f>IF(AND(ISNUMBER($A52),ISNUMBER(BBG_Data!C52)),BBG_Data!C52,NA())</f>
        <v/>
      </c>
      <c r="D52" s="17">
        <f>IF(AND(ISNUMBER($A52),ISNUMBER(BBG_Data!D52)),BBG_Data!D52,NA())</f>
        <v/>
      </c>
      <c r="E52" s="17">
        <f>IF(AND(ISNUMBER($A52),ISNUMBER(BBG_Data!E52)),BBG_Data!E52,NA())</f>
        <v/>
      </c>
      <c r="F52" s="18">
        <f>IF(AND(ISNUMBER(B52),ISNUMBER(B51)),(B52-B51)*100,"")</f>
        <v/>
      </c>
      <c r="G52" s="18">
        <f>IF(AND(ISNUMBER(C52),ISNUMBER(C51)),(C52-C51)*100,"")</f>
        <v/>
      </c>
      <c r="H52" s="18">
        <f>IF(OR(NOT(ISNUMBER($A52)),ROW()-2&lt;Settings!$B$11),NA(),IF(COUNT(OFFSET(F52,1-Settings!$B$11,0,Settings!$B$11,1))&lt;Settings!$B$11,NA(),STDEV(OFFSET(F52,1-Settings!$B$11,0,Settings!$B$11,1))*SQRT(Settings!$B$13)))</f>
        <v/>
      </c>
      <c r="I52" s="18">
        <f>IF(OR(NOT(ISNUMBER($A52)),ROW()-2&lt;Settings!$B$12),NA(),IF(COUNT(OFFSET(F52,1-Settings!$B$12,0,Settings!$B$12,1))&lt;Settings!$B$12,NA(),STDEV(OFFSET(F52,1-Settings!$B$12,0,Settings!$B$12,1))*SQRT(Settings!$B$13)))</f>
        <v/>
      </c>
      <c r="J52" s="18">
        <f>IF(OR(NOT(ISNUMBER($A52)),ROW()-2&lt;Settings!$B$11),NA(),IF(COUNT(OFFSET(G52,1-Settings!$B$11,0,Settings!$B$11,1))&lt;Settings!$B$11,NA(),STDEV(OFFSET(G52,1-Settings!$B$11,0,Settings!$B$11,1))*SQRT(Settings!$B$13)))</f>
        <v/>
      </c>
      <c r="K52" s="18">
        <f>IF(OR(NOT(ISNUMBER($A52)),ROW()-2&lt;Settings!$B$12),NA(),IF(COUNT(OFFSET(G52,1-Settings!$B$12,0,Settings!$B$12,1))&lt;Settings!$B$12,NA(),STDEV(OFFSET(G52,1-Settings!$B$12,0,Settings!$B$12,1))*SQRT(Settings!$B$13)))</f>
        <v/>
      </c>
      <c r="L52" s="18">
        <f>IF(AND(ISNUMBER(D52),ISNUMBER(H52)),D52-H52,NA())</f>
        <v/>
      </c>
      <c r="M52" s="18">
        <f>IF(AND(ISNUMBER(E52),ISNUMBER(K52)),E52-K52,NA())</f>
        <v/>
      </c>
      <c r="N52" s="18">
        <f>IF(NOT(ISNUMBER($A52)),NA(),IF(COUNT(OFFSET(G52,1,0,Settings!$B$12,1))&lt;Settings!$B$12,NA(),STDEV(OFFSET(G52,1,0,Settings!$B$12,1))*SQRT(Settings!$B$13)))</f>
        <v/>
      </c>
      <c r="O52" s="18">
        <f>IF(AND(ISNUMBER(E52),ISNUMBER(N52)),E52-N52,NA())</f>
        <v/>
      </c>
      <c r="P52" s="17">
        <f>IF(NOT(ISNUMBER($A52)),NA(),IF(OR($A52&lt;MIN(KW_TP!$A$2:$A$2501),$A52&gt;MAX(KW_TP!$A$2:$A$2501)),NA(),INDEX(KW_TP!$C$2:$C$2501,MATCH($A52,KW_TP!$A$2:$A$2501,1))))</f>
        <v/>
      </c>
    </row>
    <row r="53">
      <c r="A53" s="15">
        <f>IF(ISNUMBER(BBG_Data!A53),BBG_Data!A53,"")</f>
        <v/>
      </c>
      <c r="B53" s="16">
        <f>IF(AND(ISNUMBER($A53),ISNUMBER(BBG_Data!B53)),BBG_Data!B53,NA())</f>
        <v/>
      </c>
      <c r="C53" s="16">
        <f>IF(AND(ISNUMBER($A53),ISNUMBER(BBG_Data!C53)),BBG_Data!C53,NA())</f>
        <v/>
      </c>
      <c r="D53" s="17">
        <f>IF(AND(ISNUMBER($A53),ISNUMBER(BBG_Data!D53)),BBG_Data!D53,NA())</f>
        <v/>
      </c>
      <c r="E53" s="17">
        <f>IF(AND(ISNUMBER($A53),ISNUMBER(BBG_Data!E53)),BBG_Data!E53,NA())</f>
        <v/>
      </c>
      <c r="F53" s="18">
        <f>IF(AND(ISNUMBER(B53),ISNUMBER(B52)),(B53-B52)*100,"")</f>
        <v/>
      </c>
      <c r="G53" s="18">
        <f>IF(AND(ISNUMBER(C53),ISNUMBER(C52)),(C53-C52)*100,"")</f>
        <v/>
      </c>
      <c r="H53" s="18">
        <f>IF(OR(NOT(ISNUMBER($A53)),ROW()-2&lt;Settings!$B$11),NA(),IF(COUNT(OFFSET(F53,1-Settings!$B$11,0,Settings!$B$11,1))&lt;Settings!$B$11,NA(),STDEV(OFFSET(F53,1-Settings!$B$11,0,Settings!$B$11,1))*SQRT(Settings!$B$13)))</f>
        <v/>
      </c>
      <c r="I53" s="18">
        <f>IF(OR(NOT(ISNUMBER($A53)),ROW()-2&lt;Settings!$B$12),NA(),IF(COUNT(OFFSET(F53,1-Settings!$B$12,0,Settings!$B$12,1))&lt;Settings!$B$12,NA(),STDEV(OFFSET(F53,1-Settings!$B$12,0,Settings!$B$12,1))*SQRT(Settings!$B$13)))</f>
        <v/>
      </c>
      <c r="J53" s="18">
        <f>IF(OR(NOT(ISNUMBER($A53)),ROW()-2&lt;Settings!$B$11),NA(),IF(COUNT(OFFSET(G53,1-Settings!$B$11,0,Settings!$B$11,1))&lt;Settings!$B$11,NA(),STDEV(OFFSET(G53,1-Settings!$B$11,0,Settings!$B$11,1))*SQRT(Settings!$B$13)))</f>
        <v/>
      </c>
      <c r="K53" s="18">
        <f>IF(OR(NOT(ISNUMBER($A53)),ROW()-2&lt;Settings!$B$12),NA(),IF(COUNT(OFFSET(G53,1-Settings!$B$12,0,Settings!$B$12,1))&lt;Settings!$B$12,NA(),STDEV(OFFSET(G53,1-Settings!$B$12,0,Settings!$B$12,1))*SQRT(Settings!$B$13)))</f>
        <v/>
      </c>
      <c r="L53" s="18">
        <f>IF(AND(ISNUMBER(D53),ISNUMBER(H53)),D53-H53,NA())</f>
        <v/>
      </c>
      <c r="M53" s="18">
        <f>IF(AND(ISNUMBER(E53),ISNUMBER(K53)),E53-K53,NA())</f>
        <v/>
      </c>
      <c r="N53" s="18">
        <f>IF(NOT(ISNUMBER($A53)),NA(),IF(COUNT(OFFSET(G53,1,0,Settings!$B$12,1))&lt;Settings!$B$12,NA(),STDEV(OFFSET(G53,1,0,Settings!$B$12,1))*SQRT(Settings!$B$13)))</f>
        <v/>
      </c>
      <c r="O53" s="18">
        <f>IF(AND(ISNUMBER(E53),ISNUMBER(N53)),E53-N53,NA())</f>
        <v/>
      </c>
      <c r="P53" s="17">
        <f>IF(NOT(ISNUMBER($A53)),NA(),IF(OR($A53&lt;MIN(KW_TP!$A$2:$A$2501),$A53&gt;MAX(KW_TP!$A$2:$A$2501)),NA(),INDEX(KW_TP!$C$2:$C$2501,MATCH($A53,KW_TP!$A$2:$A$2501,1))))</f>
        <v/>
      </c>
    </row>
    <row r="54">
      <c r="A54" s="15">
        <f>IF(ISNUMBER(BBG_Data!A54),BBG_Data!A54,"")</f>
        <v/>
      </c>
      <c r="B54" s="16">
        <f>IF(AND(ISNUMBER($A54),ISNUMBER(BBG_Data!B54)),BBG_Data!B54,NA())</f>
        <v/>
      </c>
      <c r="C54" s="16">
        <f>IF(AND(ISNUMBER($A54),ISNUMBER(BBG_Data!C54)),BBG_Data!C54,NA())</f>
        <v/>
      </c>
      <c r="D54" s="17">
        <f>IF(AND(ISNUMBER($A54),ISNUMBER(BBG_Data!D54)),BBG_Data!D54,NA())</f>
        <v/>
      </c>
      <c r="E54" s="17">
        <f>IF(AND(ISNUMBER($A54),ISNUMBER(BBG_Data!E54)),BBG_Data!E54,NA())</f>
        <v/>
      </c>
      <c r="F54" s="18">
        <f>IF(AND(ISNUMBER(B54),ISNUMBER(B53)),(B54-B53)*100,"")</f>
        <v/>
      </c>
      <c r="G54" s="18">
        <f>IF(AND(ISNUMBER(C54),ISNUMBER(C53)),(C54-C53)*100,"")</f>
        <v/>
      </c>
      <c r="H54" s="18">
        <f>IF(OR(NOT(ISNUMBER($A54)),ROW()-2&lt;Settings!$B$11),NA(),IF(COUNT(OFFSET(F54,1-Settings!$B$11,0,Settings!$B$11,1))&lt;Settings!$B$11,NA(),STDEV(OFFSET(F54,1-Settings!$B$11,0,Settings!$B$11,1))*SQRT(Settings!$B$13)))</f>
        <v/>
      </c>
      <c r="I54" s="18">
        <f>IF(OR(NOT(ISNUMBER($A54)),ROW()-2&lt;Settings!$B$12),NA(),IF(COUNT(OFFSET(F54,1-Settings!$B$12,0,Settings!$B$12,1))&lt;Settings!$B$12,NA(),STDEV(OFFSET(F54,1-Settings!$B$12,0,Settings!$B$12,1))*SQRT(Settings!$B$13)))</f>
        <v/>
      </c>
      <c r="J54" s="18">
        <f>IF(OR(NOT(ISNUMBER($A54)),ROW()-2&lt;Settings!$B$11),NA(),IF(COUNT(OFFSET(G54,1-Settings!$B$11,0,Settings!$B$11,1))&lt;Settings!$B$11,NA(),STDEV(OFFSET(G54,1-Settings!$B$11,0,Settings!$B$11,1))*SQRT(Settings!$B$13)))</f>
        <v/>
      </c>
      <c r="K54" s="18">
        <f>IF(OR(NOT(ISNUMBER($A54)),ROW()-2&lt;Settings!$B$12),NA(),IF(COUNT(OFFSET(G54,1-Settings!$B$12,0,Settings!$B$12,1))&lt;Settings!$B$12,NA(),STDEV(OFFSET(G54,1-Settings!$B$12,0,Settings!$B$12,1))*SQRT(Settings!$B$13)))</f>
        <v/>
      </c>
      <c r="L54" s="18">
        <f>IF(AND(ISNUMBER(D54),ISNUMBER(H54)),D54-H54,NA())</f>
        <v/>
      </c>
      <c r="M54" s="18">
        <f>IF(AND(ISNUMBER(E54),ISNUMBER(K54)),E54-K54,NA())</f>
        <v/>
      </c>
      <c r="N54" s="18">
        <f>IF(NOT(ISNUMBER($A54)),NA(),IF(COUNT(OFFSET(G54,1,0,Settings!$B$12,1))&lt;Settings!$B$12,NA(),STDEV(OFFSET(G54,1,0,Settings!$B$12,1))*SQRT(Settings!$B$13)))</f>
        <v/>
      </c>
      <c r="O54" s="18">
        <f>IF(AND(ISNUMBER(E54),ISNUMBER(N54)),E54-N54,NA())</f>
        <v/>
      </c>
      <c r="P54" s="17">
        <f>IF(NOT(ISNUMBER($A54)),NA(),IF(OR($A54&lt;MIN(KW_TP!$A$2:$A$2501),$A54&gt;MAX(KW_TP!$A$2:$A$2501)),NA(),INDEX(KW_TP!$C$2:$C$2501,MATCH($A54,KW_TP!$A$2:$A$2501,1))))</f>
        <v/>
      </c>
    </row>
    <row r="55">
      <c r="A55" s="15">
        <f>IF(ISNUMBER(BBG_Data!A55),BBG_Data!A55,"")</f>
        <v/>
      </c>
      <c r="B55" s="16">
        <f>IF(AND(ISNUMBER($A55),ISNUMBER(BBG_Data!B55)),BBG_Data!B55,NA())</f>
        <v/>
      </c>
      <c r="C55" s="16">
        <f>IF(AND(ISNUMBER($A55),ISNUMBER(BBG_Data!C55)),BBG_Data!C55,NA())</f>
        <v/>
      </c>
      <c r="D55" s="17">
        <f>IF(AND(ISNUMBER($A55),ISNUMBER(BBG_Data!D55)),BBG_Data!D55,NA())</f>
        <v/>
      </c>
      <c r="E55" s="17">
        <f>IF(AND(ISNUMBER($A55),ISNUMBER(BBG_Data!E55)),BBG_Data!E55,NA())</f>
        <v/>
      </c>
      <c r="F55" s="18">
        <f>IF(AND(ISNUMBER(B55),ISNUMBER(B54)),(B55-B54)*100,"")</f>
        <v/>
      </c>
      <c r="G55" s="18">
        <f>IF(AND(ISNUMBER(C55),ISNUMBER(C54)),(C55-C54)*100,"")</f>
        <v/>
      </c>
      <c r="H55" s="18">
        <f>IF(OR(NOT(ISNUMBER($A55)),ROW()-2&lt;Settings!$B$11),NA(),IF(COUNT(OFFSET(F55,1-Settings!$B$11,0,Settings!$B$11,1))&lt;Settings!$B$11,NA(),STDEV(OFFSET(F55,1-Settings!$B$11,0,Settings!$B$11,1))*SQRT(Settings!$B$13)))</f>
        <v/>
      </c>
      <c r="I55" s="18">
        <f>IF(OR(NOT(ISNUMBER($A55)),ROW()-2&lt;Settings!$B$12),NA(),IF(COUNT(OFFSET(F55,1-Settings!$B$12,0,Settings!$B$12,1))&lt;Settings!$B$12,NA(),STDEV(OFFSET(F55,1-Settings!$B$12,0,Settings!$B$12,1))*SQRT(Settings!$B$13)))</f>
        <v/>
      </c>
      <c r="J55" s="18">
        <f>IF(OR(NOT(ISNUMBER($A55)),ROW()-2&lt;Settings!$B$11),NA(),IF(COUNT(OFFSET(G55,1-Settings!$B$11,0,Settings!$B$11,1))&lt;Settings!$B$11,NA(),STDEV(OFFSET(G55,1-Settings!$B$11,0,Settings!$B$11,1))*SQRT(Settings!$B$13)))</f>
        <v/>
      </c>
      <c r="K55" s="18">
        <f>IF(OR(NOT(ISNUMBER($A55)),ROW()-2&lt;Settings!$B$12),NA(),IF(COUNT(OFFSET(G55,1-Settings!$B$12,0,Settings!$B$12,1))&lt;Settings!$B$12,NA(),STDEV(OFFSET(G55,1-Settings!$B$12,0,Settings!$B$12,1))*SQRT(Settings!$B$13)))</f>
        <v/>
      </c>
      <c r="L55" s="18">
        <f>IF(AND(ISNUMBER(D55),ISNUMBER(H55)),D55-H55,NA())</f>
        <v/>
      </c>
      <c r="M55" s="18">
        <f>IF(AND(ISNUMBER(E55),ISNUMBER(K55)),E55-K55,NA())</f>
        <v/>
      </c>
      <c r="N55" s="18">
        <f>IF(NOT(ISNUMBER($A55)),NA(),IF(COUNT(OFFSET(G55,1,0,Settings!$B$12,1))&lt;Settings!$B$12,NA(),STDEV(OFFSET(G55,1,0,Settings!$B$12,1))*SQRT(Settings!$B$13)))</f>
        <v/>
      </c>
      <c r="O55" s="18">
        <f>IF(AND(ISNUMBER(E55),ISNUMBER(N55)),E55-N55,NA())</f>
        <v/>
      </c>
      <c r="P55" s="17">
        <f>IF(NOT(ISNUMBER($A55)),NA(),IF(OR($A55&lt;MIN(KW_TP!$A$2:$A$2501),$A55&gt;MAX(KW_TP!$A$2:$A$2501)),NA(),INDEX(KW_TP!$C$2:$C$2501,MATCH($A55,KW_TP!$A$2:$A$2501,1))))</f>
        <v/>
      </c>
    </row>
    <row r="56">
      <c r="A56" s="15">
        <f>IF(ISNUMBER(BBG_Data!A56),BBG_Data!A56,"")</f>
        <v/>
      </c>
      <c r="B56" s="16">
        <f>IF(AND(ISNUMBER($A56),ISNUMBER(BBG_Data!B56)),BBG_Data!B56,NA())</f>
        <v/>
      </c>
      <c r="C56" s="16">
        <f>IF(AND(ISNUMBER($A56),ISNUMBER(BBG_Data!C56)),BBG_Data!C56,NA())</f>
        <v/>
      </c>
      <c r="D56" s="17">
        <f>IF(AND(ISNUMBER($A56),ISNUMBER(BBG_Data!D56)),BBG_Data!D56,NA())</f>
        <v/>
      </c>
      <c r="E56" s="17">
        <f>IF(AND(ISNUMBER($A56),ISNUMBER(BBG_Data!E56)),BBG_Data!E56,NA())</f>
        <v/>
      </c>
      <c r="F56" s="18">
        <f>IF(AND(ISNUMBER(B56),ISNUMBER(B55)),(B56-B55)*100,"")</f>
        <v/>
      </c>
      <c r="G56" s="18">
        <f>IF(AND(ISNUMBER(C56),ISNUMBER(C55)),(C56-C55)*100,"")</f>
        <v/>
      </c>
      <c r="H56" s="18">
        <f>IF(OR(NOT(ISNUMBER($A56)),ROW()-2&lt;Settings!$B$11),NA(),IF(COUNT(OFFSET(F56,1-Settings!$B$11,0,Settings!$B$11,1))&lt;Settings!$B$11,NA(),STDEV(OFFSET(F56,1-Settings!$B$11,0,Settings!$B$11,1))*SQRT(Settings!$B$13)))</f>
        <v/>
      </c>
      <c r="I56" s="18">
        <f>IF(OR(NOT(ISNUMBER($A56)),ROW()-2&lt;Settings!$B$12),NA(),IF(COUNT(OFFSET(F56,1-Settings!$B$12,0,Settings!$B$12,1))&lt;Settings!$B$12,NA(),STDEV(OFFSET(F56,1-Settings!$B$12,0,Settings!$B$12,1))*SQRT(Settings!$B$13)))</f>
        <v/>
      </c>
      <c r="J56" s="18">
        <f>IF(OR(NOT(ISNUMBER($A56)),ROW()-2&lt;Settings!$B$11),NA(),IF(COUNT(OFFSET(G56,1-Settings!$B$11,0,Settings!$B$11,1))&lt;Settings!$B$11,NA(),STDEV(OFFSET(G56,1-Settings!$B$11,0,Settings!$B$11,1))*SQRT(Settings!$B$13)))</f>
        <v/>
      </c>
      <c r="K56" s="18">
        <f>IF(OR(NOT(ISNUMBER($A56)),ROW()-2&lt;Settings!$B$12),NA(),IF(COUNT(OFFSET(G56,1-Settings!$B$12,0,Settings!$B$12,1))&lt;Settings!$B$12,NA(),STDEV(OFFSET(G56,1-Settings!$B$12,0,Settings!$B$12,1))*SQRT(Settings!$B$13)))</f>
        <v/>
      </c>
      <c r="L56" s="18">
        <f>IF(AND(ISNUMBER(D56),ISNUMBER(H56)),D56-H56,NA())</f>
        <v/>
      </c>
      <c r="M56" s="18">
        <f>IF(AND(ISNUMBER(E56),ISNUMBER(K56)),E56-K56,NA())</f>
        <v/>
      </c>
      <c r="N56" s="18">
        <f>IF(NOT(ISNUMBER($A56)),NA(),IF(COUNT(OFFSET(G56,1,0,Settings!$B$12,1))&lt;Settings!$B$12,NA(),STDEV(OFFSET(G56,1,0,Settings!$B$12,1))*SQRT(Settings!$B$13)))</f>
        <v/>
      </c>
      <c r="O56" s="18">
        <f>IF(AND(ISNUMBER(E56),ISNUMBER(N56)),E56-N56,NA())</f>
        <v/>
      </c>
      <c r="P56" s="17">
        <f>IF(NOT(ISNUMBER($A56)),NA(),IF(OR($A56&lt;MIN(KW_TP!$A$2:$A$2501),$A56&gt;MAX(KW_TP!$A$2:$A$2501)),NA(),INDEX(KW_TP!$C$2:$C$2501,MATCH($A56,KW_TP!$A$2:$A$2501,1))))</f>
        <v/>
      </c>
    </row>
    <row r="57">
      <c r="A57" s="15">
        <f>IF(ISNUMBER(BBG_Data!A57),BBG_Data!A57,"")</f>
        <v/>
      </c>
      <c r="B57" s="16">
        <f>IF(AND(ISNUMBER($A57),ISNUMBER(BBG_Data!B57)),BBG_Data!B57,NA())</f>
        <v/>
      </c>
      <c r="C57" s="16">
        <f>IF(AND(ISNUMBER($A57),ISNUMBER(BBG_Data!C57)),BBG_Data!C57,NA())</f>
        <v/>
      </c>
      <c r="D57" s="17">
        <f>IF(AND(ISNUMBER($A57),ISNUMBER(BBG_Data!D57)),BBG_Data!D57,NA())</f>
        <v/>
      </c>
      <c r="E57" s="17">
        <f>IF(AND(ISNUMBER($A57),ISNUMBER(BBG_Data!E57)),BBG_Data!E57,NA())</f>
        <v/>
      </c>
      <c r="F57" s="18">
        <f>IF(AND(ISNUMBER(B57),ISNUMBER(B56)),(B57-B56)*100,"")</f>
        <v/>
      </c>
      <c r="G57" s="18">
        <f>IF(AND(ISNUMBER(C57),ISNUMBER(C56)),(C57-C56)*100,"")</f>
        <v/>
      </c>
      <c r="H57" s="18">
        <f>IF(OR(NOT(ISNUMBER($A57)),ROW()-2&lt;Settings!$B$11),NA(),IF(COUNT(OFFSET(F57,1-Settings!$B$11,0,Settings!$B$11,1))&lt;Settings!$B$11,NA(),STDEV(OFFSET(F57,1-Settings!$B$11,0,Settings!$B$11,1))*SQRT(Settings!$B$13)))</f>
        <v/>
      </c>
      <c r="I57" s="18">
        <f>IF(OR(NOT(ISNUMBER($A57)),ROW()-2&lt;Settings!$B$12),NA(),IF(COUNT(OFFSET(F57,1-Settings!$B$12,0,Settings!$B$12,1))&lt;Settings!$B$12,NA(),STDEV(OFFSET(F57,1-Settings!$B$12,0,Settings!$B$12,1))*SQRT(Settings!$B$13)))</f>
        <v/>
      </c>
      <c r="J57" s="18">
        <f>IF(OR(NOT(ISNUMBER($A57)),ROW()-2&lt;Settings!$B$11),NA(),IF(COUNT(OFFSET(G57,1-Settings!$B$11,0,Settings!$B$11,1))&lt;Settings!$B$11,NA(),STDEV(OFFSET(G57,1-Settings!$B$11,0,Settings!$B$11,1))*SQRT(Settings!$B$13)))</f>
        <v/>
      </c>
      <c r="K57" s="18">
        <f>IF(OR(NOT(ISNUMBER($A57)),ROW()-2&lt;Settings!$B$12),NA(),IF(COUNT(OFFSET(G57,1-Settings!$B$12,0,Settings!$B$12,1))&lt;Settings!$B$12,NA(),STDEV(OFFSET(G57,1-Settings!$B$12,0,Settings!$B$12,1))*SQRT(Settings!$B$13)))</f>
        <v/>
      </c>
      <c r="L57" s="18">
        <f>IF(AND(ISNUMBER(D57),ISNUMBER(H57)),D57-H57,NA())</f>
        <v/>
      </c>
      <c r="M57" s="18">
        <f>IF(AND(ISNUMBER(E57),ISNUMBER(K57)),E57-K57,NA())</f>
        <v/>
      </c>
      <c r="N57" s="18">
        <f>IF(NOT(ISNUMBER($A57)),NA(),IF(COUNT(OFFSET(G57,1,0,Settings!$B$12,1))&lt;Settings!$B$12,NA(),STDEV(OFFSET(G57,1,0,Settings!$B$12,1))*SQRT(Settings!$B$13)))</f>
        <v/>
      </c>
      <c r="O57" s="18">
        <f>IF(AND(ISNUMBER(E57),ISNUMBER(N57)),E57-N57,NA())</f>
        <v/>
      </c>
      <c r="P57" s="17">
        <f>IF(NOT(ISNUMBER($A57)),NA(),IF(OR($A57&lt;MIN(KW_TP!$A$2:$A$2501),$A57&gt;MAX(KW_TP!$A$2:$A$2501)),NA(),INDEX(KW_TP!$C$2:$C$2501,MATCH($A57,KW_TP!$A$2:$A$2501,1))))</f>
        <v/>
      </c>
    </row>
    <row r="58">
      <c r="A58" s="15">
        <f>IF(ISNUMBER(BBG_Data!A58),BBG_Data!A58,"")</f>
        <v/>
      </c>
      <c r="B58" s="16">
        <f>IF(AND(ISNUMBER($A58),ISNUMBER(BBG_Data!B58)),BBG_Data!B58,NA())</f>
        <v/>
      </c>
      <c r="C58" s="16">
        <f>IF(AND(ISNUMBER($A58),ISNUMBER(BBG_Data!C58)),BBG_Data!C58,NA())</f>
        <v/>
      </c>
      <c r="D58" s="17">
        <f>IF(AND(ISNUMBER($A58),ISNUMBER(BBG_Data!D58)),BBG_Data!D58,NA())</f>
        <v/>
      </c>
      <c r="E58" s="17">
        <f>IF(AND(ISNUMBER($A58),ISNUMBER(BBG_Data!E58)),BBG_Data!E58,NA())</f>
        <v/>
      </c>
      <c r="F58" s="18">
        <f>IF(AND(ISNUMBER(B58),ISNUMBER(B57)),(B58-B57)*100,"")</f>
        <v/>
      </c>
      <c r="G58" s="18">
        <f>IF(AND(ISNUMBER(C58),ISNUMBER(C57)),(C58-C57)*100,"")</f>
        <v/>
      </c>
      <c r="H58" s="18">
        <f>IF(OR(NOT(ISNUMBER($A58)),ROW()-2&lt;Settings!$B$11),NA(),IF(COUNT(OFFSET(F58,1-Settings!$B$11,0,Settings!$B$11,1))&lt;Settings!$B$11,NA(),STDEV(OFFSET(F58,1-Settings!$B$11,0,Settings!$B$11,1))*SQRT(Settings!$B$13)))</f>
        <v/>
      </c>
      <c r="I58" s="18">
        <f>IF(OR(NOT(ISNUMBER($A58)),ROW()-2&lt;Settings!$B$12),NA(),IF(COUNT(OFFSET(F58,1-Settings!$B$12,0,Settings!$B$12,1))&lt;Settings!$B$12,NA(),STDEV(OFFSET(F58,1-Settings!$B$12,0,Settings!$B$12,1))*SQRT(Settings!$B$13)))</f>
        <v/>
      </c>
      <c r="J58" s="18">
        <f>IF(OR(NOT(ISNUMBER($A58)),ROW()-2&lt;Settings!$B$11),NA(),IF(COUNT(OFFSET(G58,1-Settings!$B$11,0,Settings!$B$11,1))&lt;Settings!$B$11,NA(),STDEV(OFFSET(G58,1-Settings!$B$11,0,Settings!$B$11,1))*SQRT(Settings!$B$13)))</f>
        <v/>
      </c>
      <c r="K58" s="18">
        <f>IF(OR(NOT(ISNUMBER($A58)),ROW()-2&lt;Settings!$B$12),NA(),IF(COUNT(OFFSET(G58,1-Settings!$B$12,0,Settings!$B$12,1))&lt;Settings!$B$12,NA(),STDEV(OFFSET(G58,1-Settings!$B$12,0,Settings!$B$12,1))*SQRT(Settings!$B$13)))</f>
        <v/>
      </c>
      <c r="L58" s="18">
        <f>IF(AND(ISNUMBER(D58),ISNUMBER(H58)),D58-H58,NA())</f>
        <v/>
      </c>
      <c r="M58" s="18">
        <f>IF(AND(ISNUMBER(E58),ISNUMBER(K58)),E58-K58,NA())</f>
        <v/>
      </c>
      <c r="N58" s="18">
        <f>IF(NOT(ISNUMBER($A58)),NA(),IF(COUNT(OFFSET(G58,1,0,Settings!$B$12,1))&lt;Settings!$B$12,NA(),STDEV(OFFSET(G58,1,0,Settings!$B$12,1))*SQRT(Settings!$B$13)))</f>
        <v/>
      </c>
      <c r="O58" s="18">
        <f>IF(AND(ISNUMBER(E58),ISNUMBER(N58)),E58-N58,NA())</f>
        <v/>
      </c>
      <c r="P58" s="17">
        <f>IF(NOT(ISNUMBER($A58)),NA(),IF(OR($A58&lt;MIN(KW_TP!$A$2:$A$2501),$A58&gt;MAX(KW_TP!$A$2:$A$2501)),NA(),INDEX(KW_TP!$C$2:$C$2501,MATCH($A58,KW_TP!$A$2:$A$2501,1))))</f>
        <v/>
      </c>
    </row>
    <row r="59">
      <c r="A59" s="15">
        <f>IF(ISNUMBER(BBG_Data!A59),BBG_Data!A59,"")</f>
        <v/>
      </c>
      <c r="B59" s="16">
        <f>IF(AND(ISNUMBER($A59),ISNUMBER(BBG_Data!B59)),BBG_Data!B59,NA())</f>
        <v/>
      </c>
      <c r="C59" s="16">
        <f>IF(AND(ISNUMBER($A59),ISNUMBER(BBG_Data!C59)),BBG_Data!C59,NA())</f>
        <v/>
      </c>
      <c r="D59" s="17">
        <f>IF(AND(ISNUMBER($A59),ISNUMBER(BBG_Data!D59)),BBG_Data!D59,NA())</f>
        <v/>
      </c>
      <c r="E59" s="17">
        <f>IF(AND(ISNUMBER($A59),ISNUMBER(BBG_Data!E59)),BBG_Data!E59,NA())</f>
        <v/>
      </c>
      <c r="F59" s="18">
        <f>IF(AND(ISNUMBER(B59),ISNUMBER(B58)),(B59-B58)*100,"")</f>
        <v/>
      </c>
      <c r="G59" s="18">
        <f>IF(AND(ISNUMBER(C59),ISNUMBER(C58)),(C59-C58)*100,"")</f>
        <v/>
      </c>
      <c r="H59" s="18">
        <f>IF(OR(NOT(ISNUMBER($A59)),ROW()-2&lt;Settings!$B$11),NA(),IF(COUNT(OFFSET(F59,1-Settings!$B$11,0,Settings!$B$11,1))&lt;Settings!$B$11,NA(),STDEV(OFFSET(F59,1-Settings!$B$11,0,Settings!$B$11,1))*SQRT(Settings!$B$13)))</f>
        <v/>
      </c>
      <c r="I59" s="18">
        <f>IF(OR(NOT(ISNUMBER($A59)),ROW()-2&lt;Settings!$B$12),NA(),IF(COUNT(OFFSET(F59,1-Settings!$B$12,0,Settings!$B$12,1))&lt;Settings!$B$12,NA(),STDEV(OFFSET(F59,1-Settings!$B$12,0,Settings!$B$12,1))*SQRT(Settings!$B$13)))</f>
        <v/>
      </c>
      <c r="J59" s="18">
        <f>IF(OR(NOT(ISNUMBER($A59)),ROW()-2&lt;Settings!$B$11),NA(),IF(COUNT(OFFSET(G59,1-Settings!$B$11,0,Settings!$B$11,1))&lt;Settings!$B$11,NA(),STDEV(OFFSET(G59,1-Settings!$B$11,0,Settings!$B$11,1))*SQRT(Settings!$B$13)))</f>
        <v/>
      </c>
      <c r="K59" s="18">
        <f>IF(OR(NOT(ISNUMBER($A59)),ROW()-2&lt;Settings!$B$12),NA(),IF(COUNT(OFFSET(G59,1-Settings!$B$12,0,Settings!$B$12,1))&lt;Settings!$B$12,NA(),STDEV(OFFSET(G59,1-Settings!$B$12,0,Settings!$B$12,1))*SQRT(Settings!$B$13)))</f>
        <v/>
      </c>
      <c r="L59" s="18">
        <f>IF(AND(ISNUMBER(D59),ISNUMBER(H59)),D59-H59,NA())</f>
        <v/>
      </c>
      <c r="M59" s="18">
        <f>IF(AND(ISNUMBER(E59),ISNUMBER(K59)),E59-K59,NA())</f>
        <v/>
      </c>
      <c r="N59" s="18">
        <f>IF(NOT(ISNUMBER($A59)),NA(),IF(COUNT(OFFSET(G59,1,0,Settings!$B$12,1))&lt;Settings!$B$12,NA(),STDEV(OFFSET(G59,1,0,Settings!$B$12,1))*SQRT(Settings!$B$13)))</f>
        <v/>
      </c>
      <c r="O59" s="18">
        <f>IF(AND(ISNUMBER(E59),ISNUMBER(N59)),E59-N59,NA())</f>
        <v/>
      </c>
      <c r="P59" s="17">
        <f>IF(NOT(ISNUMBER($A59)),NA(),IF(OR($A59&lt;MIN(KW_TP!$A$2:$A$2501),$A59&gt;MAX(KW_TP!$A$2:$A$2501)),NA(),INDEX(KW_TP!$C$2:$C$2501,MATCH($A59,KW_TP!$A$2:$A$2501,1))))</f>
        <v/>
      </c>
    </row>
    <row r="60">
      <c r="A60" s="15">
        <f>IF(ISNUMBER(BBG_Data!A60),BBG_Data!A60,"")</f>
        <v/>
      </c>
      <c r="B60" s="16">
        <f>IF(AND(ISNUMBER($A60),ISNUMBER(BBG_Data!B60)),BBG_Data!B60,NA())</f>
        <v/>
      </c>
      <c r="C60" s="16">
        <f>IF(AND(ISNUMBER($A60),ISNUMBER(BBG_Data!C60)),BBG_Data!C60,NA())</f>
        <v/>
      </c>
      <c r="D60" s="17">
        <f>IF(AND(ISNUMBER($A60),ISNUMBER(BBG_Data!D60)),BBG_Data!D60,NA())</f>
        <v/>
      </c>
      <c r="E60" s="17">
        <f>IF(AND(ISNUMBER($A60),ISNUMBER(BBG_Data!E60)),BBG_Data!E60,NA())</f>
        <v/>
      </c>
      <c r="F60" s="18">
        <f>IF(AND(ISNUMBER(B60),ISNUMBER(B59)),(B60-B59)*100,"")</f>
        <v/>
      </c>
      <c r="G60" s="18">
        <f>IF(AND(ISNUMBER(C60),ISNUMBER(C59)),(C60-C59)*100,"")</f>
        <v/>
      </c>
      <c r="H60" s="18">
        <f>IF(OR(NOT(ISNUMBER($A60)),ROW()-2&lt;Settings!$B$11),NA(),IF(COUNT(OFFSET(F60,1-Settings!$B$11,0,Settings!$B$11,1))&lt;Settings!$B$11,NA(),STDEV(OFFSET(F60,1-Settings!$B$11,0,Settings!$B$11,1))*SQRT(Settings!$B$13)))</f>
        <v/>
      </c>
      <c r="I60" s="18">
        <f>IF(OR(NOT(ISNUMBER($A60)),ROW()-2&lt;Settings!$B$12),NA(),IF(COUNT(OFFSET(F60,1-Settings!$B$12,0,Settings!$B$12,1))&lt;Settings!$B$12,NA(),STDEV(OFFSET(F60,1-Settings!$B$12,0,Settings!$B$12,1))*SQRT(Settings!$B$13)))</f>
        <v/>
      </c>
      <c r="J60" s="18">
        <f>IF(OR(NOT(ISNUMBER($A60)),ROW()-2&lt;Settings!$B$11),NA(),IF(COUNT(OFFSET(G60,1-Settings!$B$11,0,Settings!$B$11,1))&lt;Settings!$B$11,NA(),STDEV(OFFSET(G60,1-Settings!$B$11,0,Settings!$B$11,1))*SQRT(Settings!$B$13)))</f>
        <v/>
      </c>
      <c r="K60" s="18">
        <f>IF(OR(NOT(ISNUMBER($A60)),ROW()-2&lt;Settings!$B$12),NA(),IF(COUNT(OFFSET(G60,1-Settings!$B$12,0,Settings!$B$12,1))&lt;Settings!$B$12,NA(),STDEV(OFFSET(G60,1-Settings!$B$12,0,Settings!$B$12,1))*SQRT(Settings!$B$13)))</f>
        <v/>
      </c>
      <c r="L60" s="18">
        <f>IF(AND(ISNUMBER(D60),ISNUMBER(H60)),D60-H60,NA())</f>
        <v/>
      </c>
      <c r="M60" s="18">
        <f>IF(AND(ISNUMBER(E60),ISNUMBER(K60)),E60-K60,NA())</f>
        <v/>
      </c>
      <c r="N60" s="18">
        <f>IF(NOT(ISNUMBER($A60)),NA(),IF(COUNT(OFFSET(G60,1,0,Settings!$B$12,1))&lt;Settings!$B$12,NA(),STDEV(OFFSET(G60,1,0,Settings!$B$12,1))*SQRT(Settings!$B$13)))</f>
        <v/>
      </c>
      <c r="O60" s="18">
        <f>IF(AND(ISNUMBER(E60),ISNUMBER(N60)),E60-N60,NA())</f>
        <v/>
      </c>
      <c r="P60" s="17">
        <f>IF(NOT(ISNUMBER($A60)),NA(),IF(OR($A60&lt;MIN(KW_TP!$A$2:$A$2501),$A60&gt;MAX(KW_TP!$A$2:$A$2501)),NA(),INDEX(KW_TP!$C$2:$C$2501,MATCH($A60,KW_TP!$A$2:$A$2501,1))))</f>
        <v/>
      </c>
    </row>
    <row r="61">
      <c r="A61" s="15">
        <f>IF(ISNUMBER(BBG_Data!A61),BBG_Data!A61,"")</f>
        <v/>
      </c>
      <c r="B61" s="16">
        <f>IF(AND(ISNUMBER($A61),ISNUMBER(BBG_Data!B61)),BBG_Data!B61,NA())</f>
        <v/>
      </c>
      <c r="C61" s="16">
        <f>IF(AND(ISNUMBER($A61),ISNUMBER(BBG_Data!C61)),BBG_Data!C61,NA())</f>
        <v/>
      </c>
      <c r="D61" s="17">
        <f>IF(AND(ISNUMBER($A61),ISNUMBER(BBG_Data!D61)),BBG_Data!D61,NA())</f>
        <v/>
      </c>
      <c r="E61" s="17">
        <f>IF(AND(ISNUMBER($A61),ISNUMBER(BBG_Data!E61)),BBG_Data!E61,NA())</f>
        <v/>
      </c>
      <c r="F61" s="18">
        <f>IF(AND(ISNUMBER(B61),ISNUMBER(B60)),(B61-B60)*100,"")</f>
        <v/>
      </c>
      <c r="G61" s="18">
        <f>IF(AND(ISNUMBER(C61),ISNUMBER(C60)),(C61-C60)*100,"")</f>
        <v/>
      </c>
      <c r="H61" s="18">
        <f>IF(OR(NOT(ISNUMBER($A61)),ROW()-2&lt;Settings!$B$11),NA(),IF(COUNT(OFFSET(F61,1-Settings!$B$11,0,Settings!$B$11,1))&lt;Settings!$B$11,NA(),STDEV(OFFSET(F61,1-Settings!$B$11,0,Settings!$B$11,1))*SQRT(Settings!$B$13)))</f>
        <v/>
      </c>
      <c r="I61" s="18">
        <f>IF(OR(NOT(ISNUMBER($A61)),ROW()-2&lt;Settings!$B$12),NA(),IF(COUNT(OFFSET(F61,1-Settings!$B$12,0,Settings!$B$12,1))&lt;Settings!$B$12,NA(),STDEV(OFFSET(F61,1-Settings!$B$12,0,Settings!$B$12,1))*SQRT(Settings!$B$13)))</f>
        <v/>
      </c>
      <c r="J61" s="18">
        <f>IF(OR(NOT(ISNUMBER($A61)),ROW()-2&lt;Settings!$B$11),NA(),IF(COUNT(OFFSET(G61,1-Settings!$B$11,0,Settings!$B$11,1))&lt;Settings!$B$11,NA(),STDEV(OFFSET(G61,1-Settings!$B$11,0,Settings!$B$11,1))*SQRT(Settings!$B$13)))</f>
        <v/>
      </c>
      <c r="K61" s="18">
        <f>IF(OR(NOT(ISNUMBER($A61)),ROW()-2&lt;Settings!$B$12),NA(),IF(COUNT(OFFSET(G61,1-Settings!$B$12,0,Settings!$B$12,1))&lt;Settings!$B$12,NA(),STDEV(OFFSET(G61,1-Settings!$B$12,0,Settings!$B$12,1))*SQRT(Settings!$B$13)))</f>
        <v/>
      </c>
      <c r="L61" s="18">
        <f>IF(AND(ISNUMBER(D61),ISNUMBER(H61)),D61-H61,NA())</f>
        <v/>
      </c>
      <c r="M61" s="18">
        <f>IF(AND(ISNUMBER(E61),ISNUMBER(K61)),E61-K61,NA())</f>
        <v/>
      </c>
      <c r="N61" s="18">
        <f>IF(NOT(ISNUMBER($A61)),NA(),IF(COUNT(OFFSET(G61,1,0,Settings!$B$12,1))&lt;Settings!$B$12,NA(),STDEV(OFFSET(G61,1,0,Settings!$B$12,1))*SQRT(Settings!$B$13)))</f>
        <v/>
      </c>
      <c r="O61" s="18">
        <f>IF(AND(ISNUMBER(E61),ISNUMBER(N61)),E61-N61,NA())</f>
        <v/>
      </c>
      <c r="P61" s="17">
        <f>IF(NOT(ISNUMBER($A61)),NA(),IF(OR($A61&lt;MIN(KW_TP!$A$2:$A$2501),$A61&gt;MAX(KW_TP!$A$2:$A$2501)),NA(),INDEX(KW_TP!$C$2:$C$2501,MATCH($A61,KW_TP!$A$2:$A$2501,1))))</f>
        <v/>
      </c>
    </row>
    <row r="62">
      <c r="A62" s="15">
        <f>IF(ISNUMBER(BBG_Data!A62),BBG_Data!A62,"")</f>
        <v/>
      </c>
      <c r="B62" s="16">
        <f>IF(AND(ISNUMBER($A62),ISNUMBER(BBG_Data!B62)),BBG_Data!B62,NA())</f>
        <v/>
      </c>
      <c r="C62" s="16">
        <f>IF(AND(ISNUMBER($A62),ISNUMBER(BBG_Data!C62)),BBG_Data!C62,NA())</f>
        <v/>
      </c>
      <c r="D62" s="17">
        <f>IF(AND(ISNUMBER($A62),ISNUMBER(BBG_Data!D62)),BBG_Data!D62,NA())</f>
        <v/>
      </c>
      <c r="E62" s="17">
        <f>IF(AND(ISNUMBER($A62),ISNUMBER(BBG_Data!E62)),BBG_Data!E62,NA())</f>
        <v/>
      </c>
      <c r="F62" s="18">
        <f>IF(AND(ISNUMBER(B62),ISNUMBER(B61)),(B62-B61)*100,"")</f>
        <v/>
      </c>
      <c r="G62" s="18">
        <f>IF(AND(ISNUMBER(C62),ISNUMBER(C61)),(C62-C61)*100,"")</f>
        <v/>
      </c>
      <c r="H62" s="18">
        <f>IF(OR(NOT(ISNUMBER($A62)),ROW()-2&lt;Settings!$B$11),NA(),IF(COUNT(OFFSET(F62,1-Settings!$B$11,0,Settings!$B$11,1))&lt;Settings!$B$11,NA(),STDEV(OFFSET(F62,1-Settings!$B$11,0,Settings!$B$11,1))*SQRT(Settings!$B$13)))</f>
        <v/>
      </c>
      <c r="I62" s="18">
        <f>IF(OR(NOT(ISNUMBER($A62)),ROW()-2&lt;Settings!$B$12),NA(),IF(COUNT(OFFSET(F62,1-Settings!$B$12,0,Settings!$B$12,1))&lt;Settings!$B$12,NA(),STDEV(OFFSET(F62,1-Settings!$B$12,0,Settings!$B$12,1))*SQRT(Settings!$B$13)))</f>
        <v/>
      </c>
      <c r="J62" s="18">
        <f>IF(OR(NOT(ISNUMBER($A62)),ROW()-2&lt;Settings!$B$11),NA(),IF(COUNT(OFFSET(G62,1-Settings!$B$11,0,Settings!$B$11,1))&lt;Settings!$B$11,NA(),STDEV(OFFSET(G62,1-Settings!$B$11,0,Settings!$B$11,1))*SQRT(Settings!$B$13)))</f>
        <v/>
      </c>
      <c r="K62" s="18">
        <f>IF(OR(NOT(ISNUMBER($A62)),ROW()-2&lt;Settings!$B$12),NA(),IF(COUNT(OFFSET(G62,1-Settings!$B$12,0,Settings!$B$12,1))&lt;Settings!$B$12,NA(),STDEV(OFFSET(G62,1-Settings!$B$12,0,Settings!$B$12,1))*SQRT(Settings!$B$13)))</f>
        <v/>
      </c>
      <c r="L62" s="18">
        <f>IF(AND(ISNUMBER(D62),ISNUMBER(H62)),D62-H62,NA())</f>
        <v/>
      </c>
      <c r="M62" s="18">
        <f>IF(AND(ISNUMBER(E62),ISNUMBER(K62)),E62-K62,NA())</f>
        <v/>
      </c>
      <c r="N62" s="18">
        <f>IF(NOT(ISNUMBER($A62)),NA(),IF(COUNT(OFFSET(G62,1,0,Settings!$B$12,1))&lt;Settings!$B$12,NA(),STDEV(OFFSET(G62,1,0,Settings!$B$12,1))*SQRT(Settings!$B$13)))</f>
        <v/>
      </c>
      <c r="O62" s="18">
        <f>IF(AND(ISNUMBER(E62),ISNUMBER(N62)),E62-N62,NA())</f>
        <v/>
      </c>
      <c r="P62" s="17">
        <f>IF(NOT(ISNUMBER($A62)),NA(),IF(OR($A62&lt;MIN(KW_TP!$A$2:$A$2501),$A62&gt;MAX(KW_TP!$A$2:$A$2501)),NA(),INDEX(KW_TP!$C$2:$C$2501,MATCH($A62,KW_TP!$A$2:$A$2501,1))))</f>
        <v/>
      </c>
    </row>
    <row r="63">
      <c r="A63" s="15">
        <f>IF(ISNUMBER(BBG_Data!A63),BBG_Data!A63,"")</f>
        <v/>
      </c>
      <c r="B63" s="16">
        <f>IF(AND(ISNUMBER($A63),ISNUMBER(BBG_Data!B63)),BBG_Data!B63,NA())</f>
        <v/>
      </c>
      <c r="C63" s="16">
        <f>IF(AND(ISNUMBER($A63),ISNUMBER(BBG_Data!C63)),BBG_Data!C63,NA())</f>
        <v/>
      </c>
      <c r="D63" s="17">
        <f>IF(AND(ISNUMBER($A63),ISNUMBER(BBG_Data!D63)),BBG_Data!D63,NA())</f>
        <v/>
      </c>
      <c r="E63" s="17">
        <f>IF(AND(ISNUMBER($A63),ISNUMBER(BBG_Data!E63)),BBG_Data!E63,NA())</f>
        <v/>
      </c>
      <c r="F63" s="18">
        <f>IF(AND(ISNUMBER(B63),ISNUMBER(B62)),(B63-B62)*100,"")</f>
        <v/>
      </c>
      <c r="G63" s="18">
        <f>IF(AND(ISNUMBER(C63),ISNUMBER(C62)),(C63-C62)*100,"")</f>
        <v/>
      </c>
      <c r="H63" s="18">
        <f>IF(OR(NOT(ISNUMBER($A63)),ROW()-2&lt;Settings!$B$11),NA(),IF(COUNT(OFFSET(F63,1-Settings!$B$11,0,Settings!$B$11,1))&lt;Settings!$B$11,NA(),STDEV(OFFSET(F63,1-Settings!$B$11,0,Settings!$B$11,1))*SQRT(Settings!$B$13)))</f>
        <v/>
      </c>
      <c r="I63" s="18">
        <f>IF(OR(NOT(ISNUMBER($A63)),ROW()-2&lt;Settings!$B$12),NA(),IF(COUNT(OFFSET(F63,1-Settings!$B$12,0,Settings!$B$12,1))&lt;Settings!$B$12,NA(),STDEV(OFFSET(F63,1-Settings!$B$12,0,Settings!$B$12,1))*SQRT(Settings!$B$13)))</f>
        <v/>
      </c>
      <c r="J63" s="18">
        <f>IF(OR(NOT(ISNUMBER($A63)),ROW()-2&lt;Settings!$B$11),NA(),IF(COUNT(OFFSET(G63,1-Settings!$B$11,0,Settings!$B$11,1))&lt;Settings!$B$11,NA(),STDEV(OFFSET(G63,1-Settings!$B$11,0,Settings!$B$11,1))*SQRT(Settings!$B$13)))</f>
        <v/>
      </c>
      <c r="K63" s="18">
        <f>IF(OR(NOT(ISNUMBER($A63)),ROW()-2&lt;Settings!$B$12),NA(),IF(COUNT(OFFSET(G63,1-Settings!$B$12,0,Settings!$B$12,1))&lt;Settings!$B$12,NA(),STDEV(OFFSET(G63,1-Settings!$B$12,0,Settings!$B$12,1))*SQRT(Settings!$B$13)))</f>
        <v/>
      </c>
      <c r="L63" s="18">
        <f>IF(AND(ISNUMBER(D63),ISNUMBER(H63)),D63-H63,NA())</f>
        <v/>
      </c>
      <c r="M63" s="18">
        <f>IF(AND(ISNUMBER(E63),ISNUMBER(K63)),E63-K63,NA())</f>
        <v/>
      </c>
      <c r="N63" s="18">
        <f>IF(NOT(ISNUMBER($A63)),NA(),IF(COUNT(OFFSET(G63,1,0,Settings!$B$12,1))&lt;Settings!$B$12,NA(),STDEV(OFFSET(G63,1,0,Settings!$B$12,1))*SQRT(Settings!$B$13)))</f>
        <v/>
      </c>
      <c r="O63" s="18">
        <f>IF(AND(ISNUMBER(E63),ISNUMBER(N63)),E63-N63,NA())</f>
        <v/>
      </c>
      <c r="P63" s="17">
        <f>IF(NOT(ISNUMBER($A63)),NA(),IF(OR($A63&lt;MIN(KW_TP!$A$2:$A$2501),$A63&gt;MAX(KW_TP!$A$2:$A$2501)),NA(),INDEX(KW_TP!$C$2:$C$2501,MATCH($A63,KW_TP!$A$2:$A$2501,1))))</f>
        <v/>
      </c>
    </row>
    <row r="64">
      <c r="A64" s="15">
        <f>IF(ISNUMBER(BBG_Data!A64),BBG_Data!A64,"")</f>
        <v/>
      </c>
      <c r="B64" s="16">
        <f>IF(AND(ISNUMBER($A64),ISNUMBER(BBG_Data!B64)),BBG_Data!B64,NA())</f>
        <v/>
      </c>
      <c r="C64" s="16">
        <f>IF(AND(ISNUMBER($A64),ISNUMBER(BBG_Data!C64)),BBG_Data!C64,NA())</f>
        <v/>
      </c>
      <c r="D64" s="17">
        <f>IF(AND(ISNUMBER($A64),ISNUMBER(BBG_Data!D64)),BBG_Data!D64,NA())</f>
        <v/>
      </c>
      <c r="E64" s="17">
        <f>IF(AND(ISNUMBER($A64),ISNUMBER(BBG_Data!E64)),BBG_Data!E64,NA())</f>
        <v/>
      </c>
      <c r="F64" s="18">
        <f>IF(AND(ISNUMBER(B64),ISNUMBER(B63)),(B64-B63)*100,"")</f>
        <v/>
      </c>
      <c r="G64" s="18">
        <f>IF(AND(ISNUMBER(C64),ISNUMBER(C63)),(C64-C63)*100,"")</f>
        <v/>
      </c>
      <c r="H64" s="18">
        <f>IF(OR(NOT(ISNUMBER($A64)),ROW()-2&lt;Settings!$B$11),NA(),IF(COUNT(OFFSET(F64,1-Settings!$B$11,0,Settings!$B$11,1))&lt;Settings!$B$11,NA(),STDEV(OFFSET(F64,1-Settings!$B$11,0,Settings!$B$11,1))*SQRT(Settings!$B$13)))</f>
        <v/>
      </c>
      <c r="I64" s="18">
        <f>IF(OR(NOT(ISNUMBER($A64)),ROW()-2&lt;Settings!$B$12),NA(),IF(COUNT(OFFSET(F64,1-Settings!$B$12,0,Settings!$B$12,1))&lt;Settings!$B$12,NA(),STDEV(OFFSET(F64,1-Settings!$B$12,0,Settings!$B$12,1))*SQRT(Settings!$B$13)))</f>
        <v/>
      </c>
      <c r="J64" s="18">
        <f>IF(OR(NOT(ISNUMBER($A64)),ROW()-2&lt;Settings!$B$11),NA(),IF(COUNT(OFFSET(G64,1-Settings!$B$11,0,Settings!$B$11,1))&lt;Settings!$B$11,NA(),STDEV(OFFSET(G64,1-Settings!$B$11,0,Settings!$B$11,1))*SQRT(Settings!$B$13)))</f>
        <v/>
      </c>
      <c r="K64" s="18">
        <f>IF(OR(NOT(ISNUMBER($A64)),ROW()-2&lt;Settings!$B$12),NA(),IF(COUNT(OFFSET(G64,1-Settings!$B$12,0,Settings!$B$12,1))&lt;Settings!$B$12,NA(),STDEV(OFFSET(G64,1-Settings!$B$12,0,Settings!$B$12,1))*SQRT(Settings!$B$13)))</f>
        <v/>
      </c>
      <c r="L64" s="18">
        <f>IF(AND(ISNUMBER(D64),ISNUMBER(H64)),D64-H64,NA())</f>
        <v/>
      </c>
      <c r="M64" s="18">
        <f>IF(AND(ISNUMBER(E64),ISNUMBER(K64)),E64-K64,NA())</f>
        <v/>
      </c>
      <c r="N64" s="18">
        <f>IF(NOT(ISNUMBER($A64)),NA(),IF(COUNT(OFFSET(G64,1,0,Settings!$B$12,1))&lt;Settings!$B$12,NA(),STDEV(OFFSET(G64,1,0,Settings!$B$12,1))*SQRT(Settings!$B$13)))</f>
        <v/>
      </c>
      <c r="O64" s="18">
        <f>IF(AND(ISNUMBER(E64),ISNUMBER(N64)),E64-N64,NA())</f>
        <v/>
      </c>
      <c r="P64" s="17">
        <f>IF(NOT(ISNUMBER($A64)),NA(),IF(OR($A64&lt;MIN(KW_TP!$A$2:$A$2501),$A64&gt;MAX(KW_TP!$A$2:$A$2501)),NA(),INDEX(KW_TP!$C$2:$C$2501,MATCH($A64,KW_TP!$A$2:$A$2501,1))))</f>
        <v/>
      </c>
    </row>
    <row r="65">
      <c r="A65" s="15">
        <f>IF(ISNUMBER(BBG_Data!A65),BBG_Data!A65,"")</f>
        <v/>
      </c>
      <c r="B65" s="16">
        <f>IF(AND(ISNUMBER($A65),ISNUMBER(BBG_Data!B65)),BBG_Data!B65,NA())</f>
        <v/>
      </c>
      <c r="C65" s="16">
        <f>IF(AND(ISNUMBER($A65),ISNUMBER(BBG_Data!C65)),BBG_Data!C65,NA())</f>
        <v/>
      </c>
      <c r="D65" s="17">
        <f>IF(AND(ISNUMBER($A65),ISNUMBER(BBG_Data!D65)),BBG_Data!D65,NA())</f>
        <v/>
      </c>
      <c r="E65" s="17">
        <f>IF(AND(ISNUMBER($A65),ISNUMBER(BBG_Data!E65)),BBG_Data!E65,NA())</f>
        <v/>
      </c>
      <c r="F65" s="18">
        <f>IF(AND(ISNUMBER(B65),ISNUMBER(B64)),(B65-B64)*100,"")</f>
        <v/>
      </c>
      <c r="G65" s="18">
        <f>IF(AND(ISNUMBER(C65),ISNUMBER(C64)),(C65-C64)*100,"")</f>
        <v/>
      </c>
      <c r="H65" s="18">
        <f>IF(OR(NOT(ISNUMBER($A65)),ROW()-2&lt;Settings!$B$11),NA(),IF(COUNT(OFFSET(F65,1-Settings!$B$11,0,Settings!$B$11,1))&lt;Settings!$B$11,NA(),STDEV(OFFSET(F65,1-Settings!$B$11,0,Settings!$B$11,1))*SQRT(Settings!$B$13)))</f>
        <v/>
      </c>
      <c r="I65" s="18">
        <f>IF(OR(NOT(ISNUMBER($A65)),ROW()-2&lt;Settings!$B$12),NA(),IF(COUNT(OFFSET(F65,1-Settings!$B$12,0,Settings!$B$12,1))&lt;Settings!$B$12,NA(),STDEV(OFFSET(F65,1-Settings!$B$12,0,Settings!$B$12,1))*SQRT(Settings!$B$13)))</f>
        <v/>
      </c>
      <c r="J65" s="18">
        <f>IF(OR(NOT(ISNUMBER($A65)),ROW()-2&lt;Settings!$B$11),NA(),IF(COUNT(OFFSET(G65,1-Settings!$B$11,0,Settings!$B$11,1))&lt;Settings!$B$11,NA(),STDEV(OFFSET(G65,1-Settings!$B$11,0,Settings!$B$11,1))*SQRT(Settings!$B$13)))</f>
        <v/>
      </c>
      <c r="K65" s="18">
        <f>IF(OR(NOT(ISNUMBER($A65)),ROW()-2&lt;Settings!$B$12),NA(),IF(COUNT(OFFSET(G65,1-Settings!$B$12,0,Settings!$B$12,1))&lt;Settings!$B$12,NA(),STDEV(OFFSET(G65,1-Settings!$B$12,0,Settings!$B$12,1))*SQRT(Settings!$B$13)))</f>
        <v/>
      </c>
      <c r="L65" s="18">
        <f>IF(AND(ISNUMBER(D65),ISNUMBER(H65)),D65-H65,NA())</f>
        <v/>
      </c>
      <c r="M65" s="18">
        <f>IF(AND(ISNUMBER(E65),ISNUMBER(K65)),E65-K65,NA())</f>
        <v/>
      </c>
      <c r="N65" s="18">
        <f>IF(NOT(ISNUMBER($A65)),NA(),IF(COUNT(OFFSET(G65,1,0,Settings!$B$12,1))&lt;Settings!$B$12,NA(),STDEV(OFFSET(G65,1,0,Settings!$B$12,1))*SQRT(Settings!$B$13)))</f>
        <v/>
      </c>
      <c r="O65" s="18">
        <f>IF(AND(ISNUMBER(E65),ISNUMBER(N65)),E65-N65,NA())</f>
        <v/>
      </c>
      <c r="P65" s="17">
        <f>IF(NOT(ISNUMBER($A65)),NA(),IF(OR($A65&lt;MIN(KW_TP!$A$2:$A$2501),$A65&gt;MAX(KW_TP!$A$2:$A$2501)),NA(),INDEX(KW_TP!$C$2:$C$2501,MATCH($A65,KW_TP!$A$2:$A$2501,1))))</f>
        <v/>
      </c>
    </row>
    <row r="66">
      <c r="A66" s="15">
        <f>IF(ISNUMBER(BBG_Data!A66),BBG_Data!A66,"")</f>
        <v/>
      </c>
      <c r="B66" s="16">
        <f>IF(AND(ISNUMBER($A66),ISNUMBER(BBG_Data!B66)),BBG_Data!B66,NA())</f>
        <v/>
      </c>
      <c r="C66" s="16">
        <f>IF(AND(ISNUMBER($A66),ISNUMBER(BBG_Data!C66)),BBG_Data!C66,NA())</f>
        <v/>
      </c>
      <c r="D66" s="17">
        <f>IF(AND(ISNUMBER($A66),ISNUMBER(BBG_Data!D66)),BBG_Data!D66,NA())</f>
        <v/>
      </c>
      <c r="E66" s="17">
        <f>IF(AND(ISNUMBER($A66),ISNUMBER(BBG_Data!E66)),BBG_Data!E66,NA())</f>
        <v/>
      </c>
      <c r="F66" s="18">
        <f>IF(AND(ISNUMBER(B66),ISNUMBER(B65)),(B66-B65)*100,"")</f>
        <v/>
      </c>
      <c r="G66" s="18">
        <f>IF(AND(ISNUMBER(C66),ISNUMBER(C65)),(C66-C65)*100,"")</f>
        <v/>
      </c>
      <c r="H66" s="18">
        <f>IF(OR(NOT(ISNUMBER($A66)),ROW()-2&lt;Settings!$B$11),NA(),IF(COUNT(OFFSET(F66,1-Settings!$B$11,0,Settings!$B$11,1))&lt;Settings!$B$11,NA(),STDEV(OFFSET(F66,1-Settings!$B$11,0,Settings!$B$11,1))*SQRT(Settings!$B$13)))</f>
        <v/>
      </c>
      <c r="I66" s="18">
        <f>IF(OR(NOT(ISNUMBER($A66)),ROW()-2&lt;Settings!$B$12),NA(),IF(COUNT(OFFSET(F66,1-Settings!$B$12,0,Settings!$B$12,1))&lt;Settings!$B$12,NA(),STDEV(OFFSET(F66,1-Settings!$B$12,0,Settings!$B$12,1))*SQRT(Settings!$B$13)))</f>
        <v/>
      </c>
      <c r="J66" s="18">
        <f>IF(OR(NOT(ISNUMBER($A66)),ROW()-2&lt;Settings!$B$11),NA(),IF(COUNT(OFFSET(G66,1-Settings!$B$11,0,Settings!$B$11,1))&lt;Settings!$B$11,NA(),STDEV(OFFSET(G66,1-Settings!$B$11,0,Settings!$B$11,1))*SQRT(Settings!$B$13)))</f>
        <v/>
      </c>
      <c r="K66" s="18">
        <f>IF(OR(NOT(ISNUMBER($A66)),ROW()-2&lt;Settings!$B$12),NA(),IF(COUNT(OFFSET(G66,1-Settings!$B$12,0,Settings!$B$12,1))&lt;Settings!$B$12,NA(),STDEV(OFFSET(G66,1-Settings!$B$12,0,Settings!$B$12,1))*SQRT(Settings!$B$13)))</f>
        <v/>
      </c>
      <c r="L66" s="18">
        <f>IF(AND(ISNUMBER(D66),ISNUMBER(H66)),D66-H66,NA())</f>
        <v/>
      </c>
      <c r="M66" s="18">
        <f>IF(AND(ISNUMBER(E66),ISNUMBER(K66)),E66-K66,NA())</f>
        <v/>
      </c>
      <c r="N66" s="18">
        <f>IF(NOT(ISNUMBER($A66)),NA(),IF(COUNT(OFFSET(G66,1,0,Settings!$B$12,1))&lt;Settings!$B$12,NA(),STDEV(OFFSET(G66,1,0,Settings!$B$12,1))*SQRT(Settings!$B$13)))</f>
        <v/>
      </c>
      <c r="O66" s="18">
        <f>IF(AND(ISNUMBER(E66),ISNUMBER(N66)),E66-N66,NA())</f>
        <v/>
      </c>
      <c r="P66" s="17">
        <f>IF(NOT(ISNUMBER($A66)),NA(),IF(OR($A66&lt;MIN(KW_TP!$A$2:$A$2501),$A66&gt;MAX(KW_TP!$A$2:$A$2501)),NA(),INDEX(KW_TP!$C$2:$C$2501,MATCH($A66,KW_TP!$A$2:$A$2501,1))))</f>
        <v/>
      </c>
    </row>
    <row r="67">
      <c r="A67" s="15">
        <f>IF(ISNUMBER(BBG_Data!A67),BBG_Data!A67,"")</f>
        <v/>
      </c>
      <c r="B67" s="16">
        <f>IF(AND(ISNUMBER($A67),ISNUMBER(BBG_Data!B67)),BBG_Data!B67,NA())</f>
        <v/>
      </c>
      <c r="C67" s="16">
        <f>IF(AND(ISNUMBER($A67),ISNUMBER(BBG_Data!C67)),BBG_Data!C67,NA())</f>
        <v/>
      </c>
      <c r="D67" s="17">
        <f>IF(AND(ISNUMBER($A67),ISNUMBER(BBG_Data!D67)),BBG_Data!D67,NA())</f>
        <v/>
      </c>
      <c r="E67" s="17">
        <f>IF(AND(ISNUMBER($A67),ISNUMBER(BBG_Data!E67)),BBG_Data!E67,NA())</f>
        <v/>
      </c>
      <c r="F67" s="18">
        <f>IF(AND(ISNUMBER(B67),ISNUMBER(B66)),(B67-B66)*100,"")</f>
        <v/>
      </c>
      <c r="G67" s="18">
        <f>IF(AND(ISNUMBER(C67),ISNUMBER(C66)),(C67-C66)*100,"")</f>
        <v/>
      </c>
      <c r="H67" s="18">
        <f>IF(OR(NOT(ISNUMBER($A67)),ROW()-2&lt;Settings!$B$11),NA(),IF(COUNT(OFFSET(F67,1-Settings!$B$11,0,Settings!$B$11,1))&lt;Settings!$B$11,NA(),STDEV(OFFSET(F67,1-Settings!$B$11,0,Settings!$B$11,1))*SQRT(Settings!$B$13)))</f>
        <v/>
      </c>
      <c r="I67" s="18">
        <f>IF(OR(NOT(ISNUMBER($A67)),ROW()-2&lt;Settings!$B$12),NA(),IF(COUNT(OFFSET(F67,1-Settings!$B$12,0,Settings!$B$12,1))&lt;Settings!$B$12,NA(),STDEV(OFFSET(F67,1-Settings!$B$12,0,Settings!$B$12,1))*SQRT(Settings!$B$13)))</f>
        <v/>
      </c>
      <c r="J67" s="18">
        <f>IF(OR(NOT(ISNUMBER($A67)),ROW()-2&lt;Settings!$B$11),NA(),IF(COUNT(OFFSET(G67,1-Settings!$B$11,0,Settings!$B$11,1))&lt;Settings!$B$11,NA(),STDEV(OFFSET(G67,1-Settings!$B$11,0,Settings!$B$11,1))*SQRT(Settings!$B$13)))</f>
        <v/>
      </c>
      <c r="K67" s="18">
        <f>IF(OR(NOT(ISNUMBER($A67)),ROW()-2&lt;Settings!$B$12),NA(),IF(COUNT(OFFSET(G67,1-Settings!$B$12,0,Settings!$B$12,1))&lt;Settings!$B$12,NA(),STDEV(OFFSET(G67,1-Settings!$B$12,0,Settings!$B$12,1))*SQRT(Settings!$B$13)))</f>
        <v/>
      </c>
      <c r="L67" s="18">
        <f>IF(AND(ISNUMBER(D67),ISNUMBER(H67)),D67-H67,NA())</f>
        <v/>
      </c>
      <c r="M67" s="18">
        <f>IF(AND(ISNUMBER(E67),ISNUMBER(K67)),E67-K67,NA())</f>
        <v/>
      </c>
      <c r="N67" s="18">
        <f>IF(NOT(ISNUMBER($A67)),NA(),IF(COUNT(OFFSET(G67,1,0,Settings!$B$12,1))&lt;Settings!$B$12,NA(),STDEV(OFFSET(G67,1,0,Settings!$B$12,1))*SQRT(Settings!$B$13)))</f>
        <v/>
      </c>
      <c r="O67" s="18">
        <f>IF(AND(ISNUMBER(E67),ISNUMBER(N67)),E67-N67,NA())</f>
        <v/>
      </c>
      <c r="P67" s="17">
        <f>IF(NOT(ISNUMBER($A67)),NA(),IF(OR($A67&lt;MIN(KW_TP!$A$2:$A$2501),$A67&gt;MAX(KW_TP!$A$2:$A$2501)),NA(),INDEX(KW_TP!$C$2:$C$2501,MATCH($A67,KW_TP!$A$2:$A$2501,1))))</f>
        <v/>
      </c>
    </row>
    <row r="68">
      <c r="A68" s="15">
        <f>IF(ISNUMBER(BBG_Data!A68),BBG_Data!A68,"")</f>
        <v/>
      </c>
      <c r="B68" s="16">
        <f>IF(AND(ISNUMBER($A68),ISNUMBER(BBG_Data!B68)),BBG_Data!B68,NA())</f>
        <v/>
      </c>
      <c r="C68" s="16">
        <f>IF(AND(ISNUMBER($A68),ISNUMBER(BBG_Data!C68)),BBG_Data!C68,NA())</f>
        <v/>
      </c>
      <c r="D68" s="17">
        <f>IF(AND(ISNUMBER($A68),ISNUMBER(BBG_Data!D68)),BBG_Data!D68,NA())</f>
        <v/>
      </c>
      <c r="E68" s="17">
        <f>IF(AND(ISNUMBER($A68),ISNUMBER(BBG_Data!E68)),BBG_Data!E68,NA())</f>
        <v/>
      </c>
      <c r="F68" s="18">
        <f>IF(AND(ISNUMBER(B68),ISNUMBER(B67)),(B68-B67)*100,"")</f>
        <v/>
      </c>
      <c r="G68" s="18">
        <f>IF(AND(ISNUMBER(C68),ISNUMBER(C67)),(C68-C67)*100,"")</f>
        <v/>
      </c>
      <c r="H68" s="18">
        <f>IF(OR(NOT(ISNUMBER($A68)),ROW()-2&lt;Settings!$B$11),NA(),IF(COUNT(OFFSET(F68,1-Settings!$B$11,0,Settings!$B$11,1))&lt;Settings!$B$11,NA(),STDEV(OFFSET(F68,1-Settings!$B$11,0,Settings!$B$11,1))*SQRT(Settings!$B$13)))</f>
        <v/>
      </c>
      <c r="I68" s="18">
        <f>IF(OR(NOT(ISNUMBER($A68)),ROW()-2&lt;Settings!$B$12),NA(),IF(COUNT(OFFSET(F68,1-Settings!$B$12,0,Settings!$B$12,1))&lt;Settings!$B$12,NA(),STDEV(OFFSET(F68,1-Settings!$B$12,0,Settings!$B$12,1))*SQRT(Settings!$B$13)))</f>
        <v/>
      </c>
      <c r="J68" s="18">
        <f>IF(OR(NOT(ISNUMBER($A68)),ROW()-2&lt;Settings!$B$11),NA(),IF(COUNT(OFFSET(G68,1-Settings!$B$11,0,Settings!$B$11,1))&lt;Settings!$B$11,NA(),STDEV(OFFSET(G68,1-Settings!$B$11,0,Settings!$B$11,1))*SQRT(Settings!$B$13)))</f>
        <v/>
      </c>
      <c r="K68" s="18">
        <f>IF(OR(NOT(ISNUMBER($A68)),ROW()-2&lt;Settings!$B$12),NA(),IF(COUNT(OFFSET(G68,1-Settings!$B$12,0,Settings!$B$12,1))&lt;Settings!$B$12,NA(),STDEV(OFFSET(G68,1-Settings!$B$12,0,Settings!$B$12,1))*SQRT(Settings!$B$13)))</f>
        <v/>
      </c>
      <c r="L68" s="18">
        <f>IF(AND(ISNUMBER(D68),ISNUMBER(H68)),D68-H68,NA())</f>
        <v/>
      </c>
      <c r="M68" s="18">
        <f>IF(AND(ISNUMBER(E68),ISNUMBER(K68)),E68-K68,NA())</f>
        <v/>
      </c>
      <c r="N68" s="18">
        <f>IF(NOT(ISNUMBER($A68)),NA(),IF(COUNT(OFFSET(G68,1,0,Settings!$B$12,1))&lt;Settings!$B$12,NA(),STDEV(OFFSET(G68,1,0,Settings!$B$12,1))*SQRT(Settings!$B$13)))</f>
        <v/>
      </c>
      <c r="O68" s="18">
        <f>IF(AND(ISNUMBER(E68),ISNUMBER(N68)),E68-N68,NA())</f>
        <v/>
      </c>
      <c r="P68" s="17">
        <f>IF(NOT(ISNUMBER($A68)),NA(),IF(OR($A68&lt;MIN(KW_TP!$A$2:$A$2501),$A68&gt;MAX(KW_TP!$A$2:$A$2501)),NA(),INDEX(KW_TP!$C$2:$C$2501,MATCH($A68,KW_TP!$A$2:$A$2501,1))))</f>
        <v/>
      </c>
    </row>
    <row r="69">
      <c r="A69" s="15">
        <f>IF(ISNUMBER(BBG_Data!A69),BBG_Data!A69,"")</f>
        <v/>
      </c>
      <c r="B69" s="16">
        <f>IF(AND(ISNUMBER($A69),ISNUMBER(BBG_Data!B69)),BBG_Data!B69,NA())</f>
        <v/>
      </c>
      <c r="C69" s="16">
        <f>IF(AND(ISNUMBER($A69),ISNUMBER(BBG_Data!C69)),BBG_Data!C69,NA())</f>
        <v/>
      </c>
      <c r="D69" s="17">
        <f>IF(AND(ISNUMBER($A69),ISNUMBER(BBG_Data!D69)),BBG_Data!D69,NA())</f>
        <v/>
      </c>
      <c r="E69" s="17">
        <f>IF(AND(ISNUMBER($A69),ISNUMBER(BBG_Data!E69)),BBG_Data!E69,NA())</f>
        <v/>
      </c>
      <c r="F69" s="18">
        <f>IF(AND(ISNUMBER(B69),ISNUMBER(B68)),(B69-B68)*100,"")</f>
        <v/>
      </c>
      <c r="G69" s="18">
        <f>IF(AND(ISNUMBER(C69),ISNUMBER(C68)),(C69-C68)*100,"")</f>
        <v/>
      </c>
      <c r="H69" s="18">
        <f>IF(OR(NOT(ISNUMBER($A69)),ROW()-2&lt;Settings!$B$11),NA(),IF(COUNT(OFFSET(F69,1-Settings!$B$11,0,Settings!$B$11,1))&lt;Settings!$B$11,NA(),STDEV(OFFSET(F69,1-Settings!$B$11,0,Settings!$B$11,1))*SQRT(Settings!$B$13)))</f>
        <v/>
      </c>
      <c r="I69" s="18">
        <f>IF(OR(NOT(ISNUMBER($A69)),ROW()-2&lt;Settings!$B$12),NA(),IF(COUNT(OFFSET(F69,1-Settings!$B$12,0,Settings!$B$12,1))&lt;Settings!$B$12,NA(),STDEV(OFFSET(F69,1-Settings!$B$12,0,Settings!$B$12,1))*SQRT(Settings!$B$13)))</f>
        <v/>
      </c>
      <c r="J69" s="18">
        <f>IF(OR(NOT(ISNUMBER($A69)),ROW()-2&lt;Settings!$B$11),NA(),IF(COUNT(OFFSET(G69,1-Settings!$B$11,0,Settings!$B$11,1))&lt;Settings!$B$11,NA(),STDEV(OFFSET(G69,1-Settings!$B$11,0,Settings!$B$11,1))*SQRT(Settings!$B$13)))</f>
        <v/>
      </c>
      <c r="K69" s="18">
        <f>IF(OR(NOT(ISNUMBER($A69)),ROW()-2&lt;Settings!$B$12),NA(),IF(COUNT(OFFSET(G69,1-Settings!$B$12,0,Settings!$B$12,1))&lt;Settings!$B$12,NA(),STDEV(OFFSET(G69,1-Settings!$B$12,0,Settings!$B$12,1))*SQRT(Settings!$B$13)))</f>
        <v/>
      </c>
      <c r="L69" s="18">
        <f>IF(AND(ISNUMBER(D69),ISNUMBER(H69)),D69-H69,NA())</f>
        <v/>
      </c>
      <c r="M69" s="18">
        <f>IF(AND(ISNUMBER(E69),ISNUMBER(K69)),E69-K69,NA())</f>
        <v/>
      </c>
      <c r="N69" s="18">
        <f>IF(NOT(ISNUMBER($A69)),NA(),IF(COUNT(OFFSET(G69,1,0,Settings!$B$12,1))&lt;Settings!$B$12,NA(),STDEV(OFFSET(G69,1,0,Settings!$B$12,1))*SQRT(Settings!$B$13)))</f>
        <v/>
      </c>
      <c r="O69" s="18">
        <f>IF(AND(ISNUMBER(E69),ISNUMBER(N69)),E69-N69,NA())</f>
        <v/>
      </c>
      <c r="P69" s="17">
        <f>IF(NOT(ISNUMBER($A69)),NA(),IF(OR($A69&lt;MIN(KW_TP!$A$2:$A$2501),$A69&gt;MAX(KW_TP!$A$2:$A$2501)),NA(),INDEX(KW_TP!$C$2:$C$2501,MATCH($A69,KW_TP!$A$2:$A$2501,1))))</f>
        <v/>
      </c>
    </row>
    <row r="70">
      <c r="A70" s="15">
        <f>IF(ISNUMBER(BBG_Data!A70),BBG_Data!A70,"")</f>
        <v/>
      </c>
      <c r="B70" s="16">
        <f>IF(AND(ISNUMBER($A70),ISNUMBER(BBG_Data!B70)),BBG_Data!B70,NA())</f>
        <v/>
      </c>
      <c r="C70" s="16">
        <f>IF(AND(ISNUMBER($A70),ISNUMBER(BBG_Data!C70)),BBG_Data!C70,NA())</f>
        <v/>
      </c>
      <c r="D70" s="17">
        <f>IF(AND(ISNUMBER($A70),ISNUMBER(BBG_Data!D70)),BBG_Data!D70,NA())</f>
        <v/>
      </c>
      <c r="E70" s="17">
        <f>IF(AND(ISNUMBER($A70),ISNUMBER(BBG_Data!E70)),BBG_Data!E70,NA())</f>
        <v/>
      </c>
      <c r="F70" s="18">
        <f>IF(AND(ISNUMBER(B70),ISNUMBER(B69)),(B70-B69)*100,"")</f>
        <v/>
      </c>
      <c r="G70" s="18">
        <f>IF(AND(ISNUMBER(C70),ISNUMBER(C69)),(C70-C69)*100,"")</f>
        <v/>
      </c>
      <c r="H70" s="18">
        <f>IF(OR(NOT(ISNUMBER($A70)),ROW()-2&lt;Settings!$B$11),NA(),IF(COUNT(OFFSET(F70,1-Settings!$B$11,0,Settings!$B$11,1))&lt;Settings!$B$11,NA(),STDEV(OFFSET(F70,1-Settings!$B$11,0,Settings!$B$11,1))*SQRT(Settings!$B$13)))</f>
        <v/>
      </c>
      <c r="I70" s="18">
        <f>IF(OR(NOT(ISNUMBER($A70)),ROW()-2&lt;Settings!$B$12),NA(),IF(COUNT(OFFSET(F70,1-Settings!$B$12,0,Settings!$B$12,1))&lt;Settings!$B$12,NA(),STDEV(OFFSET(F70,1-Settings!$B$12,0,Settings!$B$12,1))*SQRT(Settings!$B$13)))</f>
        <v/>
      </c>
      <c r="J70" s="18">
        <f>IF(OR(NOT(ISNUMBER($A70)),ROW()-2&lt;Settings!$B$11),NA(),IF(COUNT(OFFSET(G70,1-Settings!$B$11,0,Settings!$B$11,1))&lt;Settings!$B$11,NA(),STDEV(OFFSET(G70,1-Settings!$B$11,0,Settings!$B$11,1))*SQRT(Settings!$B$13)))</f>
        <v/>
      </c>
      <c r="K70" s="18">
        <f>IF(OR(NOT(ISNUMBER($A70)),ROW()-2&lt;Settings!$B$12),NA(),IF(COUNT(OFFSET(G70,1-Settings!$B$12,0,Settings!$B$12,1))&lt;Settings!$B$12,NA(),STDEV(OFFSET(G70,1-Settings!$B$12,0,Settings!$B$12,1))*SQRT(Settings!$B$13)))</f>
        <v/>
      </c>
      <c r="L70" s="18">
        <f>IF(AND(ISNUMBER(D70),ISNUMBER(H70)),D70-H70,NA())</f>
        <v/>
      </c>
      <c r="M70" s="18">
        <f>IF(AND(ISNUMBER(E70),ISNUMBER(K70)),E70-K70,NA())</f>
        <v/>
      </c>
      <c r="N70" s="18">
        <f>IF(NOT(ISNUMBER($A70)),NA(),IF(COUNT(OFFSET(G70,1,0,Settings!$B$12,1))&lt;Settings!$B$12,NA(),STDEV(OFFSET(G70,1,0,Settings!$B$12,1))*SQRT(Settings!$B$13)))</f>
        <v/>
      </c>
      <c r="O70" s="18">
        <f>IF(AND(ISNUMBER(E70),ISNUMBER(N70)),E70-N70,NA())</f>
        <v/>
      </c>
      <c r="P70" s="17">
        <f>IF(NOT(ISNUMBER($A70)),NA(),IF(OR($A70&lt;MIN(KW_TP!$A$2:$A$2501),$A70&gt;MAX(KW_TP!$A$2:$A$2501)),NA(),INDEX(KW_TP!$C$2:$C$2501,MATCH($A70,KW_TP!$A$2:$A$2501,1))))</f>
        <v/>
      </c>
    </row>
    <row r="71">
      <c r="A71" s="15">
        <f>IF(ISNUMBER(BBG_Data!A71),BBG_Data!A71,"")</f>
        <v/>
      </c>
      <c r="B71" s="16">
        <f>IF(AND(ISNUMBER($A71),ISNUMBER(BBG_Data!B71)),BBG_Data!B71,NA())</f>
        <v/>
      </c>
      <c r="C71" s="16">
        <f>IF(AND(ISNUMBER($A71),ISNUMBER(BBG_Data!C71)),BBG_Data!C71,NA())</f>
        <v/>
      </c>
      <c r="D71" s="17">
        <f>IF(AND(ISNUMBER($A71),ISNUMBER(BBG_Data!D71)),BBG_Data!D71,NA())</f>
        <v/>
      </c>
      <c r="E71" s="17">
        <f>IF(AND(ISNUMBER($A71),ISNUMBER(BBG_Data!E71)),BBG_Data!E71,NA())</f>
        <v/>
      </c>
      <c r="F71" s="18">
        <f>IF(AND(ISNUMBER(B71),ISNUMBER(B70)),(B71-B70)*100,"")</f>
        <v/>
      </c>
      <c r="G71" s="18">
        <f>IF(AND(ISNUMBER(C71),ISNUMBER(C70)),(C71-C70)*100,"")</f>
        <v/>
      </c>
      <c r="H71" s="18">
        <f>IF(OR(NOT(ISNUMBER($A71)),ROW()-2&lt;Settings!$B$11),NA(),IF(COUNT(OFFSET(F71,1-Settings!$B$11,0,Settings!$B$11,1))&lt;Settings!$B$11,NA(),STDEV(OFFSET(F71,1-Settings!$B$11,0,Settings!$B$11,1))*SQRT(Settings!$B$13)))</f>
        <v/>
      </c>
      <c r="I71" s="18">
        <f>IF(OR(NOT(ISNUMBER($A71)),ROW()-2&lt;Settings!$B$12),NA(),IF(COUNT(OFFSET(F71,1-Settings!$B$12,0,Settings!$B$12,1))&lt;Settings!$B$12,NA(),STDEV(OFFSET(F71,1-Settings!$B$12,0,Settings!$B$12,1))*SQRT(Settings!$B$13)))</f>
        <v/>
      </c>
      <c r="J71" s="18">
        <f>IF(OR(NOT(ISNUMBER($A71)),ROW()-2&lt;Settings!$B$11),NA(),IF(COUNT(OFFSET(G71,1-Settings!$B$11,0,Settings!$B$11,1))&lt;Settings!$B$11,NA(),STDEV(OFFSET(G71,1-Settings!$B$11,0,Settings!$B$11,1))*SQRT(Settings!$B$13)))</f>
        <v/>
      </c>
      <c r="K71" s="18">
        <f>IF(OR(NOT(ISNUMBER($A71)),ROW()-2&lt;Settings!$B$12),NA(),IF(COUNT(OFFSET(G71,1-Settings!$B$12,0,Settings!$B$12,1))&lt;Settings!$B$12,NA(),STDEV(OFFSET(G71,1-Settings!$B$12,0,Settings!$B$12,1))*SQRT(Settings!$B$13)))</f>
        <v/>
      </c>
      <c r="L71" s="18">
        <f>IF(AND(ISNUMBER(D71),ISNUMBER(H71)),D71-H71,NA())</f>
        <v/>
      </c>
      <c r="M71" s="18">
        <f>IF(AND(ISNUMBER(E71),ISNUMBER(K71)),E71-K71,NA())</f>
        <v/>
      </c>
      <c r="N71" s="18">
        <f>IF(NOT(ISNUMBER($A71)),NA(),IF(COUNT(OFFSET(G71,1,0,Settings!$B$12,1))&lt;Settings!$B$12,NA(),STDEV(OFFSET(G71,1,0,Settings!$B$12,1))*SQRT(Settings!$B$13)))</f>
        <v/>
      </c>
      <c r="O71" s="18">
        <f>IF(AND(ISNUMBER(E71),ISNUMBER(N71)),E71-N71,NA())</f>
        <v/>
      </c>
      <c r="P71" s="17">
        <f>IF(NOT(ISNUMBER($A71)),NA(),IF(OR($A71&lt;MIN(KW_TP!$A$2:$A$2501),$A71&gt;MAX(KW_TP!$A$2:$A$2501)),NA(),INDEX(KW_TP!$C$2:$C$2501,MATCH($A71,KW_TP!$A$2:$A$2501,1))))</f>
        <v/>
      </c>
    </row>
    <row r="72">
      <c r="A72" s="15">
        <f>IF(ISNUMBER(BBG_Data!A72),BBG_Data!A72,"")</f>
        <v/>
      </c>
      <c r="B72" s="16">
        <f>IF(AND(ISNUMBER($A72),ISNUMBER(BBG_Data!B72)),BBG_Data!B72,NA())</f>
        <v/>
      </c>
      <c r="C72" s="16">
        <f>IF(AND(ISNUMBER($A72),ISNUMBER(BBG_Data!C72)),BBG_Data!C72,NA())</f>
        <v/>
      </c>
      <c r="D72" s="17">
        <f>IF(AND(ISNUMBER($A72),ISNUMBER(BBG_Data!D72)),BBG_Data!D72,NA())</f>
        <v/>
      </c>
      <c r="E72" s="17">
        <f>IF(AND(ISNUMBER($A72),ISNUMBER(BBG_Data!E72)),BBG_Data!E72,NA())</f>
        <v/>
      </c>
      <c r="F72" s="18">
        <f>IF(AND(ISNUMBER(B72),ISNUMBER(B71)),(B72-B71)*100,"")</f>
        <v/>
      </c>
      <c r="G72" s="18">
        <f>IF(AND(ISNUMBER(C72),ISNUMBER(C71)),(C72-C71)*100,"")</f>
        <v/>
      </c>
      <c r="H72" s="18">
        <f>IF(OR(NOT(ISNUMBER($A72)),ROW()-2&lt;Settings!$B$11),NA(),IF(COUNT(OFFSET(F72,1-Settings!$B$11,0,Settings!$B$11,1))&lt;Settings!$B$11,NA(),STDEV(OFFSET(F72,1-Settings!$B$11,0,Settings!$B$11,1))*SQRT(Settings!$B$13)))</f>
        <v/>
      </c>
      <c r="I72" s="18">
        <f>IF(OR(NOT(ISNUMBER($A72)),ROW()-2&lt;Settings!$B$12),NA(),IF(COUNT(OFFSET(F72,1-Settings!$B$12,0,Settings!$B$12,1))&lt;Settings!$B$12,NA(),STDEV(OFFSET(F72,1-Settings!$B$12,0,Settings!$B$12,1))*SQRT(Settings!$B$13)))</f>
        <v/>
      </c>
      <c r="J72" s="18">
        <f>IF(OR(NOT(ISNUMBER($A72)),ROW()-2&lt;Settings!$B$11),NA(),IF(COUNT(OFFSET(G72,1-Settings!$B$11,0,Settings!$B$11,1))&lt;Settings!$B$11,NA(),STDEV(OFFSET(G72,1-Settings!$B$11,0,Settings!$B$11,1))*SQRT(Settings!$B$13)))</f>
        <v/>
      </c>
      <c r="K72" s="18">
        <f>IF(OR(NOT(ISNUMBER($A72)),ROW()-2&lt;Settings!$B$12),NA(),IF(COUNT(OFFSET(G72,1-Settings!$B$12,0,Settings!$B$12,1))&lt;Settings!$B$12,NA(),STDEV(OFFSET(G72,1-Settings!$B$12,0,Settings!$B$12,1))*SQRT(Settings!$B$13)))</f>
        <v/>
      </c>
      <c r="L72" s="18">
        <f>IF(AND(ISNUMBER(D72),ISNUMBER(H72)),D72-H72,NA())</f>
        <v/>
      </c>
      <c r="M72" s="18">
        <f>IF(AND(ISNUMBER(E72),ISNUMBER(K72)),E72-K72,NA())</f>
        <v/>
      </c>
      <c r="N72" s="18">
        <f>IF(NOT(ISNUMBER($A72)),NA(),IF(COUNT(OFFSET(G72,1,0,Settings!$B$12,1))&lt;Settings!$B$12,NA(),STDEV(OFFSET(G72,1,0,Settings!$B$12,1))*SQRT(Settings!$B$13)))</f>
        <v/>
      </c>
      <c r="O72" s="18">
        <f>IF(AND(ISNUMBER(E72),ISNUMBER(N72)),E72-N72,NA())</f>
        <v/>
      </c>
      <c r="P72" s="17">
        <f>IF(NOT(ISNUMBER($A72)),NA(),IF(OR($A72&lt;MIN(KW_TP!$A$2:$A$2501),$A72&gt;MAX(KW_TP!$A$2:$A$2501)),NA(),INDEX(KW_TP!$C$2:$C$2501,MATCH($A72,KW_TP!$A$2:$A$2501,1))))</f>
        <v/>
      </c>
    </row>
    <row r="73">
      <c r="A73" s="15">
        <f>IF(ISNUMBER(BBG_Data!A73),BBG_Data!A73,"")</f>
        <v/>
      </c>
      <c r="B73" s="16">
        <f>IF(AND(ISNUMBER($A73),ISNUMBER(BBG_Data!B73)),BBG_Data!B73,NA())</f>
        <v/>
      </c>
      <c r="C73" s="16">
        <f>IF(AND(ISNUMBER($A73),ISNUMBER(BBG_Data!C73)),BBG_Data!C73,NA())</f>
        <v/>
      </c>
      <c r="D73" s="17">
        <f>IF(AND(ISNUMBER($A73),ISNUMBER(BBG_Data!D73)),BBG_Data!D73,NA())</f>
        <v/>
      </c>
      <c r="E73" s="17">
        <f>IF(AND(ISNUMBER($A73),ISNUMBER(BBG_Data!E73)),BBG_Data!E73,NA())</f>
        <v/>
      </c>
      <c r="F73" s="18">
        <f>IF(AND(ISNUMBER(B73),ISNUMBER(B72)),(B73-B72)*100,"")</f>
        <v/>
      </c>
      <c r="G73" s="18">
        <f>IF(AND(ISNUMBER(C73),ISNUMBER(C72)),(C73-C72)*100,"")</f>
        <v/>
      </c>
      <c r="H73" s="18">
        <f>IF(OR(NOT(ISNUMBER($A73)),ROW()-2&lt;Settings!$B$11),NA(),IF(COUNT(OFFSET(F73,1-Settings!$B$11,0,Settings!$B$11,1))&lt;Settings!$B$11,NA(),STDEV(OFFSET(F73,1-Settings!$B$11,0,Settings!$B$11,1))*SQRT(Settings!$B$13)))</f>
        <v/>
      </c>
      <c r="I73" s="18">
        <f>IF(OR(NOT(ISNUMBER($A73)),ROW()-2&lt;Settings!$B$12),NA(),IF(COUNT(OFFSET(F73,1-Settings!$B$12,0,Settings!$B$12,1))&lt;Settings!$B$12,NA(),STDEV(OFFSET(F73,1-Settings!$B$12,0,Settings!$B$12,1))*SQRT(Settings!$B$13)))</f>
        <v/>
      </c>
      <c r="J73" s="18">
        <f>IF(OR(NOT(ISNUMBER($A73)),ROW()-2&lt;Settings!$B$11),NA(),IF(COUNT(OFFSET(G73,1-Settings!$B$11,0,Settings!$B$11,1))&lt;Settings!$B$11,NA(),STDEV(OFFSET(G73,1-Settings!$B$11,0,Settings!$B$11,1))*SQRT(Settings!$B$13)))</f>
        <v/>
      </c>
      <c r="K73" s="18">
        <f>IF(OR(NOT(ISNUMBER($A73)),ROW()-2&lt;Settings!$B$12),NA(),IF(COUNT(OFFSET(G73,1-Settings!$B$12,0,Settings!$B$12,1))&lt;Settings!$B$12,NA(),STDEV(OFFSET(G73,1-Settings!$B$12,0,Settings!$B$12,1))*SQRT(Settings!$B$13)))</f>
        <v/>
      </c>
      <c r="L73" s="18">
        <f>IF(AND(ISNUMBER(D73),ISNUMBER(H73)),D73-H73,NA())</f>
        <v/>
      </c>
      <c r="M73" s="18">
        <f>IF(AND(ISNUMBER(E73),ISNUMBER(K73)),E73-K73,NA())</f>
        <v/>
      </c>
      <c r="N73" s="18">
        <f>IF(NOT(ISNUMBER($A73)),NA(),IF(COUNT(OFFSET(G73,1,0,Settings!$B$12,1))&lt;Settings!$B$12,NA(),STDEV(OFFSET(G73,1,0,Settings!$B$12,1))*SQRT(Settings!$B$13)))</f>
        <v/>
      </c>
      <c r="O73" s="18">
        <f>IF(AND(ISNUMBER(E73),ISNUMBER(N73)),E73-N73,NA())</f>
        <v/>
      </c>
      <c r="P73" s="17">
        <f>IF(NOT(ISNUMBER($A73)),NA(),IF(OR($A73&lt;MIN(KW_TP!$A$2:$A$2501),$A73&gt;MAX(KW_TP!$A$2:$A$2501)),NA(),INDEX(KW_TP!$C$2:$C$2501,MATCH($A73,KW_TP!$A$2:$A$2501,1))))</f>
        <v/>
      </c>
    </row>
    <row r="74">
      <c r="A74" s="15">
        <f>IF(ISNUMBER(BBG_Data!A74),BBG_Data!A74,"")</f>
        <v/>
      </c>
      <c r="B74" s="16">
        <f>IF(AND(ISNUMBER($A74),ISNUMBER(BBG_Data!B74)),BBG_Data!B74,NA())</f>
        <v/>
      </c>
      <c r="C74" s="16">
        <f>IF(AND(ISNUMBER($A74),ISNUMBER(BBG_Data!C74)),BBG_Data!C74,NA())</f>
        <v/>
      </c>
      <c r="D74" s="17">
        <f>IF(AND(ISNUMBER($A74),ISNUMBER(BBG_Data!D74)),BBG_Data!D74,NA())</f>
        <v/>
      </c>
      <c r="E74" s="17">
        <f>IF(AND(ISNUMBER($A74),ISNUMBER(BBG_Data!E74)),BBG_Data!E74,NA())</f>
        <v/>
      </c>
      <c r="F74" s="18">
        <f>IF(AND(ISNUMBER(B74),ISNUMBER(B73)),(B74-B73)*100,"")</f>
        <v/>
      </c>
      <c r="G74" s="18">
        <f>IF(AND(ISNUMBER(C74),ISNUMBER(C73)),(C74-C73)*100,"")</f>
        <v/>
      </c>
      <c r="H74" s="18">
        <f>IF(OR(NOT(ISNUMBER($A74)),ROW()-2&lt;Settings!$B$11),NA(),IF(COUNT(OFFSET(F74,1-Settings!$B$11,0,Settings!$B$11,1))&lt;Settings!$B$11,NA(),STDEV(OFFSET(F74,1-Settings!$B$11,0,Settings!$B$11,1))*SQRT(Settings!$B$13)))</f>
        <v/>
      </c>
      <c r="I74" s="18">
        <f>IF(OR(NOT(ISNUMBER($A74)),ROW()-2&lt;Settings!$B$12),NA(),IF(COUNT(OFFSET(F74,1-Settings!$B$12,0,Settings!$B$12,1))&lt;Settings!$B$12,NA(),STDEV(OFFSET(F74,1-Settings!$B$12,0,Settings!$B$12,1))*SQRT(Settings!$B$13)))</f>
        <v/>
      </c>
      <c r="J74" s="18">
        <f>IF(OR(NOT(ISNUMBER($A74)),ROW()-2&lt;Settings!$B$11),NA(),IF(COUNT(OFFSET(G74,1-Settings!$B$11,0,Settings!$B$11,1))&lt;Settings!$B$11,NA(),STDEV(OFFSET(G74,1-Settings!$B$11,0,Settings!$B$11,1))*SQRT(Settings!$B$13)))</f>
        <v/>
      </c>
      <c r="K74" s="18">
        <f>IF(OR(NOT(ISNUMBER($A74)),ROW()-2&lt;Settings!$B$12),NA(),IF(COUNT(OFFSET(G74,1-Settings!$B$12,0,Settings!$B$12,1))&lt;Settings!$B$12,NA(),STDEV(OFFSET(G74,1-Settings!$B$12,0,Settings!$B$12,1))*SQRT(Settings!$B$13)))</f>
        <v/>
      </c>
      <c r="L74" s="18">
        <f>IF(AND(ISNUMBER(D74),ISNUMBER(H74)),D74-H74,NA())</f>
        <v/>
      </c>
      <c r="M74" s="18">
        <f>IF(AND(ISNUMBER(E74),ISNUMBER(K74)),E74-K74,NA())</f>
        <v/>
      </c>
      <c r="N74" s="18">
        <f>IF(NOT(ISNUMBER($A74)),NA(),IF(COUNT(OFFSET(G74,1,0,Settings!$B$12,1))&lt;Settings!$B$12,NA(),STDEV(OFFSET(G74,1,0,Settings!$B$12,1))*SQRT(Settings!$B$13)))</f>
        <v/>
      </c>
      <c r="O74" s="18">
        <f>IF(AND(ISNUMBER(E74),ISNUMBER(N74)),E74-N74,NA())</f>
        <v/>
      </c>
      <c r="P74" s="17">
        <f>IF(NOT(ISNUMBER($A74)),NA(),IF(OR($A74&lt;MIN(KW_TP!$A$2:$A$2501),$A74&gt;MAX(KW_TP!$A$2:$A$2501)),NA(),INDEX(KW_TP!$C$2:$C$2501,MATCH($A74,KW_TP!$A$2:$A$2501,1))))</f>
        <v/>
      </c>
    </row>
    <row r="75">
      <c r="A75" s="15">
        <f>IF(ISNUMBER(BBG_Data!A75),BBG_Data!A75,"")</f>
        <v/>
      </c>
      <c r="B75" s="16">
        <f>IF(AND(ISNUMBER($A75),ISNUMBER(BBG_Data!B75)),BBG_Data!B75,NA())</f>
        <v/>
      </c>
      <c r="C75" s="16">
        <f>IF(AND(ISNUMBER($A75),ISNUMBER(BBG_Data!C75)),BBG_Data!C75,NA())</f>
        <v/>
      </c>
      <c r="D75" s="17">
        <f>IF(AND(ISNUMBER($A75),ISNUMBER(BBG_Data!D75)),BBG_Data!D75,NA())</f>
        <v/>
      </c>
      <c r="E75" s="17">
        <f>IF(AND(ISNUMBER($A75),ISNUMBER(BBG_Data!E75)),BBG_Data!E75,NA())</f>
        <v/>
      </c>
      <c r="F75" s="18">
        <f>IF(AND(ISNUMBER(B75),ISNUMBER(B74)),(B75-B74)*100,"")</f>
        <v/>
      </c>
      <c r="G75" s="18">
        <f>IF(AND(ISNUMBER(C75),ISNUMBER(C74)),(C75-C74)*100,"")</f>
        <v/>
      </c>
      <c r="H75" s="18">
        <f>IF(OR(NOT(ISNUMBER($A75)),ROW()-2&lt;Settings!$B$11),NA(),IF(COUNT(OFFSET(F75,1-Settings!$B$11,0,Settings!$B$11,1))&lt;Settings!$B$11,NA(),STDEV(OFFSET(F75,1-Settings!$B$11,0,Settings!$B$11,1))*SQRT(Settings!$B$13)))</f>
        <v/>
      </c>
      <c r="I75" s="18">
        <f>IF(OR(NOT(ISNUMBER($A75)),ROW()-2&lt;Settings!$B$12),NA(),IF(COUNT(OFFSET(F75,1-Settings!$B$12,0,Settings!$B$12,1))&lt;Settings!$B$12,NA(),STDEV(OFFSET(F75,1-Settings!$B$12,0,Settings!$B$12,1))*SQRT(Settings!$B$13)))</f>
        <v/>
      </c>
      <c r="J75" s="18">
        <f>IF(OR(NOT(ISNUMBER($A75)),ROW()-2&lt;Settings!$B$11),NA(),IF(COUNT(OFFSET(G75,1-Settings!$B$11,0,Settings!$B$11,1))&lt;Settings!$B$11,NA(),STDEV(OFFSET(G75,1-Settings!$B$11,0,Settings!$B$11,1))*SQRT(Settings!$B$13)))</f>
        <v/>
      </c>
      <c r="K75" s="18">
        <f>IF(OR(NOT(ISNUMBER($A75)),ROW()-2&lt;Settings!$B$12),NA(),IF(COUNT(OFFSET(G75,1-Settings!$B$12,0,Settings!$B$12,1))&lt;Settings!$B$12,NA(),STDEV(OFFSET(G75,1-Settings!$B$12,0,Settings!$B$12,1))*SQRT(Settings!$B$13)))</f>
        <v/>
      </c>
      <c r="L75" s="18">
        <f>IF(AND(ISNUMBER(D75),ISNUMBER(H75)),D75-H75,NA())</f>
        <v/>
      </c>
      <c r="M75" s="18">
        <f>IF(AND(ISNUMBER(E75),ISNUMBER(K75)),E75-K75,NA())</f>
        <v/>
      </c>
      <c r="N75" s="18">
        <f>IF(NOT(ISNUMBER($A75)),NA(),IF(COUNT(OFFSET(G75,1,0,Settings!$B$12,1))&lt;Settings!$B$12,NA(),STDEV(OFFSET(G75,1,0,Settings!$B$12,1))*SQRT(Settings!$B$13)))</f>
        <v/>
      </c>
      <c r="O75" s="18">
        <f>IF(AND(ISNUMBER(E75),ISNUMBER(N75)),E75-N75,NA())</f>
        <v/>
      </c>
      <c r="P75" s="17">
        <f>IF(NOT(ISNUMBER($A75)),NA(),IF(OR($A75&lt;MIN(KW_TP!$A$2:$A$2501),$A75&gt;MAX(KW_TP!$A$2:$A$2501)),NA(),INDEX(KW_TP!$C$2:$C$2501,MATCH($A75,KW_TP!$A$2:$A$2501,1))))</f>
        <v/>
      </c>
    </row>
    <row r="76">
      <c r="A76" s="15">
        <f>IF(ISNUMBER(BBG_Data!A76),BBG_Data!A76,"")</f>
        <v/>
      </c>
      <c r="B76" s="16">
        <f>IF(AND(ISNUMBER($A76),ISNUMBER(BBG_Data!B76)),BBG_Data!B76,NA())</f>
        <v/>
      </c>
      <c r="C76" s="16">
        <f>IF(AND(ISNUMBER($A76),ISNUMBER(BBG_Data!C76)),BBG_Data!C76,NA())</f>
        <v/>
      </c>
      <c r="D76" s="17">
        <f>IF(AND(ISNUMBER($A76),ISNUMBER(BBG_Data!D76)),BBG_Data!D76,NA())</f>
        <v/>
      </c>
      <c r="E76" s="17">
        <f>IF(AND(ISNUMBER($A76),ISNUMBER(BBG_Data!E76)),BBG_Data!E76,NA())</f>
        <v/>
      </c>
      <c r="F76" s="18">
        <f>IF(AND(ISNUMBER(B76),ISNUMBER(B75)),(B76-B75)*100,"")</f>
        <v/>
      </c>
      <c r="G76" s="18">
        <f>IF(AND(ISNUMBER(C76),ISNUMBER(C75)),(C76-C75)*100,"")</f>
        <v/>
      </c>
      <c r="H76" s="18">
        <f>IF(OR(NOT(ISNUMBER($A76)),ROW()-2&lt;Settings!$B$11),NA(),IF(COUNT(OFFSET(F76,1-Settings!$B$11,0,Settings!$B$11,1))&lt;Settings!$B$11,NA(),STDEV(OFFSET(F76,1-Settings!$B$11,0,Settings!$B$11,1))*SQRT(Settings!$B$13)))</f>
        <v/>
      </c>
      <c r="I76" s="18">
        <f>IF(OR(NOT(ISNUMBER($A76)),ROW()-2&lt;Settings!$B$12),NA(),IF(COUNT(OFFSET(F76,1-Settings!$B$12,0,Settings!$B$12,1))&lt;Settings!$B$12,NA(),STDEV(OFFSET(F76,1-Settings!$B$12,0,Settings!$B$12,1))*SQRT(Settings!$B$13)))</f>
        <v/>
      </c>
      <c r="J76" s="18">
        <f>IF(OR(NOT(ISNUMBER($A76)),ROW()-2&lt;Settings!$B$11),NA(),IF(COUNT(OFFSET(G76,1-Settings!$B$11,0,Settings!$B$11,1))&lt;Settings!$B$11,NA(),STDEV(OFFSET(G76,1-Settings!$B$11,0,Settings!$B$11,1))*SQRT(Settings!$B$13)))</f>
        <v/>
      </c>
      <c r="K76" s="18">
        <f>IF(OR(NOT(ISNUMBER($A76)),ROW()-2&lt;Settings!$B$12),NA(),IF(COUNT(OFFSET(G76,1-Settings!$B$12,0,Settings!$B$12,1))&lt;Settings!$B$12,NA(),STDEV(OFFSET(G76,1-Settings!$B$12,0,Settings!$B$12,1))*SQRT(Settings!$B$13)))</f>
        <v/>
      </c>
      <c r="L76" s="18">
        <f>IF(AND(ISNUMBER(D76),ISNUMBER(H76)),D76-H76,NA())</f>
        <v/>
      </c>
      <c r="M76" s="18">
        <f>IF(AND(ISNUMBER(E76),ISNUMBER(K76)),E76-K76,NA())</f>
        <v/>
      </c>
      <c r="N76" s="18">
        <f>IF(NOT(ISNUMBER($A76)),NA(),IF(COUNT(OFFSET(G76,1,0,Settings!$B$12,1))&lt;Settings!$B$12,NA(),STDEV(OFFSET(G76,1,0,Settings!$B$12,1))*SQRT(Settings!$B$13)))</f>
        <v/>
      </c>
      <c r="O76" s="18">
        <f>IF(AND(ISNUMBER(E76),ISNUMBER(N76)),E76-N76,NA())</f>
        <v/>
      </c>
      <c r="P76" s="17">
        <f>IF(NOT(ISNUMBER($A76)),NA(),IF(OR($A76&lt;MIN(KW_TP!$A$2:$A$2501),$A76&gt;MAX(KW_TP!$A$2:$A$2501)),NA(),INDEX(KW_TP!$C$2:$C$2501,MATCH($A76,KW_TP!$A$2:$A$2501,1))))</f>
        <v/>
      </c>
    </row>
    <row r="77">
      <c r="A77" s="15">
        <f>IF(ISNUMBER(BBG_Data!A77),BBG_Data!A77,"")</f>
        <v/>
      </c>
      <c r="B77" s="16">
        <f>IF(AND(ISNUMBER($A77),ISNUMBER(BBG_Data!B77)),BBG_Data!B77,NA())</f>
        <v/>
      </c>
      <c r="C77" s="16">
        <f>IF(AND(ISNUMBER($A77),ISNUMBER(BBG_Data!C77)),BBG_Data!C77,NA())</f>
        <v/>
      </c>
      <c r="D77" s="17">
        <f>IF(AND(ISNUMBER($A77),ISNUMBER(BBG_Data!D77)),BBG_Data!D77,NA())</f>
        <v/>
      </c>
      <c r="E77" s="17">
        <f>IF(AND(ISNUMBER($A77),ISNUMBER(BBG_Data!E77)),BBG_Data!E77,NA())</f>
        <v/>
      </c>
      <c r="F77" s="18">
        <f>IF(AND(ISNUMBER(B77),ISNUMBER(B76)),(B77-B76)*100,"")</f>
        <v/>
      </c>
      <c r="G77" s="18">
        <f>IF(AND(ISNUMBER(C77),ISNUMBER(C76)),(C77-C76)*100,"")</f>
        <v/>
      </c>
      <c r="H77" s="18">
        <f>IF(OR(NOT(ISNUMBER($A77)),ROW()-2&lt;Settings!$B$11),NA(),IF(COUNT(OFFSET(F77,1-Settings!$B$11,0,Settings!$B$11,1))&lt;Settings!$B$11,NA(),STDEV(OFFSET(F77,1-Settings!$B$11,0,Settings!$B$11,1))*SQRT(Settings!$B$13)))</f>
        <v/>
      </c>
      <c r="I77" s="18">
        <f>IF(OR(NOT(ISNUMBER($A77)),ROW()-2&lt;Settings!$B$12),NA(),IF(COUNT(OFFSET(F77,1-Settings!$B$12,0,Settings!$B$12,1))&lt;Settings!$B$12,NA(),STDEV(OFFSET(F77,1-Settings!$B$12,0,Settings!$B$12,1))*SQRT(Settings!$B$13)))</f>
        <v/>
      </c>
      <c r="J77" s="18">
        <f>IF(OR(NOT(ISNUMBER($A77)),ROW()-2&lt;Settings!$B$11),NA(),IF(COUNT(OFFSET(G77,1-Settings!$B$11,0,Settings!$B$11,1))&lt;Settings!$B$11,NA(),STDEV(OFFSET(G77,1-Settings!$B$11,0,Settings!$B$11,1))*SQRT(Settings!$B$13)))</f>
        <v/>
      </c>
      <c r="K77" s="18">
        <f>IF(OR(NOT(ISNUMBER($A77)),ROW()-2&lt;Settings!$B$12),NA(),IF(COUNT(OFFSET(G77,1-Settings!$B$12,0,Settings!$B$12,1))&lt;Settings!$B$12,NA(),STDEV(OFFSET(G77,1-Settings!$B$12,0,Settings!$B$12,1))*SQRT(Settings!$B$13)))</f>
        <v/>
      </c>
      <c r="L77" s="18">
        <f>IF(AND(ISNUMBER(D77),ISNUMBER(H77)),D77-H77,NA())</f>
        <v/>
      </c>
      <c r="M77" s="18">
        <f>IF(AND(ISNUMBER(E77),ISNUMBER(K77)),E77-K77,NA())</f>
        <v/>
      </c>
      <c r="N77" s="18">
        <f>IF(NOT(ISNUMBER($A77)),NA(),IF(COUNT(OFFSET(G77,1,0,Settings!$B$12,1))&lt;Settings!$B$12,NA(),STDEV(OFFSET(G77,1,0,Settings!$B$12,1))*SQRT(Settings!$B$13)))</f>
        <v/>
      </c>
      <c r="O77" s="18">
        <f>IF(AND(ISNUMBER(E77),ISNUMBER(N77)),E77-N77,NA())</f>
        <v/>
      </c>
      <c r="P77" s="17">
        <f>IF(NOT(ISNUMBER($A77)),NA(),IF(OR($A77&lt;MIN(KW_TP!$A$2:$A$2501),$A77&gt;MAX(KW_TP!$A$2:$A$2501)),NA(),INDEX(KW_TP!$C$2:$C$2501,MATCH($A77,KW_TP!$A$2:$A$2501,1))))</f>
        <v/>
      </c>
    </row>
    <row r="78">
      <c r="A78" s="15">
        <f>IF(ISNUMBER(BBG_Data!A78),BBG_Data!A78,"")</f>
        <v/>
      </c>
      <c r="B78" s="16">
        <f>IF(AND(ISNUMBER($A78),ISNUMBER(BBG_Data!B78)),BBG_Data!B78,NA())</f>
        <v/>
      </c>
      <c r="C78" s="16">
        <f>IF(AND(ISNUMBER($A78),ISNUMBER(BBG_Data!C78)),BBG_Data!C78,NA())</f>
        <v/>
      </c>
      <c r="D78" s="17">
        <f>IF(AND(ISNUMBER($A78),ISNUMBER(BBG_Data!D78)),BBG_Data!D78,NA())</f>
        <v/>
      </c>
      <c r="E78" s="17">
        <f>IF(AND(ISNUMBER($A78),ISNUMBER(BBG_Data!E78)),BBG_Data!E78,NA())</f>
        <v/>
      </c>
      <c r="F78" s="18">
        <f>IF(AND(ISNUMBER(B78),ISNUMBER(B77)),(B78-B77)*100,"")</f>
        <v/>
      </c>
      <c r="G78" s="18">
        <f>IF(AND(ISNUMBER(C78),ISNUMBER(C77)),(C78-C77)*100,"")</f>
        <v/>
      </c>
      <c r="H78" s="18">
        <f>IF(OR(NOT(ISNUMBER($A78)),ROW()-2&lt;Settings!$B$11),NA(),IF(COUNT(OFFSET(F78,1-Settings!$B$11,0,Settings!$B$11,1))&lt;Settings!$B$11,NA(),STDEV(OFFSET(F78,1-Settings!$B$11,0,Settings!$B$11,1))*SQRT(Settings!$B$13)))</f>
        <v/>
      </c>
      <c r="I78" s="18">
        <f>IF(OR(NOT(ISNUMBER($A78)),ROW()-2&lt;Settings!$B$12),NA(),IF(COUNT(OFFSET(F78,1-Settings!$B$12,0,Settings!$B$12,1))&lt;Settings!$B$12,NA(),STDEV(OFFSET(F78,1-Settings!$B$12,0,Settings!$B$12,1))*SQRT(Settings!$B$13)))</f>
        <v/>
      </c>
      <c r="J78" s="18">
        <f>IF(OR(NOT(ISNUMBER($A78)),ROW()-2&lt;Settings!$B$11),NA(),IF(COUNT(OFFSET(G78,1-Settings!$B$11,0,Settings!$B$11,1))&lt;Settings!$B$11,NA(),STDEV(OFFSET(G78,1-Settings!$B$11,0,Settings!$B$11,1))*SQRT(Settings!$B$13)))</f>
        <v/>
      </c>
      <c r="K78" s="18">
        <f>IF(OR(NOT(ISNUMBER($A78)),ROW()-2&lt;Settings!$B$12),NA(),IF(COUNT(OFFSET(G78,1-Settings!$B$12,0,Settings!$B$12,1))&lt;Settings!$B$12,NA(),STDEV(OFFSET(G78,1-Settings!$B$12,0,Settings!$B$12,1))*SQRT(Settings!$B$13)))</f>
        <v/>
      </c>
      <c r="L78" s="18">
        <f>IF(AND(ISNUMBER(D78),ISNUMBER(H78)),D78-H78,NA())</f>
        <v/>
      </c>
      <c r="M78" s="18">
        <f>IF(AND(ISNUMBER(E78),ISNUMBER(K78)),E78-K78,NA())</f>
        <v/>
      </c>
      <c r="N78" s="18">
        <f>IF(NOT(ISNUMBER($A78)),NA(),IF(COUNT(OFFSET(G78,1,0,Settings!$B$12,1))&lt;Settings!$B$12,NA(),STDEV(OFFSET(G78,1,0,Settings!$B$12,1))*SQRT(Settings!$B$13)))</f>
        <v/>
      </c>
      <c r="O78" s="18">
        <f>IF(AND(ISNUMBER(E78),ISNUMBER(N78)),E78-N78,NA())</f>
        <v/>
      </c>
      <c r="P78" s="17">
        <f>IF(NOT(ISNUMBER($A78)),NA(),IF(OR($A78&lt;MIN(KW_TP!$A$2:$A$2501),$A78&gt;MAX(KW_TP!$A$2:$A$2501)),NA(),INDEX(KW_TP!$C$2:$C$2501,MATCH($A78,KW_TP!$A$2:$A$2501,1))))</f>
        <v/>
      </c>
    </row>
    <row r="79">
      <c r="A79" s="15">
        <f>IF(ISNUMBER(BBG_Data!A79),BBG_Data!A79,"")</f>
        <v/>
      </c>
      <c r="B79" s="16">
        <f>IF(AND(ISNUMBER($A79),ISNUMBER(BBG_Data!B79)),BBG_Data!B79,NA())</f>
        <v/>
      </c>
      <c r="C79" s="16">
        <f>IF(AND(ISNUMBER($A79),ISNUMBER(BBG_Data!C79)),BBG_Data!C79,NA())</f>
        <v/>
      </c>
      <c r="D79" s="17">
        <f>IF(AND(ISNUMBER($A79),ISNUMBER(BBG_Data!D79)),BBG_Data!D79,NA())</f>
        <v/>
      </c>
      <c r="E79" s="17">
        <f>IF(AND(ISNUMBER($A79),ISNUMBER(BBG_Data!E79)),BBG_Data!E79,NA())</f>
        <v/>
      </c>
      <c r="F79" s="18">
        <f>IF(AND(ISNUMBER(B79),ISNUMBER(B78)),(B79-B78)*100,"")</f>
        <v/>
      </c>
      <c r="G79" s="18">
        <f>IF(AND(ISNUMBER(C79),ISNUMBER(C78)),(C79-C78)*100,"")</f>
        <v/>
      </c>
      <c r="H79" s="18">
        <f>IF(OR(NOT(ISNUMBER($A79)),ROW()-2&lt;Settings!$B$11),NA(),IF(COUNT(OFFSET(F79,1-Settings!$B$11,0,Settings!$B$11,1))&lt;Settings!$B$11,NA(),STDEV(OFFSET(F79,1-Settings!$B$11,0,Settings!$B$11,1))*SQRT(Settings!$B$13)))</f>
        <v/>
      </c>
      <c r="I79" s="18">
        <f>IF(OR(NOT(ISNUMBER($A79)),ROW()-2&lt;Settings!$B$12),NA(),IF(COUNT(OFFSET(F79,1-Settings!$B$12,0,Settings!$B$12,1))&lt;Settings!$B$12,NA(),STDEV(OFFSET(F79,1-Settings!$B$12,0,Settings!$B$12,1))*SQRT(Settings!$B$13)))</f>
        <v/>
      </c>
      <c r="J79" s="18">
        <f>IF(OR(NOT(ISNUMBER($A79)),ROW()-2&lt;Settings!$B$11),NA(),IF(COUNT(OFFSET(G79,1-Settings!$B$11,0,Settings!$B$11,1))&lt;Settings!$B$11,NA(),STDEV(OFFSET(G79,1-Settings!$B$11,0,Settings!$B$11,1))*SQRT(Settings!$B$13)))</f>
        <v/>
      </c>
      <c r="K79" s="18">
        <f>IF(OR(NOT(ISNUMBER($A79)),ROW()-2&lt;Settings!$B$12),NA(),IF(COUNT(OFFSET(G79,1-Settings!$B$12,0,Settings!$B$12,1))&lt;Settings!$B$12,NA(),STDEV(OFFSET(G79,1-Settings!$B$12,0,Settings!$B$12,1))*SQRT(Settings!$B$13)))</f>
        <v/>
      </c>
      <c r="L79" s="18">
        <f>IF(AND(ISNUMBER(D79),ISNUMBER(H79)),D79-H79,NA())</f>
        <v/>
      </c>
      <c r="M79" s="18">
        <f>IF(AND(ISNUMBER(E79),ISNUMBER(K79)),E79-K79,NA())</f>
        <v/>
      </c>
      <c r="N79" s="18">
        <f>IF(NOT(ISNUMBER($A79)),NA(),IF(COUNT(OFFSET(G79,1,0,Settings!$B$12,1))&lt;Settings!$B$12,NA(),STDEV(OFFSET(G79,1,0,Settings!$B$12,1))*SQRT(Settings!$B$13)))</f>
        <v/>
      </c>
      <c r="O79" s="18">
        <f>IF(AND(ISNUMBER(E79),ISNUMBER(N79)),E79-N79,NA())</f>
        <v/>
      </c>
      <c r="P79" s="17">
        <f>IF(NOT(ISNUMBER($A79)),NA(),IF(OR($A79&lt;MIN(KW_TP!$A$2:$A$2501),$A79&gt;MAX(KW_TP!$A$2:$A$2501)),NA(),INDEX(KW_TP!$C$2:$C$2501,MATCH($A79,KW_TP!$A$2:$A$2501,1))))</f>
        <v/>
      </c>
    </row>
    <row r="80">
      <c r="A80" s="15">
        <f>IF(ISNUMBER(BBG_Data!A80),BBG_Data!A80,"")</f>
        <v/>
      </c>
      <c r="B80" s="16">
        <f>IF(AND(ISNUMBER($A80),ISNUMBER(BBG_Data!B80)),BBG_Data!B80,NA())</f>
        <v/>
      </c>
      <c r="C80" s="16">
        <f>IF(AND(ISNUMBER($A80),ISNUMBER(BBG_Data!C80)),BBG_Data!C80,NA())</f>
        <v/>
      </c>
      <c r="D80" s="17">
        <f>IF(AND(ISNUMBER($A80),ISNUMBER(BBG_Data!D80)),BBG_Data!D80,NA())</f>
        <v/>
      </c>
      <c r="E80" s="17">
        <f>IF(AND(ISNUMBER($A80),ISNUMBER(BBG_Data!E80)),BBG_Data!E80,NA())</f>
        <v/>
      </c>
      <c r="F80" s="18">
        <f>IF(AND(ISNUMBER(B80),ISNUMBER(B79)),(B80-B79)*100,"")</f>
        <v/>
      </c>
      <c r="G80" s="18">
        <f>IF(AND(ISNUMBER(C80),ISNUMBER(C79)),(C80-C79)*100,"")</f>
        <v/>
      </c>
      <c r="H80" s="18">
        <f>IF(OR(NOT(ISNUMBER($A80)),ROW()-2&lt;Settings!$B$11),NA(),IF(COUNT(OFFSET(F80,1-Settings!$B$11,0,Settings!$B$11,1))&lt;Settings!$B$11,NA(),STDEV(OFFSET(F80,1-Settings!$B$11,0,Settings!$B$11,1))*SQRT(Settings!$B$13)))</f>
        <v/>
      </c>
      <c r="I80" s="18">
        <f>IF(OR(NOT(ISNUMBER($A80)),ROW()-2&lt;Settings!$B$12),NA(),IF(COUNT(OFFSET(F80,1-Settings!$B$12,0,Settings!$B$12,1))&lt;Settings!$B$12,NA(),STDEV(OFFSET(F80,1-Settings!$B$12,0,Settings!$B$12,1))*SQRT(Settings!$B$13)))</f>
        <v/>
      </c>
      <c r="J80" s="18">
        <f>IF(OR(NOT(ISNUMBER($A80)),ROW()-2&lt;Settings!$B$11),NA(),IF(COUNT(OFFSET(G80,1-Settings!$B$11,0,Settings!$B$11,1))&lt;Settings!$B$11,NA(),STDEV(OFFSET(G80,1-Settings!$B$11,0,Settings!$B$11,1))*SQRT(Settings!$B$13)))</f>
        <v/>
      </c>
      <c r="K80" s="18">
        <f>IF(OR(NOT(ISNUMBER($A80)),ROW()-2&lt;Settings!$B$12),NA(),IF(COUNT(OFFSET(G80,1-Settings!$B$12,0,Settings!$B$12,1))&lt;Settings!$B$12,NA(),STDEV(OFFSET(G80,1-Settings!$B$12,0,Settings!$B$12,1))*SQRT(Settings!$B$13)))</f>
        <v/>
      </c>
      <c r="L80" s="18">
        <f>IF(AND(ISNUMBER(D80),ISNUMBER(H80)),D80-H80,NA())</f>
        <v/>
      </c>
      <c r="M80" s="18">
        <f>IF(AND(ISNUMBER(E80),ISNUMBER(K80)),E80-K80,NA())</f>
        <v/>
      </c>
      <c r="N80" s="18">
        <f>IF(NOT(ISNUMBER($A80)),NA(),IF(COUNT(OFFSET(G80,1,0,Settings!$B$12,1))&lt;Settings!$B$12,NA(),STDEV(OFFSET(G80,1,0,Settings!$B$12,1))*SQRT(Settings!$B$13)))</f>
        <v/>
      </c>
      <c r="O80" s="18">
        <f>IF(AND(ISNUMBER(E80),ISNUMBER(N80)),E80-N80,NA())</f>
        <v/>
      </c>
      <c r="P80" s="17">
        <f>IF(NOT(ISNUMBER($A80)),NA(),IF(OR($A80&lt;MIN(KW_TP!$A$2:$A$2501),$A80&gt;MAX(KW_TP!$A$2:$A$2501)),NA(),INDEX(KW_TP!$C$2:$C$2501,MATCH($A80,KW_TP!$A$2:$A$2501,1))))</f>
        <v/>
      </c>
    </row>
    <row r="81">
      <c r="A81" s="15">
        <f>IF(ISNUMBER(BBG_Data!A81),BBG_Data!A81,"")</f>
        <v/>
      </c>
      <c r="B81" s="16">
        <f>IF(AND(ISNUMBER($A81),ISNUMBER(BBG_Data!B81)),BBG_Data!B81,NA())</f>
        <v/>
      </c>
      <c r="C81" s="16">
        <f>IF(AND(ISNUMBER($A81),ISNUMBER(BBG_Data!C81)),BBG_Data!C81,NA())</f>
        <v/>
      </c>
      <c r="D81" s="17">
        <f>IF(AND(ISNUMBER($A81),ISNUMBER(BBG_Data!D81)),BBG_Data!D81,NA())</f>
        <v/>
      </c>
      <c r="E81" s="17">
        <f>IF(AND(ISNUMBER($A81),ISNUMBER(BBG_Data!E81)),BBG_Data!E81,NA())</f>
        <v/>
      </c>
      <c r="F81" s="18">
        <f>IF(AND(ISNUMBER(B81),ISNUMBER(B80)),(B81-B80)*100,"")</f>
        <v/>
      </c>
      <c r="G81" s="18">
        <f>IF(AND(ISNUMBER(C81),ISNUMBER(C80)),(C81-C80)*100,"")</f>
        <v/>
      </c>
      <c r="H81" s="18">
        <f>IF(OR(NOT(ISNUMBER($A81)),ROW()-2&lt;Settings!$B$11),NA(),IF(COUNT(OFFSET(F81,1-Settings!$B$11,0,Settings!$B$11,1))&lt;Settings!$B$11,NA(),STDEV(OFFSET(F81,1-Settings!$B$11,0,Settings!$B$11,1))*SQRT(Settings!$B$13)))</f>
        <v/>
      </c>
      <c r="I81" s="18">
        <f>IF(OR(NOT(ISNUMBER($A81)),ROW()-2&lt;Settings!$B$12),NA(),IF(COUNT(OFFSET(F81,1-Settings!$B$12,0,Settings!$B$12,1))&lt;Settings!$B$12,NA(),STDEV(OFFSET(F81,1-Settings!$B$12,0,Settings!$B$12,1))*SQRT(Settings!$B$13)))</f>
        <v/>
      </c>
      <c r="J81" s="18">
        <f>IF(OR(NOT(ISNUMBER($A81)),ROW()-2&lt;Settings!$B$11),NA(),IF(COUNT(OFFSET(G81,1-Settings!$B$11,0,Settings!$B$11,1))&lt;Settings!$B$11,NA(),STDEV(OFFSET(G81,1-Settings!$B$11,0,Settings!$B$11,1))*SQRT(Settings!$B$13)))</f>
        <v/>
      </c>
      <c r="K81" s="18">
        <f>IF(OR(NOT(ISNUMBER($A81)),ROW()-2&lt;Settings!$B$12),NA(),IF(COUNT(OFFSET(G81,1-Settings!$B$12,0,Settings!$B$12,1))&lt;Settings!$B$12,NA(),STDEV(OFFSET(G81,1-Settings!$B$12,0,Settings!$B$12,1))*SQRT(Settings!$B$13)))</f>
        <v/>
      </c>
      <c r="L81" s="18">
        <f>IF(AND(ISNUMBER(D81),ISNUMBER(H81)),D81-H81,NA())</f>
        <v/>
      </c>
      <c r="M81" s="18">
        <f>IF(AND(ISNUMBER(E81),ISNUMBER(K81)),E81-K81,NA())</f>
        <v/>
      </c>
      <c r="N81" s="18">
        <f>IF(NOT(ISNUMBER($A81)),NA(),IF(COUNT(OFFSET(G81,1,0,Settings!$B$12,1))&lt;Settings!$B$12,NA(),STDEV(OFFSET(G81,1,0,Settings!$B$12,1))*SQRT(Settings!$B$13)))</f>
        <v/>
      </c>
      <c r="O81" s="18">
        <f>IF(AND(ISNUMBER(E81),ISNUMBER(N81)),E81-N81,NA())</f>
        <v/>
      </c>
      <c r="P81" s="17">
        <f>IF(NOT(ISNUMBER($A81)),NA(),IF(OR($A81&lt;MIN(KW_TP!$A$2:$A$2501),$A81&gt;MAX(KW_TP!$A$2:$A$2501)),NA(),INDEX(KW_TP!$C$2:$C$2501,MATCH($A81,KW_TP!$A$2:$A$2501,1))))</f>
        <v/>
      </c>
    </row>
    <row r="82">
      <c r="A82" s="15">
        <f>IF(ISNUMBER(BBG_Data!A82),BBG_Data!A82,"")</f>
        <v/>
      </c>
      <c r="B82" s="16">
        <f>IF(AND(ISNUMBER($A82),ISNUMBER(BBG_Data!B82)),BBG_Data!B82,NA())</f>
        <v/>
      </c>
      <c r="C82" s="16">
        <f>IF(AND(ISNUMBER($A82),ISNUMBER(BBG_Data!C82)),BBG_Data!C82,NA())</f>
        <v/>
      </c>
      <c r="D82" s="17">
        <f>IF(AND(ISNUMBER($A82),ISNUMBER(BBG_Data!D82)),BBG_Data!D82,NA())</f>
        <v/>
      </c>
      <c r="E82" s="17">
        <f>IF(AND(ISNUMBER($A82),ISNUMBER(BBG_Data!E82)),BBG_Data!E82,NA())</f>
        <v/>
      </c>
      <c r="F82" s="18">
        <f>IF(AND(ISNUMBER(B82),ISNUMBER(B81)),(B82-B81)*100,"")</f>
        <v/>
      </c>
      <c r="G82" s="18">
        <f>IF(AND(ISNUMBER(C82),ISNUMBER(C81)),(C82-C81)*100,"")</f>
        <v/>
      </c>
      <c r="H82" s="18">
        <f>IF(OR(NOT(ISNUMBER($A82)),ROW()-2&lt;Settings!$B$11),NA(),IF(COUNT(OFFSET(F82,1-Settings!$B$11,0,Settings!$B$11,1))&lt;Settings!$B$11,NA(),STDEV(OFFSET(F82,1-Settings!$B$11,0,Settings!$B$11,1))*SQRT(Settings!$B$13)))</f>
        <v/>
      </c>
      <c r="I82" s="18">
        <f>IF(OR(NOT(ISNUMBER($A82)),ROW()-2&lt;Settings!$B$12),NA(),IF(COUNT(OFFSET(F82,1-Settings!$B$12,0,Settings!$B$12,1))&lt;Settings!$B$12,NA(),STDEV(OFFSET(F82,1-Settings!$B$12,0,Settings!$B$12,1))*SQRT(Settings!$B$13)))</f>
        <v/>
      </c>
      <c r="J82" s="18">
        <f>IF(OR(NOT(ISNUMBER($A82)),ROW()-2&lt;Settings!$B$11),NA(),IF(COUNT(OFFSET(G82,1-Settings!$B$11,0,Settings!$B$11,1))&lt;Settings!$B$11,NA(),STDEV(OFFSET(G82,1-Settings!$B$11,0,Settings!$B$11,1))*SQRT(Settings!$B$13)))</f>
        <v/>
      </c>
      <c r="K82" s="18">
        <f>IF(OR(NOT(ISNUMBER($A82)),ROW()-2&lt;Settings!$B$12),NA(),IF(COUNT(OFFSET(G82,1-Settings!$B$12,0,Settings!$B$12,1))&lt;Settings!$B$12,NA(),STDEV(OFFSET(G82,1-Settings!$B$12,0,Settings!$B$12,1))*SQRT(Settings!$B$13)))</f>
        <v/>
      </c>
      <c r="L82" s="18">
        <f>IF(AND(ISNUMBER(D82),ISNUMBER(H82)),D82-H82,NA())</f>
        <v/>
      </c>
      <c r="M82" s="18">
        <f>IF(AND(ISNUMBER(E82),ISNUMBER(K82)),E82-K82,NA())</f>
        <v/>
      </c>
      <c r="N82" s="18">
        <f>IF(NOT(ISNUMBER($A82)),NA(),IF(COUNT(OFFSET(G82,1,0,Settings!$B$12,1))&lt;Settings!$B$12,NA(),STDEV(OFFSET(G82,1,0,Settings!$B$12,1))*SQRT(Settings!$B$13)))</f>
        <v/>
      </c>
      <c r="O82" s="18">
        <f>IF(AND(ISNUMBER(E82),ISNUMBER(N82)),E82-N82,NA())</f>
        <v/>
      </c>
      <c r="P82" s="17">
        <f>IF(NOT(ISNUMBER($A82)),NA(),IF(OR($A82&lt;MIN(KW_TP!$A$2:$A$2501),$A82&gt;MAX(KW_TP!$A$2:$A$2501)),NA(),INDEX(KW_TP!$C$2:$C$2501,MATCH($A82,KW_TP!$A$2:$A$2501,1))))</f>
        <v/>
      </c>
    </row>
    <row r="83">
      <c r="A83" s="15">
        <f>IF(ISNUMBER(BBG_Data!A83),BBG_Data!A83,"")</f>
        <v/>
      </c>
      <c r="B83" s="16">
        <f>IF(AND(ISNUMBER($A83),ISNUMBER(BBG_Data!B83)),BBG_Data!B83,NA())</f>
        <v/>
      </c>
      <c r="C83" s="16">
        <f>IF(AND(ISNUMBER($A83),ISNUMBER(BBG_Data!C83)),BBG_Data!C83,NA())</f>
        <v/>
      </c>
      <c r="D83" s="17">
        <f>IF(AND(ISNUMBER($A83),ISNUMBER(BBG_Data!D83)),BBG_Data!D83,NA())</f>
        <v/>
      </c>
      <c r="E83" s="17">
        <f>IF(AND(ISNUMBER($A83),ISNUMBER(BBG_Data!E83)),BBG_Data!E83,NA())</f>
        <v/>
      </c>
      <c r="F83" s="18">
        <f>IF(AND(ISNUMBER(B83),ISNUMBER(B82)),(B83-B82)*100,"")</f>
        <v/>
      </c>
      <c r="G83" s="18">
        <f>IF(AND(ISNUMBER(C83),ISNUMBER(C82)),(C83-C82)*100,"")</f>
        <v/>
      </c>
      <c r="H83" s="18">
        <f>IF(OR(NOT(ISNUMBER($A83)),ROW()-2&lt;Settings!$B$11),NA(),IF(COUNT(OFFSET(F83,1-Settings!$B$11,0,Settings!$B$11,1))&lt;Settings!$B$11,NA(),STDEV(OFFSET(F83,1-Settings!$B$11,0,Settings!$B$11,1))*SQRT(Settings!$B$13)))</f>
        <v/>
      </c>
      <c r="I83" s="18">
        <f>IF(OR(NOT(ISNUMBER($A83)),ROW()-2&lt;Settings!$B$12),NA(),IF(COUNT(OFFSET(F83,1-Settings!$B$12,0,Settings!$B$12,1))&lt;Settings!$B$12,NA(),STDEV(OFFSET(F83,1-Settings!$B$12,0,Settings!$B$12,1))*SQRT(Settings!$B$13)))</f>
        <v/>
      </c>
      <c r="J83" s="18">
        <f>IF(OR(NOT(ISNUMBER($A83)),ROW()-2&lt;Settings!$B$11),NA(),IF(COUNT(OFFSET(G83,1-Settings!$B$11,0,Settings!$B$11,1))&lt;Settings!$B$11,NA(),STDEV(OFFSET(G83,1-Settings!$B$11,0,Settings!$B$11,1))*SQRT(Settings!$B$13)))</f>
        <v/>
      </c>
      <c r="K83" s="18">
        <f>IF(OR(NOT(ISNUMBER($A83)),ROW()-2&lt;Settings!$B$12),NA(),IF(COUNT(OFFSET(G83,1-Settings!$B$12,0,Settings!$B$12,1))&lt;Settings!$B$12,NA(),STDEV(OFFSET(G83,1-Settings!$B$12,0,Settings!$B$12,1))*SQRT(Settings!$B$13)))</f>
        <v/>
      </c>
      <c r="L83" s="18">
        <f>IF(AND(ISNUMBER(D83),ISNUMBER(H83)),D83-H83,NA())</f>
        <v/>
      </c>
      <c r="M83" s="18">
        <f>IF(AND(ISNUMBER(E83),ISNUMBER(K83)),E83-K83,NA())</f>
        <v/>
      </c>
      <c r="N83" s="18">
        <f>IF(NOT(ISNUMBER($A83)),NA(),IF(COUNT(OFFSET(G83,1,0,Settings!$B$12,1))&lt;Settings!$B$12,NA(),STDEV(OFFSET(G83,1,0,Settings!$B$12,1))*SQRT(Settings!$B$13)))</f>
        <v/>
      </c>
      <c r="O83" s="18">
        <f>IF(AND(ISNUMBER(E83),ISNUMBER(N83)),E83-N83,NA())</f>
        <v/>
      </c>
      <c r="P83" s="17">
        <f>IF(NOT(ISNUMBER($A83)),NA(),IF(OR($A83&lt;MIN(KW_TP!$A$2:$A$2501),$A83&gt;MAX(KW_TP!$A$2:$A$2501)),NA(),INDEX(KW_TP!$C$2:$C$2501,MATCH($A83,KW_TP!$A$2:$A$2501,1))))</f>
        <v/>
      </c>
    </row>
    <row r="84">
      <c r="A84" s="15">
        <f>IF(ISNUMBER(BBG_Data!A84),BBG_Data!A84,"")</f>
        <v/>
      </c>
      <c r="B84" s="16">
        <f>IF(AND(ISNUMBER($A84),ISNUMBER(BBG_Data!B84)),BBG_Data!B84,NA())</f>
        <v/>
      </c>
      <c r="C84" s="16">
        <f>IF(AND(ISNUMBER($A84),ISNUMBER(BBG_Data!C84)),BBG_Data!C84,NA())</f>
        <v/>
      </c>
      <c r="D84" s="17">
        <f>IF(AND(ISNUMBER($A84),ISNUMBER(BBG_Data!D84)),BBG_Data!D84,NA())</f>
        <v/>
      </c>
      <c r="E84" s="17">
        <f>IF(AND(ISNUMBER($A84),ISNUMBER(BBG_Data!E84)),BBG_Data!E84,NA())</f>
        <v/>
      </c>
      <c r="F84" s="18">
        <f>IF(AND(ISNUMBER(B84),ISNUMBER(B83)),(B84-B83)*100,"")</f>
        <v/>
      </c>
      <c r="G84" s="18">
        <f>IF(AND(ISNUMBER(C84),ISNUMBER(C83)),(C84-C83)*100,"")</f>
        <v/>
      </c>
      <c r="H84" s="18">
        <f>IF(OR(NOT(ISNUMBER($A84)),ROW()-2&lt;Settings!$B$11),NA(),IF(COUNT(OFFSET(F84,1-Settings!$B$11,0,Settings!$B$11,1))&lt;Settings!$B$11,NA(),STDEV(OFFSET(F84,1-Settings!$B$11,0,Settings!$B$11,1))*SQRT(Settings!$B$13)))</f>
        <v/>
      </c>
      <c r="I84" s="18">
        <f>IF(OR(NOT(ISNUMBER($A84)),ROW()-2&lt;Settings!$B$12),NA(),IF(COUNT(OFFSET(F84,1-Settings!$B$12,0,Settings!$B$12,1))&lt;Settings!$B$12,NA(),STDEV(OFFSET(F84,1-Settings!$B$12,0,Settings!$B$12,1))*SQRT(Settings!$B$13)))</f>
        <v/>
      </c>
      <c r="J84" s="18">
        <f>IF(OR(NOT(ISNUMBER($A84)),ROW()-2&lt;Settings!$B$11),NA(),IF(COUNT(OFFSET(G84,1-Settings!$B$11,0,Settings!$B$11,1))&lt;Settings!$B$11,NA(),STDEV(OFFSET(G84,1-Settings!$B$11,0,Settings!$B$11,1))*SQRT(Settings!$B$13)))</f>
        <v/>
      </c>
      <c r="K84" s="18">
        <f>IF(OR(NOT(ISNUMBER($A84)),ROW()-2&lt;Settings!$B$12),NA(),IF(COUNT(OFFSET(G84,1-Settings!$B$12,0,Settings!$B$12,1))&lt;Settings!$B$12,NA(),STDEV(OFFSET(G84,1-Settings!$B$12,0,Settings!$B$12,1))*SQRT(Settings!$B$13)))</f>
        <v/>
      </c>
      <c r="L84" s="18">
        <f>IF(AND(ISNUMBER(D84),ISNUMBER(H84)),D84-H84,NA())</f>
        <v/>
      </c>
      <c r="M84" s="18">
        <f>IF(AND(ISNUMBER(E84),ISNUMBER(K84)),E84-K84,NA())</f>
        <v/>
      </c>
      <c r="N84" s="18">
        <f>IF(NOT(ISNUMBER($A84)),NA(),IF(COUNT(OFFSET(G84,1,0,Settings!$B$12,1))&lt;Settings!$B$12,NA(),STDEV(OFFSET(G84,1,0,Settings!$B$12,1))*SQRT(Settings!$B$13)))</f>
        <v/>
      </c>
      <c r="O84" s="18">
        <f>IF(AND(ISNUMBER(E84),ISNUMBER(N84)),E84-N84,NA())</f>
        <v/>
      </c>
      <c r="P84" s="17">
        <f>IF(NOT(ISNUMBER($A84)),NA(),IF(OR($A84&lt;MIN(KW_TP!$A$2:$A$2501),$A84&gt;MAX(KW_TP!$A$2:$A$2501)),NA(),INDEX(KW_TP!$C$2:$C$2501,MATCH($A84,KW_TP!$A$2:$A$2501,1))))</f>
        <v/>
      </c>
    </row>
    <row r="85">
      <c r="A85" s="15">
        <f>IF(ISNUMBER(BBG_Data!A85),BBG_Data!A85,"")</f>
        <v/>
      </c>
      <c r="B85" s="16">
        <f>IF(AND(ISNUMBER($A85),ISNUMBER(BBG_Data!B85)),BBG_Data!B85,NA())</f>
        <v/>
      </c>
      <c r="C85" s="16">
        <f>IF(AND(ISNUMBER($A85),ISNUMBER(BBG_Data!C85)),BBG_Data!C85,NA())</f>
        <v/>
      </c>
      <c r="D85" s="17">
        <f>IF(AND(ISNUMBER($A85),ISNUMBER(BBG_Data!D85)),BBG_Data!D85,NA())</f>
        <v/>
      </c>
      <c r="E85" s="17">
        <f>IF(AND(ISNUMBER($A85),ISNUMBER(BBG_Data!E85)),BBG_Data!E85,NA())</f>
        <v/>
      </c>
      <c r="F85" s="18">
        <f>IF(AND(ISNUMBER(B85),ISNUMBER(B84)),(B85-B84)*100,"")</f>
        <v/>
      </c>
      <c r="G85" s="18">
        <f>IF(AND(ISNUMBER(C85),ISNUMBER(C84)),(C85-C84)*100,"")</f>
        <v/>
      </c>
      <c r="H85" s="18">
        <f>IF(OR(NOT(ISNUMBER($A85)),ROW()-2&lt;Settings!$B$11),NA(),IF(COUNT(OFFSET(F85,1-Settings!$B$11,0,Settings!$B$11,1))&lt;Settings!$B$11,NA(),STDEV(OFFSET(F85,1-Settings!$B$11,0,Settings!$B$11,1))*SQRT(Settings!$B$13)))</f>
        <v/>
      </c>
      <c r="I85" s="18">
        <f>IF(OR(NOT(ISNUMBER($A85)),ROW()-2&lt;Settings!$B$12),NA(),IF(COUNT(OFFSET(F85,1-Settings!$B$12,0,Settings!$B$12,1))&lt;Settings!$B$12,NA(),STDEV(OFFSET(F85,1-Settings!$B$12,0,Settings!$B$12,1))*SQRT(Settings!$B$13)))</f>
        <v/>
      </c>
      <c r="J85" s="18">
        <f>IF(OR(NOT(ISNUMBER($A85)),ROW()-2&lt;Settings!$B$11),NA(),IF(COUNT(OFFSET(G85,1-Settings!$B$11,0,Settings!$B$11,1))&lt;Settings!$B$11,NA(),STDEV(OFFSET(G85,1-Settings!$B$11,0,Settings!$B$11,1))*SQRT(Settings!$B$13)))</f>
        <v/>
      </c>
      <c r="K85" s="18">
        <f>IF(OR(NOT(ISNUMBER($A85)),ROW()-2&lt;Settings!$B$12),NA(),IF(COUNT(OFFSET(G85,1-Settings!$B$12,0,Settings!$B$12,1))&lt;Settings!$B$12,NA(),STDEV(OFFSET(G85,1-Settings!$B$12,0,Settings!$B$12,1))*SQRT(Settings!$B$13)))</f>
        <v/>
      </c>
      <c r="L85" s="18">
        <f>IF(AND(ISNUMBER(D85),ISNUMBER(H85)),D85-H85,NA())</f>
        <v/>
      </c>
      <c r="M85" s="18">
        <f>IF(AND(ISNUMBER(E85),ISNUMBER(K85)),E85-K85,NA())</f>
        <v/>
      </c>
      <c r="N85" s="18">
        <f>IF(NOT(ISNUMBER($A85)),NA(),IF(COUNT(OFFSET(G85,1,0,Settings!$B$12,1))&lt;Settings!$B$12,NA(),STDEV(OFFSET(G85,1,0,Settings!$B$12,1))*SQRT(Settings!$B$13)))</f>
        <v/>
      </c>
      <c r="O85" s="18">
        <f>IF(AND(ISNUMBER(E85),ISNUMBER(N85)),E85-N85,NA())</f>
        <v/>
      </c>
      <c r="P85" s="17">
        <f>IF(NOT(ISNUMBER($A85)),NA(),IF(OR($A85&lt;MIN(KW_TP!$A$2:$A$2501),$A85&gt;MAX(KW_TP!$A$2:$A$2501)),NA(),INDEX(KW_TP!$C$2:$C$2501,MATCH($A85,KW_TP!$A$2:$A$2501,1))))</f>
        <v/>
      </c>
    </row>
    <row r="86">
      <c r="A86" s="15">
        <f>IF(ISNUMBER(BBG_Data!A86),BBG_Data!A86,"")</f>
        <v/>
      </c>
      <c r="B86" s="16">
        <f>IF(AND(ISNUMBER($A86),ISNUMBER(BBG_Data!B86)),BBG_Data!B86,NA())</f>
        <v/>
      </c>
      <c r="C86" s="16">
        <f>IF(AND(ISNUMBER($A86),ISNUMBER(BBG_Data!C86)),BBG_Data!C86,NA())</f>
        <v/>
      </c>
      <c r="D86" s="17">
        <f>IF(AND(ISNUMBER($A86),ISNUMBER(BBG_Data!D86)),BBG_Data!D86,NA())</f>
        <v/>
      </c>
      <c r="E86" s="17">
        <f>IF(AND(ISNUMBER($A86),ISNUMBER(BBG_Data!E86)),BBG_Data!E86,NA())</f>
        <v/>
      </c>
      <c r="F86" s="18">
        <f>IF(AND(ISNUMBER(B86),ISNUMBER(B85)),(B86-B85)*100,"")</f>
        <v/>
      </c>
      <c r="G86" s="18">
        <f>IF(AND(ISNUMBER(C86),ISNUMBER(C85)),(C86-C85)*100,"")</f>
        <v/>
      </c>
      <c r="H86" s="18">
        <f>IF(OR(NOT(ISNUMBER($A86)),ROW()-2&lt;Settings!$B$11),NA(),IF(COUNT(OFFSET(F86,1-Settings!$B$11,0,Settings!$B$11,1))&lt;Settings!$B$11,NA(),STDEV(OFFSET(F86,1-Settings!$B$11,0,Settings!$B$11,1))*SQRT(Settings!$B$13)))</f>
        <v/>
      </c>
      <c r="I86" s="18">
        <f>IF(OR(NOT(ISNUMBER($A86)),ROW()-2&lt;Settings!$B$12),NA(),IF(COUNT(OFFSET(F86,1-Settings!$B$12,0,Settings!$B$12,1))&lt;Settings!$B$12,NA(),STDEV(OFFSET(F86,1-Settings!$B$12,0,Settings!$B$12,1))*SQRT(Settings!$B$13)))</f>
        <v/>
      </c>
      <c r="J86" s="18">
        <f>IF(OR(NOT(ISNUMBER($A86)),ROW()-2&lt;Settings!$B$11),NA(),IF(COUNT(OFFSET(G86,1-Settings!$B$11,0,Settings!$B$11,1))&lt;Settings!$B$11,NA(),STDEV(OFFSET(G86,1-Settings!$B$11,0,Settings!$B$11,1))*SQRT(Settings!$B$13)))</f>
        <v/>
      </c>
      <c r="K86" s="18">
        <f>IF(OR(NOT(ISNUMBER($A86)),ROW()-2&lt;Settings!$B$12),NA(),IF(COUNT(OFFSET(G86,1-Settings!$B$12,0,Settings!$B$12,1))&lt;Settings!$B$12,NA(),STDEV(OFFSET(G86,1-Settings!$B$12,0,Settings!$B$12,1))*SQRT(Settings!$B$13)))</f>
        <v/>
      </c>
      <c r="L86" s="18">
        <f>IF(AND(ISNUMBER(D86),ISNUMBER(H86)),D86-H86,NA())</f>
        <v/>
      </c>
      <c r="M86" s="18">
        <f>IF(AND(ISNUMBER(E86),ISNUMBER(K86)),E86-K86,NA())</f>
        <v/>
      </c>
      <c r="N86" s="18">
        <f>IF(NOT(ISNUMBER($A86)),NA(),IF(COUNT(OFFSET(G86,1,0,Settings!$B$12,1))&lt;Settings!$B$12,NA(),STDEV(OFFSET(G86,1,0,Settings!$B$12,1))*SQRT(Settings!$B$13)))</f>
        <v/>
      </c>
      <c r="O86" s="18">
        <f>IF(AND(ISNUMBER(E86),ISNUMBER(N86)),E86-N86,NA())</f>
        <v/>
      </c>
      <c r="P86" s="17">
        <f>IF(NOT(ISNUMBER($A86)),NA(),IF(OR($A86&lt;MIN(KW_TP!$A$2:$A$2501),$A86&gt;MAX(KW_TP!$A$2:$A$2501)),NA(),INDEX(KW_TP!$C$2:$C$2501,MATCH($A86,KW_TP!$A$2:$A$2501,1))))</f>
        <v/>
      </c>
    </row>
    <row r="87">
      <c r="A87" s="15">
        <f>IF(ISNUMBER(BBG_Data!A87),BBG_Data!A87,"")</f>
        <v/>
      </c>
      <c r="B87" s="16">
        <f>IF(AND(ISNUMBER($A87),ISNUMBER(BBG_Data!B87)),BBG_Data!B87,NA())</f>
        <v/>
      </c>
      <c r="C87" s="16">
        <f>IF(AND(ISNUMBER($A87),ISNUMBER(BBG_Data!C87)),BBG_Data!C87,NA())</f>
        <v/>
      </c>
      <c r="D87" s="17">
        <f>IF(AND(ISNUMBER($A87),ISNUMBER(BBG_Data!D87)),BBG_Data!D87,NA())</f>
        <v/>
      </c>
      <c r="E87" s="17">
        <f>IF(AND(ISNUMBER($A87),ISNUMBER(BBG_Data!E87)),BBG_Data!E87,NA())</f>
        <v/>
      </c>
      <c r="F87" s="18">
        <f>IF(AND(ISNUMBER(B87),ISNUMBER(B86)),(B87-B86)*100,"")</f>
        <v/>
      </c>
      <c r="G87" s="18">
        <f>IF(AND(ISNUMBER(C87),ISNUMBER(C86)),(C87-C86)*100,"")</f>
        <v/>
      </c>
      <c r="H87" s="18">
        <f>IF(OR(NOT(ISNUMBER($A87)),ROW()-2&lt;Settings!$B$11),NA(),IF(COUNT(OFFSET(F87,1-Settings!$B$11,0,Settings!$B$11,1))&lt;Settings!$B$11,NA(),STDEV(OFFSET(F87,1-Settings!$B$11,0,Settings!$B$11,1))*SQRT(Settings!$B$13)))</f>
        <v/>
      </c>
      <c r="I87" s="18">
        <f>IF(OR(NOT(ISNUMBER($A87)),ROW()-2&lt;Settings!$B$12),NA(),IF(COUNT(OFFSET(F87,1-Settings!$B$12,0,Settings!$B$12,1))&lt;Settings!$B$12,NA(),STDEV(OFFSET(F87,1-Settings!$B$12,0,Settings!$B$12,1))*SQRT(Settings!$B$13)))</f>
        <v/>
      </c>
      <c r="J87" s="18">
        <f>IF(OR(NOT(ISNUMBER($A87)),ROW()-2&lt;Settings!$B$11),NA(),IF(COUNT(OFFSET(G87,1-Settings!$B$11,0,Settings!$B$11,1))&lt;Settings!$B$11,NA(),STDEV(OFFSET(G87,1-Settings!$B$11,0,Settings!$B$11,1))*SQRT(Settings!$B$13)))</f>
        <v/>
      </c>
      <c r="K87" s="18">
        <f>IF(OR(NOT(ISNUMBER($A87)),ROW()-2&lt;Settings!$B$12),NA(),IF(COUNT(OFFSET(G87,1-Settings!$B$12,0,Settings!$B$12,1))&lt;Settings!$B$12,NA(),STDEV(OFFSET(G87,1-Settings!$B$12,0,Settings!$B$12,1))*SQRT(Settings!$B$13)))</f>
        <v/>
      </c>
      <c r="L87" s="18">
        <f>IF(AND(ISNUMBER(D87),ISNUMBER(H87)),D87-H87,NA())</f>
        <v/>
      </c>
      <c r="M87" s="18">
        <f>IF(AND(ISNUMBER(E87),ISNUMBER(K87)),E87-K87,NA())</f>
        <v/>
      </c>
      <c r="N87" s="18">
        <f>IF(NOT(ISNUMBER($A87)),NA(),IF(COUNT(OFFSET(G87,1,0,Settings!$B$12,1))&lt;Settings!$B$12,NA(),STDEV(OFFSET(G87,1,0,Settings!$B$12,1))*SQRT(Settings!$B$13)))</f>
        <v/>
      </c>
      <c r="O87" s="18">
        <f>IF(AND(ISNUMBER(E87),ISNUMBER(N87)),E87-N87,NA())</f>
        <v/>
      </c>
      <c r="P87" s="17">
        <f>IF(NOT(ISNUMBER($A87)),NA(),IF(OR($A87&lt;MIN(KW_TP!$A$2:$A$2501),$A87&gt;MAX(KW_TP!$A$2:$A$2501)),NA(),INDEX(KW_TP!$C$2:$C$2501,MATCH($A87,KW_TP!$A$2:$A$2501,1))))</f>
        <v/>
      </c>
    </row>
    <row r="88">
      <c r="A88" s="15">
        <f>IF(ISNUMBER(BBG_Data!A88),BBG_Data!A88,"")</f>
        <v/>
      </c>
      <c r="B88" s="16">
        <f>IF(AND(ISNUMBER($A88),ISNUMBER(BBG_Data!B88)),BBG_Data!B88,NA())</f>
        <v/>
      </c>
      <c r="C88" s="16">
        <f>IF(AND(ISNUMBER($A88),ISNUMBER(BBG_Data!C88)),BBG_Data!C88,NA())</f>
        <v/>
      </c>
      <c r="D88" s="17">
        <f>IF(AND(ISNUMBER($A88),ISNUMBER(BBG_Data!D88)),BBG_Data!D88,NA())</f>
        <v/>
      </c>
      <c r="E88" s="17">
        <f>IF(AND(ISNUMBER($A88),ISNUMBER(BBG_Data!E88)),BBG_Data!E88,NA())</f>
        <v/>
      </c>
      <c r="F88" s="18">
        <f>IF(AND(ISNUMBER(B88),ISNUMBER(B87)),(B88-B87)*100,"")</f>
        <v/>
      </c>
      <c r="G88" s="18">
        <f>IF(AND(ISNUMBER(C88),ISNUMBER(C87)),(C88-C87)*100,"")</f>
        <v/>
      </c>
      <c r="H88" s="18">
        <f>IF(OR(NOT(ISNUMBER($A88)),ROW()-2&lt;Settings!$B$11),NA(),IF(COUNT(OFFSET(F88,1-Settings!$B$11,0,Settings!$B$11,1))&lt;Settings!$B$11,NA(),STDEV(OFFSET(F88,1-Settings!$B$11,0,Settings!$B$11,1))*SQRT(Settings!$B$13)))</f>
        <v/>
      </c>
      <c r="I88" s="18">
        <f>IF(OR(NOT(ISNUMBER($A88)),ROW()-2&lt;Settings!$B$12),NA(),IF(COUNT(OFFSET(F88,1-Settings!$B$12,0,Settings!$B$12,1))&lt;Settings!$B$12,NA(),STDEV(OFFSET(F88,1-Settings!$B$12,0,Settings!$B$12,1))*SQRT(Settings!$B$13)))</f>
        <v/>
      </c>
      <c r="J88" s="18">
        <f>IF(OR(NOT(ISNUMBER($A88)),ROW()-2&lt;Settings!$B$11),NA(),IF(COUNT(OFFSET(G88,1-Settings!$B$11,0,Settings!$B$11,1))&lt;Settings!$B$11,NA(),STDEV(OFFSET(G88,1-Settings!$B$11,0,Settings!$B$11,1))*SQRT(Settings!$B$13)))</f>
        <v/>
      </c>
      <c r="K88" s="18">
        <f>IF(OR(NOT(ISNUMBER($A88)),ROW()-2&lt;Settings!$B$12),NA(),IF(COUNT(OFFSET(G88,1-Settings!$B$12,0,Settings!$B$12,1))&lt;Settings!$B$12,NA(),STDEV(OFFSET(G88,1-Settings!$B$12,0,Settings!$B$12,1))*SQRT(Settings!$B$13)))</f>
        <v/>
      </c>
      <c r="L88" s="18">
        <f>IF(AND(ISNUMBER(D88),ISNUMBER(H88)),D88-H88,NA())</f>
        <v/>
      </c>
      <c r="M88" s="18">
        <f>IF(AND(ISNUMBER(E88),ISNUMBER(K88)),E88-K88,NA())</f>
        <v/>
      </c>
      <c r="N88" s="18">
        <f>IF(NOT(ISNUMBER($A88)),NA(),IF(COUNT(OFFSET(G88,1,0,Settings!$B$12,1))&lt;Settings!$B$12,NA(),STDEV(OFFSET(G88,1,0,Settings!$B$12,1))*SQRT(Settings!$B$13)))</f>
        <v/>
      </c>
      <c r="O88" s="18">
        <f>IF(AND(ISNUMBER(E88),ISNUMBER(N88)),E88-N88,NA())</f>
        <v/>
      </c>
      <c r="P88" s="17">
        <f>IF(NOT(ISNUMBER($A88)),NA(),IF(OR($A88&lt;MIN(KW_TP!$A$2:$A$2501),$A88&gt;MAX(KW_TP!$A$2:$A$2501)),NA(),INDEX(KW_TP!$C$2:$C$2501,MATCH($A88,KW_TP!$A$2:$A$2501,1))))</f>
        <v/>
      </c>
    </row>
    <row r="89">
      <c r="A89" s="15">
        <f>IF(ISNUMBER(BBG_Data!A89),BBG_Data!A89,"")</f>
        <v/>
      </c>
      <c r="B89" s="16">
        <f>IF(AND(ISNUMBER($A89),ISNUMBER(BBG_Data!B89)),BBG_Data!B89,NA())</f>
        <v/>
      </c>
      <c r="C89" s="16">
        <f>IF(AND(ISNUMBER($A89),ISNUMBER(BBG_Data!C89)),BBG_Data!C89,NA())</f>
        <v/>
      </c>
      <c r="D89" s="17">
        <f>IF(AND(ISNUMBER($A89),ISNUMBER(BBG_Data!D89)),BBG_Data!D89,NA())</f>
        <v/>
      </c>
      <c r="E89" s="17">
        <f>IF(AND(ISNUMBER($A89),ISNUMBER(BBG_Data!E89)),BBG_Data!E89,NA())</f>
        <v/>
      </c>
      <c r="F89" s="18">
        <f>IF(AND(ISNUMBER(B89),ISNUMBER(B88)),(B89-B88)*100,"")</f>
        <v/>
      </c>
      <c r="G89" s="18">
        <f>IF(AND(ISNUMBER(C89),ISNUMBER(C88)),(C89-C88)*100,"")</f>
        <v/>
      </c>
      <c r="H89" s="18">
        <f>IF(OR(NOT(ISNUMBER($A89)),ROW()-2&lt;Settings!$B$11),NA(),IF(COUNT(OFFSET(F89,1-Settings!$B$11,0,Settings!$B$11,1))&lt;Settings!$B$11,NA(),STDEV(OFFSET(F89,1-Settings!$B$11,0,Settings!$B$11,1))*SQRT(Settings!$B$13)))</f>
        <v/>
      </c>
      <c r="I89" s="18">
        <f>IF(OR(NOT(ISNUMBER($A89)),ROW()-2&lt;Settings!$B$12),NA(),IF(COUNT(OFFSET(F89,1-Settings!$B$12,0,Settings!$B$12,1))&lt;Settings!$B$12,NA(),STDEV(OFFSET(F89,1-Settings!$B$12,0,Settings!$B$12,1))*SQRT(Settings!$B$13)))</f>
        <v/>
      </c>
      <c r="J89" s="18">
        <f>IF(OR(NOT(ISNUMBER($A89)),ROW()-2&lt;Settings!$B$11),NA(),IF(COUNT(OFFSET(G89,1-Settings!$B$11,0,Settings!$B$11,1))&lt;Settings!$B$11,NA(),STDEV(OFFSET(G89,1-Settings!$B$11,0,Settings!$B$11,1))*SQRT(Settings!$B$13)))</f>
        <v/>
      </c>
      <c r="K89" s="18">
        <f>IF(OR(NOT(ISNUMBER($A89)),ROW()-2&lt;Settings!$B$12),NA(),IF(COUNT(OFFSET(G89,1-Settings!$B$12,0,Settings!$B$12,1))&lt;Settings!$B$12,NA(),STDEV(OFFSET(G89,1-Settings!$B$12,0,Settings!$B$12,1))*SQRT(Settings!$B$13)))</f>
        <v/>
      </c>
      <c r="L89" s="18">
        <f>IF(AND(ISNUMBER(D89),ISNUMBER(H89)),D89-H89,NA())</f>
        <v/>
      </c>
      <c r="M89" s="18">
        <f>IF(AND(ISNUMBER(E89),ISNUMBER(K89)),E89-K89,NA())</f>
        <v/>
      </c>
      <c r="N89" s="18">
        <f>IF(NOT(ISNUMBER($A89)),NA(),IF(COUNT(OFFSET(G89,1,0,Settings!$B$12,1))&lt;Settings!$B$12,NA(),STDEV(OFFSET(G89,1,0,Settings!$B$12,1))*SQRT(Settings!$B$13)))</f>
        <v/>
      </c>
      <c r="O89" s="18">
        <f>IF(AND(ISNUMBER(E89),ISNUMBER(N89)),E89-N89,NA())</f>
        <v/>
      </c>
      <c r="P89" s="17">
        <f>IF(NOT(ISNUMBER($A89)),NA(),IF(OR($A89&lt;MIN(KW_TP!$A$2:$A$2501),$A89&gt;MAX(KW_TP!$A$2:$A$2501)),NA(),INDEX(KW_TP!$C$2:$C$2501,MATCH($A89,KW_TP!$A$2:$A$2501,1))))</f>
        <v/>
      </c>
    </row>
    <row r="90">
      <c r="A90" s="15">
        <f>IF(ISNUMBER(BBG_Data!A90),BBG_Data!A90,"")</f>
        <v/>
      </c>
      <c r="B90" s="16">
        <f>IF(AND(ISNUMBER($A90),ISNUMBER(BBG_Data!B90)),BBG_Data!B90,NA())</f>
        <v/>
      </c>
      <c r="C90" s="16">
        <f>IF(AND(ISNUMBER($A90),ISNUMBER(BBG_Data!C90)),BBG_Data!C90,NA())</f>
        <v/>
      </c>
      <c r="D90" s="17">
        <f>IF(AND(ISNUMBER($A90),ISNUMBER(BBG_Data!D90)),BBG_Data!D90,NA())</f>
        <v/>
      </c>
      <c r="E90" s="17">
        <f>IF(AND(ISNUMBER($A90),ISNUMBER(BBG_Data!E90)),BBG_Data!E90,NA())</f>
        <v/>
      </c>
      <c r="F90" s="18">
        <f>IF(AND(ISNUMBER(B90),ISNUMBER(B89)),(B90-B89)*100,"")</f>
        <v/>
      </c>
      <c r="G90" s="18">
        <f>IF(AND(ISNUMBER(C90),ISNUMBER(C89)),(C90-C89)*100,"")</f>
        <v/>
      </c>
      <c r="H90" s="18">
        <f>IF(OR(NOT(ISNUMBER($A90)),ROW()-2&lt;Settings!$B$11),NA(),IF(COUNT(OFFSET(F90,1-Settings!$B$11,0,Settings!$B$11,1))&lt;Settings!$B$11,NA(),STDEV(OFFSET(F90,1-Settings!$B$11,0,Settings!$B$11,1))*SQRT(Settings!$B$13)))</f>
        <v/>
      </c>
      <c r="I90" s="18">
        <f>IF(OR(NOT(ISNUMBER($A90)),ROW()-2&lt;Settings!$B$12),NA(),IF(COUNT(OFFSET(F90,1-Settings!$B$12,0,Settings!$B$12,1))&lt;Settings!$B$12,NA(),STDEV(OFFSET(F90,1-Settings!$B$12,0,Settings!$B$12,1))*SQRT(Settings!$B$13)))</f>
        <v/>
      </c>
      <c r="J90" s="18">
        <f>IF(OR(NOT(ISNUMBER($A90)),ROW()-2&lt;Settings!$B$11),NA(),IF(COUNT(OFFSET(G90,1-Settings!$B$11,0,Settings!$B$11,1))&lt;Settings!$B$11,NA(),STDEV(OFFSET(G90,1-Settings!$B$11,0,Settings!$B$11,1))*SQRT(Settings!$B$13)))</f>
        <v/>
      </c>
      <c r="K90" s="18">
        <f>IF(OR(NOT(ISNUMBER($A90)),ROW()-2&lt;Settings!$B$12),NA(),IF(COUNT(OFFSET(G90,1-Settings!$B$12,0,Settings!$B$12,1))&lt;Settings!$B$12,NA(),STDEV(OFFSET(G90,1-Settings!$B$12,0,Settings!$B$12,1))*SQRT(Settings!$B$13)))</f>
        <v/>
      </c>
      <c r="L90" s="18">
        <f>IF(AND(ISNUMBER(D90),ISNUMBER(H90)),D90-H90,NA())</f>
        <v/>
      </c>
      <c r="M90" s="18">
        <f>IF(AND(ISNUMBER(E90),ISNUMBER(K90)),E90-K90,NA())</f>
        <v/>
      </c>
      <c r="N90" s="18">
        <f>IF(NOT(ISNUMBER($A90)),NA(),IF(COUNT(OFFSET(G90,1,0,Settings!$B$12,1))&lt;Settings!$B$12,NA(),STDEV(OFFSET(G90,1,0,Settings!$B$12,1))*SQRT(Settings!$B$13)))</f>
        <v/>
      </c>
      <c r="O90" s="18">
        <f>IF(AND(ISNUMBER(E90),ISNUMBER(N90)),E90-N90,NA())</f>
        <v/>
      </c>
      <c r="P90" s="17">
        <f>IF(NOT(ISNUMBER($A90)),NA(),IF(OR($A90&lt;MIN(KW_TP!$A$2:$A$2501),$A90&gt;MAX(KW_TP!$A$2:$A$2501)),NA(),INDEX(KW_TP!$C$2:$C$2501,MATCH($A90,KW_TP!$A$2:$A$2501,1))))</f>
        <v/>
      </c>
    </row>
    <row r="91">
      <c r="A91" s="15">
        <f>IF(ISNUMBER(BBG_Data!A91),BBG_Data!A91,"")</f>
        <v/>
      </c>
      <c r="B91" s="16">
        <f>IF(AND(ISNUMBER($A91),ISNUMBER(BBG_Data!B91)),BBG_Data!B91,NA())</f>
        <v/>
      </c>
      <c r="C91" s="16">
        <f>IF(AND(ISNUMBER($A91),ISNUMBER(BBG_Data!C91)),BBG_Data!C91,NA())</f>
        <v/>
      </c>
      <c r="D91" s="17">
        <f>IF(AND(ISNUMBER($A91),ISNUMBER(BBG_Data!D91)),BBG_Data!D91,NA())</f>
        <v/>
      </c>
      <c r="E91" s="17">
        <f>IF(AND(ISNUMBER($A91),ISNUMBER(BBG_Data!E91)),BBG_Data!E91,NA())</f>
        <v/>
      </c>
      <c r="F91" s="18">
        <f>IF(AND(ISNUMBER(B91),ISNUMBER(B90)),(B91-B90)*100,"")</f>
        <v/>
      </c>
      <c r="G91" s="18">
        <f>IF(AND(ISNUMBER(C91),ISNUMBER(C90)),(C91-C90)*100,"")</f>
        <v/>
      </c>
      <c r="H91" s="18">
        <f>IF(OR(NOT(ISNUMBER($A91)),ROW()-2&lt;Settings!$B$11),NA(),IF(COUNT(OFFSET(F91,1-Settings!$B$11,0,Settings!$B$11,1))&lt;Settings!$B$11,NA(),STDEV(OFFSET(F91,1-Settings!$B$11,0,Settings!$B$11,1))*SQRT(Settings!$B$13)))</f>
        <v/>
      </c>
      <c r="I91" s="18">
        <f>IF(OR(NOT(ISNUMBER($A91)),ROW()-2&lt;Settings!$B$12),NA(),IF(COUNT(OFFSET(F91,1-Settings!$B$12,0,Settings!$B$12,1))&lt;Settings!$B$12,NA(),STDEV(OFFSET(F91,1-Settings!$B$12,0,Settings!$B$12,1))*SQRT(Settings!$B$13)))</f>
        <v/>
      </c>
      <c r="J91" s="18">
        <f>IF(OR(NOT(ISNUMBER($A91)),ROW()-2&lt;Settings!$B$11),NA(),IF(COUNT(OFFSET(G91,1-Settings!$B$11,0,Settings!$B$11,1))&lt;Settings!$B$11,NA(),STDEV(OFFSET(G91,1-Settings!$B$11,0,Settings!$B$11,1))*SQRT(Settings!$B$13)))</f>
        <v/>
      </c>
      <c r="K91" s="18">
        <f>IF(OR(NOT(ISNUMBER($A91)),ROW()-2&lt;Settings!$B$12),NA(),IF(COUNT(OFFSET(G91,1-Settings!$B$12,0,Settings!$B$12,1))&lt;Settings!$B$12,NA(),STDEV(OFFSET(G91,1-Settings!$B$12,0,Settings!$B$12,1))*SQRT(Settings!$B$13)))</f>
        <v/>
      </c>
      <c r="L91" s="18">
        <f>IF(AND(ISNUMBER(D91),ISNUMBER(H91)),D91-H91,NA())</f>
        <v/>
      </c>
      <c r="M91" s="18">
        <f>IF(AND(ISNUMBER(E91),ISNUMBER(K91)),E91-K91,NA())</f>
        <v/>
      </c>
      <c r="N91" s="18">
        <f>IF(NOT(ISNUMBER($A91)),NA(),IF(COUNT(OFFSET(G91,1,0,Settings!$B$12,1))&lt;Settings!$B$12,NA(),STDEV(OFFSET(G91,1,0,Settings!$B$12,1))*SQRT(Settings!$B$13)))</f>
        <v/>
      </c>
      <c r="O91" s="18">
        <f>IF(AND(ISNUMBER(E91),ISNUMBER(N91)),E91-N91,NA())</f>
        <v/>
      </c>
      <c r="P91" s="17">
        <f>IF(NOT(ISNUMBER($A91)),NA(),IF(OR($A91&lt;MIN(KW_TP!$A$2:$A$2501),$A91&gt;MAX(KW_TP!$A$2:$A$2501)),NA(),INDEX(KW_TP!$C$2:$C$2501,MATCH($A91,KW_TP!$A$2:$A$2501,1))))</f>
        <v/>
      </c>
    </row>
    <row r="92">
      <c r="A92" s="15">
        <f>IF(ISNUMBER(BBG_Data!A92),BBG_Data!A92,"")</f>
        <v/>
      </c>
      <c r="B92" s="16">
        <f>IF(AND(ISNUMBER($A92),ISNUMBER(BBG_Data!B92)),BBG_Data!B92,NA())</f>
        <v/>
      </c>
      <c r="C92" s="16">
        <f>IF(AND(ISNUMBER($A92),ISNUMBER(BBG_Data!C92)),BBG_Data!C92,NA())</f>
        <v/>
      </c>
      <c r="D92" s="17">
        <f>IF(AND(ISNUMBER($A92),ISNUMBER(BBG_Data!D92)),BBG_Data!D92,NA())</f>
        <v/>
      </c>
      <c r="E92" s="17">
        <f>IF(AND(ISNUMBER($A92),ISNUMBER(BBG_Data!E92)),BBG_Data!E92,NA())</f>
        <v/>
      </c>
      <c r="F92" s="18">
        <f>IF(AND(ISNUMBER(B92),ISNUMBER(B91)),(B92-B91)*100,"")</f>
        <v/>
      </c>
      <c r="G92" s="18">
        <f>IF(AND(ISNUMBER(C92),ISNUMBER(C91)),(C92-C91)*100,"")</f>
        <v/>
      </c>
      <c r="H92" s="18">
        <f>IF(OR(NOT(ISNUMBER($A92)),ROW()-2&lt;Settings!$B$11),NA(),IF(COUNT(OFFSET(F92,1-Settings!$B$11,0,Settings!$B$11,1))&lt;Settings!$B$11,NA(),STDEV(OFFSET(F92,1-Settings!$B$11,0,Settings!$B$11,1))*SQRT(Settings!$B$13)))</f>
        <v/>
      </c>
      <c r="I92" s="18">
        <f>IF(OR(NOT(ISNUMBER($A92)),ROW()-2&lt;Settings!$B$12),NA(),IF(COUNT(OFFSET(F92,1-Settings!$B$12,0,Settings!$B$12,1))&lt;Settings!$B$12,NA(),STDEV(OFFSET(F92,1-Settings!$B$12,0,Settings!$B$12,1))*SQRT(Settings!$B$13)))</f>
        <v/>
      </c>
      <c r="J92" s="18">
        <f>IF(OR(NOT(ISNUMBER($A92)),ROW()-2&lt;Settings!$B$11),NA(),IF(COUNT(OFFSET(G92,1-Settings!$B$11,0,Settings!$B$11,1))&lt;Settings!$B$11,NA(),STDEV(OFFSET(G92,1-Settings!$B$11,0,Settings!$B$11,1))*SQRT(Settings!$B$13)))</f>
        <v/>
      </c>
      <c r="K92" s="18">
        <f>IF(OR(NOT(ISNUMBER($A92)),ROW()-2&lt;Settings!$B$12),NA(),IF(COUNT(OFFSET(G92,1-Settings!$B$12,0,Settings!$B$12,1))&lt;Settings!$B$12,NA(),STDEV(OFFSET(G92,1-Settings!$B$12,0,Settings!$B$12,1))*SQRT(Settings!$B$13)))</f>
        <v/>
      </c>
      <c r="L92" s="18">
        <f>IF(AND(ISNUMBER(D92),ISNUMBER(H92)),D92-H92,NA())</f>
        <v/>
      </c>
      <c r="M92" s="18">
        <f>IF(AND(ISNUMBER(E92),ISNUMBER(K92)),E92-K92,NA())</f>
        <v/>
      </c>
      <c r="N92" s="18">
        <f>IF(NOT(ISNUMBER($A92)),NA(),IF(COUNT(OFFSET(G92,1,0,Settings!$B$12,1))&lt;Settings!$B$12,NA(),STDEV(OFFSET(G92,1,0,Settings!$B$12,1))*SQRT(Settings!$B$13)))</f>
        <v/>
      </c>
      <c r="O92" s="18">
        <f>IF(AND(ISNUMBER(E92),ISNUMBER(N92)),E92-N92,NA())</f>
        <v/>
      </c>
      <c r="P92" s="17">
        <f>IF(NOT(ISNUMBER($A92)),NA(),IF(OR($A92&lt;MIN(KW_TP!$A$2:$A$2501),$A92&gt;MAX(KW_TP!$A$2:$A$2501)),NA(),INDEX(KW_TP!$C$2:$C$2501,MATCH($A92,KW_TP!$A$2:$A$2501,1))))</f>
        <v/>
      </c>
    </row>
    <row r="93">
      <c r="A93" s="15">
        <f>IF(ISNUMBER(BBG_Data!A93),BBG_Data!A93,"")</f>
        <v/>
      </c>
      <c r="B93" s="16">
        <f>IF(AND(ISNUMBER($A93),ISNUMBER(BBG_Data!B93)),BBG_Data!B93,NA())</f>
        <v/>
      </c>
      <c r="C93" s="16">
        <f>IF(AND(ISNUMBER($A93),ISNUMBER(BBG_Data!C93)),BBG_Data!C93,NA())</f>
        <v/>
      </c>
      <c r="D93" s="17">
        <f>IF(AND(ISNUMBER($A93),ISNUMBER(BBG_Data!D93)),BBG_Data!D93,NA())</f>
        <v/>
      </c>
      <c r="E93" s="17">
        <f>IF(AND(ISNUMBER($A93),ISNUMBER(BBG_Data!E93)),BBG_Data!E93,NA())</f>
        <v/>
      </c>
      <c r="F93" s="18">
        <f>IF(AND(ISNUMBER(B93),ISNUMBER(B92)),(B93-B92)*100,"")</f>
        <v/>
      </c>
      <c r="G93" s="18">
        <f>IF(AND(ISNUMBER(C93),ISNUMBER(C92)),(C93-C92)*100,"")</f>
        <v/>
      </c>
      <c r="H93" s="18">
        <f>IF(OR(NOT(ISNUMBER($A93)),ROW()-2&lt;Settings!$B$11),NA(),IF(COUNT(OFFSET(F93,1-Settings!$B$11,0,Settings!$B$11,1))&lt;Settings!$B$11,NA(),STDEV(OFFSET(F93,1-Settings!$B$11,0,Settings!$B$11,1))*SQRT(Settings!$B$13)))</f>
        <v/>
      </c>
      <c r="I93" s="18">
        <f>IF(OR(NOT(ISNUMBER($A93)),ROW()-2&lt;Settings!$B$12),NA(),IF(COUNT(OFFSET(F93,1-Settings!$B$12,0,Settings!$B$12,1))&lt;Settings!$B$12,NA(),STDEV(OFFSET(F93,1-Settings!$B$12,0,Settings!$B$12,1))*SQRT(Settings!$B$13)))</f>
        <v/>
      </c>
      <c r="J93" s="18">
        <f>IF(OR(NOT(ISNUMBER($A93)),ROW()-2&lt;Settings!$B$11),NA(),IF(COUNT(OFFSET(G93,1-Settings!$B$11,0,Settings!$B$11,1))&lt;Settings!$B$11,NA(),STDEV(OFFSET(G93,1-Settings!$B$11,0,Settings!$B$11,1))*SQRT(Settings!$B$13)))</f>
        <v/>
      </c>
      <c r="K93" s="18">
        <f>IF(OR(NOT(ISNUMBER($A93)),ROW()-2&lt;Settings!$B$12),NA(),IF(COUNT(OFFSET(G93,1-Settings!$B$12,0,Settings!$B$12,1))&lt;Settings!$B$12,NA(),STDEV(OFFSET(G93,1-Settings!$B$12,0,Settings!$B$12,1))*SQRT(Settings!$B$13)))</f>
        <v/>
      </c>
      <c r="L93" s="18">
        <f>IF(AND(ISNUMBER(D93),ISNUMBER(H93)),D93-H93,NA())</f>
        <v/>
      </c>
      <c r="M93" s="18">
        <f>IF(AND(ISNUMBER(E93),ISNUMBER(K93)),E93-K93,NA())</f>
        <v/>
      </c>
      <c r="N93" s="18">
        <f>IF(NOT(ISNUMBER($A93)),NA(),IF(COUNT(OFFSET(G93,1,0,Settings!$B$12,1))&lt;Settings!$B$12,NA(),STDEV(OFFSET(G93,1,0,Settings!$B$12,1))*SQRT(Settings!$B$13)))</f>
        <v/>
      </c>
      <c r="O93" s="18">
        <f>IF(AND(ISNUMBER(E93),ISNUMBER(N93)),E93-N93,NA())</f>
        <v/>
      </c>
      <c r="P93" s="17">
        <f>IF(NOT(ISNUMBER($A93)),NA(),IF(OR($A93&lt;MIN(KW_TP!$A$2:$A$2501),$A93&gt;MAX(KW_TP!$A$2:$A$2501)),NA(),INDEX(KW_TP!$C$2:$C$2501,MATCH($A93,KW_TP!$A$2:$A$2501,1))))</f>
        <v/>
      </c>
    </row>
    <row r="94">
      <c r="A94" s="15">
        <f>IF(ISNUMBER(BBG_Data!A94),BBG_Data!A94,"")</f>
        <v/>
      </c>
      <c r="B94" s="16">
        <f>IF(AND(ISNUMBER($A94),ISNUMBER(BBG_Data!B94)),BBG_Data!B94,NA())</f>
        <v/>
      </c>
      <c r="C94" s="16">
        <f>IF(AND(ISNUMBER($A94),ISNUMBER(BBG_Data!C94)),BBG_Data!C94,NA())</f>
        <v/>
      </c>
      <c r="D94" s="17">
        <f>IF(AND(ISNUMBER($A94),ISNUMBER(BBG_Data!D94)),BBG_Data!D94,NA())</f>
        <v/>
      </c>
      <c r="E94" s="17">
        <f>IF(AND(ISNUMBER($A94),ISNUMBER(BBG_Data!E94)),BBG_Data!E94,NA())</f>
        <v/>
      </c>
      <c r="F94" s="18">
        <f>IF(AND(ISNUMBER(B94),ISNUMBER(B93)),(B94-B93)*100,"")</f>
        <v/>
      </c>
      <c r="G94" s="18">
        <f>IF(AND(ISNUMBER(C94),ISNUMBER(C93)),(C94-C93)*100,"")</f>
        <v/>
      </c>
      <c r="H94" s="18">
        <f>IF(OR(NOT(ISNUMBER($A94)),ROW()-2&lt;Settings!$B$11),NA(),IF(COUNT(OFFSET(F94,1-Settings!$B$11,0,Settings!$B$11,1))&lt;Settings!$B$11,NA(),STDEV(OFFSET(F94,1-Settings!$B$11,0,Settings!$B$11,1))*SQRT(Settings!$B$13)))</f>
        <v/>
      </c>
      <c r="I94" s="18">
        <f>IF(OR(NOT(ISNUMBER($A94)),ROW()-2&lt;Settings!$B$12),NA(),IF(COUNT(OFFSET(F94,1-Settings!$B$12,0,Settings!$B$12,1))&lt;Settings!$B$12,NA(),STDEV(OFFSET(F94,1-Settings!$B$12,0,Settings!$B$12,1))*SQRT(Settings!$B$13)))</f>
        <v/>
      </c>
      <c r="J94" s="18">
        <f>IF(OR(NOT(ISNUMBER($A94)),ROW()-2&lt;Settings!$B$11),NA(),IF(COUNT(OFFSET(G94,1-Settings!$B$11,0,Settings!$B$11,1))&lt;Settings!$B$11,NA(),STDEV(OFFSET(G94,1-Settings!$B$11,0,Settings!$B$11,1))*SQRT(Settings!$B$13)))</f>
        <v/>
      </c>
      <c r="K94" s="18">
        <f>IF(OR(NOT(ISNUMBER($A94)),ROW()-2&lt;Settings!$B$12),NA(),IF(COUNT(OFFSET(G94,1-Settings!$B$12,0,Settings!$B$12,1))&lt;Settings!$B$12,NA(),STDEV(OFFSET(G94,1-Settings!$B$12,0,Settings!$B$12,1))*SQRT(Settings!$B$13)))</f>
        <v/>
      </c>
      <c r="L94" s="18">
        <f>IF(AND(ISNUMBER(D94),ISNUMBER(H94)),D94-H94,NA())</f>
        <v/>
      </c>
      <c r="M94" s="18">
        <f>IF(AND(ISNUMBER(E94),ISNUMBER(K94)),E94-K94,NA())</f>
        <v/>
      </c>
      <c r="N94" s="18">
        <f>IF(NOT(ISNUMBER($A94)),NA(),IF(COUNT(OFFSET(G94,1,0,Settings!$B$12,1))&lt;Settings!$B$12,NA(),STDEV(OFFSET(G94,1,0,Settings!$B$12,1))*SQRT(Settings!$B$13)))</f>
        <v/>
      </c>
      <c r="O94" s="18">
        <f>IF(AND(ISNUMBER(E94),ISNUMBER(N94)),E94-N94,NA())</f>
        <v/>
      </c>
      <c r="P94" s="17">
        <f>IF(NOT(ISNUMBER($A94)),NA(),IF(OR($A94&lt;MIN(KW_TP!$A$2:$A$2501),$A94&gt;MAX(KW_TP!$A$2:$A$2501)),NA(),INDEX(KW_TP!$C$2:$C$2501,MATCH($A94,KW_TP!$A$2:$A$2501,1))))</f>
        <v/>
      </c>
    </row>
    <row r="95">
      <c r="A95" s="15">
        <f>IF(ISNUMBER(BBG_Data!A95),BBG_Data!A95,"")</f>
        <v/>
      </c>
      <c r="B95" s="16">
        <f>IF(AND(ISNUMBER($A95),ISNUMBER(BBG_Data!B95)),BBG_Data!B95,NA())</f>
        <v/>
      </c>
      <c r="C95" s="16">
        <f>IF(AND(ISNUMBER($A95),ISNUMBER(BBG_Data!C95)),BBG_Data!C95,NA())</f>
        <v/>
      </c>
      <c r="D95" s="17">
        <f>IF(AND(ISNUMBER($A95),ISNUMBER(BBG_Data!D95)),BBG_Data!D95,NA())</f>
        <v/>
      </c>
      <c r="E95" s="17">
        <f>IF(AND(ISNUMBER($A95),ISNUMBER(BBG_Data!E95)),BBG_Data!E95,NA())</f>
        <v/>
      </c>
      <c r="F95" s="18">
        <f>IF(AND(ISNUMBER(B95),ISNUMBER(B94)),(B95-B94)*100,"")</f>
        <v/>
      </c>
      <c r="G95" s="18">
        <f>IF(AND(ISNUMBER(C95),ISNUMBER(C94)),(C95-C94)*100,"")</f>
        <v/>
      </c>
      <c r="H95" s="18">
        <f>IF(OR(NOT(ISNUMBER($A95)),ROW()-2&lt;Settings!$B$11),NA(),IF(COUNT(OFFSET(F95,1-Settings!$B$11,0,Settings!$B$11,1))&lt;Settings!$B$11,NA(),STDEV(OFFSET(F95,1-Settings!$B$11,0,Settings!$B$11,1))*SQRT(Settings!$B$13)))</f>
        <v/>
      </c>
      <c r="I95" s="18">
        <f>IF(OR(NOT(ISNUMBER($A95)),ROW()-2&lt;Settings!$B$12),NA(),IF(COUNT(OFFSET(F95,1-Settings!$B$12,0,Settings!$B$12,1))&lt;Settings!$B$12,NA(),STDEV(OFFSET(F95,1-Settings!$B$12,0,Settings!$B$12,1))*SQRT(Settings!$B$13)))</f>
        <v/>
      </c>
      <c r="J95" s="18">
        <f>IF(OR(NOT(ISNUMBER($A95)),ROW()-2&lt;Settings!$B$11),NA(),IF(COUNT(OFFSET(G95,1-Settings!$B$11,0,Settings!$B$11,1))&lt;Settings!$B$11,NA(),STDEV(OFFSET(G95,1-Settings!$B$11,0,Settings!$B$11,1))*SQRT(Settings!$B$13)))</f>
        <v/>
      </c>
      <c r="K95" s="18">
        <f>IF(OR(NOT(ISNUMBER($A95)),ROW()-2&lt;Settings!$B$12),NA(),IF(COUNT(OFFSET(G95,1-Settings!$B$12,0,Settings!$B$12,1))&lt;Settings!$B$12,NA(),STDEV(OFFSET(G95,1-Settings!$B$12,0,Settings!$B$12,1))*SQRT(Settings!$B$13)))</f>
        <v/>
      </c>
      <c r="L95" s="18">
        <f>IF(AND(ISNUMBER(D95),ISNUMBER(H95)),D95-H95,NA())</f>
        <v/>
      </c>
      <c r="M95" s="18">
        <f>IF(AND(ISNUMBER(E95),ISNUMBER(K95)),E95-K95,NA())</f>
        <v/>
      </c>
      <c r="N95" s="18">
        <f>IF(NOT(ISNUMBER($A95)),NA(),IF(COUNT(OFFSET(G95,1,0,Settings!$B$12,1))&lt;Settings!$B$12,NA(),STDEV(OFFSET(G95,1,0,Settings!$B$12,1))*SQRT(Settings!$B$13)))</f>
        <v/>
      </c>
      <c r="O95" s="18">
        <f>IF(AND(ISNUMBER(E95),ISNUMBER(N95)),E95-N95,NA())</f>
        <v/>
      </c>
      <c r="P95" s="17">
        <f>IF(NOT(ISNUMBER($A95)),NA(),IF(OR($A95&lt;MIN(KW_TP!$A$2:$A$2501),$A95&gt;MAX(KW_TP!$A$2:$A$2501)),NA(),INDEX(KW_TP!$C$2:$C$2501,MATCH($A95,KW_TP!$A$2:$A$2501,1))))</f>
        <v/>
      </c>
    </row>
    <row r="96">
      <c r="A96" s="15">
        <f>IF(ISNUMBER(BBG_Data!A96),BBG_Data!A96,"")</f>
        <v/>
      </c>
      <c r="B96" s="16">
        <f>IF(AND(ISNUMBER($A96),ISNUMBER(BBG_Data!B96)),BBG_Data!B96,NA())</f>
        <v/>
      </c>
      <c r="C96" s="16">
        <f>IF(AND(ISNUMBER($A96),ISNUMBER(BBG_Data!C96)),BBG_Data!C96,NA())</f>
        <v/>
      </c>
      <c r="D96" s="17">
        <f>IF(AND(ISNUMBER($A96),ISNUMBER(BBG_Data!D96)),BBG_Data!D96,NA())</f>
        <v/>
      </c>
      <c r="E96" s="17">
        <f>IF(AND(ISNUMBER($A96),ISNUMBER(BBG_Data!E96)),BBG_Data!E96,NA())</f>
        <v/>
      </c>
      <c r="F96" s="18">
        <f>IF(AND(ISNUMBER(B96),ISNUMBER(B95)),(B96-B95)*100,"")</f>
        <v/>
      </c>
      <c r="G96" s="18">
        <f>IF(AND(ISNUMBER(C96),ISNUMBER(C95)),(C96-C95)*100,"")</f>
        <v/>
      </c>
      <c r="H96" s="18">
        <f>IF(OR(NOT(ISNUMBER($A96)),ROW()-2&lt;Settings!$B$11),NA(),IF(COUNT(OFFSET(F96,1-Settings!$B$11,0,Settings!$B$11,1))&lt;Settings!$B$11,NA(),STDEV(OFFSET(F96,1-Settings!$B$11,0,Settings!$B$11,1))*SQRT(Settings!$B$13)))</f>
        <v/>
      </c>
      <c r="I96" s="18">
        <f>IF(OR(NOT(ISNUMBER($A96)),ROW()-2&lt;Settings!$B$12),NA(),IF(COUNT(OFFSET(F96,1-Settings!$B$12,0,Settings!$B$12,1))&lt;Settings!$B$12,NA(),STDEV(OFFSET(F96,1-Settings!$B$12,0,Settings!$B$12,1))*SQRT(Settings!$B$13)))</f>
        <v/>
      </c>
      <c r="J96" s="18">
        <f>IF(OR(NOT(ISNUMBER($A96)),ROW()-2&lt;Settings!$B$11),NA(),IF(COUNT(OFFSET(G96,1-Settings!$B$11,0,Settings!$B$11,1))&lt;Settings!$B$11,NA(),STDEV(OFFSET(G96,1-Settings!$B$11,0,Settings!$B$11,1))*SQRT(Settings!$B$13)))</f>
        <v/>
      </c>
      <c r="K96" s="18">
        <f>IF(OR(NOT(ISNUMBER($A96)),ROW()-2&lt;Settings!$B$12),NA(),IF(COUNT(OFFSET(G96,1-Settings!$B$12,0,Settings!$B$12,1))&lt;Settings!$B$12,NA(),STDEV(OFFSET(G96,1-Settings!$B$12,0,Settings!$B$12,1))*SQRT(Settings!$B$13)))</f>
        <v/>
      </c>
      <c r="L96" s="18">
        <f>IF(AND(ISNUMBER(D96),ISNUMBER(H96)),D96-H96,NA())</f>
        <v/>
      </c>
      <c r="M96" s="18">
        <f>IF(AND(ISNUMBER(E96),ISNUMBER(K96)),E96-K96,NA())</f>
        <v/>
      </c>
      <c r="N96" s="18">
        <f>IF(NOT(ISNUMBER($A96)),NA(),IF(COUNT(OFFSET(G96,1,0,Settings!$B$12,1))&lt;Settings!$B$12,NA(),STDEV(OFFSET(G96,1,0,Settings!$B$12,1))*SQRT(Settings!$B$13)))</f>
        <v/>
      </c>
      <c r="O96" s="18">
        <f>IF(AND(ISNUMBER(E96),ISNUMBER(N96)),E96-N96,NA())</f>
        <v/>
      </c>
      <c r="P96" s="17">
        <f>IF(NOT(ISNUMBER($A96)),NA(),IF(OR($A96&lt;MIN(KW_TP!$A$2:$A$2501),$A96&gt;MAX(KW_TP!$A$2:$A$2501)),NA(),INDEX(KW_TP!$C$2:$C$2501,MATCH($A96,KW_TP!$A$2:$A$2501,1))))</f>
        <v/>
      </c>
    </row>
    <row r="97">
      <c r="A97" s="15">
        <f>IF(ISNUMBER(BBG_Data!A97),BBG_Data!A97,"")</f>
        <v/>
      </c>
      <c r="B97" s="16">
        <f>IF(AND(ISNUMBER($A97),ISNUMBER(BBG_Data!B97)),BBG_Data!B97,NA())</f>
        <v/>
      </c>
      <c r="C97" s="16">
        <f>IF(AND(ISNUMBER($A97),ISNUMBER(BBG_Data!C97)),BBG_Data!C97,NA())</f>
        <v/>
      </c>
      <c r="D97" s="17">
        <f>IF(AND(ISNUMBER($A97),ISNUMBER(BBG_Data!D97)),BBG_Data!D97,NA())</f>
        <v/>
      </c>
      <c r="E97" s="17">
        <f>IF(AND(ISNUMBER($A97),ISNUMBER(BBG_Data!E97)),BBG_Data!E97,NA())</f>
        <v/>
      </c>
      <c r="F97" s="18">
        <f>IF(AND(ISNUMBER(B97),ISNUMBER(B96)),(B97-B96)*100,"")</f>
        <v/>
      </c>
      <c r="G97" s="18">
        <f>IF(AND(ISNUMBER(C97),ISNUMBER(C96)),(C97-C96)*100,"")</f>
        <v/>
      </c>
      <c r="H97" s="18">
        <f>IF(OR(NOT(ISNUMBER($A97)),ROW()-2&lt;Settings!$B$11),NA(),IF(COUNT(OFFSET(F97,1-Settings!$B$11,0,Settings!$B$11,1))&lt;Settings!$B$11,NA(),STDEV(OFFSET(F97,1-Settings!$B$11,0,Settings!$B$11,1))*SQRT(Settings!$B$13)))</f>
        <v/>
      </c>
      <c r="I97" s="18">
        <f>IF(OR(NOT(ISNUMBER($A97)),ROW()-2&lt;Settings!$B$12),NA(),IF(COUNT(OFFSET(F97,1-Settings!$B$12,0,Settings!$B$12,1))&lt;Settings!$B$12,NA(),STDEV(OFFSET(F97,1-Settings!$B$12,0,Settings!$B$12,1))*SQRT(Settings!$B$13)))</f>
        <v/>
      </c>
      <c r="J97" s="18">
        <f>IF(OR(NOT(ISNUMBER($A97)),ROW()-2&lt;Settings!$B$11),NA(),IF(COUNT(OFFSET(G97,1-Settings!$B$11,0,Settings!$B$11,1))&lt;Settings!$B$11,NA(),STDEV(OFFSET(G97,1-Settings!$B$11,0,Settings!$B$11,1))*SQRT(Settings!$B$13)))</f>
        <v/>
      </c>
      <c r="K97" s="18">
        <f>IF(OR(NOT(ISNUMBER($A97)),ROW()-2&lt;Settings!$B$12),NA(),IF(COUNT(OFFSET(G97,1-Settings!$B$12,0,Settings!$B$12,1))&lt;Settings!$B$12,NA(),STDEV(OFFSET(G97,1-Settings!$B$12,0,Settings!$B$12,1))*SQRT(Settings!$B$13)))</f>
        <v/>
      </c>
      <c r="L97" s="18">
        <f>IF(AND(ISNUMBER(D97),ISNUMBER(H97)),D97-H97,NA())</f>
        <v/>
      </c>
      <c r="M97" s="18">
        <f>IF(AND(ISNUMBER(E97),ISNUMBER(K97)),E97-K97,NA())</f>
        <v/>
      </c>
      <c r="N97" s="18">
        <f>IF(NOT(ISNUMBER($A97)),NA(),IF(COUNT(OFFSET(G97,1,0,Settings!$B$12,1))&lt;Settings!$B$12,NA(),STDEV(OFFSET(G97,1,0,Settings!$B$12,1))*SQRT(Settings!$B$13)))</f>
        <v/>
      </c>
      <c r="O97" s="18">
        <f>IF(AND(ISNUMBER(E97),ISNUMBER(N97)),E97-N97,NA())</f>
        <v/>
      </c>
      <c r="P97" s="17">
        <f>IF(NOT(ISNUMBER($A97)),NA(),IF(OR($A97&lt;MIN(KW_TP!$A$2:$A$2501),$A97&gt;MAX(KW_TP!$A$2:$A$2501)),NA(),INDEX(KW_TP!$C$2:$C$2501,MATCH($A97,KW_TP!$A$2:$A$2501,1))))</f>
        <v/>
      </c>
    </row>
    <row r="98">
      <c r="A98" s="15">
        <f>IF(ISNUMBER(BBG_Data!A98),BBG_Data!A98,"")</f>
        <v/>
      </c>
      <c r="B98" s="16">
        <f>IF(AND(ISNUMBER($A98),ISNUMBER(BBG_Data!B98)),BBG_Data!B98,NA())</f>
        <v/>
      </c>
      <c r="C98" s="16">
        <f>IF(AND(ISNUMBER($A98),ISNUMBER(BBG_Data!C98)),BBG_Data!C98,NA())</f>
        <v/>
      </c>
      <c r="D98" s="17">
        <f>IF(AND(ISNUMBER($A98),ISNUMBER(BBG_Data!D98)),BBG_Data!D98,NA())</f>
        <v/>
      </c>
      <c r="E98" s="17">
        <f>IF(AND(ISNUMBER($A98),ISNUMBER(BBG_Data!E98)),BBG_Data!E98,NA())</f>
        <v/>
      </c>
      <c r="F98" s="18">
        <f>IF(AND(ISNUMBER(B98),ISNUMBER(B97)),(B98-B97)*100,"")</f>
        <v/>
      </c>
      <c r="G98" s="18">
        <f>IF(AND(ISNUMBER(C98),ISNUMBER(C97)),(C98-C97)*100,"")</f>
        <v/>
      </c>
      <c r="H98" s="18">
        <f>IF(OR(NOT(ISNUMBER($A98)),ROW()-2&lt;Settings!$B$11),NA(),IF(COUNT(OFFSET(F98,1-Settings!$B$11,0,Settings!$B$11,1))&lt;Settings!$B$11,NA(),STDEV(OFFSET(F98,1-Settings!$B$11,0,Settings!$B$11,1))*SQRT(Settings!$B$13)))</f>
        <v/>
      </c>
      <c r="I98" s="18">
        <f>IF(OR(NOT(ISNUMBER($A98)),ROW()-2&lt;Settings!$B$12),NA(),IF(COUNT(OFFSET(F98,1-Settings!$B$12,0,Settings!$B$12,1))&lt;Settings!$B$12,NA(),STDEV(OFFSET(F98,1-Settings!$B$12,0,Settings!$B$12,1))*SQRT(Settings!$B$13)))</f>
        <v/>
      </c>
      <c r="J98" s="18">
        <f>IF(OR(NOT(ISNUMBER($A98)),ROW()-2&lt;Settings!$B$11),NA(),IF(COUNT(OFFSET(G98,1-Settings!$B$11,0,Settings!$B$11,1))&lt;Settings!$B$11,NA(),STDEV(OFFSET(G98,1-Settings!$B$11,0,Settings!$B$11,1))*SQRT(Settings!$B$13)))</f>
        <v/>
      </c>
      <c r="K98" s="18">
        <f>IF(OR(NOT(ISNUMBER($A98)),ROW()-2&lt;Settings!$B$12),NA(),IF(COUNT(OFFSET(G98,1-Settings!$B$12,0,Settings!$B$12,1))&lt;Settings!$B$12,NA(),STDEV(OFFSET(G98,1-Settings!$B$12,0,Settings!$B$12,1))*SQRT(Settings!$B$13)))</f>
        <v/>
      </c>
      <c r="L98" s="18">
        <f>IF(AND(ISNUMBER(D98),ISNUMBER(H98)),D98-H98,NA())</f>
        <v/>
      </c>
      <c r="M98" s="18">
        <f>IF(AND(ISNUMBER(E98),ISNUMBER(K98)),E98-K98,NA())</f>
        <v/>
      </c>
      <c r="N98" s="18">
        <f>IF(NOT(ISNUMBER($A98)),NA(),IF(COUNT(OFFSET(G98,1,0,Settings!$B$12,1))&lt;Settings!$B$12,NA(),STDEV(OFFSET(G98,1,0,Settings!$B$12,1))*SQRT(Settings!$B$13)))</f>
        <v/>
      </c>
      <c r="O98" s="18">
        <f>IF(AND(ISNUMBER(E98),ISNUMBER(N98)),E98-N98,NA())</f>
        <v/>
      </c>
      <c r="P98" s="17">
        <f>IF(NOT(ISNUMBER($A98)),NA(),IF(OR($A98&lt;MIN(KW_TP!$A$2:$A$2501),$A98&gt;MAX(KW_TP!$A$2:$A$2501)),NA(),INDEX(KW_TP!$C$2:$C$2501,MATCH($A98,KW_TP!$A$2:$A$2501,1))))</f>
        <v/>
      </c>
    </row>
    <row r="99">
      <c r="A99" s="15">
        <f>IF(ISNUMBER(BBG_Data!A99),BBG_Data!A99,"")</f>
        <v/>
      </c>
      <c r="B99" s="16">
        <f>IF(AND(ISNUMBER($A99),ISNUMBER(BBG_Data!B99)),BBG_Data!B99,NA())</f>
        <v/>
      </c>
      <c r="C99" s="16">
        <f>IF(AND(ISNUMBER($A99),ISNUMBER(BBG_Data!C99)),BBG_Data!C99,NA())</f>
        <v/>
      </c>
      <c r="D99" s="17">
        <f>IF(AND(ISNUMBER($A99),ISNUMBER(BBG_Data!D99)),BBG_Data!D99,NA())</f>
        <v/>
      </c>
      <c r="E99" s="17">
        <f>IF(AND(ISNUMBER($A99),ISNUMBER(BBG_Data!E99)),BBG_Data!E99,NA())</f>
        <v/>
      </c>
      <c r="F99" s="18">
        <f>IF(AND(ISNUMBER(B99),ISNUMBER(B98)),(B99-B98)*100,"")</f>
        <v/>
      </c>
      <c r="G99" s="18">
        <f>IF(AND(ISNUMBER(C99),ISNUMBER(C98)),(C99-C98)*100,"")</f>
        <v/>
      </c>
      <c r="H99" s="18">
        <f>IF(OR(NOT(ISNUMBER($A99)),ROW()-2&lt;Settings!$B$11),NA(),IF(COUNT(OFFSET(F99,1-Settings!$B$11,0,Settings!$B$11,1))&lt;Settings!$B$11,NA(),STDEV(OFFSET(F99,1-Settings!$B$11,0,Settings!$B$11,1))*SQRT(Settings!$B$13)))</f>
        <v/>
      </c>
      <c r="I99" s="18">
        <f>IF(OR(NOT(ISNUMBER($A99)),ROW()-2&lt;Settings!$B$12),NA(),IF(COUNT(OFFSET(F99,1-Settings!$B$12,0,Settings!$B$12,1))&lt;Settings!$B$12,NA(),STDEV(OFFSET(F99,1-Settings!$B$12,0,Settings!$B$12,1))*SQRT(Settings!$B$13)))</f>
        <v/>
      </c>
      <c r="J99" s="18">
        <f>IF(OR(NOT(ISNUMBER($A99)),ROW()-2&lt;Settings!$B$11),NA(),IF(COUNT(OFFSET(G99,1-Settings!$B$11,0,Settings!$B$11,1))&lt;Settings!$B$11,NA(),STDEV(OFFSET(G99,1-Settings!$B$11,0,Settings!$B$11,1))*SQRT(Settings!$B$13)))</f>
        <v/>
      </c>
      <c r="K99" s="18">
        <f>IF(OR(NOT(ISNUMBER($A99)),ROW()-2&lt;Settings!$B$12),NA(),IF(COUNT(OFFSET(G99,1-Settings!$B$12,0,Settings!$B$12,1))&lt;Settings!$B$12,NA(),STDEV(OFFSET(G99,1-Settings!$B$12,0,Settings!$B$12,1))*SQRT(Settings!$B$13)))</f>
        <v/>
      </c>
      <c r="L99" s="18">
        <f>IF(AND(ISNUMBER(D99),ISNUMBER(H99)),D99-H99,NA())</f>
        <v/>
      </c>
      <c r="M99" s="18">
        <f>IF(AND(ISNUMBER(E99),ISNUMBER(K99)),E99-K99,NA())</f>
        <v/>
      </c>
      <c r="N99" s="18">
        <f>IF(NOT(ISNUMBER($A99)),NA(),IF(COUNT(OFFSET(G99,1,0,Settings!$B$12,1))&lt;Settings!$B$12,NA(),STDEV(OFFSET(G99,1,0,Settings!$B$12,1))*SQRT(Settings!$B$13)))</f>
        <v/>
      </c>
      <c r="O99" s="18">
        <f>IF(AND(ISNUMBER(E99),ISNUMBER(N99)),E99-N99,NA())</f>
        <v/>
      </c>
      <c r="P99" s="17">
        <f>IF(NOT(ISNUMBER($A99)),NA(),IF(OR($A99&lt;MIN(KW_TP!$A$2:$A$2501),$A99&gt;MAX(KW_TP!$A$2:$A$2501)),NA(),INDEX(KW_TP!$C$2:$C$2501,MATCH($A99,KW_TP!$A$2:$A$2501,1))))</f>
        <v/>
      </c>
    </row>
    <row r="100">
      <c r="A100" s="15">
        <f>IF(ISNUMBER(BBG_Data!A100),BBG_Data!A100,"")</f>
        <v/>
      </c>
      <c r="B100" s="16">
        <f>IF(AND(ISNUMBER($A100),ISNUMBER(BBG_Data!B100)),BBG_Data!B100,NA())</f>
        <v/>
      </c>
      <c r="C100" s="16">
        <f>IF(AND(ISNUMBER($A100),ISNUMBER(BBG_Data!C100)),BBG_Data!C100,NA())</f>
        <v/>
      </c>
      <c r="D100" s="17">
        <f>IF(AND(ISNUMBER($A100),ISNUMBER(BBG_Data!D100)),BBG_Data!D100,NA())</f>
        <v/>
      </c>
      <c r="E100" s="17">
        <f>IF(AND(ISNUMBER($A100),ISNUMBER(BBG_Data!E100)),BBG_Data!E100,NA())</f>
        <v/>
      </c>
      <c r="F100" s="18">
        <f>IF(AND(ISNUMBER(B100),ISNUMBER(B99)),(B100-B99)*100,"")</f>
        <v/>
      </c>
      <c r="G100" s="18">
        <f>IF(AND(ISNUMBER(C100),ISNUMBER(C99)),(C100-C99)*100,"")</f>
        <v/>
      </c>
      <c r="H100" s="18">
        <f>IF(OR(NOT(ISNUMBER($A100)),ROW()-2&lt;Settings!$B$11),NA(),IF(COUNT(OFFSET(F100,1-Settings!$B$11,0,Settings!$B$11,1))&lt;Settings!$B$11,NA(),STDEV(OFFSET(F100,1-Settings!$B$11,0,Settings!$B$11,1))*SQRT(Settings!$B$13)))</f>
        <v/>
      </c>
      <c r="I100" s="18">
        <f>IF(OR(NOT(ISNUMBER($A100)),ROW()-2&lt;Settings!$B$12),NA(),IF(COUNT(OFFSET(F100,1-Settings!$B$12,0,Settings!$B$12,1))&lt;Settings!$B$12,NA(),STDEV(OFFSET(F100,1-Settings!$B$12,0,Settings!$B$12,1))*SQRT(Settings!$B$13)))</f>
        <v/>
      </c>
      <c r="J100" s="18">
        <f>IF(OR(NOT(ISNUMBER($A100)),ROW()-2&lt;Settings!$B$11),NA(),IF(COUNT(OFFSET(G100,1-Settings!$B$11,0,Settings!$B$11,1))&lt;Settings!$B$11,NA(),STDEV(OFFSET(G100,1-Settings!$B$11,0,Settings!$B$11,1))*SQRT(Settings!$B$13)))</f>
        <v/>
      </c>
      <c r="K100" s="18">
        <f>IF(OR(NOT(ISNUMBER($A100)),ROW()-2&lt;Settings!$B$12),NA(),IF(COUNT(OFFSET(G100,1-Settings!$B$12,0,Settings!$B$12,1))&lt;Settings!$B$12,NA(),STDEV(OFFSET(G100,1-Settings!$B$12,0,Settings!$B$12,1))*SQRT(Settings!$B$13)))</f>
        <v/>
      </c>
      <c r="L100" s="18">
        <f>IF(AND(ISNUMBER(D100),ISNUMBER(H100)),D100-H100,NA())</f>
        <v/>
      </c>
      <c r="M100" s="18">
        <f>IF(AND(ISNUMBER(E100),ISNUMBER(K100)),E100-K100,NA())</f>
        <v/>
      </c>
      <c r="N100" s="18">
        <f>IF(NOT(ISNUMBER($A100)),NA(),IF(COUNT(OFFSET(G100,1,0,Settings!$B$12,1))&lt;Settings!$B$12,NA(),STDEV(OFFSET(G100,1,0,Settings!$B$12,1))*SQRT(Settings!$B$13)))</f>
        <v/>
      </c>
      <c r="O100" s="18">
        <f>IF(AND(ISNUMBER(E100),ISNUMBER(N100)),E100-N100,NA())</f>
        <v/>
      </c>
      <c r="P100" s="17">
        <f>IF(NOT(ISNUMBER($A100)),NA(),IF(OR($A100&lt;MIN(KW_TP!$A$2:$A$2501),$A100&gt;MAX(KW_TP!$A$2:$A$2501)),NA(),INDEX(KW_TP!$C$2:$C$2501,MATCH($A100,KW_TP!$A$2:$A$2501,1))))</f>
        <v/>
      </c>
    </row>
    <row r="101">
      <c r="A101" s="15">
        <f>IF(ISNUMBER(BBG_Data!A101),BBG_Data!A101,"")</f>
        <v/>
      </c>
      <c r="B101" s="16">
        <f>IF(AND(ISNUMBER($A101),ISNUMBER(BBG_Data!B101)),BBG_Data!B101,NA())</f>
        <v/>
      </c>
      <c r="C101" s="16">
        <f>IF(AND(ISNUMBER($A101),ISNUMBER(BBG_Data!C101)),BBG_Data!C101,NA())</f>
        <v/>
      </c>
      <c r="D101" s="17">
        <f>IF(AND(ISNUMBER($A101),ISNUMBER(BBG_Data!D101)),BBG_Data!D101,NA())</f>
        <v/>
      </c>
      <c r="E101" s="17">
        <f>IF(AND(ISNUMBER($A101),ISNUMBER(BBG_Data!E101)),BBG_Data!E101,NA())</f>
        <v/>
      </c>
      <c r="F101" s="18">
        <f>IF(AND(ISNUMBER(B101),ISNUMBER(B100)),(B101-B100)*100,"")</f>
        <v/>
      </c>
      <c r="G101" s="18">
        <f>IF(AND(ISNUMBER(C101),ISNUMBER(C100)),(C101-C100)*100,"")</f>
        <v/>
      </c>
      <c r="H101" s="18">
        <f>IF(OR(NOT(ISNUMBER($A101)),ROW()-2&lt;Settings!$B$11),NA(),IF(COUNT(OFFSET(F101,1-Settings!$B$11,0,Settings!$B$11,1))&lt;Settings!$B$11,NA(),STDEV(OFFSET(F101,1-Settings!$B$11,0,Settings!$B$11,1))*SQRT(Settings!$B$13)))</f>
        <v/>
      </c>
      <c r="I101" s="18">
        <f>IF(OR(NOT(ISNUMBER($A101)),ROW()-2&lt;Settings!$B$12),NA(),IF(COUNT(OFFSET(F101,1-Settings!$B$12,0,Settings!$B$12,1))&lt;Settings!$B$12,NA(),STDEV(OFFSET(F101,1-Settings!$B$12,0,Settings!$B$12,1))*SQRT(Settings!$B$13)))</f>
        <v/>
      </c>
      <c r="J101" s="18">
        <f>IF(OR(NOT(ISNUMBER($A101)),ROW()-2&lt;Settings!$B$11),NA(),IF(COUNT(OFFSET(G101,1-Settings!$B$11,0,Settings!$B$11,1))&lt;Settings!$B$11,NA(),STDEV(OFFSET(G101,1-Settings!$B$11,0,Settings!$B$11,1))*SQRT(Settings!$B$13)))</f>
        <v/>
      </c>
      <c r="K101" s="18">
        <f>IF(OR(NOT(ISNUMBER($A101)),ROW()-2&lt;Settings!$B$12),NA(),IF(COUNT(OFFSET(G101,1-Settings!$B$12,0,Settings!$B$12,1))&lt;Settings!$B$12,NA(),STDEV(OFFSET(G101,1-Settings!$B$12,0,Settings!$B$12,1))*SQRT(Settings!$B$13)))</f>
        <v/>
      </c>
      <c r="L101" s="18">
        <f>IF(AND(ISNUMBER(D101),ISNUMBER(H101)),D101-H101,NA())</f>
        <v/>
      </c>
      <c r="M101" s="18">
        <f>IF(AND(ISNUMBER(E101),ISNUMBER(K101)),E101-K101,NA())</f>
        <v/>
      </c>
      <c r="N101" s="18">
        <f>IF(NOT(ISNUMBER($A101)),NA(),IF(COUNT(OFFSET(G101,1,0,Settings!$B$12,1))&lt;Settings!$B$12,NA(),STDEV(OFFSET(G101,1,0,Settings!$B$12,1))*SQRT(Settings!$B$13)))</f>
        <v/>
      </c>
      <c r="O101" s="18">
        <f>IF(AND(ISNUMBER(E101),ISNUMBER(N101)),E101-N101,NA())</f>
        <v/>
      </c>
      <c r="P101" s="17">
        <f>IF(NOT(ISNUMBER($A101)),NA(),IF(OR($A101&lt;MIN(KW_TP!$A$2:$A$2501),$A101&gt;MAX(KW_TP!$A$2:$A$2501)),NA(),INDEX(KW_TP!$C$2:$C$2501,MATCH($A101,KW_TP!$A$2:$A$2501,1))))</f>
        <v/>
      </c>
    </row>
    <row r="102">
      <c r="A102" s="15">
        <f>IF(ISNUMBER(BBG_Data!A102),BBG_Data!A102,"")</f>
        <v/>
      </c>
      <c r="B102" s="16">
        <f>IF(AND(ISNUMBER($A102),ISNUMBER(BBG_Data!B102)),BBG_Data!B102,NA())</f>
        <v/>
      </c>
      <c r="C102" s="16">
        <f>IF(AND(ISNUMBER($A102),ISNUMBER(BBG_Data!C102)),BBG_Data!C102,NA())</f>
        <v/>
      </c>
      <c r="D102" s="17">
        <f>IF(AND(ISNUMBER($A102),ISNUMBER(BBG_Data!D102)),BBG_Data!D102,NA())</f>
        <v/>
      </c>
      <c r="E102" s="17">
        <f>IF(AND(ISNUMBER($A102),ISNUMBER(BBG_Data!E102)),BBG_Data!E102,NA())</f>
        <v/>
      </c>
      <c r="F102" s="18">
        <f>IF(AND(ISNUMBER(B102),ISNUMBER(B101)),(B102-B101)*100,"")</f>
        <v/>
      </c>
      <c r="G102" s="18">
        <f>IF(AND(ISNUMBER(C102),ISNUMBER(C101)),(C102-C101)*100,"")</f>
        <v/>
      </c>
      <c r="H102" s="18">
        <f>IF(OR(NOT(ISNUMBER($A102)),ROW()-2&lt;Settings!$B$11),NA(),IF(COUNT(OFFSET(F102,1-Settings!$B$11,0,Settings!$B$11,1))&lt;Settings!$B$11,NA(),STDEV(OFFSET(F102,1-Settings!$B$11,0,Settings!$B$11,1))*SQRT(Settings!$B$13)))</f>
        <v/>
      </c>
      <c r="I102" s="18">
        <f>IF(OR(NOT(ISNUMBER($A102)),ROW()-2&lt;Settings!$B$12),NA(),IF(COUNT(OFFSET(F102,1-Settings!$B$12,0,Settings!$B$12,1))&lt;Settings!$B$12,NA(),STDEV(OFFSET(F102,1-Settings!$B$12,0,Settings!$B$12,1))*SQRT(Settings!$B$13)))</f>
        <v/>
      </c>
      <c r="J102" s="18">
        <f>IF(OR(NOT(ISNUMBER($A102)),ROW()-2&lt;Settings!$B$11),NA(),IF(COUNT(OFFSET(G102,1-Settings!$B$11,0,Settings!$B$11,1))&lt;Settings!$B$11,NA(),STDEV(OFFSET(G102,1-Settings!$B$11,0,Settings!$B$11,1))*SQRT(Settings!$B$13)))</f>
        <v/>
      </c>
      <c r="K102" s="18">
        <f>IF(OR(NOT(ISNUMBER($A102)),ROW()-2&lt;Settings!$B$12),NA(),IF(COUNT(OFFSET(G102,1-Settings!$B$12,0,Settings!$B$12,1))&lt;Settings!$B$12,NA(),STDEV(OFFSET(G102,1-Settings!$B$12,0,Settings!$B$12,1))*SQRT(Settings!$B$13)))</f>
        <v/>
      </c>
      <c r="L102" s="18">
        <f>IF(AND(ISNUMBER(D102),ISNUMBER(H102)),D102-H102,NA())</f>
        <v/>
      </c>
      <c r="M102" s="18">
        <f>IF(AND(ISNUMBER(E102),ISNUMBER(K102)),E102-K102,NA())</f>
        <v/>
      </c>
      <c r="N102" s="18">
        <f>IF(NOT(ISNUMBER($A102)),NA(),IF(COUNT(OFFSET(G102,1,0,Settings!$B$12,1))&lt;Settings!$B$12,NA(),STDEV(OFFSET(G102,1,0,Settings!$B$12,1))*SQRT(Settings!$B$13)))</f>
        <v/>
      </c>
      <c r="O102" s="18">
        <f>IF(AND(ISNUMBER(E102),ISNUMBER(N102)),E102-N102,NA())</f>
        <v/>
      </c>
      <c r="P102" s="17">
        <f>IF(NOT(ISNUMBER($A102)),NA(),IF(OR($A102&lt;MIN(KW_TP!$A$2:$A$2501),$A102&gt;MAX(KW_TP!$A$2:$A$2501)),NA(),INDEX(KW_TP!$C$2:$C$2501,MATCH($A102,KW_TP!$A$2:$A$2501,1))))</f>
        <v/>
      </c>
    </row>
    <row r="103">
      <c r="A103" s="15">
        <f>IF(ISNUMBER(BBG_Data!A103),BBG_Data!A103,"")</f>
        <v/>
      </c>
      <c r="B103" s="16">
        <f>IF(AND(ISNUMBER($A103),ISNUMBER(BBG_Data!B103)),BBG_Data!B103,NA())</f>
        <v/>
      </c>
      <c r="C103" s="16">
        <f>IF(AND(ISNUMBER($A103),ISNUMBER(BBG_Data!C103)),BBG_Data!C103,NA())</f>
        <v/>
      </c>
      <c r="D103" s="17">
        <f>IF(AND(ISNUMBER($A103),ISNUMBER(BBG_Data!D103)),BBG_Data!D103,NA())</f>
        <v/>
      </c>
      <c r="E103" s="17">
        <f>IF(AND(ISNUMBER($A103),ISNUMBER(BBG_Data!E103)),BBG_Data!E103,NA())</f>
        <v/>
      </c>
      <c r="F103" s="18">
        <f>IF(AND(ISNUMBER(B103),ISNUMBER(B102)),(B103-B102)*100,"")</f>
        <v/>
      </c>
      <c r="G103" s="18">
        <f>IF(AND(ISNUMBER(C103),ISNUMBER(C102)),(C103-C102)*100,"")</f>
        <v/>
      </c>
      <c r="H103" s="18">
        <f>IF(OR(NOT(ISNUMBER($A103)),ROW()-2&lt;Settings!$B$11),NA(),IF(COUNT(OFFSET(F103,1-Settings!$B$11,0,Settings!$B$11,1))&lt;Settings!$B$11,NA(),STDEV(OFFSET(F103,1-Settings!$B$11,0,Settings!$B$11,1))*SQRT(Settings!$B$13)))</f>
        <v/>
      </c>
      <c r="I103" s="18">
        <f>IF(OR(NOT(ISNUMBER($A103)),ROW()-2&lt;Settings!$B$12),NA(),IF(COUNT(OFFSET(F103,1-Settings!$B$12,0,Settings!$B$12,1))&lt;Settings!$B$12,NA(),STDEV(OFFSET(F103,1-Settings!$B$12,0,Settings!$B$12,1))*SQRT(Settings!$B$13)))</f>
        <v/>
      </c>
      <c r="J103" s="18">
        <f>IF(OR(NOT(ISNUMBER($A103)),ROW()-2&lt;Settings!$B$11),NA(),IF(COUNT(OFFSET(G103,1-Settings!$B$11,0,Settings!$B$11,1))&lt;Settings!$B$11,NA(),STDEV(OFFSET(G103,1-Settings!$B$11,0,Settings!$B$11,1))*SQRT(Settings!$B$13)))</f>
        <v/>
      </c>
      <c r="K103" s="18">
        <f>IF(OR(NOT(ISNUMBER($A103)),ROW()-2&lt;Settings!$B$12),NA(),IF(COUNT(OFFSET(G103,1-Settings!$B$12,0,Settings!$B$12,1))&lt;Settings!$B$12,NA(),STDEV(OFFSET(G103,1-Settings!$B$12,0,Settings!$B$12,1))*SQRT(Settings!$B$13)))</f>
        <v/>
      </c>
      <c r="L103" s="18">
        <f>IF(AND(ISNUMBER(D103),ISNUMBER(H103)),D103-H103,NA())</f>
        <v/>
      </c>
      <c r="M103" s="18">
        <f>IF(AND(ISNUMBER(E103),ISNUMBER(K103)),E103-K103,NA())</f>
        <v/>
      </c>
      <c r="N103" s="18">
        <f>IF(NOT(ISNUMBER($A103)),NA(),IF(COUNT(OFFSET(G103,1,0,Settings!$B$12,1))&lt;Settings!$B$12,NA(),STDEV(OFFSET(G103,1,0,Settings!$B$12,1))*SQRT(Settings!$B$13)))</f>
        <v/>
      </c>
      <c r="O103" s="18">
        <f>IF(AND(ISNUMBER(E103),ISNUMBER(N103)),E103-N103,NA())</f>
        <v/>
      </c>
      <c r="P103" s="17">
        <f>IF(NOT(ISNUMBER($A103)),NA(),IF(OR($A103&lt;MIN(KW_TP!$A$2:$A$2501),$A103&gt;MAX(KW_TP!$A$2:$A$2501)),NA(),INDEX(KW_TP!$C$2:$C$2501,MATCH($A103,KW_TP!$A$2:$A$2501,1))))</f>
        <v/>
      </c>
    </row>
    <row r="104">
      <c r="A104" s="15">
        <f>IF(ISNUMBER(BBG_Data!A104),BBG_Data!A104,"")</f>
        <v/>
      </c>
      <c r="B104" s="16">
        <f>IF(AND(ISNUMBER($A104),ISNUMBER(BBG_Data!B104)),BBG_Data!B104,NA())</f>
        <v/>
      </c>
      <c r="C104" s="16">
        <f>IF(AND(ISNUMBER($A104),ISNUMBER(BBG_Data!C104)),BBG_Data!C104,NA())</f>
        <v/>
      </c>
      <c r="D104" s="17">
        <f>IF(AND(ISNUMBER($A104),ISNUMBER(BBG_Data!D104)),BBG_Data!D104,NA())</f>
        <v/>
      </c>
      <c r="E104" s="17">
        <f>IF(AND(ISNUMBER($A104),ISNUMBER(BBG_Data!E104)),BBG_Data!E104,NA())</f>
        <v/>
      </c>
      <c r="F104" s="18">
        <f>IF(AND(ISNUMBER(B104),ISNUMBER(B103)),(B104-B103)*100,"")</f>
        <v/>
      </c>
      <c r="G104" s="18">
        <f>IF(AND(ISNUMBER(C104),ISNUMBER(C103)),(C104-C103)*100,"")</f>
        <v/>
      </c>
      <c r="H104" s="18">
        <f>IF(OR(NOT(ISNUMBER($A104)),ROW()-2&lt;Settings!$B$11),NA(),IF(COUNT(OFFSET(F104,1-Settings!$B$11,0,Settings!$B$11,1))&lt;Settings!$B$11,NA(),STDEV(OFFSET(F104,1-Settings!$B$11,0,Settings!$B$11,1))*SQRT(Settings!$B$13)))</f>
        <v/>
      </c>
      <c r="I104" s="18">
        <f>IF(OR(NOT(ISNUMBER($A104)),ROW()-2&lt;Settings!$B$12),NA(),IF(COUNT(OFFSET(F104,1-Settings!$B$12,0,Settings!$B$12,1))&lt;Settings!$B$12,NA(),STDEV(OFFSET(F104,1-Settings!$B$12,0,Settings!$B$12,1))*SQRT(Settings!$B$13)))</f>
        <v/>
      </c>
      <c r="J104" s="18">
        <f>IF(OR(NOT(ISNUMBER($A104)),ROW()-2&lt;Settings!$B$11),NA(),IF(COUNT(OFFSET(G104,1-Settings!$B$11,0,Settings!$B$11,1))&lt;Settings!$B$11,NA(),STDEV(OFFSET(G104,1-Settings!$B$11,0,Settings!$B$11,1))*SQRT(Settings!$B$13)))</f>
        <v/>
      </c>
      <c r="K104" s="18">
        <f>IF(OR(NOT(ISNUMBER($A104)),ROW()-2&lt;Settings!$B$12),NA(),IF(COUNT(OFFSET(G104,1-Settings!$B$12,0,Settings!$B$12,1))&lt;Settings!$B$12,NA(),STDEV(OFFSET(G104,1-Settings!$B$12,0,Settings!$B$12,1))*SQRT(Settings!$B$13)))</f>
        <v/>
      </c>
      <c r="L104" s="18">
        <f>IF(AND(ISNUMBER(D104),ISNUMBER(H104)),D104-H104,NA())</f>
        <v/>
      </c>
      <c r="M104" s="18">
        <f>IF(AND(ISNUMBER(E104),ISNUMBER(K104)),E104-K104,NA())</f>
        <v/>
      </c>
      <c r="N104" s="18">
        <f>IF(NOT(ISNUMBER($A104)),NA(),IF(COUNT(OFFSET(G104,1,0,Settings!$B$12,1))&lt;Settings!$B$12,NA(),STDEV(OFFSET(G104,1,0,Settings!$B$12,1))*SQRT(Settings!$B$13)))</f>
        <v/>
      </c>
      <c r="O104" s="18">
        <f>IF(AND(ISNUMBER(E104),ISNUMBER(N104)),E104-N104,NA())</f>
        <v/>
      </c>
      <c r="P104" s="17">
        <f>IF(NOT(ISNUMBER($A104)),NA(),IF(OR($A104&lt;MIN(KW_TP!$A$2:$A$2501),$A104&gt;MAX(KW_TP!$A$2:$A$2501)),NA(),INDEX(KW_TP!$C$2:$C$2501,MATCH($A104,KW_TP!$A$2:$A$2501,1))))</f>
        <v/>
      </c>
    </row>
    <row r="105">
      <c r="A105" s="15">
        <f>IF(ISNUMBER(BBG_Data!A105),BBG_Data!A105,"")</f>
        <v/>
      </c>
      <c r="B105" s="16">
        <f>IF(AND(ISNUMBER($A105),ISNUMBER(BBG_Data!B105)),BBG_Data!B105,NA())</f>
        <v/>
      </c>
      <c r="C105" s="16">
        <f>IF(AND(ISNUMBER($A105),ISNUMBER(BBG_Data!C105)),BBG_Data!C105,NA())</f>
        <v/>
      </c>
      <c r="D105" s="17">
        <f>IF(AND(ISNUMBER($A105),ISNUMBER(BBG_Data!D105)),BBG_Data!D105,NA())</f>
        <v/>
      </c>
      <c r="E105" s="17">
        <f>IF(AND(ISNUMBER($A105),ISNUMBER(BBG_Data!E105)),BBG_Data!E105,NA())</f>
        <v/>
      </c>
      <c r="F105" s="18">
        <f>IF(AND(ISNUMBER(B105),ISNUMBER(B104)),(B105-B104)*100,"")</f>
        <v/>
      </c>
      <c r="G105" s="18">
        <f>IF(AND(ISNUMBER(C105),ISNUMBER(C104)),(C105-C104)*100,"")</f>
        <v/>
      </c>
      <c r="H105" s="18">
        <f>IF(OR(NOT(ISNUMBER($A105)),ROW()-2&lt;Settings!$B$11),NA(),IF(COUNT(OFFSET(F105,1-Settings!$B$11,0,Settings!$B$11,1))&lt;Settings!$B$11,NA(),STDEV(OFFSET(F105,1-Settings!$B$11,0,Settings!$B$11,1))*SQRT(Settings!$B$13)))</f>
        <v/>
      </c>
      <c r="I105" s="18">
        <f>IF(OR(NOT(ISNUMBER($A105)),ROW()-2&lt;Settings!$B$12),NA(),IF(COUNT(OFFSET(F105,1-Settings!$B$12,0,Settings!$B$12,1))&lt;Settings!$B$12,NA(),STDEV(OFFSET(F105,1-Settings!$B$12,0,Settings!$B$12,1))*SQRT(Settings!$B$13)))</f>
        <v/>
      </c>
      <c r="J105" s="18">
        <f>IF(OR(NOT(ISNUMBER($A105)),ROW()-2&lt;Settings!$B$11),NA(),IF(COUNT(OFFSET(G105,1-Settings!$B$11,0,Settings!$B$11,1))&lt;Settings!$B$11,NA(),STDEV(OFFSET(G105,1-Settings!$B$11,0,Settings!$B$11,1))*SQRT(Settings!$B$13)))</f>
        <v/>
      </c>
      <c r="K105" s="18">
        <f>IF(OR(NOT(ISNUMBER($A105)),ROW()-2&lt;Settings!$B$12),NA(),IF(COUNT(OFFSET(G105,1-Settings!$B$12,0,Settings!$B$12,1))&lt;Settings!$B$12,NA(),STDEV(OFFSET(G105,1-Settings!$B$12,0,Settings!$B$12,1))*SQRT(Settings!$B$13)))</f>
        <v/>
      </c>
      <c r="L105" s="18">
        <f>IF(AND(ISNUMBER(D105),ISNUMBER(H105)),D105-H105,NA())</f>
        <v/>
      </c>
      <c r="M105" s="18">
        <f>IF(AND(ISNUMBER(E105),ISNUMBER(K105)),E105-K105,NA())</f>
        <v/>
      </c>
      <c r="N105" s="18">
        <f>IF(NOT(ISNUMBER($A105)),NA(),IF(COUNT(OFFSET(G105,1,0,Settings!$B$12,1))&lt;Settings!$B$12,NA(),STDEV(OFFSET(G105,1,0,Settings!$B$12,1))*SQRT(Settings!$B$13)))</f>
        <v/>
      </c>
      <c r="O105" s="18">
        <f>IF(AND(ISNUMBER(E105),ISNUMBER(N105)),E105-N105,NA())</f>
        <v/>
      </c>
      <c r="P105" s="17">
        <f>IF(NOT(ISNUMBER($A105)),NA(),IF(OR($A105&lt;MIN(KW_TP!$A$2:$A$2501),$A105&gt;MAX(KW_TP!$A$2:$A$2501)),NA(),INDEX(KW_TP!$C$2:$C$2501,MATCH($A105,KW_TP!$A$2:$A$2501,1))))</f>
        <v/>
      </c>
    </row>
    <row r="106">
      <c r="A106" s="15">
        <f>IF(ISNUMBER(BBG_Data!A106),BBG_Data!A106,"")</f>
        <v/>
      </c>
      <c r="B106" s="16">
        <f>IF(AND(ISNUMBER($A106),ISNUMBER(BBG_Data!B106)),BBG_Data!B106,NA())</f>
        <v/>
      </c>
      <c r="C106" s="16">
        <f>IF(AND(ISNUMBER($A106),ISNUMBER(BBG_Data!C106)),BBG_Data!C106,NA())</f>
        <v/>
      </c>
      <c r="D106" s="17">
        <f>IF(AND(ISNUMBER($A106),ISNUMBER(BBG_Data!D106)),BBG_Data!D106,NA())</f>
        <v/>
      </c>
      <c r="E106" s="17">
        <f>IF(AND(ISNUMBER($A106),ISNUMBER(BBG_Data!E106)),BBG_Data!E106,NA())</f>
        <v/>
      </c>
      <c r="F106" s="18">
        <f>IF(AND(ISNUMBER(B106),ISNUMBER(B105)),(B106-B105)*100,"")</f>
        <v/>
      </c>
      <c r="G106" s="18">
        <f>IF(AND(ISNUMBER(C106),ISNUMBER(C105)),(C106-C105)*100,"")</f>
        <v/>
      </c>
      <c r="H106" s="18">
        <f>IF(OR(NOT(ISNUMBER($A106)),ROW()-2&lt;Settings!$B$11),NA(),IF(COUNT(OFFSET(F106,1-Settings!$B$11,0,Settings!$B$11,1))&lt;Settings!$B$11,NA(),STDEV(OFFSET(F106,1-Settings!$B$11,0,Settings!$B$11,1))*SQRT(Settings!$B$13)))</f>
        <v/>
      </c>
      <c r="I106" s="18">
        <f>IF(OR(NOT(ISNUMBER($A106)),ROW()-2&lt;Settings!$B$12),NA(),IF(COUNT(OFFSET(F106,1-Settings!$B$12,0,Settings!$B$12,1))&lt;Settings!$B$12,NA(),STDEV(OFFSET(F106,1-Settings!$B$12,0,Settings!$B$12,1))*SQRT(Settings!$B$13)))</f>
        <v/>
      </c>
      <c r="J106" s="18">
        <f>IF(OR(NOT(ISNUMBER($A106)),ROW()-2&lt;Settings!$B$11),NA(),IF(COUNT(OFFSET(G106,1-Settings!$B$11,0,Settings!$B$11,1))&lt;Settings!$B$11,NA(),STDEV(OFFSET(G106,1-Settings!$B$11,0,Settings!$B$11,1))*SQRT(Settings!$B$13)))</f>
        <v/>
      </c>
      <c r="K106" s="18">
        <f>IF(OR(NOT(ISNUMBER($A106)),ROW()-2&lt;Settings!$B$12),NA(),IF(COUNT(OFFSET(G106,1-Settings!$B$12,0,Settings!$B$12,1))&lt;Settings!$B$12,NA(),STDEV(OFFSET(G106,1-Settings!$B$12,0,Settings!$B$12,1))*SQRT(Settings!$B$13)))</f>
        <v/>
      </c>
      <c r="L106" s="18">
        <f>IF(AND(ISNUMBER(D106),ISNUMBER(H106)),D106-H106,NA())</f>
        <v/>
      </c>
      <c r="M106" s="18">
        <f>IF(AND(ISNUMBER(E106),ISNUMBER(K106)),E106-K106,NA())</f>
        <v/>
      </c>
      <c r="N106" s="18">
        <f>IF(NOT(ISNUMBER($A106)),NA(),IF(COUNT(OFFSET(G106,1,0,Settings!$B$12,1))&lt;Settings!$B$12,NA(),STDEV(OFFSET(G106,1,0,Settings!$B$12,1))*SQRT(Settings!$B$13)))</f>
        <v/>
      </c>
      <c r="O106" s="18">
        <f>IF(AND(ISNUMBER(E106),ISNUMBER(N106)),E106-N106,NA())</f>
        <v/>
      </c>
      <c r="P106" s="17">
        <f>IF(NOT(ISNUMBER($A106)),NA(),IF(OR($A106&lt;MIN(KW_TP!$A$2:$A$2501),$A106&gt;MAX(KW_TP!$A$2:$A$2501)),NA(),INDEX(KW_TP!$C$2:$C$2501,MATCH($A106,KW_TP!$A$2:$A$2501,1))))</f>
        <v/>
      </c>
    </row>
    <row r="107">
      <c r="A107" s="15">
        <f>IF(ISNUMBER(BBG_Data!A107),BBG_Data!A107,"")</f>
        <v/>
      </c>
      <c r="B107" s="16">
        <f>IF(AND(ISNUMBER($A107),ISNUMBER(BBG_Data!B107)),BBG_Data!B107,NA())</f>
        <v/>
      </c>
      <c r="C107" s="16">
        <f>IF(AND(ISNUMBER($A107),ISNUMBER(BBG_Data!C107)),BBG_Data!C107,NA())</f>
        <v/>
      </c>
      <c r="D107" s="17">
        <f>IF(AND(ISNUMBER($A107),ISNUMBER(BBG_Data!D107)),BBG_Data!D107,NA())</f>
        <v/>
      </c>
      <c r="E107" s="17">
        <f>IF(AND(ISNUMBER($A107),ISNUMBER(BBG_Data!E107)),BBG_Data!E107,NA())</f>
        <v/>
      </c>
      <c r="F107" s="18">
        <f>IF(AND(ISNUMBER(B107),ISNUMBER(B106)),(B107-B106)*100,"")</f>
        <v/>
      </c>
      <c r="G107" s="18">
        <f>IF(AND(ISNUMBER(C107),ISNUMBER(C106)),(C107-C106)*100,"")</f>
        <v/>
      </c>
      <c r="H107" s="18">
        <f>IF(OR(NOT(ISNUMBER($A107)),ROW()-2&lt;Settings!$B$11),NA(),IF(COUNT(OFFSET(F107,1-Settings!$B$11,0,Settings!$B$11,1))&lt;Settings!$B$11,NA(),STDEV(OFFSET(F107,1-Settings!$B$11,0,Settings!$B$11,1))*SQRT(Settings!$B$13)))</f>
        <v/>
      </c>
      <c r="I107" s="18">
        <f>IF(OR(NOT(ISNUMBER($A107)),ROW()-2&lt;Settings!$B$12),NA(),IF(COUNT(OFFSET(F107,1-Settings!$B$12,0,Settings!$B$12,1))&lt;Settings!$B$12,NA(),STDEV(OFFSET(F107,1-Settings!$B$12,0,Settings!$B$12,1))*SQRT(Settings!$B$13)))</f>
        <v/>
      </c>
      <c r="J107" s="18">
        <f>IF(OR(NOT(ISNUMBER($A107)),ROW()-2&lt;Settings!$B$11),NA(),IF(COUNT(OFFSET(G107,1-Settings!$B$11,0,Settings!$B$11,1))&lt;Settings!$B$11,NA(),STDEV(OFFSET(G107,1-Settings!$B$11,0,Settings!$B$11,1))*SQRT(Settings!$B$13)))</f>
        <v/>
      </c>
      <c r="K107" s="18">
        <f>IF(OR(NOT(ISNUMBER($A107)),ROW()-2&lt;Settings!$B$12),NA(),IF(COUNT(OFFSET(G107,1-Settings!$B$12,0,Settings!$B$12,1))&lt;Settings!$B$12,NA(),STDEV(OFFSET(G107,1-Settings!$B$12,0,Settings!$B$12,1))*SQRT(Settings!$B$13)))</f>
        <v/>
      </c>
      <c r="L107" s="18">
        <f>IF(AND(ISNUMBER(D107),ISNUMBER(H107)),D107-H107,NA())</f>
        <v/>
      </c>
      <c r="M107" s="18">
        <f>IF(AND(ISNUMBER(E107),ISNUMBER(K107)),E107-K107,NA())</f>
        <v/>
      </c>
      <c r="N107" s="18">
        <f>IF(NOT(ISNUMBER($A107)),NA(),IF(COUNT(OFFSET(G107,1,0,Settings!$B$12,1))&lt;Settings!$B$12,NA(),STDEV(OFFSET(G107,1,0,Settings!$B$12,1))*SQRT(Settings!$B$13)))</f>
        <v/>
      </c>
      <c r="O107" s="18">
        <f>IF(AND(ISNUMBER(E107),ISNUMBER(N107)),E107-N107,NA())</f>
        <v/>
      </c>
      <c r="P107" s="17">
        <f>IF(NOT(ISNUMBER($A107)),NA(),IF(OR($A107&lt;MIN(KW_TP!$A$2:$A$2501),$A107&gt;MAX(KW_TP!$A$2:$A$2501)),NA(),INDEX(KW_TP!$C$2:$C$2501,MATCH($A107,KW_TP!$A$2:$A$2501,1))))</f>
        <v/>
      </c>
    </row>
    <row r="108">
      <c r="A108" s="15">
        <f>IF(ISNUMBER(BBG_Data!A108),BBG_Data!A108,"")</f>
        <v/>
      </c>
      <c r="B108" s="16">
        <f>IF(AND(ISNUMBER($A108),ISNUMBER(BBG_Data!B108)),BBG_Data!B108,NA())</f>
        <v/>
      </c>
      <c r="C108" s="16">
        <f>IF(AND(ISNUMBER($A108),ISNUMBER(BBG_Data!C108)),BBG_Data!C108,NA())</f>
        <v/>
      </c>
      <c r="D108" s="17">
        <f>IF(AND(ISNUMBER($A108),ISNUMBER(BBG_Data!D108)),BBG_Data!D108,NA())</f>
        <v/>
      </c>
      <c r="E108" s="17">
        <f>IF(AND(ISNUMBER($A108),ISNUMBER(BBG_Data!E108)),BBG_Data!E108,NA())</f>
        <v/>
      </c>
      <c r="F108" s="18">
        <f>IF(AND(ISNUMBER(B108),ISNUMBER(B107)),(B108-B107)*100,"")</f>
        <v/>
      </c>
      <c r="G108" s="18">
        <f>IF(AND(ISNUMBER(C108),ISNUMBER(C107)),(C108-C107)*100,"")</f>
        <v/>
      </c>
      <c r="H108" s="18">
        <f>IF(OR(NOT(ISNUMBER($A108)),ROW()-2&lt;Settings!$B$11),NA(),IF(COUNT(OFFSET(F108,1-Settings!$B$11,0,Settings!$B$11,1))&lt;Settings!$B$11,NA(),STDEV(OFFSET(F108,1-Settings!$B$11,0,Settings!$B$11,1))*SQRT(Settings!$B$13)))</f>
        <v/>
      </c>
      <c r="I108" s="18">
        <f>IF(OR(NOT(ISNUMBER($A108)),ROW()-2&lt;Settings!$B$12),NA(),IF(COUNT(OFFSET(F108,1-Settings!$B$12,0,Settings!$B$12,1))&lt;Settings!$B$12,NA(),STDEV(OFFSET(F108,1-Settings!$B$12,0,Settings!$B$12,1))*SQRT(Settings!$B$13)))</f>
        <v/>
      </c>
      <c r="J108" s="18">
        <f>IF(OR(NOT(ISNUMBER($A108)),ROW()-2&lt;Settings!$B$11),NA(),IF(COUNT(OFFSET(G108,1-Settings!$B$11,0,Settings!$B$11,1))&lt;Settings!$B$11,NA(),STDEV(OFFSET(G108,1-Settings!$B$11,0,Settings!$B$11,1))*SQRT(Settings!$B$13)))</f>
        <v/>
      </c>
      <c r="K108" s="18">
        <f>IF(OR(NOT(ISNUMBER($A108)),ROW()-2&lt;Settings!$B$12),NA(),IF(COUNT(OFFSET(G108,1-Settings!$B$12,0,Settings!$B$12,1))&lt;Settings!$B$12,NA(),STDEV(OFFSET(G108,1-Settings!$B$12,0,Settings!$B$12,1))*SQRT(Settings!$B$13)))</f>
        <v/>
      </c>
      <c r="L108" s="18">
        <f>IF(AND(ISNUMBER(D108),ISNUMBER(H108)),D108-H108,NA())</f>
        <v/>
      </c>
      <c r="M108" s="18">
        <f>IF(AND(ISNUMBER(E108),ISNUMBER(K108)),E108-K108,NA())</f>
        <v/>
      </c>
      <c r="N108" s="18">
        <f>IF(NOT(ISNUMBER($A108)),NA(),IF(COUNT(OFFSET(G108,1,0,Settings!$B$12,1))&lt;Settings!$B$12,NA(),STDEV(OFFSET(G108,1,0,Settings!$B$12,1))*SQRT(Settings!$B$13)))</f>
        <v/>
      </c>
      <c r="O108" s="18">
        <f>IF(AND(ISNUMBER(E108),ISNUMBER(N108)),E108-N108,NA())</f>
        <v/>
      </c>
      <c r="P108" s="17">
        <f>IF(NOT(ISNUMBER($A108)),NA(),IF(OR($A108&lt;MIN(KW_TP!$A$2:$A$2501),$A108&gt;MAX(KW_TP!$A$2:$A$2501)),NA(),INDEX(KW_TP!$C$2:$C$2501,MATCH($A108,KW_TP!$A$2:$A$2501,1))))</f>
        <v/>
      </c>
    </row>
    <row r="109">
      <c r="A109" s="15">
        <f>IF(ISNUMBER(BBG_Data!A109),BBG_Data!A109,"")</f>
        <v/>
      </c>
      <c r="B109" s="16">
        <f>IF(AND(ISNUMBER($A109),ISNUMBER(BBG_Data!B109)),BBG_Data!B109,NA())</f>
        <v/>
      </c>
      <c r="C109" s="16">
        <f>IF(AND(ISNUMBER($A109),ISNUMBER(BBG_Data!C109)),BBG_Data!C109,NA())</f>
        <v/>
      </c>
      <c r="D109" s="17">
        <f>IF(AND(ISNUMBER($A109),ISNUMBER(BBG_Data!D109)),BBG_Data!D109,NA())</f>
        <v/>
      </c>
      <c r="E109" s="17">
        <f>IF(AND(ISNUMBER($A109),ISNUMBER(BBG_Data!E109)),BBG_Data!E109,NA())</f>
        <v/>
      </c>
      <c r="F109" s="18">
        <f>IF(AND(ISNUMBER(B109),ISNUMBER(B108)),(B109-B108)*100,"")</f>
        <v/>
      </c>
      <c r="G109" s="18">
        <f>IF(AND(ISNUMBER(C109),ISNUMBER(C108)),(C109-C108)*100,"")</f>
        <v/>
      </c>
      <c r="H109" s="18">
        <f>IF(OR(NOT(ISNUMBER($A109)),ROW()-2&lt;Settings!$B$11),NA(),IF(COUNT(OFFSET(F109,1-Settings!$B$11,0,Settings!$B$11,1))&lt;Settings!$B$11,NA(),STDEV(OFFSET(F109,1-Settings!$B$11,0,Settings!$B$11,1))*SQRT(Settings!$B$13)))</f>
        <v/>
      </c>
      <c r="I109" s="18">
        <f>IF(OR(NOT(ISNUMBER($A109)),ROW()-2&lt;Settings!$B$12),NA(),IF(COUNT(OFFSET(F109,1-Settings!$B$12,0,Settings!$B$12,1))&lt;Settings!$B$12,NA(),STDEV(OFFSET(F109,1-Settings!$B$12,0,Settings!$B$12,1))*SQRT(Settings!$B$13)))</f>
        <v/>
      </c>
      <c r="J109" s="18">
        <f>IF(OR(NOT(ISNUMBER($A109)),ROW()-2&lt;Settings!$B$11),NA(),IF(COUNT(OFFSET(G109,1-Settings!$B$11,0,Settings!$B$11,1))&lt;Settings!$B$11,NA(),STDEV(OFFSET(G109,1-Settings!$B$11,0,Settings!$B$11,1))*SQRT(Settings!$B$13)))</f>
        <v/>
      </c>
      <c r="K109" s="18">
        <f>IF(OR(NOT(ISNUMBER($A109)),ROW()-2&lt;Settings!$B$12),NA(),IF(COUNT(OFFSET(G109,1-Settings!$B$12,0,Settings!$B$12,1))&lt;Settings!$B$12,NA(),STDEV(OFFSET(G109,1-Settings!$B$12,0,Settings!$B$12,1))*SQRT(Settings!$B$13)))</f>
        <v/>
      </c>
      <c r="L109" s="18">
        <f>IF(AND(ISNUMBER(D109),ISNUMBER(H109)),D109-H109,NA())</f>
        <v/>
      </c>
      <c r="M109" s="18">
        <f>IF(AND(ISNUMBER(E109),ISNUMBER(K109)),E109-K109,NA())</f>
        <v/>
      </c>
      <c r="N109" s="18">
        <f>IF(NOT(ISNUMBER($A109)),NA(),IF(COUNT(OFFSET(G109,1,0,Settings!$B$12,1))&lt;Settings!$B$12,NA(),STDEV(OFFSET(G109,1,0,Settings!$B$12,1))*SQRT(Settings!$B$13)))</f>
        <v/>
      </c>
      <c r="O109" s="18">
        <f>IF(AND(ISNUMBER(E109),ISNUMBER(N109)),E109-N109,NA())</f>
        <v/>
      </c>
      <c r="P109" s="17">
        <f>IF(NOT(ISNUMBER($A109)),NA(),IF(OR($A109&lt;MIN(KW_TP!$A$2:$A$2501),$A109&gt;MAX(KW_TP!$A$2:$A$2501)),NA(),INDEX(KW_TP!$C$2:$C$2501,MATCH($A109,KW_TP!$A$2:$A$2501,1))))</f>
        <v/>
      </c>
    </row>
    <row r="110">
      <c r="A110" s="15">
        <f>IF(ISNUMBER(BBG_Data!A110),BBG_Data!A110,"")</f>
        <v/>
      </c>
      <c r="B110" s="16">
        <f>IF(AND(ISNUMBER($A110),ISNUMBER(BBG_Data!B110)),BBG_Data!B110,NA())</f>
        <v/>
      </c>
      <c r="C110" s="16">
        <f>IF(AND(ISNUMBER($A110),ISNUMBER(BBG_Data!C110)),BBG_Data!C110,NA())</f>
        <v/>
      </c>
      <c r="D110" s="17">
        <f>IF(AND(ISNUMBER($A110),ISNUMBER(BBG_Data!D110)),BBG_Data!D110,NA())</f>
        <v/>
      </c>
      <c r="E110" s="17">
        <f>IF(AND(ISNUMBER($A110),ISNUMBER(BBG_Data!E110)),BBG_Data!E110,NA())</f>
        <v/>
      </c>
      <c r="F110" s="18">
        <f>IF(AND(ISNUMBER(B110),ISNUMBER(B109)),(B110-B109)*100,"")</f>
        <v/>
      </c>
      <c r="G110" s="18">
        <f>IF(AND(ISNUMBER(C110),ISNUMBER(C109)),(C110-C109)*100,"")</f>
        <v/>
      </c>
      <c r="H110" s="18">
        <f>IF(OR(NOT(ISNUMBER($A110)),ROW()-2&lt;Settings!$B$11),NA(),IF(COUNT(OFFSET(F110,1-Settings!$B$11,0,Settings!$B$11,1))&lt;Settings!$B$11,NA(),STDEV(OFFSET(F110,1-Settings!$B$11,0,Settings!$B$11,1))*SQRT(Settings!$B$13)))</f>
        <v/>
      </c>
      <c r="I110" s="18">
        <f>IF(OR(NOT(ISNUMBER($A110)),ROW()-2&lt;Settings!$B$12),NA(),IF(COUNT(OFFSET(F110,1-Settings!$B$12,0,Settings!$B$12,1))&lt;Settings!$B$12,NA(),STDEV(OFFSET(F110,1-Settings!$B$12,0,Settings!$B$12,1))*SQRT(Settings!$B$13)))</f>
        <v/>
      </c>
      <c r="J110" s="18">
        <f>IF(OR(NOT(ISNUMBER($A110)),ROW()-2&lt;Settings!$B$11),NA(),IF(COUNT(OFFSET(G110,1-Settings!$B$11,0,Settings!$B$11,1))&lt;Settings!$B$11,NA(),STDEV(OFFSET(G110,1-Settings!$B$11,0,Settings!$B$11,1))*SQRT(Settings!$B$13)))</f>
        <v/>
      </c>
      <c r="K110" s="18">
        <f>IF(OR(NOT(ISNUMBER($A110)),ROW()-2&lt;Settings!$B$12),NA(),IF(COUNT(OFFSET(G110,1-Settings!$B$12,0,Settings!$B$12,1))&lt;Settings!$B$12,NA(),STDEV(OFFSET(G110,1-Settings!$B$12,0,Settings!$B$12,1))*SQRT(Settings!$B$13)))</f>
        <v/>
      </c>
      <c r="L110" s="18">
        <f>IF(AND(ISNUMBER(D110),ISNUMBER(H110)),D110-H110,NA())</f>
        <v/>
      </c>
      <c r="M110" s="18">
        <f>IF(AND(ISNUMBER(E110),ISNUMBER(K110)),E110-K110,NA())</f>
        <v/>
      </c>
      <c r="N110" s="18">
        <f>IF(NOT(ISNUMBER($A110)),NA(),IF(COUNT(OFFSET(G110,1,0,Settings!$B$12,1))&lt;Settings!$B$12,NA(),STDEV(OFFSET(G110,1,0,Settings!$B$12,1))*SQRT(Settings!$B$13)))</f>
        <v/>
      </c>
      <c r="O110" s="18">
        <f>IF(AND(ISNUMBER(E110),ISNUMBER(N110)),E110-N110,NA())</f>
        <v/>
      </c>
      <c r="P110" s="17">
        <f>IF(NOT(ISNUMBER($A110)),NA(),IF(OR($A110&lt;MIN(KW_TP!$A$2:$A$2501),$A110&gt;MAX(KW_TP!$A$2:$A$2501)),NA(),INDEX(KW_TP!$C$2:$C$2501,MATCH($A110,KW_TP!$A$2:$A$2501,1))))</f>
        <v/>
      </c>
    </row>
    <row r="111">
      <c r="A111" s="15">
        <f>IF(ISNUMBER(BBG_Data!A111),BBG_Data!A111,"")</f>
        <v/>
      </c>
      <c r="B111" s="16">
        <f>IF(AND(ISNUMBER($A111),ISNUMBER(BBG_Data!B111)),BBG_Data!B111,NA())</f>
        <v/>
      </c>
      <c r="C111" s="16">
        <f>IF(AND(ISNUMBER($A111),ISNUMBER(BBG_Data!C111)),BBG_Data!C111,NA())</f>
        <v/>
      </c>
      <c r="D111" s="17">
        <f>IF(AND(ISNUMBER($A111),ISNUMBER(BBG_Data!D111)),BBG_Data!D111,NA())</f>
        <v/>
      </c>
      <c r="E111" s="17">
        <f>IF(AND(ISNUMBER($A111),ISNUMBER(BBG_Data!E111)),BBG_Data!E111,NA())</f>
        <v/>
      </c>
      <c r="F111" s="18">
        <f>IF(AND(ISNUMBER(B111),ISNUMBER(B110)),(B111-B110)*100,"")</f>
        <v/>
      </c>
      <c r="G111" s="18">
        <f>IF(AND(ISNUMBER(C111),ISNUMBER(C110)),(C111-C110)*100,"")</f>
        <v/>
      </c>
      <c r="H111" s="18">
        <f>IF(OR(NOT(ISNUMBER($A111)),ROW()-2&lt;Settings!$B$11),NA(),IF(COUNT(OFFSET(F111,1-Settings!$B$11,0,Settings!$B$11,1))&lt;Settings!$B$11,NA(),STDEV(OFFSET(F111,1-Settings!$B$11,0,Settings!$B$11,1))*SQRT(Settings!$B$13)))</f>
        <v/>
      </c>
      <c r="I111" s="18">
        <f>IF(OR(NOT(ISNUMBER($A111)),ROW()-2&lt;Settings!$B$12),NA(),IF(COUNT(OFFSET(F111,1-Settings!$B$12,0,Settings!$B$12,1))&lt;Settings!$B$12,NA(),STDEV(OFFSET(F111,1-Settings!$B$12,0,Settings!$B$12,1))*SQRT(Settings!$B$13)))</f>
        <v/>
      </c>
      <c r="J111" s="18">
        <f>IF(OR(NOT(ISNUMBER($A111)),ROW()-2&lt;Settings!$B$11),NA(),IF(COUNT(OFFSET(G111,1-Settings!$B$11,0,Settings!$B$11,1))&lt;Settings!$B$11,NA(),STDEV(OFFSET(G111,1-Settings!$B$11,0,Settings!$B$11,1))*SQRT(Settings!$B$13)))</f>
        <v/>
      </c>
      <c r="K111" s="18">
        <f>IF(OR(NOT(ISNUMBER($A111)),ROW()-2&lt;Settings!$B$12),NA(),IF(COUNT(OFFSET(G111,1-Settings!$B$12,0,Settings!$B$12,1))&lt;Settings!$B$12,NA(),STDEV(OFFSET(G111,1-Settings!$B$12,0,Settings!$B$12,1))*SQRT(Settings!$B$13)))</f>
        <v/>
      </c>
      <c r="L111" s="18">
        <f>IF(AND(ISNUMBER(D111),ISNUMBER(H111)),D111-H111,NA())</f>
        <v/>
      </c>
      <c r="M111" s="18">
        <f>IF(AND(ISNUMBER(E111),ISNUMBER(K111)),E111-K111,NA())</f>
        <v/>
      </c>
      <c r="N111" s="18">
        <f>IF(NOT(ISNUMBER($A111)),NA(),IF(COUNT(OFFSET(G111,1,0,Settings!$B$12,1))&lt;Settings!$B$12,NA(),STDEV(OFFSET(G111,1,0,Settings!$B$12,1))*SQRT(Settings!$B$13)))</f>
        <v/>
      </c>
      <c r="O111" s="18">
        <f>IF(AND(ISNUMBER(E111),ISNUMBER(N111)),E111-N111,NA())</f>
        <v/>
      </c>
      <c r="P111" s="17">
        <f>IF(NOT(ISNUMBER($A111)),NA(),IF(OR($A111&lt;MIN(KW_TP!$A$2:$A$2501),$A111&gt;MAX(KW_TP!$A$2:$A$2501)),NA(),INDEX(KW_TP!$C$2:$C$2501,MATCH($A111,KW_TP!$A$2:$A$2501,1))))</f>
        <v/>
      </c>
    </row>
    <row r="112">
      <c r="A112" s="15">
        <f>IF(ISNUMBER(BBG_Data!A112),BBG_Data!A112,"")</f>
        <v/>
      </c>
      <c r="B112" s="16">
        <f>IF(AND(ISNUMBER($A112),ISNUMBER(BBG_Data!B112)),BBG_Data!B112,NA())</f>
        <v/>
      </c>
      <c r="C112" s="16">
        <f>IF(AND(ISNUMBER($A112),ISNUMBER(BBG_Data!C112)),BBG_Data!C112,NA())</f>
        <v/>
      </c>
      <c r="D112" s="17">
        <f>IF(AND(ISNUMBER($A112),ISNUMBER(BBG_Data!D112)),BBG_Data!D112,NA())</f>
        <v/>
      </c>
      <c r="E112" s="17">
        <f>IF(AND(ISNUMBER($A112),ISNUMBER(BBG_Data!E112)),BBG_Data!E112,NA())</f>
        <v/>
      </c>
      <c r="F112" s="18">
        <f>IF(AND(ISNUMBER(B112),ISNUMBER(B111)),(B112-B111)*100,"")</f>
        <v/>
      </c>
      <c r="G112" s="18">
        <f>IF(AND(ISNUMBER(C112),ISNUMBER(C111)),(C112-C111)*100,"")</f>
        <v/>
      </c>
      <c r="H112" s="18">
        <f>IF(OR(NOT(ISNUMBER($A112)),ROW()-2&lt;Settings!$B$11),NA(),IF(COUNT(OFFSET(F112,1-Settings!$B$11,0,Settings!$B$11,1))&lt;Settings!$B$11,NA(),STDEV(OFFSET(F112,1-Settings!$B$11,0,Settings!$B$11,1))*SQRT(Settings!$B$13)))</f>
        <v/>
      </c>
      <c r="I112" s="18">
        <f>IF(OR(NOT(ISNUMBER($A112)),ROW()-2&lt;Settings!$B$12),NA(),IF(COUNT(OFFSET(F112,1-Settings!$B$12,0,Settings!$B$12,1))&lt;Settings!$B$12,NA(),STDEV(OFFSET(F112,1-Settings!$B$12,0,Settings!$B$12,1))*SQRT(Settings!$B$13)))</f>
        <v/>
      </c>
      <c r="J112" s="18">
        <f>IF(OR(NOT(ISNUMBER($A112)),ROW()-2&lt;Settings!$B$11),NA(),IF(COUNT(OFFSET(G112,1-Settings!$B$11,0,Settings!$B$11,1))&lt;Settings!$B$11,NA(),STDEV(OFFSET(G112,1-Settings!$B$11,0,Settings!$B$11,1))*SQRT(Settings!$B$13)))</f>
        <v/>
      </c>
      <c r="K112" s="18">
        <f>IF(OR(NOT(ISNUMBER($A112)),ROW()-2&lt;Settings!$B$12),NA(),IF(COUNT(OFFSET(G112,1-Settings!$B$12,0,Settings!$B$12,1))&lt;Settings!$B$12,NA(),STDEV(OFFSET(G112,1-Settings!$B$12,0,Settings!$B$12,1))*SQRT(Settings!$B$13)))</f>
        <v/>
      </c>
      <c r="L112" s="18">
        <f>IF(AND(ISNUMBER(D112),ISNUMBER(H112)),D112-H112,NA())</f>
        <v/>
      </c>
      <c r="M112" s="18">
        <f>IF(AND(ISNUMBER(E112),ISNUMBER(K112)),E112-K112,NA())</f>
        <v/>
      </c>
      <c r="N112" s="18">
        <f>IF(NOT(ISNUMBER($A112)),NA(),IF(COUNT(OFFSET(G112,1,0,Settings!$B$12,1))&lt;Settings!$B$12,NA(),STDEV(OFFSET(G112,1,0,Settings!$B$12,1))*SQRT(Settings!$B$13)))</f>
        <v/>
      </c>
      <c r="O112" s="18">
        <f>IF(AND(ISNUMBER(E112),ISNUMBER(N112)),E112-N112,NA())</f>
        <v/>
      </c>
      <c r="P112" s="17">
        <f>IF(NOT(ISNUMBER($A112)),NA(),IF(OR($A112&lt;MIN(KW_TP!$A$2:$A$2501),$A112&gt;MAX(KW_TP!$A$2:$A$2501)),NA(),INDEX(KW_TP!$C$2:$C$2501,MATCH($A112,KW_TP!$A$2:$A$2501,1))))</f>
        <v/>
      </c>
    </row>
    <row r="113">
      <c r="A113" s="15">
        <f>IF(ISNUMBER(BBG_Data!A113),BBG_Data!A113,"")</f>
        <v/>
      </c>
      <c r="B113" s="16">
        <f>IF(AND(ISNUMBER($A113),ISNUMBER(BBG_Data!B113)),BBG_Data!B113,NA())</f>
        <v/>
      </c>
      <c r="C113" s="16">
        <f>IF(AND(ISNUMBER($A113),ISNUMBER(BBG_Data!C113)),BBG_Data!C113,NA())</f>
        <v/>
      </c>
      <c r="D113" s="17">
        <f>IF(AND(ISNUMBER($A113),ISNUMBER(BBG_Data!D113)),BBG_Data!D113,NA())</f>
        <v/>
      </c>
      <c r="E113" s="17">
        <f>IF(AND(ISNUMBER($A113),ISNUMBER(BBG_Data!E113)),BBG_Data!E113,NA())</f>
        <v/>
      </c>
      <c r="F113" s="18">
        <f>IF(AND(ISNUMBER(B113),ISNUMBER(B112)),(B113-B112)*100,"")</f>
        <v/>
      </c>
      <c r="G113" s="18">
        <f>IF(AND(ISNUMBER(C113),ISNUMBER(C112)),(C113-C112)*100,"")</f>
        <v/>
      </c>
      <c r="H113" s="18">
        <f>IF(OR(NOT(ISNUMBER($A113)),ROW()-2&lt;Settings!$B$11),NA(),IF(COUNT(OFFSET(F113,1-Settings!$B$11,0,Settings!$B$11,1))&lt;Settings!$B$11,NA(),STDEV(OFFSET(F113,1-Settings!$B$11,0,Settings!$B$11,1))*SQRT(Settings!$B$13)))</f>
        <v/>
      </c>
      <c r="I113" s="18">
        <f>IF(OR(NOT(ISNUMBER($A113)),ROW()-2&lt;Settings!$B$12),NA(),IF(COUNT(OFFSET(F113,1-Settings!$B$12,0,Settings!$B$12,1))&lt;Settings!$B$12,NA(),STDEV(OFFSET(F113,1-Settings!$B$12,0,Settings!$B$12,1))*SQRT(Settings!$B$13)))</f>
        <v/>
      </c>
      <c r="J113" s="18">
        <f>IF(OR(NOT(ISNUMBER($A113)),ROW()-2&lt;Settings!$B$11),NA(),IF(COUNT(OFFSET(G113,1-Settings!$B$11,0,Settings!$B$11,1))&lt;Settings!$B$11,NA(),STDEV(OFFSET(G113,1-Settings!$B$11,0,Settings!$B$11,1))*SQRT(Settings!$B$13)))</f>
        <v/>
      </c>
      <c r="K113" s="18">
        <f>IF(OR(NOT(ISNUMBER($A113)),ROW()-2&lt;Settings!$B$12),NA(),IF(COUNT(OFFSET(G113,1-Settings!$B$12,0,Settings!$B$12,1))&lt;Settings!$B$12,NA(),STDEV(OFFSET(G113,1-Settings!$B$12,0,Settings!$B$12,1))*SQRT(Settings!$B$13)))</f>
        <v/>
      </c>
      <c r="L113" s="18">
        <f>IF(AND(ISNUMBER(D113),ISNUMBER(H113)),D113-H113,NA())</f>
        <v/>
      </c>
      <c r="M113" s="18">
        <f>IF(AND(ISNUMBER(E113),ISNUMBER(K113)),E113-K113,NA())</f>
        <v/>
      </c>
      <c r="N113" s="18">
        <f>IF(NOT(ISNUMBER($A113)),NA(),IF(COUNT(OFFSET(G113,1,0,Settings!$B$12,1))&lt;Settings!$B$12,NA(),STDEV(OFFSET(G113,1,0,Settings!$B$12,1))*SQRT(Settings!$B$13)))</f>
        <v/>
      </c>
      <c r="O113" s="18">
        <f>IF(AND(ISNUMBER(E113),ISNUMBER(N113)),E113-N113,NA())</f>
        <v/>
      </c>
      <c r="P113" s="17">
        <f>IF(NOT(ISNUMBER($A113)),NA(),IF(OR($A113&lt;MIN(KW_TP!$A$2:$A$2501),$A113&gt;MAX(KW_TP!$A$2:$A$2501)),NA(),INDEX(KW_TP!$C$2:$C$2501,MATCH($A113,KW_TP!$A$2:$A$2501,1))))</f>
        <v/>
      </c>
    </row>
    <row r="114">
      <c r="A114" s="15">
        <f>IF(ISNUMBER(BBG_Data!A114),BBG_Data!A114,"")</f>
        <v/>
      </c>
      <c r="B114" s="16">
        <f>IF(AND(ISNUMBER($A114),ISNUMBER(BBG_Data!B114)),BBG_Data!B114,NA())</f>
        <v/>
      </c>
      <c r="C114" s="16">
        <f>IF(AND(ISNUMBER($A114),ISNUMBER(BBG_Data!C114)),BBG_Data!C114,NA())</f>
        <v/>
      </c>
      <c r="D114" s="17">
        <f>IF(AND(ISNUMBER($A114),ISNUMBER(BBG_Data!D114)),BBG_Data!D114,NA())</f>
        <v/>
      </c>
      <c r="E114" s="17">
        <f>IF(AND(ISNUMBER($A114),ISNUMBER(BBG_Data!E114)),BBG_Data!E114,NA())</f>
        <v/>
      </c>
      <c r="F114" s="18">
        <f>IF(AND(ISNUMBER(B114),ISNUMBER(B113)),(B114-B113)*100,"")</f>
        <v/>
      </c>
      <c r="G114" s="18">
        <f>IF(AND(ISNUMBER(C114),ISNUMBER(C113)),(C114-C113)*100,"")</f>
        <v/>
      </c>
      <c r="H114" s="18">
        <f>IF(OR(NOT(ISNUMBER($A114)),ROW()-2&lt;Settings!$B$11),NA(),IF(COUNT(OFFSET(F114,1-Settings!$B$11,0,Settings!$B$11,1))&lt;Settings!$B$11,NA(),STDEV(OFFSET(F114,1-Settings!$B$11,0,Settings!$B$11,1))*SQRT(Settings!$B$13)))</f>
        <v/>
      </c>
      <c r="I114" s="18">
        <f>IF(OR(NOT(ISNUMBER($A114)),ROW()-2&lt;Settings!$B$12),NA(),IF(COUNT(OFFSET(F114,1-Settings!$B$12,0,Settings!$B$12,1))&lt;Settings!$B$12,NA(),STDEV(OFFSET(F114,1-Settings!$B$12,0,Settings!$B$12,1))*SQRT(Settings!$B$13)))</f>
        <v/>
      </c>
      <c r="J114" s="18">
        <f>IF(OR(NOT(ISNUMBER($A114)),ROW()-2&lt;Settings!$B$11),NA(),IF(COUNT(OFFSET(G114,1-Settings!$B$11,0,Settings!$B$11,1))&lt;Settings!$B$11,NA(),STDEV(OFFSET(G114,1-Settings!$B$11,0,Settings!$B$11,1))*SQRT(Settings!$B$13)))</f>
        <v/>
      </c>
      <c r="K114" s="18">
        <f>IF(OR(NOT(ISNUMBER($A114)),ROW()-2&lt;Settings!$B$12),NA(),IF(COUNT(OFFSET(G114,1-Settings!$B$12,0,Settings!$B$12,1))&lt;Settings!$B$12,NA(),STDEV(OFFSET(G114,1-Settings!$B$12,0,Settings!$B$12,1))*SQRT(Settings!$B$13)))</f>
        <v/>
      </c>
      <c r="L114" s="18">
        <f>IF(AND(ISNUMBER(D114),ISNUMBER(H114)),D114-H114,NA())</f>
        <v/>
      </c>
      <c r="M114" s="18">
        <f>IF(AND(ISNUMBER(E114),ISNUMBER(K114)),E114-K114,NA())</f>
        <v/>
      </c>
      <c r="N114" s="18">
        <f>IF(NOT(ISNUMBER($A114)),NA(),IF(COUNT(OFFSET(G114,1,0,Settings!$B$12,1))&lt;Settings!$B$12,NA(),STDEV(OFFSET(G114,1,0,Settings!$B$12,1))*SQRT(Settings!$B$13)))</f>
        <v/>
      </c>
      <c r="O114" s="18">
        <f>IF(AND(ISNUMBER(E114),ISNUMBER(N114)),E114-N114,NA())</f>
        <v/>
      </c>
      <c r="P114" s="17">
        <f>IF(NOT(ISNUMBER($A114)),NA(),IF(OR($A114&lt;MIN(KW_TP!$A$2:$A$2501),$A114&gt;MAX(KW_TP!$A$2:$A$2501)),NA(),INDEX(KW_TP!$C$2:$C$2501,MATCH($A114,KW_TP!$A$2:$A$2501,1))))</f>
        <v/>
      </c>
    </row>
    <row r="115">
      <c r="A115" s="15">
        <f>IF(ISNUMBER(BBG_Data!A115),BBG_Data!A115,"")</f>
        <v/>
      </c>
      <c r="B115" s="16">
        <f>IF(AND(ISNUMBER($A115),ISNUMBER(BBG_Data!B115)),BBG_Data!B115,NA())</f>
        <v/>
      </c>
      <c r="C115" s="16">
        <f>IF(AND(ISNUMBER($A115),ISNUMBER(BBG_Data!C115)),BBG_Data!C115,NA())</f>
        <v/>
      </c>
      <c r="D115" s="17">
        <f>IF(AND(ISNUMBER($A115),ISNUMBER(BBG_Data!D115)),BBG_Data!D115,NA())</f>
        <v/>
      </c>
      <c r="E115" s="17">
        <f>IF(AND(ISNUMBER($A115),ISNUMBER(BBG_Data!E115)),BBG_Data!E115,NA())</f>
        <v/>
      </c>
      <c r="F115" s="18">
        <f>IF(AND(ISNUMBER(B115),ISNUMBER(B114)),(B115-B114)*100,"")</f>
        <v/>
      </c>
      <c r="G115" s="18">
        <f>IF(AND(ISNUMBER(C115),ISNUMBER(C114)),(C115-C114)*100,"")</f>
        <v/>
      </c>
      <c r="H115" s="18">
        <f>IF(OR(NOT(ISNUMBER($A115)),ROW()-2&lt;Settings!$B$11),NA(),IF(COUNT(OFFSET(F115,1-Settings!$B$11,0,Settings!$B$11,1))&lt;Settings!$B$11,NA(),STDEV(OFFSET(F115,1-Settings!$B$11,0,Settings!$B$11,1))*SQRT(Settings!$B$13)))</f>
        <v/>
      </c>
      <c r="I115" s="18">
        <f>IF(OR(NOT(ISNUMBER($A115)),ROW()-2&lt;Settings!$B$12),NA(),IF(COUNT(OFFSET(F115,1-Settings!$B$12,0,Settings!$B$12,1))&lt;Settings!$B$12,NA(),STDEV(OFFSET(F115,1-Settings!$B$12,0,Settings!$B$12,1))*SQRT(Settings!$B$13)))</f>
        <v/>
      </c>
      <c r="J115" s="18">
        <f>IF(OR(NOT(ISNUMBER($A115)),ROW()-2&lt;Settings!$B$11),NA(),IF(COUNT(OFFSET(G115,1-Settings!$B$11,0,Settings!$B$11,1))&lt;Settings!$B$11,NA(),STDEV(OFFSET(G115,1-Settings!$B$11,0,Settings!$B$11,1))*SQRT(Settings!$B$13)))</f>
        <v/>
      </c>
      <c r="K115" s="18">
        <f>IF(OR(NOT(ISNUMBER($A115)),ROW()-2&lt;Settings!$B$12),NA(),IF(COUNT(OFFSET(G115,1-Settings!$B$12,0,Settings!$B$12,1))&lt;Settings!$B$12,NA(),STDEV(OFFSET(G115,1-Settings!$B$12,0,Settings!$B$12,1))*SQRT(Settings!$B$13)))</f>
        <v/>
      </c>
      <c r="L115" s="18">
        <f>IF(AND(ISNUMBER(D115),ISNUMBER(H115)),D115-H115,NA())</f>
        <v/>
      </c>
      <c r="M115" s="18">
        <f>IF(AND(ISNUMBER(E115),ISNUMBER(K115)),E115-K115,NA())</f>
        <v/>
      </c>
      <c r="N115" s="18">
        <f>IF(NOT(ISNUMBER($A115)),NA(),IF(COUNT(OFFSET(G115,1,0,Settings!$B$12,1))&lt;Settings!$B$12,NA(),STDEV(OFFSET(G115,1,0,Settings!$B$12,1))*SQRT(Settings!$B$13)))</f>
        <v/>
      </c>
      <c r="O115" s="18">
        <f>IF(AND(ISNUMBER(E115),ISNUMBER(N115)),E115-N115,NA())</f>
        <v/>
      </c>
      <c r="P115" s="17">
        <f>IF(NOT(ISNUMBER($A115)),NA(),IF(OR($A115&lt;MIN(KW_TP!$A$2:$A$2501),$A115&gt;MAX(KW_TP!$A$2:$A$2501)),NA(),INDEX(KW_TP!$C$2:$C$2501,MATCH($A115,KW_TP!$A$2:$A$2501,1))))</f>
        <v/>
      </c>
    </row>
    <row r="116">
      <c r="A116" s="15">
        <f>IF(ISNUMBER(BBG_Data!A116),BBG_Data!A116,"")</f>
        <v/>
      </c>
      <c r="B116" s="16">
        <f>IF(AND(ISNUMBER($A116),ISNUMBER(BBG_Data!B116)),BBG_Data!B116,NA())</f>
        <v/>
      </c>
      <c r="C116" s="16">
        <f>IF(AND(ISNUMBER($A116),ISNUMBER(BBG_Data!C116)),BBG_Data!C116,NA())</f>
        <v/>
      </c>
      <c r="D116" s="17">
        <f>IF(AND(ISNUMBER($A116),ISNUMBER(BBG_Data!D116)),BBG_Data!D116,NA())</f>
        <v/>
      </c>
      <c r="E116" s="17">
        <f>IF(AND(ISNUMBER($A116),ISNUMBER(BBG_Data!E116)),BBG_Data!E116,NA())</f>
        <v/>
      </c>
      <c r="F116" s="18">
        <f>IF(AND(ISNUMBER(B116),ISNUMBER(B115)),(B116-B115)*100,"")</f>
        <v/>
      </c>
      <c r="G116" s="18">
        <f>IF(AND(ISNUMBER(C116),ISNUMBER(C115)),(C116-C115)*100,"")</f>
        <v/>
      </c>
      <c r="H116" s="18">
        <f>IF(OR(NOT(ISNUMBER($A116)),ROW()-2&lt;Settings!$B$11),NA(),IF(COUNT(OFFSET(F116,1-Settings!$B$11,0,Settings!$B$11,1))&lt;Settings!$B$11,NA(),STDEV(OFFSET(F116,1-Settings!$B$11,0,Settings!$B$11,1))*SQRT(Settings!$B$13)))</f>
        <v/>
      </c>
      <c r="I116" s="18">
        <f>IF(OR(NOT(ISNUMBER($A116)),ROW()-2&lt;Settings!$B$12),NA(),IF(COUNT(OFFSET(F116,1-Settings!$B$12,0,Settings!$B$12,1))&lt;Settings!$B$12,NA(),STDEV(OFFSET(F116,1-Settings!$B$12,0,Settings!$B$12,1))*SQRT(Settings!$B$13)))</f>
        <v/>
      </c>
      <c r="J116" s="18">
        <f>IF(OR(NOT(ISNUMBER($A116)),ROW()-2&lt;Settings!$B$11),NA(),IF(COUNT(OFFSET(G116,1-Settings!$B$11,0,Settings!$B$11,1))&lt;Settings!$B$11,NA(),STDEV(OFFSET(G116,1-Settings!$B$11,0,Settings!$B$11,1))*SQRT(Settings!$B$13)))</f>
        <v/>
      </c>
      <c r="K116" s="18">
        <f>IF(OR(NOT(ISNUMBER($A116)),ROW()-2&lt;Settings!$B$12),NA(),IF(COUNT(OFFSET(G116,1-Settings!$B$12,0,Settings!$B$12,1))&lt;Settings!$B$12,NA(),STDEV(OFFSET(G116,1-Settings!$B$12,0,Settings!$B$12,1))*SQRT(Settings!$B$13)))</f>
        <v/>
      </c>
      <c r="L116" s="18">
        <f>IF(AND(ISNUMBER(D116),ISNUMBER(H116)),D116-H116,NA())</f>
        <v/>
      </c>
      <c r="M116" s="18">
        <f>IF(AND(ISNUMBER(E116),ISNUMBER(K116)),E116-K116,NA())</f>
        <v/>
      </c>
      <c r="N116" s="18">
        <f>IF(NOT(ISNUMBER($A116)),NA(),IF(COUNT(OFFSET(G116,1,0,Settings!$B$12,1))&lt;Settings!$B$12,NA(),STDEV(OFFSET(G116,1,0,Settings!$B$12,1))*SQRT(Settings!$B$13)))</f>
        <v/>
      </c>
      <c r="O116" s="18">
        <f>IF(AND(ISNUMBER(E116),ISNUMBER(N116)),E116-N116,NA())</f>
        <v/>
      </c>
      <c r="P116" s="17">
        <f>IF(NOT(ISNUMBER($A116)),NA(),IF(OR($A116&lt;MIN(KW_TP!$A$2:$A$2501),$A116&gt;MAX(KW_TP!$A$2:$A$2501)),NA(),INDEX(KW_TP!$C$2:$C$2501,MATCH($A116,KW_TP!$A$2:$A$2501,1))))</f>
        <v/>
      </c>
    </row>
    <row r="117">
      <c r="A117" s="15">
        <f>IF(ISNUMBER(BBG_Data!A117),BBG_Data!A117,"")</f>
        <v/>
      </c>
      <c r="B117" s="16">
        <f>IF(AND(ISNUMBER($A117),ISNUMBER(BBG_Data!B117)),BBG_Data!B117,NA())</f>
        <v/>
      </c>
      <c r="C117" s="16">
        <f>IF(AND(ISNUMBER($A117),ISNUMBER(BBG_Data!C117)),BBG_Data!C117,NA())</f>
        <v/>
      </c>
      <c r="D117" s="17">
        <f>IF(AND(ISNUMBER($A117),ISNUMBER(BBG_Data!D117)),BBG_Data!D117,NA())</f>
        <v/>
      </c>
      <c r="E117" s="17">
        <f>IF(AND(ISNUMBER($A117),ISNUMBER(BBG_Data!E117)),BBG_Data!E117,NA())</f>
        <v/>
      </c>
      <c r="F117" s="18">
        <f>IF(AND(ISNUMBER(B117),ISNUMBER(B116)),(B117-B116)*100,"")</f>
        <v/>
      </c>
      <c r="G117" s="18">
        <f>IF(AND(ISNUMBER(C117),ISNUMBER(C116)),(C117-C116)*100,"")</f>
        <v/>
      </c>
      <c r="H117" s="18">
        <f>IF(OR(NOT(ISNUMBER($A117)),ROW()-2&lt;Settings!$B$11),NA(),IF(COUNT(OFFSET(F117,1-Settings!$B$11,0,Settings!$B$11,1))&lt;Settings!$B$11,NA(),STDEV(OFFSET(F117,1-Settings!$B$11,0,Settings!$B$11,1))*SQRT(Settings!$B$13)))</f>
        <v/>
      </c>
      <c r="I117" s="18">
        <f>IF(OR(NOT(ISNUMBER($A117)),ROW()-2&lt;Settings!$B$12),NA(),IF(COUNT(OFFSET(F117,1-Settings!$B$12,0,Settings!$B$12,1))&lt;Settings!$B$12,NA(),STDEV(OFFSET(F117,1-Settings!$B$12,0,Settings!$B$12,1))*SQRT(Settings!$B$13)))</f>
        <v/>
      </c>
      <c r="J117" s="18">
        <f>IF(OR(NOT(ISNUMBER($A117)),ROW()-2&lt;Settings!$B$11),NA(),IF(COUNT(OFFSET(G117,1-Settings!$B$11,0,Settings!$B$11,1))&lt;Settings!$B$11,NA(),STDEV(OFFSET(G117,1-Settings!$B$11,0,Settings!$B$11,1))*SQRT(Settings!$B$13)))</f>
        <v/>
      </c>
      <c r="K117" s="18">
        <f>IF(OR(NOT(ISNUMBER($A117)),ROW()-2&lt;Settings!$B$12),NA(),IF(COUNT(OFFSET(G117,1-Settings!$B$12,0,Settings!$B$12,1))&lt;Settings!$B$12,NA(),STDEV(OFFSET(G117,1-Settings!$B$12,0,Settings!$B$12,1))*SQRT(Settings!$B$13)))</f>
        <v/>
      </c>
      <c r="L117" s="18">
        <f>IF(AND(ISNUMBER(D117),ISNUMBER(H117)),D117-H117,NA())</f>
        <v/>
      </c>
      <c r="M117" s="18">
        <f>IF(AND(ISNUMBER(E117),ISNUMBER(K117)),E117-K117,NA())</f>
        <v/>
      </c>
      <c r="N117" s="18">
        <f>IF(NOT(ISNUMBER($A117)),NA(),IF(COUNT(OFFSET(G117,1,0,Settings!$B$12,1))&lt;Settings!$B$12,NA(),STDEV(OFFSET(G117,1,0,Settings!$B$12,1))*SQRT(Settings!$B$13)))</f>
        <v/>
      </c>
      <c r="O117" s="18">
        <f>IF(AND(ISNUMBER(E117),ISNUMBER(N117)),E117-N117,NA())</f>
        <v/>
      </c>
      <c r="P117" s="17">
        <f>IF(NOT(ISNUMBER($A117)),NA(),IF(OR($A117&lt;MIN(KW_TP!$A$2:$A$2501),$A117&gt;MAX(KW_TP!$A$2:$A$2501)),NA(),INDEX(KW_TP!$C$2:$C$2501,MATCH($A117,KW_TP!$A$2:$A$2501,1))))</f>
        <v/>
      </c>
    </row>
    <row r="118">
      <c r="A118" s="15">
        <f>IF(ISNUMBER(BBG_Data!A118),BBG_Data!A118,"")</f>
        <v/>
      </c>
      <c r="B118" s="16">
        <f>IF(AND(ISNUMBER($A118),ISNUMBER(BBG_Data!B118)),BBG_Data!B118,NA())</f>
        <v/>
      </c>
      <c r="C118" s="16">
        <f>IF(AND(ISNUMBER($A118),ISNUMBER(BBG_Data!C118)),BBG_Data!C118,NA())</f>
        <v/>
      </c>
      <c r="D118" s="17">
        <f>IF(AND(ISNUMBER($A118),ISNUMBER(BBG_Data!D118)),BBG_Data!D118,NA())</f>
        <v/>
      </c>
      <c r="E118" s="17">
        <f>IF(AND(ISNUMBER($A118),ISNUMBER(BBG_Data!E118)),BBG_Data!E118,NA())</f>
        <v/>
      </c>
      <c r="F118" s="18">
        <f>IF(AND(ISNUMBER(B118),ISNUMBER(B117)),(B118-B117)*100,"")</f>
        <v/>
      </c>
      <c r="G118" s="18">
        <f>IF(AND(ISNUMBER(C118),ISNUMBER(C117)),(C118-C117)*100,"")</f>
        <v/>
      </c>
      <c r="H118" s="18">
        <f>IF(OR(NOT(ISNUMBER($A118)),ROW()-2&lt;Settings!$B$11),NA(),IF(COUNT(OFFSET(F118,1-Settings!$B$11,0,Settings!$B$11,1))&lt;Settings!$B$11,NA(),STDEV(OFFSET(F118,1-Settings!$B$11,0,Settings!$B$11,1))*SQRT(Settings!$B$13)))</f>
        <v/>
      </c>
      <c r="I118" s="18">
        <f>IF(OR(NOT(ISNUMBER($A118)),ROW()-2&lt;Settings!$B$12),NA(),IF(COUNT(OFFSET(F118,1-Settings!$B$12,0,Settings!$B$12,1))&lt;Settings!$B$12,NA(),STDEV(OFFSET(F118,1-Settings!$B$12,0,Settings!$B$12,1))*SQRT(Settings!$B$13)))</f>
        <v/>
      </c>
      <c r="J118" s="18">
        <f>IF(OR(NOT(ISNUMBER($A118)),ROW()-2&lt;Settings!$B$11),NA(),IF(COUNT(OFFSET(G118,1-Settings!$B$11,0,Settings!$B$11,1))&lt;Settings!$B$11,NA(),STDEV(OFFSET(G118,1-Settings!$B$11,0,Settings!$B$11,1))*SQRT(Settings!$B$13)))</f>
        <v/>
      </c>
      <c r="K118" s="18">
        <f>IF(OR(NOT(ISNUMBER($A118)),ROW()-2&lt;Settings!$B$12),NA(),IF(COUNT(OFFSET(G118,1-Settings!$B$12,0,Settings!$B$12,1))&lt;Settings!$B$12,NA(),STDEV(OFFSET(G118,1-Settings!$B$12,0,Settings!$B$12,1))*SQRT(Settings!$B$13)))</f>
        <v/>
      </c>
      <c r="L118" s="18">
        <f>IF(AND(ISNUMBER(D118),ISNUMBER(H118)),D118-H118,NA())</f>
        <v/>
      </c>
      <c r="M118" s="18">
        <f>IF(AND(ISNUMBER(E118),ISNUMBER(K118)),E118-K118,NA())</f>
        <v/>
      </c>
      <c r="N118" s="18">
        <f>IF(NOT(ISNUMBER($A118)),NA(),IF(COUNT(OFFSET(G118,1,0,Settings!$B$12,1))&lt;Settings!$B$12,NA(),STDEV(OFFSET(G118,1,0,Settings!$B$12,1))*SQRT(Settings!$B$13)))</f>
        <v/>
      </c>
      <c r="O118" s="18">
        <f>IF(AND(ISNUMBER(E118),ISNUMBER(N118)),E118-N118,NA())</f>
        <v/>
      </c>
      <c r="P118" s="17">
        <f>IF(NOT(ISNUMBER($A118)),NA(),IF(OR($A118&lt;MIN(KW_TP!$A$2:$A$2501),$A118&gt;MAX(KW_TP!$A$2:$A$2501)),NA(),INDEX(KW_TP!$C$2:$C$2501,MATCH($A118,KW_TP!$A$2:$A$2501,1))))</f>
        <v/>
      </c>
    </row>
    <row r="119">
      <c r="A119" s="15">
        <f>IF(ISNUMBER(BBG_Data!A119),BBG_Data!A119,"")</f>
        <v/>
      </c>
      <c r="B119" s="16">
        <f>IF(AND(ISNUMBER($A119),ISNUMBER(BBG_Data!B119)),BBG_Data!B119,NA())</f>
        <v/>
      </c>
      <c r="C119" s="16">
        <f>IF(AND(ISNUMBER($A119),ISNUMBER(BBG_Data!C119)),BBG_Data!C119,NA())</f>
        <v/>
      </c>
      <c r="D119" s="17">
        <f>IF(AND(ISNUMBER($A119),ISNUMBER(BBG_Data!D119)),BBG_Data!D119,NA())</f>
        <v/>
      </c>
      <c r="E119" s="17">
        <f>IF(AND(ISNUMBER($A119),ISNUMBER(BBG_Data!E119)),BBG_Data!E119,NA())</f>
        <v/>
      </c>
      <c r="F119" s="18">
        <f>IF(AND(ISNUMBER(B119),ISNUMBER(B118)),(B119-B118)*100,"")</f>
        <v/>
      </c>
      <c r="G119" s="18">
        <f>IF(AND(ISNUMBER(C119),ISNUMBER(C118)),(C119-C118)*100,"")</f>
        <v/>
      </c>
      <c r="H119" s="18">
        <f>IF(OR(NOT(ISNUMBER($A119)),ROW()-2&lt;Settings!$B$11),NA(),IF(COUNT(OFFSET(F119,1-Settings!$B$11,0,Settings!$B$11,1))&lt;Settings!$B$11,NA(),STDEV(OFFSET(F119,1-Settings!$B$11,0,Settings!$B$11,1))*SQRT(Settings!$B$13)))</f>
        <v/>
      </c>
      <c r="I119" s="18">
        <f>IF(OR(NOT(ISNUMBER($A119)),ROW()-2&lt;Settings!$B$12),NA(),IF(COUNT(OFFSET(F119,1-Settings!$B$12,0,Settings!$B$12,1))&lt;Settings!$B$12,NA(),STDEV(OFFSET(F119,1-Settings!$B$12,0,Settings!$B$12,1))*SQRT(Settings!$B$13)))</f>
        <v/>
      </c>
      <c r="J119" s="18">
        <f>IF(OR(NOT(ISNUMBER($A119)),ROW()-2&lt;Settings!$B$11),NA(),IF(COUNT(OFFSET(G119,1-Settings!$B$11,0,Settings!$B$11,1))&lt;Settings!$B$11,NA(),STDEV(OFFSET(G119,1-Settings!$B$11,0,Settings!$B$11,1))*SQRT(Settings!$B$13)))</f>
        <v/>
      </c>
      <c r="K119" s="18">
        <f>IF(OR(NOT(ISNUMBER($A119)),ROW()-2&lt;Settings!$B$12),NA(),IF(COUNT(OFFSET(G119,1-Settings!$B$12,0,Settings!$B$12,1))&lt;Settings!$B$12,NA(),STDEV(OFFSET(G119,1-Settings!$B$12,0,Settings!$B$12,1))*SQRT(Settings!$B$13)))</f>
        <v/>
      </c>
      <c r="L119" s="18">
        <f>IF(AND(ISNUMBER(D119),ISNUMBER(H119)),D119-H119,NA())</f>
        <v/>
      </c>
      <c r="M119" s="18">
        <f>IF(AND(ISNUMBER(E119),ISNUMBER(K119)),E119-K119,NA())</f>
        <v/>
      </c>
      <c r="N119" s="18">
        <f>IF(NOT(ISNUMBER($A119)),NA(),IF(COUNT(OFFSET(G119,1,0,Settings!$B$12,1))&lt;Settings!$B$12,NA(),STDEV(OFFSET(G119,1,0,Settings!$B$12,1))*SQRT(Settings!$B$13)))</f>
        <v/>
      </c>
      <c r="O119" s="18">
        <f>IF(AND(ISNUMBER(E119),ISNUMBER(N119)),E119-N119,NA())</f>
        <v/>
      </c>
      <c r="P119" s="17">
        <f>IF(NOT(ISNUMBER($A119)),NA(),IF(OR($A119&lt;MIN(KW_TP!$A$2:$A$2501),$A119&gt;MAX(KW_TP!$A$2:$A$2501)),NA(),INDEX(KW_TP!$C$2:$C$2501,MATCH($A119,KW_TP!$A$2:$A$2501,1))))</f>
        <v/>
      </c>
    </row>
    <row r="120">
      <c r="A120" s="15">
        <f>IF(ISNUMBER(BBG_Data!A120),BBG_Data!A120,"")</f>
        <v/>
      </c>
      <c r="B120" s="16">
        <f>IF(AND(ISNUMBER($A120),ISNUMBER(BBG_Data!B120)),BBG_Data!B120,NA())</f>
        <v/>
      </c>
      <c r="C120" s="16">
        <f>IF(AND(ISNUMBER($A120),ISNUMBER(BBG_Data!C120)),BBG_Data!C120,NA())</f>
        <v/>
      </c>
      <c r="D120" s="17">
        <f>IF(AND(ISNUMBER($A120),ISNUMBER(BBG_Data!D120)),BBG_Data!D120,NA())</f>
        <v/>
      </c>
      <c r="E120" s="17">
        <f>IF(AND(ISNUMBER($A120),ISNUMBER(BBG_Data!E120)),BBG_Data!E120,NA())</f>
        <v/>
      </c>
      <c r="F120" s="18">
        <f>IF(AND(ISNUMBER(B120),ISNUMBER(B119)),(B120-B119)*100,"")</f>
        <v/>
      </c>
      <c r="G120" s="18">
        <f>IF(AND(ISNUMBER(C120),ISNUMBER(C119)),(C120-C119)*100,"")</f>
        <v/>
      </c>
      <c r="H120" s="18">
        <f>IF(OR(NOT(ISNUMBER($A120)),ROW()-2&lt;Settings!$B$11),NA(),IF(COUNT(OFFSET(F120,1-Settings!$B$11,0,Settings!$B$11,1))&lt;Settings!$B$11,NA(),STDEV(OFFSET(F120,1-Settings!$B$11,0,Settings!$B$11,1))*SQRT(Settings!$B$13)))</f>
        <v/>
      </c>
      <c r="I120" s="18">
        <f>IF(OR(NOT(ISNUMBER($A120)),ROW()-2&lt;Settings!$B$12),NA(),IF(COUNT(OFFSET(F120,1-Settings!$B$12,0,Settings!$B$12,1))&lt;Settings!$B$12,NA(),STDEV(OFFSET(F120,1-Settings!$B$12,0,Settings!$B$12,1))*SQRT(Settings!$B$13)))</f>
        <v/>
      </c>
      <c r="J120" s="18">
        <f>IF(OR(NOT(ISNUMBER($A120)),ROW()-2&lt;Settings!$B$11),NA(),IF(COUNT(OFFSET(G120,1-Settings!$B$11,0,Settings!$B$11,1))&lt;Settings!$B$11,NA(),STDEV(OFFSET(G120,1-Settings!$B$11,0,Settings!$B$11,1))*SQRT(Settings!$B$13)))</f>
        <v/>
      </c>
      <c r="K120" s="18">
        <f>IF(OR(NOT(ISNUMBER($A120)),ROW()-2&lt;Settings!$B$12),NA(),IF(COUNT(OFFSET(G120,1-Settings!$B$12,0,Settings!$B$12,1))&lt;Settings!$B$12,NA(),STDEV(OFFSET(G120,1-Settings!$B$12,0,Settings!$B$12,1))*SQRT(Settings!$B$13)))</f>
        <v/>
      </c>
      <c r="L120" s="18">
        <f>IF(AND(ISNUMBER(D120),ISNUMBER(H120)),D120-H120,NA())</f>
        <v/>
      </c>
      <c r="M120" s="18">
        <f>IF(AND(ISNUMBER(E120),ISNUMBER(K120)),E120-K120,NA())</f>
        <v/>
      </c>
      <c r="N120" s="18">
        <f>IF(NOT(ISNUMBER($A120)),NA(),IF(COUNT(OFFSET(G120,1,0,Settings!$B$12,1))&lt;Settings!$B$12,NA(),STDEV(OFFSET(G120,1,0,Settings!$B$12,1))*SQRT(Settings!$B$13)))</f>
        <v/>
      </c>
      <c r="O120" s="18">
        <f>IF(AND(ISNUMBER(E120),ISNUMBER(N120)),E120-N120,NA())</f>
        <v/>
      </c>
      <c r="P120" s="17">
        <f>IF(NOT(ISNUMBER($A120)),NA(),IF(OR($A120&lt;MIN(KW_TP!$A$2:$A$2501),$A120&gt;MAX(KW_TP!$A$2:$A$2501)),NA(),INDEX(KW_TP!$C$2:$C$2501,MATCH($A120,KW_TP!$A$2:$A$2501,1))))</f>
        <v/>
      </c>
    </row>
    <row r="121">
      <c r="A121" s="15">
        <f>IF(ISNUMBER(BBG_Data!A121),BBG_Data!A121,"")</f>
        <v/>
      </c>
      <c r="B121" s="16">
        <f>IF(AND(ISNUMBER($A121),ISNUMBER(BBG_Data!B121)),BBG_Data!B121,NA())</f>
        <v/>
      </c>
      <c r="C121" s="16">
        <f>IF(AND(ISNUMBER($A121),ISNUMBER(BBG_Data!C121)),BBG_Data!C121,NA())</f>
        <v/>
      </c>
      <c r="D121" s="17">
        <f>IF(AND(ISNUMBER($A121),ISNUMBER(BBG_Data!D121)),BBG_Data!D121,NA())</f>
        <v/>
      </c>
      <c r="E121" s="17">
        <f>IF(AND(ISNUMBER($A121),ISNUMBER(BBG_Data!E121)),BBG_Data!E121,NA())</f>
        <v/>
      </c>
      <c r="F121" s="18">
        <f>IF(AND(ISNUMBER(B121),ISNUMBER(B120)),(B121-B120)*100,"")</f>
        <v/>
      </c>
      <c r="G121" s="18">
        <f>IF(AND(ISNUMBER(C121),ISNUMBER(C120)),(C121-C120)*100,"")</f>
        <v/>
      </c>
      <c r="H121" s="18">
        <f>IF(OR(NOT(ISNUMBER($A121)),ROW()-2&lt;Settings!$B$11),NA(),IF(COUNT(OFFSET(F121,1-Settings!$B$11,0,Settings!$B$11,1))&lt;Settings!$B$11,NA(),STDEV(OFFSET(F121,1-Settings!$B$11,0,Settings!$B$11,1))*SQRT(Settings!$B$13)))</f>
        <v/>
      </c>
      <c r="I121" s="18">
        <f>IF(OR(NOT(ISNUMBER($A121)),ROW()-2&lt;Settings!$B$12),NA(),IF(COUNT(OFFSET(F121,1-Settings!$B$12,0,Settings!$B$12,1))&lt;Settings!$B$12,NA(),STDEV(OFFSET(F121,1-Settings!$B$12,0,Settings!$B$12,1))*SQRT(Settings!$B$13)))</f>
        <v/>
      </c>
      <c r="J121" s="18">
        <f>IF(OR(NOT(ISNUMBER($A121)),ROW()-2&lt;Settings!$B$11),NA(),IF(COUNT(OFFSET(G121,1-Settings!$B$11,0,Settings!$B$11,1))&lt;Settings!$B$11,NA(),STDEV(OFFSET(G121,1-Settings!$B$11,0,Settings!$B$11,1))*SQRT(Settings!$B$13)))</f>
        <v/>
      </c>
      <c r="K121" s="18">
        <f>IF(OR(NOT(ISNUMBER($A121)),ROW()-2&lt;Settings!$B$12),NA(),IF(COUNT(OFFSET(G121,1-Settings!$B$12,0,Settings!$B$12,1))&lt;Settings!$B$12,NA(),STDEV(OFFSET(G121,1-Settings!$B$12,0,Settings!$B$12,1))*SQRT(Settings!$B$13)))</f>
        <v/>
      </c>
      <c r="L121" s="18">
        <f>IF(AND(ISNUMBER(D121),ISNUMBER(H121)),D121-H121,NA())</f>
        <v/>
      </c>
      <c r="M121" s="18">
        <f>IF(AND(ISNUMBER(E121),ISNUMBER(K121)),E121-K121,NA())</f>
        <v/>
      </c>
      <c r="N121" s="18">
        <f>IF(NOT(ISNUMBER($A121)),NA(),IF(COUNT(OFFSET(G121,1,0,Settings!$B$12,1))&lt;Settings!$B$12,NA(),STDEV(OFFSET(G121,1,0,Settings!$B$12,1))*SQRT(Settings!$B$13)))</f>
        <v/>
      </c>
      <c r="O121" s="18">
        <f>IF(AND(ISNUMBER(E121),ISNUMBER(N121)),E121-N121,NA())</f>
        <v/>
      </c>
      <c r="P121" s="17">
        <f>IF(NOT(ISNUMBER($A121)),NA(),IF(OR($A121&lt;MIN(KW_TP!$A$2:$A$2501),$A121&gt;MAX(KW_TP!$A$2:$A$2501)),NA(),INDEX(KW_TP!$C$2:$C$2501,MATCH($A121,KW_TP!$A$2:$A$2501,1))))</f>
        <v/>
      </c>
    </row>
    <row r="122">
      <c r="A122" s="15">
        <f>IF(ISNUMBER(BBG_Data!A122),BBG_Data!A122,"")</f>
        <v/>
      </c>
      <c r="B122" s="16">
        <f>IF(AND(ISNUMBER($A122),ISNUMBER(BBG_Data!B122)),BBG_Data!B122,NA())</f>
        <v/>
      </c>
      <c r="C122" s="16">
        <f>IF(AND(ISNUMBER($A122),ISNUMBER(BBG_Data!C122)),BBG_Data!C122,NA())</f>
        <v/>
      </c>
      <c r="D122" s="17">
        <f>IF(AND(ISNUMBER($A122),ISNUMBER(BBG_Data!D122)),BBG_Data!D122,NA())</f>
        <v/>
      </c>
      <c r="E122" s="17">
        <f>IF(AND(ISNUMBER($A122),ISNUMBER(BBG_Data!E122)),BBG_Data!E122,NA())</f>
        <v/>
      </c>
      <c r="F122" s="18">
        <f>IF(AND(ISNUMBER(B122),ISNUMBER(B121)),(B122-B121)*100,"")</f>
        <v/>
      </c>
      <c r="G122" s="18">
        <f>IF(AND(ISNUMBER(C122),ISNUMBER(C121)),(C122-C121)*100,"")</f>
        <v/>
      </c>
      <c r="H122" s="18">
        <f>IF(OR(NOT(ISNUMBER($A122)),ROW()-2&lt;Settings!$B$11),NA(),IF(COUNT(OFFSET(F122,1-Settings!$B$11,0,Settings!$B$11,1))&lt;Settings!$B$11,NA(),STDEV(OFFSET(F122,1-Settings!$B$11,0,Settings!$B$11,1))*SQRT(Settings!$B$13)))</f>
        <v/>
      </c>
      <c r="I122" s="18">
        <f>IF(OR(NOT(ISNUMBER($A122)),ROW()-2&lt;Settings!$B$12),NA(),IF(COUNT(OFFSET(F122,1-Settings!$B$12,0,Settings!$B$12,1))&lt;Settings!$B$12,NA(),STDEV(OFFSET(F122,1-Settings!$B$12,0,Settings!$B$12,1))*SQRT(Settings!$B$13)))</f>
        <v/>
      </c>
      <c r="J122" s="18">
        <f>IF(OR(NOT(ISNUMBER($A122)),ROW()-2&lt;Settings!$B$11),NA(),IF(COUNT(OFFSET(G122,1-Settings!$B$11,0,Settings!$B$11,1))&lt;Settings!$B$11,NA(),STDEV(OFFSET(G122,1-Settings!$B$11,0,Settings!$B$11,1))*SQRT(Settings!$B$13)))</f>
        <v/>
      </c>
      <c r="K122" s="18">
        <f>IF(OR(NOT(ISNUMBER($A122)),ROW()-2&lt;Settings!$B$12),NA(),IF(COUNT(OFFSET(G122,1-Settings!$B$12,0,Settings!$B$12,1))&lt;Settings!$B$12,NA(),STDEV(OFFSET(G122,1-Settings!$B$12,0,Settings!$B$12,1))*SQRT(Settings!$B$13)))</f>
        <v/>
      </c>
      <c r="L122" s="18">
        <f>IF(AND(ISNUMBER(D122),ISNUMBER(H122)),D122-H122,NA())</f>
        <v/>
      </c>
      <c r="M122" s="18">
        <f>IF(AND(ISNUMBER(E122),ISNUMBER(K122)),E122-K122,NA())</f>
        <v/>
      </c>
      <c r="N122" s="18">
        <f>IF(NOT(ISNUMBER($A122)),NA(),IF(COUNT(OFFSET(G122,1,0,Settings!$B$12,1))&lt;Settings!$B$12,NA(),STDEV(OFFSET(G122,1,0,Settings!$B$12,1))*SQRT(Settings!$B$13)))</f>
        <v/>
      </c>
      <c r="O122" s="18">
        <f>IF(AND(ISNUMBER(E122),ISNUMBER(N122)),E122-N122,NA())</f>
        <v/>
      </c>
      <c r="P122" s="17">
        <f>IF(NOT(ISNUMBER($A122)),NA(),IF(OR($A122&lt;MIN(KW_TP!$A$2:$A$2501),$A122&gt;MAX(KW_TP!$A$2:$A$2501)),NA(),INDEX(KW_TP!$C$2:$C$2501,MATCH($A122,KW_TP!$A$2:$A$2501,1))))</f>
        <v/>
      </c>
    </row>
    <row r="123">
      <c r="A123" s="15">
        <f>IF(ISNUMBER(BBG_Data!A123),BBG_Data!A123,"")</f>
        <v/>
      </c>
      <c r="B123" s="16">
        <f>IF(AND(ISNUMBER($A123),ISNUMBER(BBG_Data!B123)),BBG_Data!B123,NA())</f>
        <v/>
      </c>
      <c r="C123" s="16">
        <f>IF(AND(ISNUMBER($A123),ISNUMBER(BBG_Data!C123)),BBG_Data!C123,NA())</f>
        <v/>
      </c>
      <c r="D123" s="17">
        <f>IF(AND(ISNUMBER($A123),ISNUMBER(BBG_Data!D123)),BBG_Data!D123,NA())</f>
        <v/>
      </c>
      <c r="E123" s="17">
        <f>IF(AND(ISNUMBER($A123),ISNUMBER(BBG_Data!E123)),BBG_Data!E123,NA())</f>
        <v/>
      </c>
      <c r="F123" s="18">
        <f>IF(AND(ISNUMBER(B123),ISNUMBER(B122)),(B123-B122)*100,"")</f>
        <v/>
      </c>
      <c r="G123" s="18">
        <f>IF(AND(ISNUMBER(C123),ISNUMBER(C122)),(C123-C122)*100,"")</f>
        <v/>
      </c>
      <c r="H123" s="18">
        <f>IF(OR(NOT(ISNUMBER($A123)),ROW()-2&lt;Settings!$B$11),NA(),IF(COUNT(OFFSET(F123,1-Settings!$B$11,0,Settings!$B$11,1))&lt;Settings!$B$11,NA(),STDEV(OFFSET(F123,1-Settings!$B$11,0,Settings!$B$11,1))*SQRT(Settings!$B$13)))</f>
        <v/>
      </c>
      <c r="I123" s="18">
        <f>IF(OR(NOT(ISNUMBER($A123)),ROW()-2&lt;Settings!$B$12),NA(),IF(COUNT(OFFSET(F123,1-Settings!$B$12,0,Settings!$B$12,1))&lt;Settings!$B$12,NA(),STDEV(OFFSET(F123,1-Settings!$B$12,0,Settings!$B$12,1))*SQRT(Settings!$B$13)))</f>
        <v/>
      </c>
      <c r="J123" s="18">
        <f>IF(OR(NOT(ISNUMBER($A123)),ROW()-2&lt;Settings!$B$11),NA(),IF(COUNT(OFFSET(G123,1-Settings!$B$11,0,Settings!$B$11,1))&lt;Settings!$B$11,NA(),STDEV(OFFSET(G123,1-Settings!$B$11,0,Settings!$B$11,1))*SQRT(Settings!$B$13)))</f>
        <v/>
      </c>
      <c r="K123" s="18">
        <f>IF(OR(NOT(ISNUMBER($A123)),ROW()-2&lt;Settings!$B$12),NA(),IF(COUNT(OFFSET(G123,1-Settings!$B$12,0,Settings!$B$12,1))&lt;Settings!$B$12,NA(),STDEV(OFFSET(G123,1-Settings!$B$12,0,Settings!$B$12,1))*SQRT(Settings!$B$13)))</f>
        <v/>
      </c>
      <c r="L123" s="18">
        <f>IF(AND(ISNUMBER(D123),ISNUMBER(H123)),D123-H123,NA())</f>
        <v/>
      </c>
      <c r="M123" s="18">
        <f>IF(AND(ISNUMBER(E123),ISNUMBER(K123)),E123-K123,NA())</f>
        <v/>
      </c>
      <c r="N123" s="18">
        <f>IF(NOT(ISNUMBER($A123)),NA(),IF(COUNT(OFFSET(G123,1,0,Settings!$B$12,1))&lt;Settings!$B$12,NA(),STDEV(OFFSET(G123,1,0,Settings!$B$12,1))*SQRT(Settings!$B$13)))</f>
        <v/>
      </c>
      <c r="O123" s="18">
        <f>IF(AND(ISNUMBER(E123),ISNUMBER(N123)),E123-N123,NA())</f>
        <v/>
      </c>
      <c r="P123" s="17">
        <f>IF(NOT(ISNUMBER($A123)),NA(),IF(OR($A123&lt;MIN(KW_TP!$A$2:$A$2501),$A123&gt;MAX(KW_TP!$A$2:$A$2501)),NA(),INDEX(KW_TP!$C$2:$C$2501,MATCH($A123,KW_TP!$A$2:$A$2501,1))))</f>
        <v/>
      </c>
    </row>
    <row r="124">
      <c r="A124" s="15">
        <f>IF(ISNUMBER(BBG_Data!A124),BBG_Data!A124,"")</f>
        <v/>
      </c>
      <c r="B124" s="16">
        <f>IF(AND(ISNUMBER($A124),ISNUMBER(BBG_Data!B124)),BBG_Data!B124,NA())</f>
        <v/>
      </c>
      <c r="C124" s="16">
        <f>IF(AND(ISNUMBER($A124),ISNUMBER(BBG_Data!C124)),BBG_Data!C124,NA())</f>
        <v/>
      </c>
      <c r="D124" s="17">
        <f>IF(AND(ISNUMBER($A124),ISNUMBER(BBG_Data!D124)),BBG_Data!D124,NA())</f>
        <v/>
      </c>
      <c r="E124" s="17">
        <f>IF(AND(ISNUMBER($A124),ISNUMBER(BBG_Data!E124)),BBG_Data!E124,NA())</f>
        <v/>
      </c>
      <c r="F124" s="18">
        <f>IF(AND(ISNUMBER(B124),ISNUMBER(B123)),(B124-B123)*100,"")</f>
        <v/>
      </c>
      <c r="G124" s="18">
        <f>IF(AND(ISNUMBER(C124),ISNUMBER(C123)),(C124-C123)*100,"")</f>
        <v/>
      </c>
      <c r="H124" s="18">
        <f>IF(OR(NOT(ISNUMBER($A124)),ROW()-2&lt;Settings!$B$11),NA(),IF(COUNT(OFFSET(F124,1-Settings!$B$11,0,Settings!$B$11,1))&lt;Settings!$B$11,NA(),STDEV(OFFSET(F124,1-Settings!$B$11,0,Settings!$B$11,1))*SQRT(Settings!$B$13)))</f>
        <v/>
      </c>
      <c r="I124" s="18">
        <f>IF(OR(NOT(ISNUMBER($A124)),ROW()-2&lt;Settings!$B$12),NA(),IF(COUNT(OFFSET(F124,1-Settings!$B$12,0,Settings!$B$12,1))&lt;Settings!$B$12,NA(),STDEV(OFFSET(F124,1-Settings!$B$12,0,Settings!$B$12,1))*SQRT(Settings!$B$13)))</f>
        <v/>
      </c>
      <c r="J124" s="18">
        <f>IF(OR(NOT(ISNUMBER($A124)),ROW()-2&lt;Settings!$B$11),NA(),IF(COUNT(OFFSET(G124,1-Settings!$B$11,0,Settings!$B$11,1))&lt;Settings!$B$11,NA(),STDEV(OFFSET(G124,1-Settings!$B$11,0,Settings!$B$11,1))*SQRT(Settings!$B$13)))</f>
        <v/>
      </c>
      <c r="K124" s="18">
        <f>IF(OR(NOT(ISNUMBER($A124)),ROW()-2&lt;Settings!$B$12),NA(),IF(COUNT(OFFSET(G124,1-Settings!$B$12,0,Settings!$B$12,1))&lt;Settings!$B$12,NA(),STDEV(OFFSET(G124,1-Settings!$B$12,0,Settings!$B$12,1))*SQRT(Settings!$B$13)))</f>
        <v/>
      </c>
      <c r="L124" s="18">
        <f>IF(AND(ISNUMBER(D124),ISNUMBER(H124)),D124-H124,NA())</f>
        <v/>
      </c>
      <c r="M124" s="18">
        <f>IF(AND(ISNUMBER(E124),ISNUMBER(K124)),E124-K124,NA())</f>
        <v/>
      </c>
      <c r="N124" s="18">
        <f>IF(NOT(ISNUMBER($A124)),NA(),IF(COUNT(OFFSET(G124,1,0,Settings!$B$12,1))&lt;Settings!$B$12,NA(),STDEV(OFFSET(G124,1,0,Settings!$B$12,1))*SQRT(Settings!$B$13)))</f>
        <v/>
      </c>
      <c r="O124" s="18">
        <f>IF(AND(ISNUMBER(E124),ISNUMBER(N124)),E124-N124,NA())</f>
        <v/>
      </c>
      <c r="P124" s="17">
        <f>IF(NOT(ISNUMBER($A124)),NA(),IF(OR($A124&lt;MIN(KW_TP!$A$2:$A$2501),$A124&gt;MAX(KW_TP!$A$2:$A$2501)),NA(),INDEX(KW_TP!$C$2:$C$2501,MATCH($A124,KW_TP!$A$2:$A$2501,1))))</f>
        <v/>
      </c>
    </row>
    <row r="125">
      <c r="A125" s="15">
        <f>IF(ISNUMBER(BBG_Data!A125),BBG_Data!A125,"")</f>
        <v/>
      </c>
      <c r="B125" s="16">
        <f>IF(AND(ISNUMBER($A125),ISNUMBER(BBG_Data!B125)),BBG_Data!B125,NA())</f>
        <v/>
      </c>
      <c r="C125" s="16">
        <f>IF(AND(ISNUMBER($A125),ISNUMBER(BBG_Data!C125)),BBG_Data!C125,NA())</f>
        <v/>
      </c>
      <c r="D125" s="17">
        <f>IF(AND(ISNUMBER($A125),ISNUMBER(BBG_Data!D125)),BBG_Data!D125,NA())</f>
        <v/>
      </c>
      <c r="E125" s="17">
        <f>IF(AND(ISNUMBER($A125),ISNUMBER(BBG_Data!E125)),BBG_Data!E125,NA())</f>
        <v/>
      </c>
      <c r="F125" s="18">
        <f>IF(AND(ISNUMBER(B125),ISNUMBER(B124)),(B125-B124)*100,"")</f>
        <v/>
      </c>
      <c r="G125" s="18">
        <f>IF(AND(ISNUMBER(C125),ISNUMBER(C124)),(C125-C124)*100,"")</f>
        <v/>
      </c>
      <c r="H125" s="18">
        <f>IF(OR(NOT(ISNUMBER($A125)),ROW()-2&lt;Settings!$B$11),NA(),IF(COUNT(OFFSET(F125,1-Settings!$B$11,0,Settings!$B$11,1))&lt;Settings!$B$11,NA(),STDEV(OFFSET(F125,1-Settings!$B$11,0,Settings!$B$11,1))*SQRT(Settings!$B$13)))</f>
        <v/>
      </c>
      <c r="I125" s="18">
        <f>IF(OR(NOT(ISNUMBER($A125)),ROW()-2&lt;Settings!$B$12),NA(),IF(COUNT(OFFSET(F125,1-Settings!$B$12,0,Settings!$B$12,1))&lt;Settings!$B$12,NA(),STDEV(OFFSET(F125,1-Settings!$B$12,0,Settings!$B$12,1))*SQRT(Settings!$B$13)))</f>
        <v/>
      </c>
      <c r="J125" s="18">
        <f>IF(OR(NOT(ISNUMBER($A125)),ROW()-2&lt;Settings!$B$11),NA(),IF(COUNT(OFFSET(G125,1-Settings!$B$11,0,Settings!$B$11,1))&lt;Settings!$B$11,NA(),STDEV(OFFSET(G125,1-Settings!$B$11,0,Settings!$B$11,1))*SQRT(Settings!$B$13)))</f>
        <v/>
      </c>
      <c r="K125" s="18">
        <f>IF(OR(NOT(ISNUMBER($A125)),ROW()-2&lt;Settings!$B$12),NA(),IF(COUNT(OFFSET(G125,1-Settings!$B$12,0,Settings!$B$12,1))&lt;Settings!$B$12,NA(),STDEV(OFFSET(G125,1-Settings!$B$12,0,Settings!$B$12,1))*SQRT(Settings!$B$13)))</f>
        <v/>
      </c>
      <c r="L125" s="18">
        <f>IF(AND(ISNUMBER(D125),ISNUMBER(H125)),D125-H125,NA())</f>
        <v/>
      </c>
      <c r="M125" s="18">
        <f>IF(AND(ISNUMBER(E125),ISNUMBER(K125)),E125-K125,NA())</f>
        <v/>
      </c>
      <c r="N125" s="18">
        <f>IF(NOT(ISNUMBER($A125)),NA(),IF(COUNT(OFFSET(G125,1,0,Settings!$B$12,1))&lt;Settings!$B$12,NA(),STDEV(OFFSET(G125,1,0,Settings!$B$12,1))*SQRT(Settings!$B$13)))</f>
        <v/>
      </c>
      <c r="O125" s="18">
        <f>IF(AND(ISNUMBER(E125),ISNUMBER(N125)),E125-N125,NA())</f>
        <v/>
      </c>
      <c r="P125" s="17">
        <f>IF(NOT(ISNUMBER($A125)),NA(),IF(OR($A125&lt;MIN(KW_TP!$A$2:$A$2501),$A125&gt;MAX(KW_TP!$A$2:$A$2501)),NA(),INDEX(KW_TP!$C$2:$C$2501,MATCH($A125,KW_TP!$A$2:$A$2501,1))))</f>
        <v/>
      </c>
    </row>
    <row r="126">
      <c r="A126" s="15">
        <f>IF(ISNUMBER(BBG_Data!A126),BBG_Data!A126,"")</f>
        <v/>
      </c>
      <c r="B126" s="16">
        <f>IF(AND(ISNUMBER($A126),ISNUMBER(BBG_Data!B126)),BBG_Data!B126,NA())</f>
        <v/>
      </c>
      <c r="C126" s="16">
        <f>IF(AND(ISNUMBER($A126),ISNUMBER(BBG_Data!C126)),BBG_Data!C126,NA())</f>
        <v/>
      </c>
      <c r="D126" s="17">
        <f>IF(AND(ISNUMBER($A126),ISNUMBER(BBG_Data!D126)),BBG_Data!D126,NA())</f>
        <v/>
      </c>
      <c r="E126" s="17">
        <f>IF(AND(ISNUMBER($A126),ISNUMBER(BBG_Data!E126)),BBG_Data!E126,NA())</f>
        <v/>
      </c>
      <c r="F126" s="18">
        <f>IF(AND(ISNUMBER(B126),ISNUMBER(B125)),(B126-B125)*100,"")</f>
        <v/>
      </c>
      <c r="G126" s="18">
        <f>IF(AND(ISNUMBER(C126),ISNUMBER(C125)),(C126-C125)*100,"")</f>
        <v/>
      </c>
      <c r="H126" s="18">
        <f>IF(OR(NOT(ISNUMBER($A126)),ROW()-2&lt;Settings!$B$11),NA(),IF(COUNT(OFFSET(F126,1-Settings!$B$11,0,Settings!$B$11,1))&lt;Settings!$B$11,NA(),STDEV(OFFSET(F126,1-Settings!$B$11,0,Settings!$B$11,1))*SQRT(Settings!$B$13)))</f>
        <v/>
      </c>
      <c r="I126" s="18">
        <f>IF(OR(NOT(ISNUMBER($A126)),ROW()-2&lt;Settings!$B$12),NA(),IF(COUNT(OFFSET(F126,1-Settings!$B$12,0,Settings!$B$12,1))&lt;Settings!$B$12,NA(),STDEV(OFFSET(F126,1-Settings!$B$12,0,Settings!$B$12,1))*SQRT(Settings!$B$13)))</f>
        <v/>
      </c>
      <c r="J126" s="18">
        <f>IF(OR(NOT(ISNUMBER($A126)),ROW()-2&lt;Settings!$B$11),NA(),IF(COUNT(OFFSET(G126,1-Settings!$B$11,0,Settings!$B$11,1))&lt;Settings!$B$11,NA(),STDEV(OFFSET(G126,1-Settings!$B$11,0,Settings!$B$11,1))*SQRT(Settings!$B$13)))</f>
        <v/>
      </c>
      <c r="K126" s="18">
        <f>IF(OR(NOT(ISNUMBER($A126)),ROW()-2&lt;Settings!$B$12),NA(),IF(COUNT(OFFSET(G126,1-Settings!$B$12,0,Settings!$B$12,1))&lt;Settings!$B$12,NA(),STDEV(OFFSET(G126,1-Settings!$B$12,0,Settings!$B$12,1))*SQRT(Settings!$B$13)))</f>
        <v/>
      </c>
      <c r="L126" s="18">
        <f>IF(AND(ISNUMBER(D126),ISNUMBER(H126)),D126-H126,NA())</f>
        <v/>
      </c>
      <c r="M126" s="18">
        <f>IF(AND(ISNUMBER(E126),ISNUMBER(K126)),E126-K126,NA())</f>
        <v/>
      </c>
      <c r="N126" s="18">
        <f>IF(NOT(ISNUMBER($A126)),NA(),IF(COUNT(OFFSET(G126,1,0,Settings!$B$12,1))&lt;Settings!$B$12,NA(),STDEV(OFFSET(G126,1,0,Settings!$B$12,1))*SQRT(Settings!$B$13)))</f>
        <v/>
      </c>
      <c r="O126" s="18">
        <f>IF(AND(ISNUMBER(E126),ISNUMBER(N126)),E126-N126,NA())</f>
        <v/>
      </c>
      <c r="P126" s="17">
        <f>IF(NOT(ISNUMBER($A126)),NA(),IF(OR($A126&lt;MIN(KW_TP!$A$2:$A$2501),$A126&gt;MAX(KW_TP!$A$2:$A$2501)),NA(),INDEX(KW_TP!$C$2:$C$2501,MATCH($A126,KW_TP!$A$2:$A$2501,1))))</f>
        <v/>
      </c>
    </row>
    <row r="127">
      <c r="A127" s="15">
        <f>IF(ISNUMBER(BBG_Data!A127),BBG_Data!A127,"")</f>
        <v/>
      </c>
      <c r="B127" s="16">
        <f>IF(AND(ISNUMBER($A127),ISNUMBER(BBG_Data!B127)),BBG_Data!B127,NA())</f>
        <v/>
      </c>
      <c r="C127" s="16">
        <f>IF(AND(ISNUMBER($A127),ISNUMBER(BBG_Data!C127)),BBG_Data!C127,NA())</f>
        <v/>
      </c>
      <c r="D127" s="17">
        <f>IF(AND(ISNUMBER($A127),ISNUMBER(BBG_Data!D127)),BBG_Data!D127,NA())</f>
        <v/>
      </c>
      <c r="E127" s="17">
        <f>IF(AND(ISNUMBER($A127),ISNUMBER(BBG_Data!E127)),BBG_Data!E127,NA())</f>
        <v/>
      </c>
      <c r="F127" s="18">
        <f>IF(AND(ISNUMBER(B127),ISNUMBER(B126)),(B127-B126)*100,"")</f>
        <v/>
      </c>
      <c r="G127" s="18">
        <f>IF(AND(ISNUMBER(C127),ISNUMBER(C126)),(C127-C126)*100,"")</f>
        <v/>
      </c>
      <c r="H127" s="18">
        <f>IF(OR(NOT(ISNUMBER($A127)),ROW()-2&lt;Settings!$B$11),NA(),IF(COUNT(OFFSET(F127,1-Settings!$B$11,0,Settings!$B$11,1))&lt;Settings!$B$11,NA(),STDEV(OFFSET(F127,1-Settings!$B$11,0,Settings!$B$11,1))*SQRT(Settings!$B$13)))</f>
        <v/>
      </c>
      <c r="I127" s="18">
        <f>IF(OR(NOT(ISNUMBER($A127)),ROW()-2&lt;Settings!$B$12),NA(),IF(COUNT(OFFSET(F127,1-Settings!$B$12,0,Settings!$B$12,1))&lt;Settings!$B$12,NA(),STDEV(OFFSET(F127,1-Settings!$B$12,0,Settings!$B$12,1))*SQRT(Settings!$B$13)))</f>
        <v/>
      </c>
      <c r="J127" s="18">
        <f>IF(OR(NOT(ISNUMBER($A127)),ROW()-2&lt;Settings!$B$11),NA(),IF(COUNT(OFFSET(G127,1-Settings!$B$11,0,Settings!$B$11,1))&lt;Settings!$B$11,NA(),STDEV(OFFSET(G127,1-Settings!$B$11,0,Settings!$B$11,1))*SQRT(Settings!$B$13)))</f>
        <v/>
      </c>
      <c r="K127" s="18">
        <f>IF(OR(NOT(ISNUMBER($A127)),ROW()-2&lt;Settings!$B$12),NA(),IF(COUNT(OFFSET(G127,1-Settings!$B$12,0,Settings!$B$12,1))&lt;Settings!$B$12,NA(),STDEV(OFFSET(G127,1-Settings!$B$12,0,Settings!$B$12,1))*SQRT(Settings!$B$13)))</f>
        <v/>
      </c>
      <c r="L127" s="18">
        <f>IF(AND(ISNUMBER(D127),ISNUMBER(H127)),D127-H127,NA())</f>
        <v/>
      </c>
      <c r="M127" s="18">
        <f>IF(AND(ISNUMBER(E127),ISNUMBER(K127)),E127-K127,NA())</f>
        <v/>
      </c>
      <c r="N127" s="18">
        <f>IF(NOT(ISNUMBER($A127)),NA(),IF(COUNT(OFFSET(G127,1,0,Settings!$B$12,1))&lt;Settings!$B$12,NA(),STDEV(OFFSET(G127,1,0,Settings!$B$12,1))*SQRT(Settings!$B$13)))</f>
        <v/>
      </c>
      <c r="O127" s="18">
        <f>IF(AND(ISNUMBER(E127),ISNUMBER(N127)),E127-N127,NA())</f>
        <v/>
      </c>
      <c r="P127" s="17">
        <f>IF(NOT(ISNUMBER($A127)),NA(),IF(OR($A127&lt;MIN(KW_TP!$A$2:$A$2501),$A127&gt;MAX(KW_TP!$A$2:$A$2501)),NA(),INDEX(KW_TP!$C$2:$C$2501,MATCH($A127,KW_TP!$A$2:$A$2501,1))))</f>
        <v/>
      </c>
    </row>
    <row r="128">
      <c r="A128" s="15">
        <f>IF(ISNUMBER(BBG_Data!A128),BBG_Data!A128,"")</f>
        <v/>
      </c>
      <c r="B128" s="16">
        <f>IF(AND(ISNUMBER($A128),ISNUMBER(BBG_Data!B128)),BBG_Data!B128,NA())</f>
        <v/>
      </c>
      <c r="C128" s="16">
        <f>IF(AND(ISNUMBER($A128),ISNUMBER(BBG_Data!C128)),BBG_Data!C128,NA())</f>
        <v/>
      </c>
      <c r="D128" s="17">
        <f>IF(AND(ISNUMBER($A128),ISNUMBER(BBG_Data!D128)),BBG_Data!D128,NA())</f>
        <v/>
      </c>
      <c r="E128" s="17">
        <f>IF(AND(ISNUMBER($A128),ISNUMBER(BBG_Data!E128)),BBG_Data!E128,NA())</f>
        <v/>
      </c>
      <c r="F128" s="18">
        <f>IF(AND(ISNUMBER(B128),ISNUMBER(B127)),(B128-B127)*100,"")</f>
        <v/>
      </c>
      <c r="G128" s="18">
        <f>IF(AND(ISNUMBER(C128),ISNUMBER(C127)),(C128-C127)*100,"")</f>
        <v/>
      </c>
      <c r="H128" s="18">
        <f>IF(OR(NOT(ISNUMBER($A128)),ROW()-2&lt;Settings!$B$11),NA(),IF(COUNT(OFFSET(F128,1-Settings!$B$11,0,Settings!$B$11,1))&lt;Settings!$B$11,NA(),STDEV(OFFSET(F128,1-Settings!$B$11,0,Settings!$B$11,1))*SQRT(Settings!$B$13)))</f>
        <v/>
      </c>
      <c r="I128" s="18">
        <f>IF(OR(NOT(ISNUMBER($A128)),ROW()-2&lt;Settings!$B$12),NA(),IF(COUNT(OFFSET(F128,1-Settings!$B$12,0,Settings!$B$12,1))&lt;Settings!$B$12,NA(),STDEV(OFFSET(F128,1-Settings!$B$12,0,Settings!$B$12,1))*SQRT(Settings!$B$13)))</f>
        <v/>
      </c>
      <c r="J128" s="18">
        <f>IF(OR(NOT(ISNUMBER($A128)),ROW()-2&lt;Settings!$B$11),NA(),IF(COUNT(OFFSET(G128,1-Settings!$B$11,0,Settings!$B$11,1))&lt;Settings!$B$11,NA(),STDEV(OFFSET(G128,1-Settings!$B$11,0,Settings!$B$11,1))*SQRT(Settings!$B$13)))</f>
        <v/>
      </c>
      <c r="K128" s="18">
        <f>IF(OR(NOT(ISNUMBER($A128)),ROW()-2&lt;Settings!$B$12),NA(),IF(COUNT(OFFSET(G128,1-Settings!$B$12,0,Settings!$B$12,1))&lt;Settings!$B$12,NA(),STDEV(OFFSET(G128,1-Settings!$B$12,0,Settings!$B$12,1))*SQRT(Settings!$B$13)))</f>
        <v/>
      </c>
      <c r="L128" s="18">
        <f>IF(AND(ISNUMBER(D128),ISNUMBER(H128)),D128-H128,NA())</f>
        <v/>
      </c>
      <c r="M128" s="18">
        <f>IF(AND(ISNUMBER(E128),ISNUMBER(K128)),E128-K128,NA())</f>
        <v/>
      </c>
      <c r="N128" s="18">
        <f>IF(NOT(ISNUMBER($A128)),NA(),IF(COUNT(OFFSET(G128,1,0,Settings!$B$12,1))&lt;Settings!$B$12,NA(),STDEV(OFFSET(G128,1,0,Settings!$B$12,1))*SQRT(Settings!$B$13)))</f>
        <v/>
      </c>
      <c r="O128" s="18">
        <f>IF(AND(ISNUMBER(E128),ISNUMBER(N128)),E128-N128,NA())</f>
        <v/>
      </c>
      <c r="P128" s="17">
        <f>IF(NOT(ISNUMBER($A128)),NA(),IF(OR($A128&lt;MIN(KW_TP!$A$2:$A$2501),$A128&gt;MAX(KW_TP!$A$2:$A$2501)),NA(),INDEX(KW_TP!$C$2:$C$2501,MATCH($A128,KW_TP!$A$2:$A$2501,1))))</f>
        <v/>
      </c>
    </row>
    <row r="129">
      <c r="A129" s="15">
        <f>IF(ISNUMBER(BBG_Data!A129),BBG_Data!A129,"")</f>
        <v/>
      </c>
      <c r="B129" s="16">
        <f>IF(AND(ISNUMBER($A129),ISNUMBER(BBG_Data!B129)),BBG_Data!B129,NA())</f>
        <v/>
      </c>
      <c r="C129" s="16">
        <f>IF(AND(ISNUMBER($A129),ISNUMBER(BBG_Data!C129)),BBG_Data!C129,NA())</f>
        <v/>
      </c>
      <c r="D129" s="17">
        <f>IF(AND(ISNUMBER($A129),ISNUMBER(BBG_Data!D129)),BBG_Data!D129,NA())</f>
        <v/>
      </c>
      <c r="E129" s="17">
        <f>IF(AND(ISNUMBER($A129),ISNUMBER(BBG_Data!E129)),BBG_Data!E129,NA())</f>
        <v/>
      </c>
      <c r="F129" s="18">
        <f>IF(AND(ISNUMBER(B129),ISNUMBER(B128)),(B129-B128)*100,"")</f>
        <v/>
      </c>
      <c r="G129" s="18">
        <f>IF(AND(ISNUMBER(C129),ISNUMBER(C128)),(C129-C128)*100,"")</f>
        <v/>
      </c>
      <c r="H129" s="18">
        <f>IF(OR(NOT(ISNUMBER($A129)),ROW()-2&lt;Settings!$B$11),NA(),IF(COUNT(OFFSET(F129,1-Settings!$B$11,0,Settings!$B$11,1))&lt;Settings!$B$11,NA(),STDEV(OFFSET(F129,1-Settings!$B$11,0,Settings!$B$11,1))*SQRT(Settings!$B$13)))</f>
        <v/>
      </c>
      <c r="I129" s="18">
        <f>IF(OR(NOT(ISNUMBER($A129)),ROW()-2&lt;Settings!$B$12),NA(),IF(COUNT(OFFSET(F129,1-Settings!$B$12,0,Settings!$B$12,1))&lt;Settings!$B$12,NA(),STDEV(OFFSET(F129,1-Settings!$B$12,0,Settings!$B$12,1))*SQRT(Settings!$B$13)))</f>
        <v/>
      </c>
      <c r="J129" s="18">
        <f>IF(OR(NOT(ISNUMBER($A129)),ROW()-2&lt;Settings!$B$11),NA(),IF(COUNT(OFFSET(G129,1-Settings!$B$11,0,Settings!$B$11,1))&lt;Settings!$B$11,NA(),STDEV(OFFSET(G129,1-Settings!$B$11,0,Settings!$B$11,1))*SQRT(Settings!$B$13)))</f>
        <v/>
      </c>
      <c r="K129" s="18">
        <f>IF(OR(NOT(ISNUMBER($A129)),ROW()-2&lt;Settings!$B$12),NA(),IF(COUNT(OFFSET(G129,1-Settings!$B$12,0,Settings!$B$12,1))&lt;Settings!$B$12,NA(),STDEV(OFFSET(G129,1-Settings!$B$12,0,Settings!$B$12,1))*SQRT(Settings!$B$13)))</f>
        <v/>
      </c>
      <c r="L129" s="18">
        <f>IF(AND(ISNUMBER(D129),ISNUMBER(H129)),D129-H129,NA())</f>
        <v/>
      </c>
      <c r="M129" s="18">
        <f>IF(AND(ISNUMBER(E129),ISNUMBER(K129)),E129-K129,NA())</f>
        <v/>
      </c>
      <c r="N129" s="18">
        <f>IF(NOT(ISNUMBER($A129)),NA(),IF(COUNT(OFFSET(G129,1,0,Settings!$B$12,1))&lt;Settings!$B$12,NA(),STDEV(OFFSET(G129,1,0,Settings!$B$12,1))*SQRT(Settings!$B$13)))</f>
        <v/>
      </c>
      <c r="O129" s="18">
        <f>IF(AND(ISNUMBER(E129),ISNUMBER(N129)),E129-N129,NA())</f>
        <v/>
      </c>
      <c r="P129" s="17">
        <f>IF(NOT(ISNUMBER($A129)),NA(),IF(OR($A129&lt;MIN(KW_TP!$A$2:$A$2501),$A129&gt;MAX(KW_TP!$A$2:$A$2501)),NA(),INDEX(KW_TP!$C$2:$C$2501,MATCH($A129,KW_TP!$A$2:$A$2501,1))))</f>
        <v/>
      </c>
    </row>
    <row r="130">
      <c r="A130" s="15">
        <f>IF(ISNUMBER(BBG_Data!A130),BBG_Data!A130,"")</f>
        <v/>
      </c>
      <c r="B130" s="16">
        <f>IF(AND(ISNUMBER($A130),ISNUMBER(BBG_Data!B130)),BBG_Data!B130,NA())</f>
        <v/>
      </c>
      <c r="C130" s="16">
        <f>IF(AND(ISNUMBER($A130),ISNUMBER(BBG_Data!C130)),BBG_Data!C130,NA())</f>
        <v/>
      </c>
      <c r="D130" s="17">
        <f>IF(AND(ISNUMBER($A130),ISNUMBER(BBG_Data!D130)),BBG_Data!D130,NA())</f>
        <v/>
      </c>
      <c r="E130" s="17">
        <f>IF(AND(ISNUMBER($A130),ISNUMBER(BBG_Data!E130)),BBG_Data!E130,NA())</f>
        <v/>
      </c>
      <c r="F130" s="18">
        <f>IF(AND(ISNUMBER(B130),ISNUMBER(B129)),(B130-B129)*100,"")</f>
        <v/>
      </c>
      <c r="G130" s="18">
        <f>IF(AND(ISNUMBER(C130),ISNUMBER(C129)),(C130-C129)*100,"")</f>
        <v/>
      </c>
      <c r="H130" s="18">
        <f>IF(OR(NOT(ISNUMBER($A130)),ROW()-2&lt;Settings!$B$11),NA(),IF(COUNT(OFFSET(F130,1-Settings!$B$11,0,Settings!$B$11,1))&lt;Settings!$B$11,NA(),STDEV(OFFSET(F130,1-Settings!$B$11,0,Settings!$B$11,1))*SQRT(Settings!$B$13)))</f>
        <v/>
      </c>
      <c r="I130" s="18">
        <f>IF(OR(NOT(ISNUMBER($A130)),ROW()-2&lt;Settings!$B$12),NA(),IF(COUNT(OFFSET(F130,1-Settings!$B$12,0,Settings!$B$12,1))&lt;Settings!$B$12,NA(),STDEV(OFFSET(F130,1-Settings!$B$12,0,Settings!$B$12,1))*SQRT(Settings!$B$13)))</f>
        <v/>
      </c>
      <c r="J130" s="18">
        <f>IF(OR(NOT(ISNUMBER($A130)),ROW()-2&lt;Settings!$B$11),NA(),IF(COUNT(OFFSET(G130,1-Settings!$B$11,0,Settings!$B$11,1))&lt;Settings!$B$11,NA(),STDEV(OFFSET(G130,1-Settings!$B$11,0,Settings!$B$11,1))*SQRT(Settings!$B$13)))</f>
        <v/>
      </c>
      <c r="K130" s="18">
        <f>IF(OR(NOT(ISNUMBER($A130)),ROW()-2&lt;Settings!$B$12),NA(),IF(COUNT(OFFSET(G130,1-Settings!$B$12,0,Settings!$B$12,1))&lt;Settings!$B$12,NA(),STDEV(OFFSET(G130,1-Settings!$B$12,0,Settings!$B$12,1))*SQRT(Settings!$B$13)))</f>
        <v/>
      </c>
      <c r="L130" s="18">
        <f>IF(AND(ISNUMBER(D130),ISNUMBER(H130)),D130-H130,NA())</f>
        <v/>
      </c>
      <c r="M130" s="18">
        <f>IF(AND(ISNUMBER(E130),ISNUMBER(K130)),E130-K130,NA())</f>
        <v/>
      </c>
      <c r="N130" s="18">
        <f>IF(NOT(ISNUMBER($A130)),NA(),IF(COUNT(OFFSET(G130,1,0,Settings!$B$12,1))&lt;Settings!$B$12,NA(),STDEV(OFFSET(G130,1,0,Settings!$B$12,1))*SQRT(Settings!$B$13)))</f>
        <v/>
      </c>
      <c r="O130" s="18">
        <f>IF(AND(ISNUMBER(E130),ISNUMBER(N130)),E130-N130,NA())</f>
        <v/>
      </c>
      <c r="P130" s="17">
        <f>IF(NOT(ISNUMBER($A130)),NA(),IF(OR($A130&lt;MIN(KW_TP!$A$2:$A$2501),$A130&gt;MAX(KW_TP!$A$2:$A$2501)),NA(),INDEX(KW_TP!$C$2:$C$2501,MATCH($A130,KW_TP!$A$2:$A$2501,1))))</f>
        <v/>
      </c>
    </row>
    <row r="131">
      <c r="A131" s="15">
        <f>IF(ISNUMBER(BBG_Data!A131),BBG_Data!A131,"")</f>
        <v/>
      </c>
      <c r="B131" s="16">
        <f>IF(AND(ISNUMBER($A131),ISNUMBER(BBG_Data!B131)),BBG_Data!B131,NA())</f>
        <v/>
      </c>
      <c r="C131" s="16">
        <f>IF(AND(ISNUMBER($A131),ISNUMBER(BBG_Data!C131)),BBG_Data!C131,NA())</f>
        <v/>
      </c>
      <c r="D131" s="17">
        <f>IF(AND(ISNUMBER($A131),ISNUMBER(BBG_Data!D131)),BBG_Data!D131,NA())</f>
        <v/>
      </c>
      <c r="E131" s="17">
        <f>IF(AND(ISNUMBER($A131),ISNUMBER(BBG_Data!E131)),BBG_Data!E131,NA())</f>
        <v/>
      </c>
      <c r="F131" s="18">
        <f>IF(AND(ISNUMBER(B131),ISNUMBER(B130)),(B131-B130)*100,"")</f>
        <v/>
      </c>
      <c r="G131" s="18">
        <f>IF(AND(ISNUMBER(C131),ISNUMBER(C130)),(C131-C130)*100,"")</f>
        <v/>
      </c>
      <c r="H131" s="18">
        <f>IF(OR(NOT(ISNUMBER($A131)),ROW()-2&lt;Settings!$B$11),NA(),IF(COUNT(OFFSET(F131,1-Settings!$B$11,0,Settings!$B$11,1))&lt;Settings!$B$11,NA(),STDEV(OFFSET(F131,1-Settings!$B$11,0,Settings!$B$11,1))*SQRT(Settings!$B$13)))</f>
        <v/>
      </c>
      <c r="I131" s="18">
        <f>IF(OR(NOT(ISNUMBER($A131)),ROW()-2&lt;Settings!$B$12),NA(),IF(COUNT(OFFSET(F131,1-Settings!$B$12,0,Settings!$B$12,1))&lt;Settings!$B$12,NA(),STDEV(OFFSET(F131,1-Settings!$B$12,0,Settings!$B$12,1))*SQRT(Settings!$B$13)))</f>
        <v/>
      </c>
      <c r="J131" s="18">
        <f>IF(OR(NOT(ISNUMBER($A131)),ROW()-2&lt;Settings!$B$11),NA(),IF(COUNT(OFFSET(G131,1-Settings!$B$11,0,Settings!$B$11,1))&lt;Settings!$B$11,NA(),STDEV(OFFSET(G131,1-Settings!$B$11,0,Settings!$B$11,1))*SQRT(Settings!$B$13)))</f>
        <v/>
      </c>
      <c r="K131" s="18">
        <f>IF(OR(NOT(ISNUMBER($A131)),ROW()-2&lt;Settings!$B$12),NA(),IF(COUNT(OFFSET(G131,1-Settings!$B$12,0,Settings!$B$12,1))&lt;Settings!$B$12,NA(),STDEV(OFFSET(G131,1-Settings!$B$12,0,Settings!$B$12,1))*SQRT(Settings!$B$13)))</f>
        <v/>
      </c>
      <c r="L131" s="18">
        <f>IF(AND(ISNUMBER(D131),ISNUMBER(H131)),D131-H131,NA())</f>
        <v/>
      </c>
      <c r="M131" s="18">
        <f>IF(AND(ISNUMBER(E131),ISNUMBER(K131)),E131-K131,NA())</f>
        <v/>
      </c>
      <c r="N131" s="18">
        <f>IF(NOT(ISNUMBER($A131)),NA(),IF(COUNT(OFFSET(G131,1,0,Settings!$B$12,1))&lt;Settings!$B$12,NA(),STDEV(OFFSET(G131,1,0,Settings!$B$12,1))*SQRT(Settings!$B$13)))</f>
        <v/>
      </c>
      <c r="O131" s="18">
        <f>IF(AND(ISNUMBER(E131),ISNUMBER(N131)),E131-N131,NA())</f>
        <v/>
      </c>
      <c r="P131" s="17">
        <f>IF(NOT(ISNUMBER($A131)),NA(),IF(OR($A131&lt;MIN(KW_TP!$A$2:$A$2501),$A131&gt;MAX(KW_TP!$A$2:$A$2501)),NA(),INDEX(KW_TP!$C$2:$C$2501,MATCH($A131,KW_TP!$A$2:$A$2501,1))))</f>
        <v/>
      </c>
    </row>
    <row r="132">
      <c r="A132" s="15">
        <f>IF(ISNUMBER(BBG_Data!A132),BBG_Data!A132,"")</f>
        <v/>
      </c>
      <c r="B132" s="16">
        <f>IF(AND(ISNUMBER($A132),ISNUMBER(BBG_Data!B132)),BBG_Data!B132,NA())</f>
        <v/>
      </c>
      <c r="C132" s="16">
        <f>IF(AND(ISNUMBER($A132),ISNUMBER(BBG_Data!C132)),BBG_Data!C132,NA())</f>
        <v/>
      </c>
      <c r="D132" s="17">
        <f>IF(AND(ISNUMBER($A132),ISNUMBER(BBG_Data!D132)),BBG_Data!D132,NA())</f>
        <v/>
      </c>
      <c r="E132" s="17">
        <f>IF(AND(ISNUMBER($A132),ISNUMBER(BBG_Data!E132)),BBG_Data!E132,NA())</f>
        <v/>
      </c>
      <c r="F132" s="18">
        <f>IF(AND(ISNUMBER(B132),ISNUMBER(B131)),(B132-B131)*100,"")</f>
        <v/>
      </c>
      <c r="G132" s="18">
        <f>IF(AND(ISNUMBER(C132),ISNUMBER(C131)),(C132-C131)*100,"")</f>
        <v/>
      </c>
      <c r="H132" s="18">
        <f>IF(OR(NOT(ISNUMBER($A132)),ROW()-2&lt;Settings!$B$11),NA(),IF(COUNT(OFFSET(F132,1-Settings!$B$11,0,Settings!$B$11,1))&lt;Settings!$B$11,NA(),STDEV(OFFSET(F132,1-Settings!$B$11,0,Settings!$B$11,1))*SQRT(Settings!$B$13)))</f>
        <v/>
      </c>
      <c r="I132" s="18">
        <f>IF(OR(NOT(ISNUMBER($A132)),ROW()-2&lt;Settings!$B$12),NA(),IF(COUNT(OFFSET(F132,1-Settings!$B$12,0,Settings!$B$12,1))&lt;Settings!$B$12,NA(),STDEV(OFFSET(F132,1-Settings!$B$12,0,Settings!$B$12,1))*SQRT(Settings!$B$13)))</f>
        <v/>
      </c>
      <c r="J132" s="18">
        <f>IF(OR(NOT(ISNUMBER($A132)),ROW()-2&lt;Settings!$B$11),NA(),IF(COUNT(OFFSET(G132,1-Settings!$B$11,0,Settings!$B$11,1))&lt;Settings!$B$11,NA(),STDEV(OFFSET(G132,1-Settings!$B$11,0,Settings!$B$11,1))*SQRT(Settings!$B$13)))</f>
        <v/>
      </c>
      <c r="K132" s="18">
        <f>IF(OR(NOT(ISNUMBER($A132)),ROW()-2&lt;Settings!$B$12),NA(),IF(COUNT(OFFSET(G132,1-Settings!$B$12,0,Settings!$B$12,1))&lt;Settings!$B$12,NA(),STDEV(OFFSET(G132,1-Settings!$B$12,0,Settings!$B$12,1))*SQRT(Settings!$B$13)))</f>
        <v/>
      </c>
      <c r="L132" s="18">
        <f>IF(AND(ISNUMBER(D132),ISNUMBER(H132)),D132-H132,NA())</f>
        <v/>
      </c>
      <c r="M132" s="18">
        <f>IF(AND(ISNUMBER(E132),ISNUMBER(K132)),E132-K132,NA())</f>
        <v/>
      </c>
      <c r="N132" s="18">
        <f>IF(NOT(ISNUMBER($A132)),NA(),IF(COUNT(OFFSET(G132,1,0,Settings!$B$12,1))&lt;Settings!$B$12,NA(),STDEV(OFFSET(G132,1,0,Settings!$B$12,1))*SQRT(Settings!$B$13)))</f>
        <v/>
      </c>
      <c r="O132" s="18">
        <f>IF(AND(ISNUMBER(E132),ISNUMBER(N132)),E132-N132,NA())</f>
        <v/>
      </c>
      <c r="P132" s="17">
        <f>IF(NOT(ISNUMBER($A132)),NA(),IF(OR($A132&lt;MIN(KW_TP!$A$2:$A$2501),$A132&gt;MAX(KW_TP!$A$2:$A$2501)),NA(),INDEX(KW_TP!$C$2:$C$2501,MATCH($A132,KW_TP!$A$2:$A$2501,1))))</f>
        <v/>
      </c>
    </row>
    <row r="133">
      <c r="A133" s="15">
        <f>IF(ISNUMBER(BBG_Data!A133),BBG_Data!A133,"")</f>
        <v/>
      </c>
      <c r="B133" s="16">
        <f>IF(AND(ISNUMBER($A133),ISNUMBER(BBG_Data!B133)),BBG_Data!B133,NA())</f>
        <v/>
      </c>
      <c r="C133" s="16">
        <f>IF(AND(ISNUMBER($A133),ISNUMBER(BBG_Data!C133)),BBG_Data!C133,NA())</f>
        <v/>
      </c>
      <c r="D133" s="17">
        <f>IF(AND(ISNUMBER($A133),ISNUMBER(BBG_Data!D133)),BBG_Data!D133,NA())</f>
        <v/>
      </c>
      <c r="E133" s="17">
        <f>IF(AND(ISNUMBER($A133),ISNUMBER(BBG_Data!E133)),BBG_Data!E133,NA())</f>
        <v/>
      </c>
      <c r="F133" s="18">
        <f>IF(AND(ISNUMBER(B133),ISNUMBER(B132)),(B133-B132)*100,"")</f>
        <v/>
      </c>
      <c r="G133" s="18">
        <f>IF(AND(ISNUMBER(C133),ISNUMBER(C132)),(C133-C132)*100,"")</f>
        <v/>
      </c>
      <c r="H133" s="18">
        <f>IF(OR(NOT(ISNUMBER($A133)),ROW()-2&lt;Settings!$B$11),NA(),IF(COUNT(OFFSET(F133,1-Settings!$B$11,0,Settings!$B$11,1))&lt;Settings!$B$11,NA(),STDEV(OFFSET(F133,1-Settings!$B$11,0,Settings!$B$11,1))*SQRT(Settings!$B$13)))</f>
        <v/>
      </c>
      <c r="I133" s="18">
        <f>IF(OR(NOT(ISNUMBER($A133)),ROW()-2&lt;Settings!$B$12),NA(),IF(COUNT(OFFSET(F133,1-Settings!$B$12,0,Settings!$B$12,1))&lt;Settings!$B$12,NA(),STDEV(OFFSET(F133,1-Settings!$B$12,0,Settings!$B$12,1))*SQRT(Settings!$B$13)))</f>
        <v/>
      </c>
      <c r="J133" s="18">
        <f>IF(OR(NOT(ISNUMBER($A133)),ROW()-2&lt;Settings!$B$11),NA(),IF(COUNT(OFFSET(G133,1-Settings!$B$11,0,Settings!$B$11,1))&lt;Settings!$B$11,NA(),STDEV(OFFSET(G133,1-Settings!$B$11,0,Settings!$B$11,1))*SQRT(Settings!$B$13)))</f>
        <v/>
      </c>
      <c r="K133" s="18">
        <f>IF(OR(NOT(ISNUMBER($A133)),ROW()-2&lt;Settings!$B$12),NA(),IF(COUNT(OFFSET(G133,1-Settings!$B$12,0,Settings!$B$12,1))&lt;Settings!$B$12,NA(),STDEV(OFFSET(G133,1-Settings!$B$12,0,Settings!$B$12,1))*SQRT(Settings!$B$13)))</f>
        <v/>
      </c>
      <c r="L133" s="18">
        <f>IF(AND(ISNUMBER(D133),ISNUMBER(H133)),D133-H133,NA())</f>
        <v/>
      </c>
      <c r="M133" s="18">
        <f>IF(AND(ISNUMBER(E133),ISNUMBER(K133)),E133-K133,NA())</f>
        <v/>
      </c>
      <c r="N133" s="18">
        <f>IF(NOT(ISNUMBER($A133)),NA(),IF(COUNT(OFFSET(G133,1,0,Settings!$B$12,1))&lt;Settings!$B$12,NA(),STDEV(OFFSET(G133,1,0,Settings!$B$12,1))*SQRT(Settings!$B$13)))</f>
        <v/>
      </c>
      <c r="O133" s="18">
        <f>IF(AND(ISNUMBER(E133),ISNUMBER(N133)),E133-N133,NA())</f>
        <v/>
      </c>
      <c r="P133" s="17">
        <f>IF(NOT(ISNUMBER($A133)),NA(),IF(OR($A133&lt;MIN(KW_TP!$A$2:$A$2501),$A133&gt;MAX(KW_TP!$A$2:$A$2501)),NA(),INDEX(KW_TP!$C$2:$C$2501,MATCH($A133,KW_TP!$A$2:$A$2501,1))))</f>
        <v/>
      </c>
    </row>
    <row r="134">
      <c r="A134" s="15">
        <f>IF(ISNUMBER(BBG_Data!A134),BBG_Data!A134,"")</f>
        <v/>
      </c>
      <c r="B134" s="16">
        <f>IF(AND(ISNUMBER($A134),ISNUMBER(BBG_Data!B134)),BBG_Data!B134,NA())</f>
        <v/>
      </c>
      <c r="C134" s="16">
        <f>IF(AND(ISNUMBER($A134),ISNUMBER(BBG_Data!C134)),BBG_Data!C134,NA())</f>
        <v/>
      </c>
      <c r="D134" s="17">
        <f>IF(AND(ISNUMBER($A134),ISNUMBER(BBG_Data!D134)),BBG_Data!D134,NA())</f>
        <v/>
      </c>
      <c r="E134" s="17">
        <f>IF(AND(ISNUMBER($A134),ISNUMBER(BBG_Data!E134)),BBG_Data!E134,NA())</f>
        <v/>
      </c>
      <c r="F134" s="18">
        <f>IF(AND(ISNUMBER(B134),ISNUMBER(B133)),(B134-B133)*100,"")</f>
        <v/>
      </c>
      <c r="G134" s="18">
        <f>IF(AND(ISNUMBER(C134),ISNUMBER(C133)),(C134-C133)*100,"")</f>
        <v/>
      </c>
      <c r="H134" s="18">
        <f>IF(OR(NOT(ISNUMBER($A134)),ROW()-2&lt;Settings!$B$11),NA(),IF(COUNT(OFFSET(F134,1-Settings!$B$11,0,Settings!$B$11,1))&lt;Settings!$B$11,NA(),STDEV(OFFSET(F134,1-Settings!$B$11,0,Settings!$B$11,1))*SQRT(Settings!$B$13)))</f>
        <v/>
      </c>
      <c r="I134" s="18">
        <f>IF(OR(NOT(ISNUMBER($A134)),ROW()-2&lt;Settings!$B$12),NA(),IF(COUNT(OFFSET(F134,1-Settings!$B$12,0,Settings!$B$12,1))&lt;Settings!$B$12,NA(),STDEV(OFFSET(F134,1-Settings!$B$12,0,Settings!$B$12,1))*SQRT(Settings!$B$13)))</f>
        <v/>
      </c>
      <c r="J134" s="18">
        <f>IF(OR(NOT(ISNUMBER($A134)),ROW()-2&lt;Settings!$B$11),NA(),IF(COUNT(OFFSET(G134,1-Settings!$B$11,0,Settings!$B$11,1))&lt;Settings!$B$11,NA(),STDEV(OFFSET(G134,1-Settings!$B$11,0,Settings!$B$11,1))*SQRT(Settings!$B$13)))</f>
        <v/>
      </c>
      <c r="K134" s="18">
        <f>IF(OR(NOT(ISNUMBER($A134)),ROW()-2&lt;Settings!$B$12),NA(),IF(COUNT(OFFSET(G134,1-Settings!$B$12,0,Settings!$B$12,1))&lt;Settings!$B$12,NA(),STDEV(OFFSET(G134,1-Settings!$B$12,0,Settings!$B$12,1))*SQRT(Settings!$B$13)))</f>
        <v/>
      </c>
      <c r="L134" s="18">
        <f>IF(AND(ISNUMBER(D134),ISNUMBER(H134)),D134-H134,NA())</f>
        <v/>
      </c>
      <c r="M134" s="18">
        <f>IF(AND(ISNUMBER(E134),ISNUMBER(K134)),E134-K134,NA())</f>
        <v/>
      </c>
      <c r="N134" s="18">
        <f>IF(NOT(ISNUMBER($A134)),NA(),IF(COUNT(OFFSET(G134,1,0,Settings!$B$12,1))&lt;Settings!$B$12,NA(),STDEV(OFFSET(G134,1,0,Settings!$B$12,1))*SQRT(Settings!$B$13)))</f>
        <v/>
      </c>
      <c r="O134" s="18">
        <f>IF(AND(ISNUMBER(E134),ISNUMBER(N134)),E134-N134,NA())</f>
        <v/>
      </c>
      <c r="P134" s="17">
        <f>IF(NOT(ISNUMBER($A134)),NA(),IF(OR($A134&lt;MIN(KW_TP!$A$2:$A$2501),$A134&gt;MAX(KW_TP!$A$2:$A$2501)),NA(),INDEX(KW_TP!$C$2:$C$2501,MATCH($A134,KW_TP!$A$2:$A$2501,1))))</f>
        <v/>
      </c>
    </row>
    <row r="135">
      <c r="A135" s="15">
        <f>IF(ISNUMBER(BBG_Data!A135),BBG_Data!A135,"")</f>
        <v/>
      </c>
      <c r="B135" s="16">
        <f>IF(AND(ISNUMBER($A135),ISNUMBER(BBG_Data!B135)),BBG_Data!B135,NA())</f>
        <v/>
      </c>
      <c r="C135" s="16">
        <f>IF(AND(ISNUMBER($A135),ISNUMBER(BBG_Data!C135)),BBG_Data!C135,NA())</f>
        <v/>
      </c>
      <c r="D135" s="17">
        <f>IF(AND(ISNUMBER($A135),ISNUMBER(BBG_Data!D135)),BBG_Data!D135,NA())</f>
        <v/>
      </c>
      <c r="E135" s="17">
        <f>IF(AND(ISNUMBER($A135),ISNUMBER(BBG_Data!E135)),BBG_Data!E135,NA())</f>
        <v/>
      </c>
      <c r="F135" s="18">
        <f>IF(AND(ISNUMBER(B135),ISNUMBER(B134)),(B135-B134)*100,"")</f>
        <v/>
      </c>
      <c r="G135" s="18">
        <f>IF(AND(ISNUMBER(C135),ISNUMBER(C134)),(C135-C134)*100,"")</f>
        <v/>
      </c>
      <c r="H135" s="18">
        <f>IF(OR(NOT(ISNUMBER($A135)),ROW()-2&lt;Settings!$B$11),NA(),IF(COUNT(OFFSET(F135,1-Settings!$B$11,0,Settings!$B$11,1))&lt;Settings!$B$11,NA(),STDEV(OFFSET(F135,1-Settings!$B$11,0,Settings!$B$11,1))*SQRT(Settings!$B$13)))</f>
        <v/>
      </c>
      <c r="I135" s="18">
        <f>IF(OR(NOT(ISNUMBER($A135)),ROW()-2&lt;Settings!$B$12),NA(),IF(COUNT(OFFSET(F135,1-Settings!$B$12,0,Settings!$B$12,1))&lt;Settings!$B$12,NA(),STDEV(OFFSET(F135,1-Settings!$B$12,0,Settings!$B$12,1))*SQRT(Settings!$B$13)))</f>
        <v/>
      </c>
      <c r="J135" s="18">
        <f>IF(OR(NOT(ISNUMBER($A135)),ROW()-2&lt;Settings!$B$11),NA(),IF(COUNT(OFFSET(G135,1-Settings!$B$11,0,Settings!$B$11,1))&lt;Settings!$B$11,NA(),STDEV(OFFSET(G135,1-Settings!$B$11,0,Settings!$B$11,1))*SQRT(Settings!$B$13)))</f>
        <v/>
      </c>
      <c r="K135" s="18">
        <f>IF(OR(NOT(ISNUMBER($A135)),ROW()-2&lt;Settings!$B$12),NA(),IF(COUNT(OFFSET(G135,1-Settings!$B$12,0,Settings!$B$12,1))&lt;Settings!$B$12,NA(),STDEV(OFFSET(G135,1-Settings!$B$12,0,Settings!$B$12,1))*SQRT(Settings!$B$13)))</f>
        <v/>
      </c>
      <c r="L135" s="18">
        <f>IF(AND(ISNUMBER(D135),ISNUMBER(H135)),D135-H135,NA())</f>
        <v/>
      </c>
      <c r="M135" s="18">
        <f>IF(AND(ISNUMBER(E135),ISNUMBER(K135)),E135-K135,NA())</f>
        <v/>
      </c>
      <c r="N135" s="18">
        <f>IF(NOT(ISNUMBER($A135)),NA(),IF(COUNT(OFFSET(G135,1,0,Settings!$B$12,1))&lt;Settings!$B$12,NA(),STDEV(OFFSET(G135,1,0,Settings!$B$12,1))*SQRT(Settings!$B$13)))</f>
        <v/>
      </c>
      <c r="O135" s="18">
        <f>IF(AND(ISNUMBER(E135),ISNUMBER(N135)),E135-N135,NA())</f>
        <v/>
      </c>
      <c r="P135" s="17">
        <f>IF(NOT(ISNUMBER($A135)),NA(),IF(OR($A135&lt;MIN(KW_TP!$A$2:$A$2501),$A135&gt;MAX(KW_TP!$A$2:$A$2501)),NA(),INDEX(KW_TP!$C$2:$C$2501,MATCH($A135,KW_TP!$A$2:$A$2501,1))))</f>
        <v/>
      </c>
    </row>
    <row r="136">
      <c r="A136" s="15">
        <f>IF(ISNUMBER(BBG_Data!A136),BBG_Data!A136,"")</f>
        <v/>
      </c>
      <c r="B136" s="16">
        <f>IF(AND(ISNUMBER($A136),ISNUMBER(BBG_Data!B136)),BBG_Data!B136,NA())</f>
        <v/>
      </c>
      <c r="C136" s="16">
        <f>IF(AND(ISNUMBER($A136),ISNUMBER(BBG_Data!C136)),BBG_Data!C136,NA())</f>
        <v/>
      </c>
      <c r="D136" s="17">
        <f>IF(AND(ISNUMBER($A136),ISNUMBER(BBG_Data!D136)),BBG_Data!D136,NA())</f>
        <v/>
      </c>
      <c r="E136" s="17">
        <f>IF(AND(ISNUMBER($A136),ISNUMBER(BBG_Data!E136)),BBG_Data!E136,NA())</f>
        <v/>
      </c>
      <c r="F136" s="18">
        <f>IF(AND(ISNUMBER(B136),ISNUMBER(B135)),(B136-B135)*100,"")</f>
        <v/>
      </c>
      <c r="G136" s="18">
        <f>IF(AND(ISNUMBER(C136),ISNUMBER(C135)),(C136-C135)*100,"")</f>
        <v/>
      </c>
      <c r="H136" s="18">
        <f>IF(OR(NOT(ISNUMBER($A136)),ROW()-2&lt;Settings!$B$11),NA(),IF(COUNT(OFFSET(F136,1-Settings!$B$11,0,Settings!$B$11,1))&lt;Settings!$B$11,NA(),STDEV(OFFSET(F136,1-Settings!$B$11,0,Settings!$B$11,1))*SQRT(Settings!$B$13)))</f>
        <v/>
      </c>
      <c r="I136" s="18">
        <f>IF(OR(NOT(ISNUMBER($A136)),ROW()-2&lt;Settings!$B$12),NA(),IF(COUNT(OFFSET(F136,1-Settings!$B$12,0,Settings!$B$12,1))&lt;Settings!$B$12,NA(),STDEV(OFFSET(F136,1-Settings!$B$12,0,Settings!$B$12,1))*SQRT(Settings!$B$13)))</f>
        <v/>
      </c>
      <c r="J136" s="18">
        <f>IF(OR(NOT(ISNUMBER($A136)),ROW()-2&lt;Settings!$B$11),NA(),IF(COUNT(OFFSET(G136,1-Settings!$B$11,0,Settings!$B$11,1))&lt;Settings!$B$11,NA(),STDEV(OFFSET(G136,1-Settings!$B$11,0,Settings!$B$11,1))*SQRT(Settings!$B$13)))</f>
        <v/>
      </c>
      <c r="K136" s="18">
        <f>IF(OR(NOT(ISNUMBER($A136)),ROW()-2&lt;Settings!$B$12),NA(),IF(COUNT(OFFSET(G136,1-Settings!$B$12,0,Settings!$B$12,1))&lt;Settings!$B$12,NA(),STDEV(OFFSET(G136,1-Settings!$B$12,0,Settings!$B$12,1))*SQRT(Settings!$B$13)))</f>
        <v/>
      </c>
      <c r="L136" s="18">
        <f>IF(AND(ISNUMBER(D136),ISNUMBER(H136)),D136-H136,NA())</f>
        <v/>
      </c>
      <c r="M136" s="18">
        <f>IF(AND(ISNUMBER(E136),ISNUMBER(K136)),E136-K136,NA())</f>
        <v/>
      </c>
      <c r="N136" s="18">
        <f>IF(NOT(ISNUMBER($A136)),NA(),IF(COUNT(OFFSET(G136,1,0,Settings!$B$12,1))&lt;Settings!$B$12,NA(),STDEV(OFFSET(G136,1,0,Settings!$B$12,1))*SQRT(Settings!$B$13)))</f>
        <v/>
      </c>
      <c r="O136" s="18">
        <f>IF(AND(ISNUMBER(E136),ISNUMBER(N136)),E136-N136,NA())</f>
        <v/>
      </c>
      <c r="P136" s="17">
        <f>IF(NOT(ISNUMBER($A136)),NA(),IF(OR($A136&lt;MIN(KW_TP!$A$2:$A$2501),$A136&gt;MAX(KW_TP!$A$2:$A$2501)),NA(),INDEX(KW_TP!$C$2:$C$2501,MATCH($A136,KW_TP!$A$2:$A$2501,1))))</f>
        <v/>
      </c>
    </row>
    <row r="137">
      <c r="A137" s="15">
        <f>IF(ISNUMBER(BBG_Data!A137),BBG_Data!A137,"")</f>
        <v/>
      </c>
      <c r="B137" s="16">
        <f>IF(AND(ISNUMBER($A137),ISNUMBER(BBG_Data!B137)),BBG_Data!B137,NA())</f>
        <v/>
      </c>
      <c r="C137" s="16">
        <f>IF(AND(ISNUMBER($A137),ISNUMBER(BBG_Data!C137)),BBG_Data!C137,NA())</f>
        <v/>
      </c>
      <c r="D137" s="17">
        <f>IF(AND(ISNUMBER($A137),ISNUMBER(BBG_Data!D137)),BBG_Data!D137,NA())</f>
        <v/>
      </c>
      <c r="E137" s="17">
        <f>IF(AND(ISNUMBER($A137),ISNUMBER(BBG_Data!E137)),BBG_Data!E137,NA())</f>
        <v/>
      </c>
      <c r="F137" s="18">
        <f>IF(AND(ISNUMBER(B137),ISNUMBER(B136)),(B137-B136)*100,"")</f>
        <v/>
      </c>
      <c r="G137" s="18">
        <f>IF(AND(ISNUMBER(C137),ISNUMBER(C136)),(C137-C136)*100,"")</f>
        <v/>
      </c>
      <c r="H137" s="18">
        <f>IF(OR(NOT(ISNUMBER($A137)),ROW()-2&lt;Settings!$B$11),NA(),IF(COUNT(OFFSET(F137,1-Settings!$B$11,0,Settings!$B$11,1))&lt;Settings!$B$11,NA(),STDEV(OFFSET(F137,1-Settings!$B$11,0,Settings!$B$11,1))*SQRT(Settings!$B$13)))</f>
        <v/>
      </c>
      <c r="I137" s="18">
        <f>IF(OR(NOT(ISNUMBER($A137)),ROW()-2&lt;Settings!$B$12),NA(),IF(COUNT(OFFSET(F137,1-Settings!$B$12,0,Settings!$B$12,1))&lt;Settings!$B$12,NA(),STDEV(OFFSET(F137,1-Settings!$B$12,0,Settings!$B$12,1))*SQRT(Settings!$B$13)))</f>
        <v/>
      </c>
      <c r="J137" s="18">
        <f>IF(OR(NOT(ISNUMBER($A137)),ROW()-2&lt;Settings!$B$11),NA(),IF(COUNT(OFFSET(G137,1-Settings!$B$11,0,Settings!$B$11,1))&lt;Settings!$B$11,NA(),STDEV(OFFSET(G137,1-Settings!$B$11,0,Settings!$B$11,1))*SQRT(Settings!$B$13)))</f>
        <v/>
      </c>
      <c r="K137" s="18">
        <f>IF(OR(NOT(ISNUMBER($A137)),ROW()-2&lt;Settings!$B$12),NA(),IF(COUNT(OFFSET(G137,1-Settings!$B$12,0,Settings!$B$12,1))&lt;Settings!$B$12,NA(),STDEV(OFFSET(G137,1-Settings!$B$12,0,Settings!$B$12,1))*SQRT(Settings!$B$13)))</f>
        <v/>
      </c>
      <c r="L137" s="18">
        <f>IF(AND(ISNUMBER(D137),ISNUMBER(H137)),D137-H137,NA())</f>
        <v/>
      </c>
      <c r="M137" s="18">
        <f>IF(AND(ISNUMBER(E137),ISNUMBER(K137)),E137-K137,NA())</f>
        <v/>
      </c>
      <c r="N137" s="18">
        <f>IF(NOT(ISNUMBER($A137)),NA(),IF(COUNT(OFFSET(G137,1,0,Settings!$B$12,1))&lt;Settings!$B$12,NA(),STDEV(OFFSET(G137,1,0,Settings!$B$12,1))*SQRT(Settings!$B$13)))</f>
        <v/>
      </c>
      <c r="O137" s="18">
        <f>IF(AND(ISNUMBER(E137),ISNUMBER(N137)),E137-N137,NA())</f>
        <v/>
      </c>
      <c r="P137" s="17">
        <f>IF(NOT(ISNUMBER($A137)),NA(),IF(OR($A137&lt;MIN(KW_TP!$A$2:$A$2501),$A137&gt;MAX(KW_TP!$A$2:$A$2501)),NA(),INDEX(KW_TP!$C$2:$C$2501,MATCH($A137,KW_TP!$A$2:$A$2501,1))))</f>
        <v/>
      </c>
    </row>
    <row r="138">
      <c r="A138" s="15">
        <f>IF(ISNUMBER(BBG_Data!A138),BBG_Data!A138,"")</f>
        <v/>
      </c>
      <c r="B138" s="16">
        <f>IF(AND(ISNUMBER($A138),ISNUMBER(BBG_Data!B138)),BBG_Data!B138,NA())</f>
        <v/>
      </c>
      <c r="C138" s="16">
        <f>IF(AND(ISNUMBER($A138),ISNUMBER(BBG_Data!C138)),BBG_Data!C138,NA())</f>
        <v/>
      </c>
      <c r="D138" s="17">
        <f>IF(AND(ISNUMBER($A138),ISNUMBER(BBG_Data!D138)),BBG_Data!D138,NA())</f>
        <v/>
      </c>
      <c r="E138" s="17">
        <f>IF(AND(ISNUMBER($A138),ISNUMBER(BBG_Data!E138)),BBG_Data!E138,NA())</f>
        <v/>
      </c>
      <c r="F138" s="18">
        <f>IF(AND(ISNUMBER(B138),ISNUMBER(B137)),(B138-B137)*100,"")</f>
        <v/>
      </c>
      <c r="G138" s="18">
        <f>IF(AND(ISNUMBER(C138),ISNUMBER(C137)),(C138-C137)*100,"")</f>
        <v/>
      </c>
      <c r="H138" s="18">
        <f>IF(OR(NOT(ISNUMBER($A138)),ROW()-2&lt;Settings!$B$11),NA(),IF(COUNT(OFFSET(F138,1-Settings!$B$11,0,Settings!$B$11,1))&lt;Settings!$B$11,NA(),STDEV(OFFSET(F138,1-Settings!$B$11,0,Settings!$B$11,1))*SQRT(Settings!$B$13)))</f>
        <v/>
      </c>
      <c r="I138" s="18">
        <f>IF(OR(NOT(ISNUMBER($A138)),ROW()-2&lt;Settings!$B$12),NA(),IF(COUNT(OFFSET(F138,1-Settings!$B$12,0,Settings!$B$12,1))&lt;Settings!$B$12,NA(),STDEV(OFFSET(F138,1-Settings!$B$12,0,Settings!$B$12,1))*SQRT(Settings!$B$13)))</f>
        <v/>
      </c>
      <c r="J138" s="18">
        <f>IF(OR(NOT(ISNUMBER($A138)),ROW()-2&lt;Settings!$B$11),NA(),IF(COUNT(OFFSET(G138,1-Settings!$B$11,0,Settings!$B$11,1))&lt;Settings!$B$11,NA(),STDEV(OFFSET(G138,1-Settings!$B$11,0,Settings!$B$11,1))*SQRT(Settings!$B$13)))</f>
        <v/>
      </c>
      <c r="K138" s="18">
        <f>IF(OR(NOT(ISNUMBER($A138)),ROW()-2&lt;Settings!$B$12),NA(),IF(COUNT(OFFSET(G138,1-Settings!$B$12,0,Settings!$B$12,1))&lt;Settings!$B$12,NA(),STDEV(OFFSET(G138,1-Settings!$B$12,0,Settings!$B$12,1))*SQRT(Settings!$B$13)))</f>
        <v/>
      </c>
      <c r="L138" s="18">
        <f>IF(AND(ISNUMBER(D138),ISNUMBER(H138)),D138-H138,NA())</f>
        <v/>
      </c>
      <c r="M138" s="18">
        <f>IF(AND(ISNUMBER(E138),ISNUMBER(K138)),E138-K138,NA())</f>
        <v/>
      </c>
      <c r="N138" s="18">
        <f>IF(NOT(ISNUMBER($A138)),NA(),IF(COUNT(OFFSET(G138,1,0,Settings!$B$12,1))&lt;Settings!$B$12,NA(),STDEV(OFFSET(G138,1,0,Settings!$B$12,1))*SQRT(Settings!$B$13)))</f>
        <v/>
      </c>
      <c r="O138" s="18">
        <f>IF(AND(ISNUMBER(E138),ISNUMBER(N138)),E138-N138,NA())</f>
        <v/>
      </c>
      <c r="P138" s="17">
        <f>IF(NOT(ISNUMBER($A138)),NA(),IF(OR($A138&lt;MIN(KW_TP!$A$2:$A$2501),$A138&gt;MAX(KW_TP!$A$2:$A$2501)),NA(),INDEX(KW_TP!$C$2:$C$2501,MATCH($A138,KW_TP!$A$2:$A$2501,1))))</f>
        <v/>
      </c>
    </row>
    <row r="139">
      <c r="A139" s="15">
        <f>IF(ISNUMBER(BBG_Data!A139),BBG_Data!A139,"")</f>
        <v/>
      </c>
      <c r="B139" s="16">
        <f>IF(AND(ISNUMBER($A139),ISNUMBER(BBG_Data!B139)),BBG_Data!B139,NA())</f>
        <v/>
      </c>
      <c r="C139" s="16">
        <f>IF(AND(ISNUMBER($A139),ISNUMBER(BBG_Data!C139)),BBG_Data!C139,NA())</f>
        <v/>
      </c>
      <c r="D139" s="17">
        <f>IF(AND(ISNUMBER($A139),ISNUMBER(BBG_Data!D139)),BBG_Data!D139,NA())</f>
        <v/>
      </c>
      <c r="E139" s="17">
        <f>IF(AND(ISNUMBER($A139),ISNUMBER(BBG_Data!E139)),BBG_Data!E139,NA())</f>
        <v/>
      </c>
      <c r="F139" s="18">
        <f>IF(AND(ISNUMBER(B139),ISNUMBER(B138)),(B139-B138)*100,"")</f>
        <v/>
      </c>
      <c r="G139" s="18">
        <f>IF(AND(ISNUMBER(C139),ISNUMBER(C138)),(C139-C138)*100,"")</f>
        <v/>
      </c>
      <c r="H139" s="18">
        <f>IF(OR(NOT(ISNUMBER($A139)),ROW()-2&lt;Settings!$B$11),NA(),IF(COUNT(OFFSET(F139,1-Settings!$B$11,0,Settings!$B$11,1))&lt;Settings!$B$11,NA(),STDEV(OFFSET(F139,1-Settings!$B$11,0,Settings!$B$11,1))*SQRT(Settings!$B$13)))</f>
        <v/>
      </c>
      <c r="I139" s="18">
        <f>IF(OR(NOT(ISNUMBER($A139)),ROW()-2&lt;Settings!$B$12),NA(),IF(COUNT(OFFSET(F139,1-Settings!$B$12,0,Settings!$B$12,1))&lt;Settings!$B$12,NA(),STDEV(OFFSET(F139,1-Settings!$B$12,0,Settings!$B$12,1))*SQRT(Settings!$B$13)))</f>
        <v/>
      </c>
      <c r="J139" s="18">
        <f>IF(OR(NOT(ISNUMBER($A139)),ROW()-2&lt;Settings!$B$11),NA(),IF(COUNT(OFFSET(G139,1-Settings!$B$11,0,Settings!$B$11,1))&lt;Settings!$B$11,NA(),STDEV(OFFSET(G139,1-Settings!$B$11,0,Settings!$B$11,1))*SQRT(Settings!$B$13)))</f>
        <v/>
      </c>
      <c r="K139" s="18">
        <f>IF(OR(NOT(ISNUMBER($A139)),ROW()-2&lt;Settings!$B$12),NA(),IF(COUNT(OFFSET(G139,1-Settings!$B$12,0,Settings!$B$12,1))&lt;Settings!$B$12,NA(),STDEV(OFFSET(G139,1-Settings!$B$12,0,Settings!$B$12,1))*SQRT(Settings!$B$13)))</f>
        <v/>
      </c>
      <c r="L139" s="18">
        <f>IF(AND(ISNUMBER(D139),ISNUMBER(H139)),D139-H139,NA())</f>
        <v/>
      </c>
      <c r="M139" s="18">
        <f>IF(AND(ISNUMBER(E139),ISNUMBER(K139)),E139-K139,NA())</f>
        <v/>
      </c>
      <c r="N139" s="18">
        <f>IF(NOT(ISNUMBER($A139)),NA(),IF(COUNT(OFFSET(G139,1,0,Settings!$B$12,1))&lt;Settings!$B$12,NA(),STDEV(OFFSET(G139,1,0,Settings!$B$12,1))*SQRT(Settings!$B$13)))</f>
        <v/>
      </c>
      <c r="O139" s="18">
        <f>IF(AND(ISNUMBER(E139),ISNUMBER(N139)),E139-N139,NA())</f>
        <v/>
      </c>
      <c r="P139" s="17">
        <f>IF(NOT(ISNUMBER($A139)),NA(),IF(OR($A139&lt;MIN(KW_TP!$A$2:$A$2501),$A139&gt;MAX(KW_TP!$A$2:$A$2501)),NA(),INDEX(KW_TP!$C$2:$C$2501,MATCH($A139,KW_TP!$A$2:$A$2501,1))))</f>
        <v/>
      </c>
    </row>
    <row r="140">
      <c r="A140" s="15">
        <f>IF(ISNUMBER(BBG_Data!A140),BBG_Data!A140,"")</f>
        <v/>
      </c>
      <c r="B140" s="16">
        <f>IF(AND(ISNUMBER($A140),ISNUMBER(BBG_Data!B140)),BBG_Data!B140,NA())</f>
        <v/>
      </c>
      <c r="C140" s="16">
        <f>IF(AND(ISNUMBER($A140),ISNUMBER(BBG_Data!C140)),BBG_Data!C140,NA())</f>
        <v/>
      </c>
      <c r="D140" s="17">
        <f>IF(AND(ISNUMBER($A140),ISNUMBER(BBG_Data!D140)),BBG_Data!D140,NA())</f>
        <v/>
      </c>
      <c r="E140" s="17">
        <f>IF(AND(ISNUMBER($A140),ISNUMBER(BBG_Data!E140)),BBG_Data!E140,NA())</f>
        <v/>
      </c>
      <c r="F140" s="18">
        <f>IF(AND(ISNUMBER(B140),ISNUMBER(B139)),(B140-B139)*100,"")</f>
        <v/>
      </c>
      <c r="G140" s="18">
        <f>IF(AND(ISNUMBER(C140),ISNUMBER(C139)),(C140-C139)*100,"")</f>
        <v/>
      </c>
      <c r="H140" s="18">
        <f>IF(OR(NOT(ISNUMBER($A140)),ROW()-2&lt;Settings!$B$11),NA(),IF(COUNT(OFFSET(F140,1-Settings!$B$11,0,Settings!$B$11,1))&lt;Settings!$B$11,NA(),STDEV(OFFSET(F140,1-Settings!$B$11,0,Settings!$B$11,1))*SQRT(Settings!$B$13)))</f>
        <v/>
      </c>
      <c r="I140" s="18">
        <f>IF(OR(NOT(ISNUMBER($A140)),ROW()-2&lt;Settings!$B$12),NA(),IF(COUNT(OFFSET(F140,1-Settings!$B$12,0,Settings!$B$12,1))&lt;Settings!$B$12,NA(),STDEV(OFFSET(F140,1-Settings!$B$12,0,Settings!$B$12,1))*SQRT(Settings!$B$13)))</f>
        <v/>
      </c>
      <c r="J140" s="18">
        <f>IF(OR(NOT(ISNUMBER($A140)),ROW()-2&lt;Settings!$B$11),NA(),IF(COUNT(OFFSET(G140,1-Settings!$B$11,0,Settings!$B$11,1))&lt;Settings!$B$11,NA(),STDEV(OFFSET(G140,1-Settings!$B$11,0,Settings!$B$11,1))*SQRT(Settings!$B$13)))</f>
        <v/>
      </c>
      <c r="K140" s="18">
        <f>IF(OR(NOT(ISNUMBER($A140)),ROW()-2&lt;Settings!$B$12),NA(),IF(COUNT(OFFSET(G140,1-Settings!$B$12,0,Settings!$B$12,1))&lt;Settings!$B$12,NA(),STDEV(OFFSET(G140,1-Settings!$B$12,0,Settings!$B$12,1))*SQRT(Settings!$B$13)))</f>
        <v/>
      </c>
      <c r="L140" s="18">
        <f>IF(AND(ISNUMBER(D140),ISNUMBER(H140)),D140-H140,NA())</f>
        <v/>
      </c>
      <c r="M140" s="18">
        <f>IF(AND(ISNUMBER(E140),ISNUMBER(K140)),E140-K140,NA())</f>
        <v/>
      </c>
      <c r="N140" s="18">
        <f>IF(NOT(ISNUMBER($A140)),NA(),IF(COUNT(OFFSET(G140,1,0,Settings!$B$12,1))&lt;Settings!$B$12,NA(),STDEV(OFFSET(G140,1,0,Settings!$B$12,1))*SQRT(Settings!$B$13)))</f>
        <v/>
      </c>
      <c r="O140" s="18">
        <f>IF(AND(ISNUMBER(E140),ISNUMBER(N140)),E140-N140,NA())</f>
        <v/>
      </c>
      <c r="P140" s="17">
        <f>IF(NOT(ISNUMBER($A140)),NA(),IF(OR($A140&lt;MIN(KW_TP!$A$2:$A$2501),$A140&gt;MAX(KW_TP!$A$2:$A$2501)),NA(),INDEX(KW_TP!$C$2:$C$2501,MATCH($A140,KW_TP!$A$2:$A$2501,1))))</f>
        <v/>
      </c>
    </row>
    <row r="141">
      <c r="A141" s="15">
        <f>IF(ISNUMBER(BBG_Data!A141),BBG_Data!A141,"")</f>
        <v/>
      </c>
      <c r="B141" s="16">
        <f>IF(AND(ISNUMBER($A141),ISNUMBER(BBG_Data!B141)),BBG_Data!B141,NA())</f>
        <v/>
      </c>
      <c r="C141" s="16">
        <f>IF(AND(ISNUMBER($A141),ISNUMBER(BBG_Data!C141)),BBG_Data!C141,NA())</f>
        <v/>
      </c>
      <c r="D141" s="17">
        <f>IF(AND(ISNUMBER($A141),ISNUMBER(BBG_Data!D141)),BBG_Data!D141,NA())</f>
        <v/>
      </c>
      <c r="E141" s="17">
        <f>IF(AND(ISNUMBER($A141),ISNUMBER(BBG_Data!E141)),BBG_Data!E141,NA())</f>
        <v/>
      </c>
      <c r="F141" s="18">
        <f>IF(AND(ISNUMBER(B141),ISNUMBER(B140)),(B141-B140)*100,"")</f>
        <v/>
      </c>
      <c r="G141" s="18">
        <f>IF(AND(ISNUMBER(C141),ISNUMBER(C140)),(C141-C140)*100,"")</f>
        <v/>
      </c>
      <c r="H141" s="18">
        <f>IF(OR(NOT(ISNUMBER($A141)),ROW()-2&lt;Settings!$B$11),NA(),IF(COUNT(OFFSET(F141,1-Settings!$B$11,0,Settings!$B$11,1))&lt;Settings!$B$11,NA(),STDEV(OFFSET(F141,1-Settings!$B$11,0,Settings!$B$11,1))*SQRT(Settings!$B$13)))</f>
        <v/>
      </c>
      <c r="I141" s="18">
        <f>IF(OR(NOT(ISNUMBER($A141)),ROW()-2&lt;Settings!$B$12),NA(),IF(COUNT(OFFSET(F141,1-Settings!$B$12,0,Settings!$B$12,1))&lt;Settings!$B$12,NA(),STDEV(OFFSET(F141,1-Settings!$B$12,0,Settings!$B$12,1))*SQRT(Settings!$B$13)))</f>
        <v/>
      </c>
      <c r="J141" s="18">
        <f>IF(OR(NOT(ISNUMBER($A141)),ROW()-2&lt;Settings!$B$11),NA(),IF(COUNT(OFFSET(G141,1-Settings!$B$11,0,Settings!$B$11,1))&lt;Settings!$B$11,NA(),STDEV(OFFSET(G141,1-Settings!$B$11,0,Settings!$B$11,1))*SQRT(Settings!$B$13)))</f>
        <v/>
      </c>
      <c r="K141" s="18">
        <f>IF(OR(NOT(ISNUMBER($A141)),ROW()-2&lt;Settings!$B$12),NA(),IF(COUNT(OFFSET(G141,1-Settings!$B$12,0,Settings!$B$12,1))&lt;Settings!$B$12,NA(),STDEV(OFFSET(G141,1-Settings!$B$12,0,Settings!$B$12,1))*SQRT(Settings!$B$13)))</f>
        <v/>
      </c>
      <c r="L141" s="18">
        <f>IF(AND(ISNUMBER(D141),ISNUMBER(H141)),D141-H141,NA())</f>
        <v/>
      </c>
      <c r="M141" s="18">
        <f>IF(AND(ISNUMBER(E141),ISNUMBER(K141)),E141-K141,NA())</f>
        <v/>
      </c>
      <c r="N141" s="18">
        <f>IF(NOT(ISNUMBER($A141)),NA(),IF(COUNT(OFFSET(G141,1,0,Settings!$B$12,1))&lt;Settings!$B$12,NA(),STDEV(OFFSET(G141,1,0,Settings!$B$12,1))*SQRT(Settings!$B$13)))</f>
        <v/>
      </c>
      <c r="O141" s="18">
        <f>IF(AND(ISNUMBER(E141),ISNUMBER(N141)),E141-N141,NA())</f>
        <v/>
      </c>
      <c r="P141" s="17">
        <f>IF(NOT(ISNUMBER($A141)),NA(),IF(OR($A141&lt;MIN(KW_TP!$A$2:$A$2501),$A141&gt;MAX(KW_TP!$A$2:$A$2501)),NA(),INDEX(KW_TP!$C$2:$C$2501,MATCH($A141,KW_TP!$A$2:$A$2501,1))))</f>
        <v/>
      </c>
    </row>
    <row r="142">
      <c r="A142" s="15">
        <f>IF(ISNUMBER(BBG_Data!A142),BBG_Data!A142,"")</f>
        <v/>
      </c>
      <c r="B142" s="16">
        <f>IF(AND(ISNUMBER($A142),ISNUMBER(BBG_Data!B142)),BBG_Data!B142,NA())</f>
        <v/>
      </c>
      <c r="C142" s="16">
        <f>IF(AND(ISNUMBER($A142),ISNUMBER(BBG_Data!C142)),BBG_Data!C142,NA())</f>
        <v/>
      </c>
      <c r="D142" s="17">
        <f>IF(AND(ISNUMBER($A142),ISNUMBER(BBG_Data!D142)),BBG_Data!D142,NA())</f>
        <v/>
      </c>
      <c r="E142" s="17">
        <f>IF(AND(ISNUMBER($A142),ISNUMBER(BBG_Data!E142)),BBG_Data!E142,NA())</f>
        <v/>
      </c>
      <c r="F142" s="18">
        <f>IF(AND(ISNUMBER(B142),ISNUMBER(B141)),(B142-B141)*100,"")</f>
        <v/>
      </c>
      <c r="G142" s="18">
        <f>IF(AND(ISNUMBER(C142),ISNUMBER(C141)),(C142-C141)*100,"")</f>
        <v/>
      </c>
      <c r="H142" s="18">
        <f>IF(OR(NOT(ISNUMBER($A142)),ROW()-2&lt;Settings!$B$11),NA(),IF(COUNT(OFFSET(F142,1-Settings!$B$11,0,Settings!$B$11,1))&lt;Settings!$B$11,NA(),STDEV(OFFSET(F142,1-Settings!$B$11,0,Settings!$B$11,1))*SQRT(Settings!$B$13)))</f>
        <v/>
      </c>
      <c r="I142" s="18">
        <f>IF(OR(NOT(ISNUMBER($A142)),ROW()-2&lt;Settings!$B$12),NA(),IF(COUNT(OFFSET(F142,1-Settings!$B$12,0,Settings!$B$12,1))&lt;Settings!$B$12,NA(),STDEV(OFFSET(F142,1-Settings!$B$12,0,Settings!$B$12,1))*SQRT(Settings!$B$13)))</f>
        <v/>
      </c>
      <c r="J142" s="18">
        <f>IF(OR(NOT(ISNUMBER($A142)),ROW()-2&lt;Settings!$B$11),NA(),IF(COUNT(OFFSET(G142,1-Settings!$B$11,0,Settings!$B$11,1))&lt;Settings!$B$11,NA(),STDEV(OFFSET(G142,1-Settings!$B$11,0,Settings!$B$11,1))*SQRT(Settings!$B$13)))</f>
        <v/>
      </c>
      <c r="K142" s="18">
        <f>IF(OR(NOT(ISNUMBER($A142)),ROW()-2&lt;Settings!$B$12),NA(),IF(COUNT(OFFSET(G142,1-Settings!$B$12,0,Settings!$B$12,1))&lt;Settings!$B$12,NA(),STDEV(OFFSET(G142,1-Settings!$B$12,0,Settings!$B$12,1))*SQRT(Settings!$B$13)))</f>
        <v/>
      </c>
      <c r="L142" s="18">
        <f>IF(AND(ISNUMBER(D142),ISNUMBER(H142)),D142-H142,NA())</f>
        <v/>
      </c>
      <c r="M142" s="18">
        <f>IF(AND(ISNUMBER(E142),ISNUMBER(K142)),E142-K142,NA())</f>
        <v/>
      </c>
      <c r="N142" s="18">
        <f>IF(NOT(ISNUMBER($A142)),NA(),IF(COUNT(OFFSET(G142,1,0,Settings!$B$12,1))&lt;Settings!$B$12,NA(),STDEV(OFFSET(G142,1,0,Settings!$B$12,1))*SQRT(Settings!$B$13)))</f>
        <v/>
      </c>
      <c r="O142" s="18">
        <f>IF(AND(ISNUMBER(E142),ISNUMBER(N142)),E142-N142,NA())</f>
        <v/>
      </c>
      <c r="P142" s="17">
        <f>IF(NOT(ISNUMBER($A142)),NA(),IF(OR($A142&lt;MIN(KW_TP!$A$2:$A$2501),$A142&gt;MAX(KW_TP!$A$2:$A$2501)),NA(),INDEX(KW_TP!$C$2:$C$2501,MATCH($A142,KW_TP!$A$2:$A$2501,1))))</f>
        <v/>
      </c>
    </row>
    <row r="143">
      <c r="A143" s="15">
        <f>IF(ISNUMBER(BBG_Data!A143),BBG_Data!A143,"")</f>
        <v/>
      </c>
      <c r="B143" s="16">
        <f>IF(AND(ISNUMBER($A143),ISNUMBER(BBG_Data!B143)),BBG_Data!B143,NA())</f>
        <v/>
      </c>
      <c r="C143" s="16">
        <f>IF(AND(ISNUMBER($A143),ISNUMBER(BBG_Data!C143)),BBG_Data!C143,NA())</f>
        <v/>
      </c>
      <c r="D143" s="17">
        <f>IF(AND(ISNUMBER($A143),ISNUMBER(BBG_Data!D143)),BBG_Data!D143,NA())</f>
        <v/>
      </c>
      <c r="E143" s="17">
        <f>IF(AND(ISNUMBER($A143),ISNUMBER(BBG_Data!E143)),BBG_Data!E143,NA())</f>
        <v/>
      </c>
      <c r="F143" s="18">
        <f>IF(AND(ISNUMBER(B143),ISNUMBER(B142)),(B143-B142)*100,"")</f>
        <v/>
      </c>
      <c r="G143" s="18">
        <f>IF(AND(ISNUMBER(C143),ISNUMBER(C142)),(C143-C142)*100,"")</f>
        <v/>
      </c>
      <c r="H143" s="18">
        <f>IF(OR(NOT(ISNUMBER($A143)),ROW()-2&lt;Settings!$B$11),NA(),IF(COUNT(OFFSET(F143,1-Settings!$B$11,0,Settings!$B$11,1))&lt;Settings!$B$11,NA(),STDEV(OFFSET(F143,1-Settings!$B$11,0,Settings!$B$11,1))*SQRT(Settings!$B$13)))</f>
        <v/>
      </c>
      <c r="I143" s="18">
        <f>IF(OR(NOT(ISNUMBER($A143)),ROW()-2&lt;Settings!$B$12),NA(),IF(COUNT(OFFSET(F143,1-Settings!$B$12,0,Settings!$B$12,1))&lt;Settings!$B$12,NA(),STDEV(OFFSET(F143,1-Settings!$B$12,0,Settings!$B$12,1))*SQRT(Settings!$B$13)))</f>
        <v/>
      </c>
      <c r="J143" s="18">
        <f>IF(OR(NOT(ISNUMBER($A143)),ROW()-2&lt;Settings!$B$11),NA(),IF(COUNT(OFFSET(G143,1-Settings!$B$11,0,Settings!$B$11,1))&lt;Settings!$B$11,NA(),STDEV(OFFSET(G143,1-Settings!$B$11,0,Settings!$B$11,1))*SQRT(Settings!$B$13)))</f>
        <v/>
      </c>
      <c r="K143" s="18">
        <f>IF(OR(NOT(ISNUMBER($A143)),ROW()-2&lt;Settings!$B$12),NA(),IF(COUNT(OFFSET(G143,1-Settings!$B$12,0,Settings!$B$12,1))&lt;Settings!$B$12,NA(),STDEV(OFFSET(G143,1-Settings!$B$12,0,Settings!$B$12,1))*SQRT(Settings!$B$13)))</f>
        <v/>
      </c>
      <c r="L143" s="18">
        <f>IF(AND(ISNUMBER(D143),ISNUMBER(H143)),D143-H143,NA())</f>
        <v/>
      </c>
      <c r="M143" s="18">
        <f>IF(AND(ISNUMBER(E143),ISNUMBER(K143)),E143-K143,NA())</f>
        <v/>
      </c>
      <c r="N143" s="18">
        <f>IF(NOT(ISNUMBER($A143)),NA(),IF(COUNT(OFFSET(G143,1,0,Settings!$B$12,1))&lt;Settings!$B$12,NA(),STDEV(OFFSET(G143,1,0,Settings!$B$12,1))*SQRT(Settings!$B$13)))</f>
        <v/>
      </c>
      <c r="O143" s="18">
        <f>IF(AND(ISNUMBER(E143),ISNUMBER(N143)),E143-N143,NA())</f>
        <v/>
      </c>
      <c r="P143" s="17">
        <f>IF(NOT(ISNUMBER($A143)),NA(),IF(OR($A143&lt;MIN(KW_TP!$A$2:$A$2501),$A143&gt;MAX(KW_TP!$A$2:$A$2501)),NA(),INDEX(KW_TP!$C$2:$C$2501,MATCH($A143,KW_TP!$A$2:$A$2501,1))))</f>
        <v/>
      </c>
    </row>
    <row r="144">
      <c r="A144" s="15">
        <f>IF(ISNUMBER(BBG_Data!A144),BBG_Data!A144,"")</f>
        <v/>
      </c>
      <c r="B144" s="16">
        <f>IF(AND(ISNUMBER($A144),ISNUMBER(BBG_Data!B144)),BBG_Data!B144,NA())</f>
        <v/>
      </c>
      <c r="C144" s="16">
        <f>IF(AND(ISNUMBER($A144),ISNUMBER(BBG_Data!C144)),BBG_Data!C144,NA())</f>
        <v/>
      </c>
      <c r="D144" s="17">
        <f>IF(AND(ISNUMBER($A144),ISNUMBER(BBG_Data!D144)),BBG_Data!D144,NA())</f>
        <v/>
      </c>
      <c r="E144" s="17">
        <f>IF(AND(ISNUMBER($A144),ISNUMBER(BBG_Data!E144)),BBG_Data!E144,NA())</f>
        <v/>
      </c>
      <c r="F144" s="18">
        <f>IF(AND(ISNUMBER(B144),ISNUMBER(B143)),(B144-B143)*100,"")</f>
        <v/>
      </c>
      <c r="G144" s="18">
        <f>IF(AND(ISNUMBER(C144),ISNUMBER(C143)),(C144-C143)*100,"")</f>
        <v/>
      </c>
      <c r="H144" s="18">
        <f>IF(OR(NOT(ISNUMBER($A144)),ROW()-2&lt;Settings!$B$11),NA(),IF(COUNT(OFFSET(F144,1-Settings!$B$11,0,Settings!$B$11,1))&lt;Settings!$B$11,NA(),STDEV(OFFSET(F144,1-Settings!$B$11,0,Settings!$B$11,1))*SQRT(Settings!$B$13)))</f>
        <v/>
      </c>
      <c r="I144" s="18">
        <f>IF(OR(NOT(ISNUMBER($A144)),ROW()-2&lt;Settings!$B$12),NA(),IF(COUNT(OFFSET(F144,1-Settings!$B$12,0,Settings!$B$12,1))&lt;Settings!$B$12,NA(),STDEV(OFFSET(F144,1-Settings!$B$12,0,Settings!$B$12,1))*SQRT(Settings!$B$13)))</f>
        <v/>
      </c>
      <c r="J144" s="18">
        <f>IF(OR(NOT(ISNUMBER($A144)),ROW()-2&lt;Settings!$B$11),NA(),IF(COUNT(OFFSET(G144,1-Settings!$B$11,0,Settings!$B$11,1))&lt;Settings!$B$11,NA(),STDEV(OFFSET(G144,1-Settings!$B$11,0,Settings!$B$11,1))*SQRT(Settings!$B$13)))</f>
        <v/>
      </c>
      <c r="K144" s="18">
        <f>IF(OR(NOT(ISNUMBER($A144)),ROW()-2&lt;Settings!$B$12),NA(),IF(COUNT(OFFSET(G144,1-Settings!$B$12,0,Settings!$B$12,1))&lt;Settings!$B$12,NA(),STDEV(OFFSET(G144,1-Settings!$B$12,0,Settings!$B$12,1))*SQRT(Settings!$B$13)))</f>
        <v/>
      </c>
      <c r="L144" s="18">
        <f>IF(AND(ISNUMBER(D144),ISNUMBER(H144)),D144-H144,NA())</f>
        <v/>
      </c>
      <c r="M144" s="18">
        <f>IF(AND(ISNUMBER(E144),ISNUMBER(K144)),E144-K144,NA())</f>
        <v/>
      </c>
      <c r="N144" s="18">
        <f>IF(NOT(ISNUMBER($A144)),NA(),IF(COUNT(OFFSET(G144,1,0,Settings!$B$12,1))&lt;Settings!$B$12,NA(),STDEV(OFFSET(G144,1,0,Settings!$B$12,1))*SQRT(Settings!$B$13)))</f>
        <v/>
      </c>
      <c r="O144" s="18">
        <f>IF(AND(ISNUMBER(E144),ISNUMBER(N144)),E144-N144,NA())</f>
        <v/>
      </c>
      <c r="P144" s="17">
        <f>IF(NOT(ISNUMBER($A144)),NA(),IF(OR($A144&lt;MIN(KW_TP!$A$2:$A$2501),$A144&gt;MAX(KW_TP!$A$2:$A$2501)),NA(),INDEX(KW_TP!$C$2:$C$2501,MATCH($A144,KW_TP!$A$2:$A$2501,1))))</f>
        <v/>
      </c>
    </row>
    <row r="145">
      <c r="A145" s="15">
        <f>IF(ISNUMBER(BBG_Data!A145),BBG_Data!A145,"")</f>
        <v/>
      </c>
      <c r="B145" s="16">
        <f>IF(AND(ISNUMBER($A145),ISNUMBER(BBG_Data!B145)),BBG_Data!B145,NA())</f>
        <v/>
      </c>
      <c r="C145" s="16">
        <f>IF(AND(ISNUMBER($A145),ISNUMBER(BBG_Data!C145)),BBG_Data!C145,NA())</f>
        <v/>
      </c>
      <c r="D145" s="17">
        <f>IF(AND(ISNUMBER($A145),ISNUMBER(BBG_Data!D145)),BBG_Data!D145,NA())</f>
        <v/>
      </c>
      <c r="E145" s="17">
        <f>IF(AND(ISNUMBER($A145),ISNUMBER(BBG_Data!E145)),BBG_Data!E145,NA())</f>
        <v/>
      </c>
      <c r="F145" s="18">
        <f>IF(AND(ISNUMBER(B145),ISNUMBER(B144)),(B145-B144)*100,"")</f>
        <v/>
      </c>
      <c r="G145" s="18">
        <f>IF(AND(ISNUMBER(C145),ISNUMBER(C144)),(C145-C144)*100,"")</f>
        <v/>
      </c>
      <c r="H145" s="18">
        <f>IF(OR(NOT(ISNUMBER($A145)),ROW()-2&lt;Settings!$B$11),NA(),IF(COUNT(OFFSET(F145,1-Settings!$B$11,0,Settings!$B$11,1))&lt;Settings!$B$11,NA(),STDEV(OFFSET(F145,1-Settings!$B$11,0,Settings!$B$11,1))*SQRT(Settings!$B$13)))</f>
        <v/>
      </c>
      <c r="I145" s="18">
        <f>IF(OR(NOT(ISNUMBER($A145)),ROW()-2&lt;Settings!$B$12),NA(),IF(COUNT(OFFSET(F145,1-Settings!$B$12,0,Settings!$B$12,1))&lt;Settings!$B$12,NA(),STDEV(OFFSET(F145,1-Settings!$B$12,0,Settings!$B$12,1))*SQRT(Settings!$B$13)))</f>
        <v/>
      </c>
      <c r="J145" s="18">
        <f>IF(OR(NOT(ISNUMBER($A145)),ROW()-2&lt;Settings!$B$11),NA(),IF(COUNT(OFFSET(G145,1-Settings!$B$11,0,Settings!$B$11,1))&lt;Settings!$B$11,NA(),STDEV(OFFSET(G145,1-Settings!$B$11,0,Settings!$B$11,1))*SQRT(Settings!$B$13)))</f>
        <v/>
      </c>
      <c r="K145" s="18">
        <f>IF(OR(NOT(ISNUMBER($A145)),ROW()-2&lt;Settings!$B$12),NA(),IF(COUNT(OFFSET(G145,1-Settings!$B$12,0,Settings!$B$12,1))&lt;Settings!$B$12,NA(),STDEV(OFFSET(G145,1-Settings!$B$12,0,Settings!$B$12,1))*SQRT(Settings!$B$13)))</f>
        <v/>
      </c>
      <c r="L145" s="18">
        <f>IF(AND(ISNUMBER(D145),ISNUMBER(H145)),D145-H145,NA())</f>
        <v/>
      </c>
      <c r="M145" s="18">
        <f>IF(AND(ISNUMBER(E145),ISNUMBER(K145)),E145-K145,NA())</f>
        <v/>
      </c>
      <c r="N145" s="18">
        <f>IF(NOT(ISNUMBER($A145)),NA(),IF(COUNT(OFFSET(G145,1,0,Settings!$B$12,1))&lt;Settings!$B$12,NA(),STDEV(OFFSET(G145,1,0,Settings!$B$12,1))*SQRT(Settings!$B$13)))</f>
        <v/>
      </c>
      <c r="O145" s="18">
        <f>IF(AND(ISNUMBER(E145),ISNUMBER(N145)),E145-N145,NA())</f>
        <v/>
      </c>
      <c r="P145" s="17">
        <f>IF(NOT(ISNUMBER($A145)),NA(),IF(OR($A145&lt;MIN(KW_TP!$A$2:$A$2501),$A145&gt;MAX(KW_TP!$A$2:$A$2501)),NA(),INDEX(KW_TP!$C$2:$C$2501,MATCH($A145,KW_TP!$A$2:$A$2501,1))))</f>
        <v/>
      </c>
    </row>
    <row r="146">
      <c r="A146" s="15">
        <f>IF(ISNUMBER(BBG_Data!A146),BBG_Data!A146,"")</f>
        <v/>
      </c>
      <c r="B146" s="16">
        <f>IF(AND(ISNUMBER($A146),ISNUMBER(BBG_Data!B146)),BBG_Data!B146,NA())</f>
        <v/>
      </c>
      <c r="C146" s="16">
        <f>IF(AND(ISNUMBER($A146),ISNUMBER(BBG_Data!C146)),BBG_Data!C146,NA())</f>
        <v/>
      </c>
      <c r="D146" s="17">
        <f>IF(AND(ISNUMBER($A146),ISNUMBER(BBG_Data!D146)),BBG_Data!D146,NA())</f>
        <v/>
      </c>
      <c r="E146" s="17">
        <f>IF(AND(ISNUMBER($A146),ISNUMBER(BBG_Data!E146)),BBG_Data!E146,NA())</f>
        <v/>
      </c>
      <c r="F146" s="18">
        <f>IF(AND(ISNUMBER(B146),ISNUMBER(B145)),(B146-B145)*100,"")</f>
        <v/>
      </c>
      <c r="G146" s="18">
        <f>IF(AND(ISNUMBER(C146),ISNUMBER(C145)),(C146-C145)*100,"")</f>
        <v/>
      </c>
      <c r="H146" s="18">
        <f>IF(OR(NOT(ISNUMBER($A146)),ROW()-2&lt;Settings!$B$11),NA(),IF(COUNT(OFFSET(F146,1-Settings!$B$11,0,Settings!$B$11,1))&lt;Settings!$B$11,NA(),STDEV(OFFSET(F146,1-Settings!$B$11,0,Settings!$B$11,1))*SQRT(Settings!$B$13)))</f>
        <v/>
      </c>
      <c r="I146" s="18">
        <f>IF(OR(NOT(ISNUMBER($A146)),ROW()-2&lt;Settings!$B$12),NA(),IF(COUNT(OFFSET(F146,1-Settings!$B$12,0,Settings!$B$12,1))&lt;Settings!$B$12,NA(),STDEV(OFFSET(F146,1-Settings!$B$12,0,Settings!$B$12,1))*SQRT(Settings!$B$13)))</f>
        <v/>
      </c>
      <c r="J146" s="18">
        <f>IF(OR(NOT(ISNUMBER($A146)),ROW()-2&lt;Settings!$B$11),NA(),IF(COUNT(OFFSET(G146,1-Settings!$B$11,0,Settings!$B$11,1))&lt;Settings!$B$11,NA(),STDEV(OFFSET(G146,1-Settings!$B$11,0,Settings!$B$11,1))*SQRT(Settings!$B$13)))</f>
        <v/>
      </c>
      <c r="K146" s="18">
        <f>IF(OR(NOT(ISNUMBER($A146)),ROW()-2&lt;Settings!$B$12),NA(),IF(COUNT(OFFSET(G146,1-Settings!$B$12,0,Settings!$B$12,1))&lt;Settings!$B$12,NA(),STDEV(OFFSET(G146,1-Settings!$B$12,0,Settings!$B$12,1))*SQRT(Settings!$B$13)))</f>
        <v/>
      </c>
      <c r="L146" s="18">
        <f>IF(AND(ISNUMBER(D146),ISNUMBER(H146)),D146-H146,NA())</f>
        <v/>
      </c>
      <c r="M146" s="18">
        <f>IF(AND(ISNUMBER(E146),ISNUMBER(K146)),E146-K146,NA())</f>
        <v/>
      </c>
      <c r="N146" s="18">
        <f>IF(NOT(ISNUMBER($A146)),NA(),IF(COUNT(OFFSET(G146,1,0,Settings!$B$12,1))&lt;Settings!$B$12,NA(),STDEV(OFFSET(G146,1,0,Settings!$B$12,1))*SQRT(Settings!$B$13)))</f>
        <v/>
      </c>
      <c r="O146" s="18">
        <f>IF(AND(ISNUMBER(E146),ISNUMBER(N146)),E146-N146,NA())</f>
        <v/>
      </c>
      <c r="P146" s="17">
        <f>IF(NOT(ISNUMBER($A146)),NA(),IF(OR($A146&lt;MIN(KW_TP!$A$2:$A$2501),$A146&gt;MAX(KW_TP!$A$2:$A$2501)),NA(),INDEX(KW_TP!$C$2:$C$2501,MATCH($A146,KW_TP!$A$2:$A$2501,1))))</f>
        <v/>
      </c>
    </row>
    <row r="147">
      <c r="A147" s="15">
        <f>IF(ISNUMBER(BBG_Data!A147),BBG_Data!A147,"")</f>
        <v/>
      </c>
      <c r="B147" s="16">
        <f>IF(AND(ISNUMBER($A147),ISNUMBER(BBG_Data!B147)),BBG_Data!B147,NA())</f>
        <v/>
      </c>
      <c r="C147" s="16">
        <f>IF(AND(ISNUMBER($A147),ISNUMBER(BBG_Data!C147)),BBG_Data!C147,NA())</f>
        <v/>
      </c>
      <c r="D147" s="17">
        <f>IF(AND(ISNUMBER($A147),ISNUMBER(BBG_Data!D147)),BBG_Data!D147,NA())</f>
        <v/>
      </c>
      <c r="E147" s="17">
        <f>IF(AND(ISNUMBER($A147),ISNUMBER(BBG_Data!E147)),BBG_Data!E147,NA())</f>
        <v/>
      </c>
      <c r="F147" s="18">
        <f>IF(AND(ISNUMBER(B147),ISNUMBER(B146)),(B147-B146)*100,"")</f>
        <v/>
      </c>
      <c r="G147" s="18">
        <f>IF(AND(ISNUMBER(C147),ISNUMBER(C146)),(C147-C146)*100,"")</f>
        <v/>
      </c>
      <c r="H147" s="18">
        <f>IF(OR(NOT(ISNUMBER($A147)),ROW()-2&lt;Settings!$B$11),NA(),IF(COUNT(OFFSET(F147,1-Settings!$B$11,0,Settings!$B$11,1))&lt;Settings!$B$11,NA(),STDEV(OFFSET(F147,1-Settings!$B$11,0,Settings!$B$11,1))*SQRT(Settings!$B$13)))</f>
        <v/>
      </c>
      <c r="I147" s="18">
        <f>IF(OR(NOT(ISNUMBER($A147)),ROW()-2&lt;Settings!$B$12),NA(),IF(COUNT(OFFSET(F147,1-Settings!$B$12,0,Settings!$B$12,1))&lt;Settings!$B$12,NA(),STDEV(OFFSET(F147,1-Settings!$B$12,0,Settings!$B$12,1))*SQRT(Settings!$B$13)))</f>
        <v/>
      </c>
      <c r="J147" s="18">
        <f>IF(OR(NOT(ISNUMBER($A147)),ROW()-2&lt;Settings!$B$11),NA(),IF(COUNT(OFFSET(G147,1-Settings!$B$11,0,Settings!$B$11,1))&lt;Settings!$B$11,NA(),STDEV(OFFSET(G147,1-Settings!$B$11,0,Settings!$B$11,1))*SQRT(Settings!$B$13)))</f>
        <v/>
      </c>
      <c r="K147" s="18">
        <f>IF(OR(NOT(ISNUMBER($A147)),ROW()-2&lt;Settings!$B$12),NA(),IF(COUNT(OFFSET(G147,1-Settings!$B$12,0,Settings!$B$12,1))&lt;Settings!$B$12,NA(),STDEV(OFFSET(G147,1-Settings!$B$12,0,Settings!$B$12,1))*SQRT(Settings!$B$13)))</f>
        <v/>
      </c>
      <c r="L147" s="18">
        <f>IF(AND(ISNUMBER(D147),ISNUMBER(H147)),D147-H147,NA())</f>
        <v/>
      </c>
      <c r="M147" s="18">
        <f>IF(AND(ISNUMBER(E147),ISNUMBER(K147)),E147-K147,NA())</f>
        <v/>
      </c>
      <c r="N147" s="18">
        <f>IF(NOT(ISNUMBER($A147)),NA(),IF(COUNT(OFFSET(G147,1,0,Settings!$B$12,1))&lt;Settings!$B$12,NA(),STDEV(OFFSET(G147,1,0,Settings!$B$12,1))*SQRT(Settings!$B$13)))</f>
        <v/>
      </c>
      <c r="O147" s="18">
        <f>IF(AND(ISNUMBER(E147),ISNUMBER(N147)),E147-N147,NA())</f>
        <v/>
      </c>
      <c r="P147" s="17">
        <f>IF(NOT(ISNUMBER($A147)),NA(),IF(OR($A147&lt;MIN(KW_TP!$A$2:$A$2501),$A147&gt;MAX(KW_TP!$A$2:$A$2501)),NA(),INDEX(KW_TP!$C$2:$C$2501,MATCH($A147,KW_TP!$A$2:$A$2501,1))))</f>
        <v/>
      </c>
    </row>
    <row r="148">
      <c r="A148" s="15">
        <f>IF(ISNUMBER(BBG_Data!A148),BBG_Data!A148,"")</f>
        <v/>
      </c>
      <c r="B148" s="16">
        <f>IF(AND(ISNUMBER($A148),ISNUMBER(BBG_Data!B148)),BBG_Data!B148,NA())</f>
        <v/>
      </c>
      <c r="C148" s="16">
        <f>IF(AND(ISNUMBER($A148),ISNUMBER(BBG_Data!C148)),BBG_Data!C148,NA())</f>
        <v/>
      </c>
      <c r="D148" s="17">
        <f>IF(AND(ISNUMBER($A148),ISNUMBER(BBG_Data!D148)),BBG_Data!D148,NA())</f>
        <v/>
      </c>
      <c r="E148" s="17">
        <f>IF(AND(ISNUMBER($A148),ISNUMBER(BBG_Data!E148)),BBG_Data!E148,NA())</f>
        <v/>
      </c>
      <c r="F148" s="18">
        <f>IF(AND(ISNUMBER(B148),ISNUMBER(B147)),(B148-B147)*100,"")</f>
        <v/>
      </c>
      <c r="G148" s="18">
        <f>IF(AND(ISNUMBER(C148),ISNUMBER(C147)),(C148-C147)*100,"")</f>
        <v/>
      </c>
      <c r="H148" s="18">
        <f>IF(OR(NOT(ISNUMBER($A148)),ROW()-2&lt;Settings!$B$11),NA(),IF(COUNT(OFFSET(F148,1-Settings!$B$11,0,Settings!$B$11,1))&lt;Settings!$B$11,NA(),STDEV(OFFSET(F148,1-Settings!$B$11,0,Settings!$B$11,1))*SQRT(Settings!$B$13)))</f>
        <v/>
      </c>
      <c r="I148" s="18">
        <f>IF(OR(NOT(ISNUMBER($A148)),ROW()-2&lt;Settings!$B$12),NA(),IF(COUNT(OFFSET(F148,1-Settings!$B$12,0,Settings!$B$12,1))&lt;Settings!$B$12,NA(),STDEV(OFFSET(F148,1-Settings!$B$12,0,Settings!$B$12,1))*SQRT(Settings!$B$13)))</f>
        <v/>
      </c>
      <c r="J148" s="18">
        <f>IF(OR(NOT(ISNUMBER($A148)),ROW()-2&lt;Settings!$B$11),NA(),IF(COUNT(OFFSET(G148,1-Settings!$B$11,0,Settings!$B$11,1))&lt;Settings!$B$11,NA(),STDEV(OFFSET(G148,1-Settings!$B$11,0,Settings!$B$11,1))*SQRT(Settings!$B$13)))</f>
        <v/>
      </c>
      <c r="K148" s="18">
        <f>IF(OR(NOT(ISNUMBER($A148)),ROW()-2&lt;Settings!$B$12),NA(),IF(COUNT(OFFSET(G148,1-Settings!$B$12,0,Settings!$B$12,1))&lt;Settings!$B$12,NA(),STDEV(OFFSET(G148,1-Settings!$B$12,0,Settings!$B$12,1))*SQRT(Settings!$B$13)))</f>
        <v/>
      </c>
      <c r="L148" s="18">
        <f>IF(AND(ISNUMBER(D148),ISNUMBER(H148)),D148-H148,NA())</f>
        <v/>
      </c>
      <c r="M148" s="18">
        <f>IF(AND(ISNUMBER(E148),ISNUMBER(K148)),E148-K148,NA())</f>
        <v/>
      </c>
      <c r="N148" s="18">
        <f>IF(NOT(ISNUMBER($A148)),NA(),IF(COUNT(OFFSET(G148,1,0,Settings!$B$12,1))&lt;Settings!$B$12,NA(),STDEV(OFFSET(G148,1,0,Settings!$B$12,1))*SQRT(Settings!$B$13)))</f>
        <v/>
      </c>
      <c r="O148" s="18">
        <f>IF(AND(ISNUMBER(E148),ISNUMBER(N148)),E148-N148,NA())</f>
        <v/>
      </c>
      <c r="P148" s="17">
        <f>IF(NOT(ISNUMBER($A148)),NA(),IF(OR($A148&lt;MIN(KW_TP!$A$2:$A$2501),$A148&gt;MAX(KW_TP!$A$2:$A$2501)),NA(),INDEX(KW_TP!$C$2:$C$2501,MATCH($A148,KW_TP!$A$2:$A$2501,1))))</f>
        <v/>
      </c>
    </row>
    <row r="149">
      <c r="A149" s="15">
        <f>IF(ISNUMBER(BBG_Data!A149),BBG_Data!A149,"")</f>
        <v/>
      </c>
      <c r="B149" s="16">
        <f>IF(AND(ISNUMBER($A149),ISNUMBER(BBG_Data!B149)),BBG_Data!B149,NA())</f>
        <v/>
      </c>
      <c r="C149" s="16">
        <f>IF(AND(ISNUMBER($A149),ISNUMBER(BBG_Data!C149)),BBG_Data!C149,NA())</f>
        <v/>
      </c>
      <c r="D149" s="17">
        <f>IF(AND(ISNUMBER($A149),ISNUMBER(BBG_Data!D149)),BBG_Data!D149,NA())</f>
        <v/>
      </c>
      <c r="E149" s="17">
        <f>IF(AND(ISNUMBER($A149),ISNUMBER(BBG_Data!E149)),BBG_Data!E149,NA())</f>
        <v/>
      </c>
      <c r="F149" s="18">
        <f>IF(AND(ISNUMBER(B149),ISNUMBER(B148)),(B149-B148)*100,"")</f>
        <v/>
      </c>
      <c r="G149" s="18">
        <f>IF(AND(ISNUMBER(C149),ISNUMBER(C148)),(C149-C148)*100,"")</f>
        <v/>
      </c>
      <c r="H149" s="18">
        <f>IF(OR(NOT(ISNUMBER($A149)),ROW()-2&lt;Settings!$B$11),NA(),IF(COUNT(OFFSET(F149,1-Settings!$B$11,0,Settings!$B$11,1))&lt;Settings!$B$11,NA(),STDEV(OFFSET(F149,1-Settings!$B$11,0,Settings!$B$11,1))*SQRT(Settings!$B$13)))</f>
        <v/>
      </c>
      <c r="I149" s="18">
        <f>IF(OR(NOT(ISNUMBER($A149)),ROW()-2&lt;Settings!$B$12),NA(),IF(COUNT(OFFSET(F149,1-Settings!$B$12,0,Settings!$B$12,1))&lt;Settings!$B$12,NA(),STDEV(OFFSET(F149,1-Settings!$B$12,0,Settings!$B$12,1))*SQRT(Settings!$B$13)))</f>
        <v/>
      </c>
      <c r="J149" s="18">
        <f>IF(OR(NOT(ISNUMBER($A149)),ROW()-2&lt;Settings!$B$11),NA(),IF(COUNT(OFFSET(G149,1-Settings!$B$11,0,Settings!$B$11,1))&lt;Settings!$B$11,NA(),STDEV(OFFSET(G149,1-Settings!$B$11,0,Settings!$B$11,1))*SQRT(Settings!$B$13)))</f>
        <v/>
      </c>
      <c r="K149" s="18">
        <f>IF(OR(NOT(ISNUMBER($A149)),ROW()-2&lt;Settings!$B$12),NA(),IF(COUNT(OFFSET(G149,1-Settings!$B$12,0,Settings!$B$12,1))&lt;Settings!$B$12,NA(),STDEV(OFFSET(G149,1-Settings!$B$12,0,Settings!$B$12,1))*SQRT(Settings!$B$13)))</f>
        <v/>
      </c>
      <c r="L149" s="18">
        <f>IF(AND(ISNUMBER(D149),ISNUMBER(H149)),D149-H149,NA())</f>
        <v/>
      </c>
      <c r="M149" s="18">
        <f>IF(AND(ISNUMBER(E149),ISNUMBER(K149)),E149-K149,NA())</f>
        <v/>
      </c>
      <c r="N149" s="18">
        <f>IF(NOT(ISNUMBER($A149)),NA(),IF(COUNT(OFFSET(G149,1,0,Settings!$B$12,1))&lt;Settings!$B$12,NA(),STDEV(OFFSET(G149,1,0,Settings!$B$12,1))*SQRT(Settings!$B$13)))</f>
        <v/>
      </c>
      <c r="O149" s="18">
        <f>IF(AND(ISNUMBER(E149),ISNUMBER(N149)),E149-N149,NA())</f>
        <v/>
      </c>
      <c r="P149" s="17">
        <f>IF(NOT(ISNUMBER($A149)),NA(),IF(OR($A149&lt;MIN(KW_TP!$A$2:$A$2501),$A149&gt;MAX(KW_TP!$A$2:$A$2501)),NA(),INDEX(KW_TP!$C$2:$C$2501,MATCH($A149,KW_TP!$A$2:$A$2501,1))))</f>
        <v/>
      </c>
    </row>
    <row r="150">
      <c r="A150" s="15">
        <f>IF(ISNUMBER(BBG_Data!A150),BBG_Data!A150,"")</f>
        <v/>
      </c>
      <c r="B150" s="16">
        <f>IF(AND(ISNUMBER($A150),ISNUMBER(BBG_Data!B150)),BBG_Data!B150,NA())</f>
        <v/>
      </c>
      <c r="C150" s="16">
        <f>IF(AND(ISNUMBER($A150),ISNUMBER(BBG_Data!C150)),BBG_Data!C150,NA())</f>
        <v/>
      </c>
      <c r="D150" s="17">
        <f>IF(AND(ISNUMBER($A150),ISNUMBER(BBG_Data!D150)),BBG_Data!D150,NA())</f>
        <v/>
      </c>
      <c r="E150" s="17">
        <f>IF(AND(ISNUMBER($A150),ISNUMBER(BBG_Data!E150)),BBG_Data!E150,NA())</f>
        <v/>
      </c>
      <c r="F150" s="18">
        <f>IF(AND(ISNUMBER(B150),ISNUMBER(B149)),(B150-B149)*100,"")</f>
        <v/>
      </c>
      <c r="G150" s="18">
        <f>IF(AND(ISNUMBER(C150),ISNUMBER(C149)),(C150-C149)*100,"")</f>
        <v/>
      </c>
      <c r="H150" s="18">
        <f>IF(OR(NOT(ISNUMBER($A150)),ROW()-2&lt;Settings!$B$11),NA(),IF(COUNT(OFFSET(F150,1-Settings!$B$11,0,Settings!$B$11,1))&lt;Settings!$B$11,NA(),STDEV(OFFSET(F150,1-Settings!$B$11,0,Settings!$B$11,1))*SQRT(Settings!$B$13)))</f>
        <v/>
      </c>
      <c r="I150" s="18">
        <f>IF(OR(NOT(ISNUMBER($A150)),ROW()-2&lt;Settings!$B$12),NA(),IF(COUNT(OFFSET(F150,1-Settings!$B$12,0,Settings!$B$12,1))&lt;Settings!$B$12,NA(),STDEV(OFFSET(F150,1-Settings!$B$12,0,Settings!$B$12,1))*SQRT(Settings!$B$13)))</f>
        <v/>
      </c>
      <c r="J150" s="18">
        <f>IF(OR(NOT(ISNUMBER($A150)),ROW()-2&lt;Settings!$B$11),NA(),IF(COUNT(OFFSET(G150,1-Settings!$B$11,0,Settings!$B$11,1))&lt;Settings!$B$11,NA(),STDEV(OFFSET(G150,1-Settings!$B$11,0,Settings!$B$11,1))*SQRT(Settings!$B$13)))</f>
        <v/>
      </c>
      <c r="K150" s="18">
        <f>IF(OR(NOT(ISNUMBER($A150)),ROW()-2&lt;Settings!$B$12),NA(),IF(COUNT(OFFSET(G150,1-Settings!$B$12,0,Settings!$B$12,1))&lt;Settings!$B$12,NA(),STDEV(OFFSET(G150,1-Settings!$B$12,0,Settings!$B$12,1))*SQRT(Settings!$B$13)))</f>
        <v/>
      </c>
      <c r="L150" s="18">
        <f>IF(AND(ISNUMBER(D150),ISNUMBER(H150)),D150-H150,NA())</f>
        <v/>
      </c>
      <c r="M150" s="18">
        <f>IF(AND(ISNUMBER(E150),ISNUMBER(K150)),E150-K150,NA())</f>
        <v/>
      </c>
      <c r="N150" s="18">
        <f>IF(NOT(ISNUMBER($A150)),NA(),IF(COUNT(OFFSET(G150,1,0,Settings!$B$12,1))&lt;Settings!$B$12,NA(),STDEV(OFFSET(G150,1,0,Settings!$B$12,1))*SQRT(Settings!$B$13)))</f>
        <v/>
      </c>
      <c r="O150" s="18">
        <f>IF(AND(ISNUMBER(E150),ISNUMBER(N150)),E150-N150,NA())</f>
        <v/>
      </c>
      <c r="P150" s="17">
        <f>IF(NOT(ISNUMBER($A150)),NA(),IF(OR($A150&lt;MIN(KW_TP!$A$2:$A$2501),$A150&gt;MAX(KW_TP!$A$2:$A$2501)),NA(),INDEX(KW_TP!$C$2:$C$2501,MATCH($A150,KW_TP!$A$2:$A$2501,1))))</f>
        <v/>
      </c>
    </row>
    <row r="151">
      <c r="A151" s="15">
        <f>IF(ISNUMBER(BBG_Data!A151),BBG_Data!A151,"")</f>
        <v/>
      </c>
      <c r="B151" s="16">
        <f>IF(AND(ISNUMBER($A151),ISNUMBER(BBG_Data!B151)),BBG_Data!B151,NA())</f>
        <v/>
      </c>
      <c r="C151" s="16">
        <f>IF(AND(ISNUMBER($A151),ISNUMBER(BBG_Data!C151)),BBG_Data!C151,NA())</f>
        <v/>
      </c>
      <c r="D151" s="17">
        <f>IF(AND(ISNUMBER($A151),ISNUMBER(BBG_Data!D151)),BBG_Data!D151,NA())</f>
        <v/>
      </c>
      <c r="E151" s="17">
        <f>IF(AND(ISNUMBER($A151),ISNUMBER(BBG_Data!E151)),BBG_Data!E151,NA())</f>
        <v/>
      </c>
      <c r="F151" s="18">
        <f>IF(AND(ISNUMBER(B151),ISNUMBER(B150)),(B151-B150)*100,"")</f>
        <v/>
      </c>
      <c r="G151" s="18">
        <f>IF(AND(ISNUMBER(C151),ISNUMBER(C150)),(C151-C150)*100,"")</f>
        <v/>
      </c>
      <c r="H151" s="18">
        <f>IF(OR(NOT(ISNUMBER($A151)),ROW()-2&lt;Settings!$B$11),NA(),IF(COUNT(OFFSET(F151,1-Settings!$B$11,0,Settings!$B$11,1))&lt;Settings!$B$11,NA(),STDEV(OFFSET(F151,1-Settings!$B$11,0,Settings!$B$11,1))*SQRT(Settings!$B$13)))</f>
        <v/>
      </c>
      <c r="I151" s="18">
        <f>IF(OR(NOT(ISNUMBER($A151)),ROW()-2&lt;Settings!$B$12),NA(),IF(COUNT(OFFSET(F151,1-Settings!$B$12,0,Settings!$B$12,1))&lt;Settings!$B$12,NA(),STDEV(OFFSET(F151,1-Settings!$B$12,0,Settings!$B$12,1))*SQRT(Settings!$B$13)))</f>
        <v/>
      </c>
      <c r="J151" s="18">
        <f>IF(OR(NOT(ISNUMBER($A151)),ROW()-2&lt;Settings!$B$11),NA(),IF(COUNT(OFFSET(G151,1-Settings!$B$11,0,Settings!$B$11,1))&lt;Settings!$B$11,NA(),STDEV(OFFSET(G151,1-Settings!$B$11,0,Settings!$B$11,1))*SQRT(Settings!$B$13)))</f>
        <v/>
      </c>
      <c r="K151" s="18">
        <f>IF(OR(NOT(ISNUMBER($A151)),ROW()-2&lt;Settings!$B$12),NA(),IF(COUNT(OFFSET(G151,1-Settings!$B$12,0,Settings!$B$12,1))&lt;Settings!$B$12,NA(),STDEV(OFFSET(G151,1-Settings!$B$12,0,Settings!$B$12,1))*SQRT(Settings!$B$13)))</f>
        <v/>
      </c>
      <c r="L151" s="18">
        <f>IF(AND(ISNUMBER(D151),ISNUMBER(H151)),D151-H151,NA())</f>
        <v/>
      </c>
      <c r="M151" s="18">
        <f>IF(AND(ISNUMBER(E151),ISNUMBER(K151)),E151-K151,NA())</f>
        <v/>
      </c>
      <c r="N151" s="18">
        <f>IF(NOT(ISNUMBER($A151)),NA(),IF(COUNT(OFFSET(G151,1,0,Settings!$B$12,1))&lt;Settings!$B$12,NA(),STDEV(OFFSET(G151,1,0,Settings!$B$12,1))*SQRT(Settings!$B$13)))</f>
        <v/>
      </c>
      <c r="O151" s="18">
        <f>IF(AND(ISNUMBER(E151),ISNUMBER(N151)),E151-N151,NA())</f>
        <v/>
      </c>
      <c r="P151" s="17">
        <f>IF(NOT(ISNUMBER($A151)),NA(),IF(OR($A151&lt;MIN(KW_TP!$A$2:$A$2501),$A151&gt;MAX(KW_TP!$A$2:$A$2501)),NA(),INDEX(KW_TP!$C$2:$C$2501,MATCH($A151,KW_TP!$A$2:$A$2501,1))))</f>
        <v/>
      </c>
    </row>
    <row r="152">
      <c r="A152" s="15">
        <f>IF(ISNUMBER(BBG_Data!A152),BBG_Data!A152,"")</f>
        <v/>
      </c>
      <c r="B152" s="16">
        <f>IF(AND(ISNUMBER($A152),ISNUMBER(BBG_Data!B152)),BBG_Data!B152,NA())</f>
        <v/>
      </c>
      <c r="C152" s="16">
        <f>IF(AND(ISNUMBER($A152),ISNUMBER(BBG_Data!C152)),BBG_Data!C152,NA())</f>
        <v/>
      </c>
      <c r="D152" s="17">
        <f>IF(AND(ISNUMBER($A152),ISNUMBER(BBG_Data!D152)),BBG_Data!D152,NA())</f>
        <v/>
      </c>
      <c r="E152" s="17">
        <f>IF(AND(ISNUMBER($A152),ISNUMBER(BBG_Data!E152)),BBG_Data!E152,NA())</f>
        <v/>
      </c>
      <c r="F152" s="18">
        <f>IF(AND(ISNUMBER(B152),ISNUMBER(B151)),(B152-B151)*100,"")</f>
        <v/>
      </c>
      <c r="G152" s="18">
        <f>IF(AND(ISNUMBER(C152),ISNUMBER(C151)),(C152-C151)*100,"")</f>
        <v/>
      </c>
      <c r="H152" s="18">
        <f>IF(OR(NOT(ISNUMBER($A152)),ROW()-2&lt;Settings!$B$11),NA(),IF(COUNT(OFFSET(F152,1-Settings!$B$11,0,Settings!$B$11,1))&lt;Settings!$B$11,NA(),STDEV(OFFSET(F152,1-Settings!$B$11,0,Settings!$B$11,1))*SQRT(Settings!$B$13)))</f>
        <v/>
      </c>
      <c r="I152" s="18">
        <f>IF(OR(NOT(ISNUMBER($A152)),ROW()-2&lt;Settings!$B$12),NA(),IF(COUNT(OFFSET(F152,1-Settings!$B$12,0,Settings!$B$12,1))&lt;Settings!$B$12,NA(),STDEV(OFFSET(F152,1-Settings!$B$12,0,Settings!$B$12,1))*SQRT(Settings!$B$13)))</f>
        <v/>
      </c>
      <c r="J152" s="18">
        <f>IF(OR(NOT(ISNUMBER($A152)),ROW()-2&lt;Settings!$B$11),NA(),IF(COUNT(OFFSET(G152,1-Settings!$B$11,0,Settings!$B$11,1))&lt;Settings!$B$11,NA(),STDEV(OFFSET(G152,1-Settings!$B$11,0,Settings!$B$11,1))*SQRT(Settings!$B$13)))</f>
        <v/>
      </c>
      <c r="K152" s="18">
        <f>IF(OR(NOT(ISNUMBER($A152)),ROW()-2&lt;Settings!$B$12),NA(),IF(COUNT(OFFSET(G152,1-Settings!$B$12,0,Settings!$B$12,1))&lt;Settings!$B$12,NA(),STDEV(OFFSET(G152,1-Settings!$B$12,0,Settings!$B$12,1))*SQRT(Settings!$B$13)))</f>
        <v/>
      </c>
      <c r="L152" s="18">
        <f>IF(AND(ISNUMBER(D152),ISNUMBER(H152)),D152-H152,NA())</f>
        <v/>
      </c>
      <c r="M152" s="18">
        <f>IF(AND(ISNUMBER(E152),ISNUMBER(K152)),E152-K152,NA())</f>
        <v/>
      </c>
      <c r="N152" s="18">
        <f>IF(NOT(ISNUMBER($A152)),NA(),IF(COUNT(OFFSET(G152,1,0,Settings!$B$12,1))&lt;Settings!$B$12,NA(),STDEV(OFFSET(G152,1,0,Settings!$B$12,1))*SQRT(Settings!$B$13)))</f>
        <v/>
      </c>
      <c r="O152" s="18">
        <f>IF(AND(ISNUMBER(E152),ISNUMBER(N152)),E152-N152,NA())</f>
        <v/>
      </c>
      <c r="P152" s="17">
        <f>IF(NOT(ISNUMBER($A152)),NA(),IF(OR($A152&lt;MIN(KW_TP!$A$2:$A$2501),$A152&gt;MAX(KW_TP!$A$2:$A$2501)),NA(),INDEX(KW_TP!$C$2:$C$2501,MATCH($A152,KW_TP!$A$2:$A$2501,1))))</f>
        <v/>
      </c>
    </row>
    <row r="153">
      <c r="A153" s="15">
        <f>IF(ISNUMBER(BBG_Data!A153),BBG_Data!A153,"")</f>
        <v/>
      </c>
      <c r="B153" s="16">
        <f>IF(AND(ISNUMBER($A153),ISNUMBER(BBG_Data!B153)),BBG_Data!B153,NA())</f>
        <v/>
      </c>
      <c r="C153" s="16">
        <f>IF(AND(ISNUMBER($A153),ISNUMBER(BBG_Data!C153)),BBG_Data!C153,NA())</f>
        <v/>
      </c>
      <c r="D153" s="17">
        <f>IF(AND(ISNUMBER($A153),ISNUMBER(BBG_Data!D153)),BBG_Data!D153,NA())</f>
        <v/>
      </c>
      <c r="E153" s="17">
        <f>IF(AND(ISNUMBER($A153),ISNUMBER(BBG_Data!E153)),BBG_Data!E153,NA())</f>
        <v/>
      </c>
      <c r="F153" s="18">
        <f>IF(AND(ISNUMBER(B153),ISNUMBER(B152)),(B153-B152)*100,"")</f>
        <v/>
      </c>
      <c r="G153" s="18">
        <f>IF(AND(ISNUMBER(C153),ISNUMBER(C152)),(C153-C152)*100,"")</f>
        <v/>
      </c>
      <c r="H153" s="18">
        <f>IF(OR(NOT(ISNUMBER($A153)),ROW()-2&lt;Settings!$B$11),NA(),IF(COUNT(OFFSET(F153,1-Settings!$B$11,0,Settings!$B$11,1))&lt;Settings!$B$11,NA(),STDEV(OFFSET(F153,1-Settings!$B$11,0,Settings!$B$11,1))*SQRT(Settings!$B$13)))</f>
        <v/>
      </c>
      <c r="I153" s="18">
        <f>IF(OR(NOT(ISNUMBER($A153)),ROW()-2&lt;Settings!$B$12),NA(),IF(COUNT(OFFSET(F153,1-Settings!$B$12,0,Settings!$B$12,1))&lt;Settings!$B$12,NA(),STDEV(OFFSET(F153,1-Settings!$B$12,0,Settings!$B$12,1))*SQRT(Settings!$B$13)))</f>
        <v/>
      </c>
      <c r="J153" s="18">
        <f>IF(OR(NOT(ISNUMBER($A153)),ROW()-2&lt;Settings!$B$11),NA(),IF(COUNT(OFFSET(G153,1-Settings!$B$11,0,Settings!$B$11,1))&lt;Settings!$B$11,NA(),STDEV(OFFSET(G153,1-Settings!$B$11,0,Settings!$B$11,1))*SQRT(Settings!$B$13)))</f>
        <v/>
      </c>
      <c r="K153" s="18">
        <f>IF(OR(NOT(ISNUMBER($A153)),ROW()-2&lt;Settings!$B$12),NA(),IF(COUNT(OFFSET(G153,1-Settings!$B$12,0,Settings!$B$12,1))&lt;Settings!$B$12,NA(),STDEV(OFFSET(G153,1-Settings!$B$12,0,Settings!$B$12,1))*SQRT(Settings!$B$13)))</f>
        <v/>
      </c>
      <c r="L153" s="18">
        <f>IF(AND(ISNUMBER(D153),ISNUMBER(H153)),D153-H153,NA())</f>
        <v/>
      </c>
      <c r="M153" s="18">
        <f>IF(AND(ISNUMBER(E153),ISNUMBER(K153)),E153-K153,NA())</f>
        <v/>
      </c>
      <c r="N153" s="18">
        <f>IF(NOT(ISNUMBER($A153)),NA(),IF(COUNT(OFFSET(G153,1,0,Settings!$B$12,1))&lt;Settings!$B$12,NA(),STDEV(OFFSET(G153,1,0,Settings!$B$12,1))*SQRT(Settings!$B$13)))</f>
        <v/>
      </c>
      <c r="O153" s="18">
        <f>IF(AND(ISNUMBER(E153),ISNUMBER(N153)),E153-N153,NA())</f>
        <v/>
      </c>
      <c r="P153" s="17">
        <f>IF(NOT(ISNUMBER($A153)),NA(),IF(OR($A153&lt;MIN(KW_TP!$A$2:$A$2501),$A153&gt;MAX(KW_TP!$A$2:$A$2501)),NA(),INDEX(KW_TP!$C$2:$C$2501,MATCH($A153,KW_TP!$A$2:$A$2501,1))))</f>
        <v/>
      </c>
    </row>
    <row r="154">
      <c r="A154" s="15">
        <f>IF(ISNUMBER(BBG_Data!A154),BBG_Data!A154,"")</f>
        <v/>
      </c>
      <c r="B154" s="16">
        <f>IF(AND(ISNUMBER($A154),ISNUMBER(BBG_Data!B154)),BBG_Data!B154,NA())</f>
        <v/>
      </c>
      <c r="C154" s="16">
        <f>IF(AND(ISNUMBER($A154),ISNUMBER(BBG_Data!C154)),BBG_Data!C154,NA())</f>
        <v/>
      </c>
      <c r="D154" s="17">
        <f>IF(AND(ISNUMBER($A154),ISNUMBER(BBG_Data!D154)),BBG_Data!D154,NA())</f>
        <v/>
      </c>
      <c r="E154" s="17">
        <f>IF(AND(ISNUMBER($A154),ISNUMBER(BBG_Data!E154)),BBG_Data!E154,NA())</f>
        <v/>
      </c>
      <c r="F154" s="18">
        <f>IF(AND(ISNUMBER(B154),ISNUMBER(B153)),(B154-B153)*100,"")</f>
        <v/>
      </c>
      <c r="G154" s="18">
        <f>IF(AND(ISNUMBER(C154),ISNUMBER(C153)),(C154-C153)*100,"")</f>
        <v/>
      </c>
      <c r="H154" s="18">
        <f>IF(OR(NOT(ISNUMBER($A154)),ROW()-2&lt;Settings!$B$11),NA(),IF(COUNT(OFFSET(F154,1-Settings!$B$11,0,Settings!$B$11,1))&lt;Settings!$B$11,NA(),STDEV(OFFSET(F154,1-Settings!$B$11,0,Settings!$B$11,1))*SQRT(Settings!$B$13)))</f>
        <v/>
      </c>
      <c r="I154" s="18">
        <f>IF(OR(NOT(ISNUMBER($A154)),ROW()-2&lt;Settings!$B$12),NA(),IF(COUNT(OFFSET(F154,1-Settings!$B$12,0,Settings!$B$12,1))&lt;Settings!$B$12,NA(),STDEV(OFFSET(F154,1-Settings!$B$12,0,Settings!$B$12,1))*SQRT(Settings!$B$13)))</f>
        <v/>
      </c>
      <c r="J154" s="18">
        <f>IF(OR(NOT(ISNUMBER($A154)),ROW()-2&lt;Settings!$B$11),NA(),IF(COUNT(OFFSET(G154,1-Settings!$B$11,0,Settings!$B$11,1))&lt;Settings!$B$11,NA(),STDEV(OFFSET(G154,1-Settings!$B$11,0,Settings!$B$11,1))*SQRT(Settings!$B$13)))</f>
        <v/>
      </c>
      <c r="K154" s="18">
        <f>IF(OR(NOT(ISNUMBER($A154)),ROW()-2&lt;Settings!$B$12),NA(),IF(COUNT(OFFSET(G154,1-Settings!$B$12,0,Settings!$B$12,1))&lt;Settings!$B$12,NA(),STDEV(OFFSET(G154,1-Settings!$B$12,0,Settings!$B$12,1))*SQRT(Settings!$B$13)))</f>
        <v/>
      </c>
      <c r="L154" s="18">
        <f>IF(AND(ISNUMBER(D154),ISNUMBER(H154)),D154-H154,NA())</f>
        <v/>
      </c>
      <c r="M154" s="18">
        <f>IF(AND(ISNUMBER(E154),ISNUMBER(K154)),E154-K154,NA())</f>
        <v/>
      </c>
      <c r="N154" s="18">
        <f>IF(NOT(ISNUMBER($A154)),NA(),IF(COUNT(OFFSET(G154,1,0,Settings!$B$12,1))&lt;Settings!$B$12,NA(),STDEV(OFFSET(G154,1,0,Settings!$B$12,1))*SQRT(Settings!$B$13)))</f>
        <v/>
      </c>
      <c r="O154" s="18">
        <f>IF(AND(ISNUMBER(E154),ISNUMBER(N154)),E154-N154,NA())</f>
        <v/>
      </c>
      <c r="P154" s="17">
        <f>IF(NOT(ISNUMBER($A154)),NA(),IF(OR($A154&lt;MIN(KW_TP!$A$2:$A$2501),$A154&gt;MAX(KW_TP!$A$2:$A$2501)),NA(),INDEX(KW_TP!$C$2:$C$2501,MATCH($A154,KW_TP!$A$2:$A$2501,1))))</f>
        <v/>
      </c>
    </row>
    <row r="155">
      <c r="A155" s="15">
        <f>IF(ISNUMBER(BBG_Data!A155),BBG_Data!A155,"")</f>
        <v/>
      </c>
      <c r="B155" s="16">
        <f>IF(AND(ISNUMBER($A155),ISNUMBER(BBG_Data!B155)),BBG_Data!B155,NA())</f>
        <v/>
      </c>
      <c r="C155" s="16">
        <f>IF(AND(ISNUMBER($A155),ISNUMBER(BBG_Data!C155)),BBG_Data!C155,NA())</f>
        <v/>
      </c>
      <c r="D155" s="17">
        <f>IF(AND(ISNUMBER($A155),ISNUMBER(BBG_Data!D155)),BBG_Data!D155,NA())</f>
        <v/>
      </c>
      <c r="E155" s="17">
        <f>IF(AND(ISNUMBER($A155),ISNUMBER(BBG_Data!E155)),BBG_Data!E155,NA())</f>
        <v/>
      </c>
      <c r="F155" s="18">
        <f>IF(AND(ISNUMBER(B155),ISNUMBER(B154)),(B155-B154)*100,"")</f>
        <v/>
      </c>
      <c r="G155" s="18">
        <f>IF(AND(ISNUMBER(C155),ISNUMBER(C154)),(C155-C154)*100,"")</f>
        <v/>
      </c>
      <c r="H155" s="18">
        <f>IF(OR(NOT(ISNUMBER($A155)),ROW()-2&lt;Settings!$B$11),NA(),IF(COUNT(OFFSET(F155,1-Settings!$B$11,0,Settings!$B$11,1))&lt;Settings!$B$11,NA(),STDEV(OFFSET(F155,1-Settings!$B$11,0,Settings!$B$11,1))*SQRT(Settings!$B$13)))</f>
        <v/>
      </c>
      <c r="I155" s="18">
        <f>IF(OR(NOT(ISNUMBER($A155)),ROW()-2&lt;Settings!$B$12),NA(),IF(COUNT(OFFSET(F155,1-Settings!$B$12,0,Settings!$B$12,1))&lt;Settings!$B$12,NA(),STDEV(OFFSET(F155,1-Settings!$B$12,0,Settings!$B$12,1))*SQRT(Settings!$B$13)))</f>
        <v/>
      </c>
      <c r="J155" s="18">
        <f>IF(OR(NOT(ISNUMBER($A155)),ROW()-2&lt;Settings!$B$11),NA(),IF(COUNT(OFFSET(G155,1-Settings!$B$11,0,Settings!$B$11,1))&lt;Settings!$B$11,NA(),STDEV(OFFSET(G155,1-Settings!$B$11,0,Settings!$B$11,1))*SQRT(Settings!$B$13)))</f>
        <v/>
      </c>
      <c r="K155" s="18">
        <f>IF(OR(NOT(ISNUMBER($A155)),ROW()-2&lt;Settings!$B$12),NA(),IF(COUNT(OFFSET(G155,1-Settings!$B$12,0,Settings!$B$12,1))&lt;Settings!$B$12,NA(),STDEV(OFFSET(G155,1-Settings!$B$12,0,Settings!$B$12,1))*SQRT(Settings!$B$13)))</f>
        <v/>
      </c>
      <c r="L155" s="18">
        <f>IF(AND(ISNUMBER(D155),ISNUMBER(H155)),D155-H155,NA())</f>
        <v/>
      </c>
      <c r="M155" s="18">
        <f>IF(AND(ISNUMBER(E155),ISNUMBER(K155)),E155-K155,NA())</f>
        <v/>
      </c>
      <c r="N155" s="18">
        <f>IF(NOT(ISNUMBER($A155)),NA(),IF(COUNT(OFFSET(G155,1,0,Settings!$B$12,1))&lt;Settings!$B$12,NA(),STDEV(OFFSET(G155,1,0,Settings!$B$12,1))*SQRT(Settings!$B$13)))</f>
        <v/>
      </c>
      <c r="O155" s="18">
        <f>IF(AND(ISNUMBER(E155),ISNUMBER(N155)),E155-N155,NA())</f>
        <v/>
      </c>
      <c r="P155" s="17">
        <f>IF(NOT(ISNUMBER($A155)),NA(),IF(OR($A155&lt;MIN(KW_TP!$A$2:$A$2501),$A155&gt;MAX(KW_TP!$A$2:$A$2501)),NA(),INDEX(KW_TP!$C$2:$C$2501,MATCH($A155,KW_TP!$A$2:$A$2501,1))))</f>
        <v/>
      </c>
    </row>
    <row r="156">
      <c r="A156" s="15">
        <f>IF(ISNUMBER(BBG_Data!A156),BBG_Data!A156,"")</f>
        <v/>
      </c>
      <c r="B156" s="16">
        <f>IF(AND(ISNUMBER($A156),ISNUMBER(BBG_Data!B156)),BBG_Data!B156,NA())</f>
        <v/>
      </c>
      <c r="C156" s="16">
        <f>IF(AND(ISNUMBER($A156),ISNUMBER(BBG_Data!C156)),BBG_Data!C156,NA())</f>
        <v/>
      </c>
      <c r="D156" s="17">
        <f>IF(AND(ISNUMBER($A156),ISNUMBER(BBG_Data!D156)),BBG_Data!D156,NA())</f>
        <v/>
      </c>
      <c r="E156" s="17">
        <f>IF(AND(ISNUMBER($A156),ISNUMBER(BBG_Data!E156)),BBG_Data!E156,NA())</f>
        <v/>
      </c>
      <c r="F156" s="18">
        <f>IF(AND(ISNUMBER(B156),ISNUMBER(B155)),(B156-B155)*100,"")</f>
        <v/>
      </c>
      <c r="G156" s="18">
        <f>IF(AND(ISNUMBER(C156),ISNUMBER(C155)),(C156-C155)*100,"")</f>
        <v/>
      </c>
      <c r="H156" s="18">
        <f>IF(OR(NOT(ISNUMBER($A156)),ROW()-2&lt;Settings!$B$11),NA(),IF(COUNT(OFFSET(F156,1-Settings!$B$11,0,Settings!$B$11,1))&lt;Settings!$B$11,NA(),STDEV(OFFSET(F156,1-Settings!$B$11,0,Settings!$B$11,1))*SQRT(Settings!$B$13)))</f>
        <v/>
      </c>
      <c r="I156" s="18">
        <f>IF(OR(NOT(ISNUMBER($A156)),ROW()-2&lt;Settings!$B$12),NA(),IF(COUNT(OFFSET(F156,1-Settings!$B$12,0,Settings!$B$12,1))&lt;Settings!$B$12,NA(),STDEV(OFFSET(F156,1-Settings!$B$12,0,Settings!$B$12,1))*SQRT(Settings!$B$13)))</f>
        <v/>
      </c>
      <c r="J156" s="18">
        <f>IF(OR(NOT(ISNUMBER($A156)),ROW()-2&lt;Settings!$B$11),NA(),IF(COUNT(OFFSET(G156,1-Settings!$B$11,0,Settings!$B$11,1))&lt;Settings!$B$11,NA(),STDEV(OFFSET(G156,1-Settings!$B$11,0,Settings!$B$11,1))*SQRT(Settings!$B$13)))</f>
        <v/>
      </c>
      <c r="K156" s="18">
        <f>IF(OR(NOT(ISNUMBER($A156)),ROW()-2&lt;Settings!$B$12),NA(),IF(COUNT(OFFSET(G156,1-Settings!$B$12,0,Settings!$B$12,1))&lt;Settings!$B$12,NA(),STDEV(OFFSET(G156,1-Settings!$B$12,0,Settings!$B$12,1))*SQRT(Settings!$B$13)))</f>
        <v/>
      </c>
      <c r="L156" s="18">
        <f>IF(AND(ISNUMBER(D156),ISNUMBER(H156)),D156-H156,NA())</f>
        <v/>
      </c>
      <c r="M156" s="18">
        <f>IF(AND(ISNUMBER(E156),ISNUMBER(K156)),E156-K156,NA())</f>
        <v/>
      </c>
      <c r="N156" s="18">
        <f>IF(NOT(ISNUMBER($A156)),NA(),IF(COUNT(OFFSET(G156,1,0,Settings!$B$12,1))&lt;Settings!$B$12,NA(),STDEV(OFFSET(G156,1,0,Settings!$B$12,1))*SQRT(Settings!$B$13)))</f>
        <v/>
      </c>
      <c r="O156" s="18">
        <f>IF(AND(ISNUMBER(E156),ISNUMBER(N156)),E156-N156,NA())</f>
        <v/>
      </c>
      <c r="P156" s="17">
        <f>IF(NOT(ISNUMBER($A156)),NA(),IF(OR($A156&lt;MIN(KW_TP!$A$2:$A$2501),$A156&gt;MAX(KW_TP!$A$2:$A$2501)),NA(),INDEX(KW_TP!$C$2:$C$2501,MATCH($A156,KW_TP!$A$2:$A$2501,1))))</f>
        <v/>
      </c>
    </row>
    <row r="157">
      <c r="A157" s="15">
        <f>IF(ISNUMBER(BBG_Data!A157),BBG_Data!A157,"")</f>
        <v/>
      </c>
      <c r="B157" s="16">
        <f>IF(AND(ISNUMBER($A157),ISNUMBER(BBG_Data!B157)),BBG_Data!B157,NA())</f>
        <v/>
      </c>
      <c r="C157" s="16">
        <f>IF(AND(ISNUMBER($A157),ISNUMBER(BBG_Data!C157)),BBG_Data!C157,NA())</f>
        <v/>
      </c>
      <c r="D157" s="17">
        <f>IF(AND(ISNUMBER($A157),ISNUMBER(BBG_Data!D157)),BBG_Data!D157,NA())</f>
        <v/>
      </c>
      <c r="E157" s="17">
        <f>IF(AND(ISNUMBER($A157),ISNUMBER(BBG_Data!E157)),BBG_Data!E157,NA())</f>
        <v/>
      </c>
      <c r="F157" s="18">
        <f>IF(AND(ISNUMBER(B157),ISNUMBER(B156)),(B157-B156)*100,"")</f>
        <v/>
      </c>
      <c r="G157" s="18">
        <f>IF(AND(ISNUMBER(C157),ISNUMBER(C156)),(C157-C156)*100,"")</f>
        <v/>
      </c>
      <c r="H157" s="18">
        <f>IF(OR(NOT(ISNUMBER($A157)),ROW()-2&lt;Settings!$B$11),NA(),IF(COUNT(OFFSET(F157,1-Settings!$B$11,0,Settings!$B$11,1))&lt;Settings!$B$11,NA(),STDEV(OFFSET(F157,1-Settings!$B$11,0,Settings!$B$11,1))*SQRT(Settings!$B$13)))</f>
        <v/>
      </c>
      <c r="I157" s="18">
        <f>IF(OR(NOT(ISNUMBER($A157)),ROW()-2&lt;Settings!$B$12),NA(),IF(COUNT(OFFSET(F157,1-Settings!$B$12,0,Settings!$B$12,1))&lt;Settings!$B$12,NA(),STDEV(OFFSET(F157,1-Settings!$B$12,0,Settings!$B$12,1))*SQRT(Settings!$B$13)))</f>
        <v/>
      </c>
      <c r="J157" s="18">
        <f>IF(OR(NOT(ISNUMBER($A157)),ROW()-2&lt;Settings!$B$11),NA(),IF(COUNT(OFFSET(G157,1-Settings!$B$11,0,Settings!$B$11,1))&lt;Settings!$B$11,NA(),STDEV(OFFSET(G157,1-Settings!$B$11,0,Settings!$B$11,1))*SQRT(Settings!$B$13)))</f>
        <v/>
      </c>
      <c r="K157" s="18">
        <f>IF(OR(NOT(ISNUMBER($A157)),ROW()-2&lt;Settings!$B$12),NA(),IF(COUNT(OFFSET(G157,1-Settings!$B$12,0,Settings!$B$12,1))&lt;Settings!$B$12,NA(),STDEV(OFFSET(G157,1-Settings!$B$12,0,Settings!$B$12,1))*SQRT(Settings!$B$13)))</f>
        <v/>
      </c>
      <c r="L157" s="18">
        <f>IF(AND(ISNUMBER(D157),ISNUMBER(H157)),D157-H157,NA())</f>
        <v/>
      </c>
      <c r="M157" s="18">
        <f>IF(AND(ISNUMBER(E157),ISNUMBER(K157)),E157-K157,NA())</f>
        <v/>
      </c>
      <c r="N157" s="18">
        <f>IF(NOT(ISNUMBER($A157)),NA(),IF(COUNT(OFFSET(G157,1,0,Settings!$B$12,1))&lt;Settings!$B$12,NA(),STDEV(OFFSET(G157,1,0,Settings!$B$12,1))*SQRT(Settings!$B$13)))</f>
        <v/>
      </c>
      <c r="O157" s="18">
        <f>IF(AND(ISNUMBER(E157),ISNUMBER(N157)),E157-N157,NA())</f>
        <v/>
      </c>
      <c r="P157" s="17">
        <f>IF(NOT(ISNUMBER($A157)),NA(),IF(OR($A157&lt;MIN(KW_TP!$A$2:$A$2501),$A157&gt;MAX(KW_TP!$A$2:$A$2501)),NA(),INDEX(KW_TP!$C$2:$C$2501,MATCH($A157,KW_TP!$A$2:$A$2501,1))))</f>
        <v/>
      </c>
    </row>
    <row r="158">
      <c r="A158" s="15">
        <f>IF(ISNUMBER(BBG_Data!A158),BBG_Data!A158,"")</f>
        <v/>
      </c>
      <c r="B158" s="16">
        <f>IF(AND(ISNUMBER($A158),ISNUMBER(BBG_Data!B158)),BBG_Data!B158,NA())</f>
        <v/>
      </c>
      <c r="C158" s="16">
        <f>IF(AND(ISNUMBER($A158),ISNUMBER(BBG_Data!C158)),BBG_Data!C158,NA())</f>
        <v/>
      </c>
      <c r="D158" s="17">
        <f>IF(AND(ISNUMBER($A158),ISNUMBER(BBG_Data!D158)),BBG_Data!D158,NA())</f>
        <v/>
      </c>
      <c r="E158" s="17">
        <f>IF(AND(ISNUMBER($A158),ISNUMBER(BBG_Data!E158)),BBG_Data!E158,NA())</f>
        <v/>
      </c>
      <c r="F158" s="18">
        <f>IF(AND(ISNUMBER(B158),ISNUMBER(B157)),(B158-B157)*100,"")</f>
        <v/>
      </c>
      <c r="G158" s="18">
        <f>IF(AND(ISNUMBER(C158),ISNUMBER(C157)),(C158-C157)*100,"")</f>
        <v/>
      </c>
      <c r="H158" s="18">
        <f>IF(OR(NOT(ISNUMBER($A158)),ROW()-2&lt;Settings!$B$11),NA(),IF(COUNT(OFFSET(F158,1-Settings!$B$11,0,Settings!$B$11,1))&lt;Settings!$B$11,NA(),STDEV(OFFSET(F158,1-Settings!$B$11,0,Settings!$B$11,1))*SQRT(Settings!$B$13)))</f>
        <v/>
      </c>
      <c r="I158" s="18">
        <f>IF(OR(NOT(ISNUMBER($A158)),ROW()-2&lt;Settings!$B$12),NA(),IF(COUNT(OFFSET(F158,1-Settings!$B$12,0,Settings!$B$12,1))&lt;Settings!$B$12,NA(),STDEV(OFFSET(F158,1-Settings!$B$12,0,Settings!$B$12,1))*SQRT(Settings!$B$13)))</f>
        <v/>
      </c>
      <c r="J158" s="18">
        <f>IF(OR(NOT(ISNUMBER($A158)),ROW()-2&lt;Settings!$B$11),NA(),IF(COUNT(OFFSET(G158,1-Settings!$B$11,0,Settings!$B$11,1))&lt;Settings!$B$11,NA(),STDEV(OFFSET(G158,1-Settings!$B$11,0,Settings!$B$11,1))*SQRT(Settings!$B$13)))</f>
        <v/>
      </c>
      <c r="K158" s="18">
        <f>IF(OR(NOT(ISNUMBER($A158)),ROW()-2&lt;Settings!$B$12),NA(),IF(COUNT(OFFSET(G158,1-Settings!$B$12,0,Settings!$B$12,1))&lt;Settings!$B$12,NA(),STDEV(OFFSET(G158,1-Settings!$B$12,0,Settings!$B$12,1))*SQRT(Settings!$B$13)))</f>
        <v/>
      </c>
      <c r="L158" s="18">
        <f>IF(AND(ISNUMBER(D158),ISNUMBER(H158)),D158-H158,NA())</f>
        <v/>
      </c>
      <c r="M158" s="18">
        <f>IF(AND(ISNUMBER(E158),ISNUMBER(K158)),E158-K158,NA())</f>
        <v/>
      </c>
      <c r="N158" s="18">
        <f>IF(NOT(ISNUMBER($A158)),NA(),IF(COUNT(OFFSET(G158,1,0,Settings!$B$12,1))&lt;Settings!$B$12,NA(),STDEV(OFFSET(G158,1,0,Settings!$B$12,1))*SQRT(Settings!$B$13)))</f>
        <v/>
      </c>
      <c r="O158" s="18">
        <f>IF(AND(ISNUMBER(E158),ISNUMBER(N158)),E158-N158,NA())</f>
        <v/>
      </c>
      <c r="P158" s="17">
        <f>IF(NOT(ISNUMBER($A158)),NA(),IF(OR($A158&lt;MIN(KW_TP!$A$2:$A$2501),$A158&gt;MAX(KW_TP!$A$2:$A$2501)),NA(),INDEX(KW_TP!$C$2:$C$2501,MATCH($A158,KW_TP!$A$2:$A$2501,1))))</f>
        <v/>
      </c>
    </row>
    <row r="159">
      <c r="A159" s="15">
        <f>IF(ISNUMBER(BBG_Data!A159),BBG_Data!A159,"")</f>
        <v/>
      </c>
      <c r="B159" s="16">
        <f>IF(AND(ISNUMBER($A159),ISNUMBER(BBG_Data!B159)),BBG_Data!B159,NA())</f>
        <v/>
      </c>
      <c r="C159" s="16">
        <f>IF(AND(ISNUMBER($A159),ISNUMBER(BBG_Data!C159)),BBG_Data!C159,NA())</f>
        <v/>
      </c>
      <c r="D159" s="17">
        <f>IF(AND(ISNUMBER($A159),ISNUMBER(BBG_Data!D159)),BBG_Data!D159,NA())</f>
        <v/>
      </c>
      <c r="E159" s="17">
        <f>IF(AND(ISNUMBER($A159),ISNUMBER(BBG_Data!E159)),BBG_Data!E159,NA())</f>
        <v/>
      </c>
      <c r="F159" s="18">
        <f>IF(AND(ISNUMBER(B159),ISNUMBER(B158)),(B159-B158)*100,"")</f>
        <v/>
      </c>
      <c r="G159" s="18">
        <f>IF(AND(ISNUMBER(C159),ISNUMBER(C158)),(C159-C158)*100,"")</f>
        <v/>
      </c>
      <c r="H159" s="18">
        <f>IF(OR(NOT(ISNUMBER($A159)),ROW()-2&lt;Settings!$B$11),NA(),IF(COUNT(OFFSET(F159,1-Settings!$B$11,0,Settings!$B$11,1))&lt;Settings!$B$11,NA(),STDEV(OFFSET(F159,1-Settings!$B$11,0,Settings!$B$11,1))*SQRT(Settings!$B$13)))</f>
        <v/>
      </c>
      <c r="I159" s="18">
        <f>IF(OR(NOT(ISNUMBER($A159)),ROW()-2&lt;Settings!$B$12),NA(),IF(COUNT(OFFSET(F159,1-Settings!$B$12,0,Settings!$B$12,1))&lt;Settings!$B$12,NA(),STDEV(OFFSET(F159,1-Settings!$B$12,0,Settings!$B$12,1))*SQRT(Settings!$B$13)))</f>
        <v/>
      </c>
      <c r="J159" s="18">
        <f>IF(OR(NOT(ISNUMBER($A159)),ROW()-2&lt;Settings!$B$11),NA(),IF(COUNT(OFFSET(G159,1-Settings!$B$11,0,Settings!$B$11,1))&lt;Settings!$B$11,NA(),STDEV(OFFSET(G159,1-Settings!$B$11,0,Settings!$B$11,1))*SQRT(Settings!$B$13)))</f>
        <v/>
      </c>
      <c r="K159" s="18">
        <f>IF(OR(NOT(ISNUMBER($A159)),ROW()-2&lt;Settings!$B$12),NA(),IF(COUNT(OFFSET(G159,1-Settings!$B$12,0,Settings!$B$12,1))&lt;Settings!$B$12,NA(),STDEV(OFFSET(G159,1-Settings!$B$12,0,Settings!$B$12,1))*SQRT(Settings!$B$13)))</f>
        <v/>
      </c>
      <c r="L159" s="18">
        <f>IF(AND(ISNUMBER(D159),ISNUMBER(H159)),D159-H159,NA())</f>
        <v/>
      </c>
      <c r="M159" s="18">
        <f>IF(AND(ISNUMBER(E159),ISNUMBER(K159)),E159-K159,NA())</f>
        <v/>
      </c>
      <c r="N159" s="18">
        <f>IF(NOT(ISNUMBER($A159)),NA(),IF(COUNT(OFFSET(G159,1,0,Settings!$B$12,1))&lt;Settings!$B$12,NA(),STDEV(OFFSET(G159,1,0,Settings!$B$12,1))*SQRT(Settings!$B$13)))</f>
        <v/>
      </c>
      <c r="O159" s="18">
        <f>IF(AND(ISNUMBER(E159),ISNUMBER(N159)),E159-N159,NA())</f>
        <v/>
      </c>
      <c r="P159" s="17">
        <f>IF(NOT(ISNUMBER($A159)),NA(),IF(OR($A159&lt;MIN(KW_TP!$A$2:$A$2501),$A159&gt;MAX(KW_TP!$A$2:$A$2501)),NA(),INDEX(KW_TP!$C$2:$C$2501,MATCH($A159,KW_TP!$A$2:$A$2501,1))))</f>
        <v/>
      </c>
    </row>
    <row r="160">
      <c r="A160" s="15">
        <f>IF(ISNUMBER(BBG_Data!A160),BBG_Data!A160,"")</f>
        <v/>
      </c>
      <c r="B160" s="16">
        <f>IF(AND(ISNUMBER($A160),ISNUMBER(BBG_Data!B160)),BBG_Data!B160,NA())</f>
        <v/>
      </c>
      <c r="C160" s="16">
        <f>IF(AND(ISNUMBER($A160),ISNUMBER(BBG_Data!C160)),BBG_Data!C160,NA())</f>
        <v/>
      </c>
      <c r="D160" s="17">
        <f>IF(AND(ISNUMBER($A160),ISNUMBER(BBG_Data!D160)),BBG_Data!D160,NA())</f>
        <v/>
      </c>
      <c r="E160" s="17">
        <f>IF(AND(ISNUMBER($A160),ISNUMBER(BBG_Data!E160)),BBG_Data!E160,NA())</f>
        <v/>
      </c>
      <c r="F160" s="18">
        <f>IF(AND(ISNUMBER(B160),ISNUMBER(B159)),(B160-B159)*100,"")</f>
        <v/>
      </c>
      <c r="G160" s="18">
        <f>IF(AND(ISNUMBER(C160),ISNUMBER(C159)),(C160-C159)*100,"")</f>
        <v/>
      </c>
      <c r="H160" s="18">
        <f>IF(OR(NOT(ISNUMBER($A160)),ROW()-2&lt;Settings!$B$11),NA(),IF(COUNT(OFFSET(F160,1-Settings!$B$11,0,Settings!$B$11,1))&lt;Settings!$B$11,NA(),STDEV(OFFSET(F160,1-Settings!$B$11,0,Settings!$B$11,1))*SQRT(Settings!$B$13)))</f>
        <v/>
      </c>
      <c r="I160" s="18">
        <f>IF(OR(NOT(ISNUMBER($A160)),ROW()-2&lt;Settings!$B$12),NA(),IF(COUNT(OFFSET(F160,1-Settings!$B$12,0,Settings!$B$12,1))&lt;Settings!$B$12,NA(),STDEV(OFFSET(F160,1-Settings!$B$12,0,Settings!$B$12,1))*SQRT(Settings!$B$13)))</f>
        <v/>
      </c>
      <c r="J160" s="18">
        <f>IF(OR(NOT(ISNUMBER($A160)),ROW()-2&lt;Settings!$B$11),NA(),IF(COUNT(OFFSET(G160,1-Settings!$B$11,0,Settings!$B$11,1))&lt;Settings!$B$11,NA(),STDEV(OFFSET(G160,1-Settings!$B$11,0,Settings!$B$11,1))*SQRT(Settings!$B$13)))</f>
        <v/>
      </c>
      <c r="K160" s="18">
        <f>IF(OR(NOT(ISNUMBER($A160)),ROW()-2&lt;Settings!$B$12),NA(),IF(COUNT(OFFSET(G160,1-Settings!$B$12,0,Settings!$B$12,1))&lt;Settings!$B$12,NA(),STDEV(OFFSET(G160,1-Settings!$B$12,0,Settings!$B$12,1))*SQRT(Settings!$B$13)))</f>
        <v/>
      </c>
      <c r="L160" s="18">
        <f>IF(AND(ISNUMBER(D160),ISNUMBER(H160)),D160-H160,NA())</f>
        <v/>
      </c>
      <c r="M160" s="18">
        <f>IF(AND(ISNUMBER(E160),ISNUMBER(K160)),E160-K160,NA())</f>
        <v/>
      </c>
      <c r="N160" s="18">
        <f>IF(NOT(ISNUMBER($A160)),NA(),IF(COUNT(OFFSET(G160,1,0,Settings!$B$12,1))&lt;Settings!$B$12,NA(),STDEV(OFFSET(G160,1,0,Settings!$B$12,1))*SQRT(Settings!$B$13)))</f>
        <v/>
      </c>
      <c r="O160" s="18">
        <f>IF(AND(ISNUMBER(E160),ISNUMBER(N160)),E160-N160,NA())</f>
        <v/>
      </c>
      <c r="P160" s="17">
        <f>IF(NOT(ISNUMBER($A160)),NA(),IF(OR($A160&lt;MIN(KW_TP!$A$2:$A$2501),$A160&gt;MAX(KW_TP!$A$2:$A$2501)),NA(),INDEX(KW_TP!$C$2:$C$2501,MATCH($A160,KW_TP!$A$2:$A$2501,1))))</f>
        <v/>
      </c>
    </row>
    <row r="161">
      <c r="A161" s="15">
        <f>IF(ISNUMBER(BBG_Data!A161),BBG_Data!A161,"")</f>
        <v/>
      </c>
      <c r="B161" s="16">
        <f>IF(AND(ISNUMBER($A161),ISNUMBER(BBG_Data!B161)),BBG_Data!B161,NA())</f>
        <v/>
      </c>
      <c r="C161" s="16">
        <f>IF(AND(ISNUMBER($A161),ISNUMBER(BBG_Data!C161)),BBG_Data!C161,NA())</f>
        <v/>
      </c>
      <c r="D161" s="17">
        <f>IF(AND(ISNUMBER($A161),ISNUMBER(BBG_Data!D161)),BBG_Data!D161,NA())</f>
        <v/>
      </c>
      <c r="E161" s="17">
        <f>IF(AND(ISNUMBER($A161),ISNUMBER(BBG_Data!E161)),BBG_Data!E161,NA())</f>
        <v/>
      </c>
      <c r="F161" s="18">
        <f>IF(AND(ISNUMBER(B161),ISNUMBER(B160)),(B161-B160)*100,"")</f>
        <v/>
      </c>
      <c r="G161" s="18">
        <f>IF(AND(ISNUMBER(C161),ISNUMBER(C160)),(C161-C160)*100,"")</f>
        <v/>
      </c>
      <c r="H161" s="18">
        <f>IF(OR(NOT(ISNUMBER($A161)),ROW()-2&lt;Settings!$B$11),NA(),IF(COUNT(OFFSET(F161,1-Settings!$B$11,0,Settings!$B$11,1))&lt;Settings!$B$11,NA(),STDEV(OFFSET(F161,1-Settings!$B$11,0,Settings!$B$11,1))*SQRT(Settings!$B$13)))</f>
        <v/>
      </c>
      <c r="I161" s="18">
        <f>IF(OR(NOT(ISNUMBER($A161)),ROW()-2&lt;Settings!$B$12),NA(),IF(COUNT(OFFSET(F161,1-Settings!$B$12,0,Settings!$B$12,1))&lt;Settings!$B$12,NA(),STDEV(OFFSET(F161,1-Settings!$B$12,0,Settings!$B$12,1))*SQRT(Settings!$B$13)))</f>
        <v/>
      </c>
      <c r="J161" s="18">
        <f>IF(OR(NOT(ISNUMBER($A161)),ROW()-2&lt;Settings!$B$11),NA(),IF(COUNT(OFFSET(G161,1-Settings!$B$11,0,Settings!$B$11,1))&lt;Settings!$B$11,NA(),STDEV(OFFSET(G161,1-Settings!$B$11,0,Settings!$B$11,1))*SQRT(Settings!$B$13)))</f>
        <v/>
      </c>
      <c r="K161" s="18">
        <f>IF(OR(NOT(ISNUMBER($A161)),ROW()-2&lt;Settings!$B$12),NA(),IF(COUNT(OFFSET(G161,1-Settings!$B$12,0,Settings!$B$12,1))&lt;Settings!$B$12,NA(),STDEV(OFFSET(G161,1-Settings!$B$12,0,Settings!$B$12,1))*SQRT(Settings!$B$13)))</f>
        <v/>
      </c>
      <c r="L161" s="18">
        <f>IF(AND(ISNUMBER(D161),ISNUMBER(H161)),D161-H161,NA())</f>
        <v/>
      </c>
      <c r="M161" s="18">
        <f>IF(AND(ISNUMBER(E161),ISNUMBER(K161)),E161-K161,NA())</f>
        <v/>
      </c>
      <c r="N161" s="18">
        <f>IF(NOT(ISNUMBER($A161)),NA(),IF(COUNT(OFFSET(G161,1,0,Settings!$B$12,1))&lt;Settings!$B$12,NA(),STDEV(OFFSET(G161,1,0,Settings!$B$12,1))*SQRT(Settings!$B$13)))</f>
        <v/>
      </c>
      <c r="O161" s="18">
        <f>IF(AND(ISNUMBER(E161),ISNUMBER(N161)),E161-N161,NA())</f>
        <v/>
      </c>
      <c r="P161" s="17">
        <f>IF(NOT(ISNUMBER($A161)),NA(),IF(OR($A161&lt;MIN(KW_TP!$A$2:$A$2501),$A161&gt;MAX(KW_TP!$A$2:$A$2501)),NA(),INDEX(KW_TP!$C$2:$C$2501,MATCH($A161,KW_TP!$A$2:$A$2501,1))))</f>
        <v/>
      </c>
    </row>
    <row r="162">
      <c r="A162" s="15">
        <f>IF(ISNUMBER(BBG_Data!A162),BBG_Data!A162,"")</f>
        <v/>
      </c>
      <c r="B162" s="16">
        <f>IF(AND(ISNUMBER($A162),ISNUMBER(BBG_Data!B162)),BBG_Data!B162,NA())</f>
        <v/>
      </c>
      <c r="C162" s="16">
        <f>IF(AND(ISNUMBER($A162),ISNUMBER(BBG_Data!C162)),BBG_Data!C162,NA())</f>
        <v/>
      </c>
      <c r="D162" s="17">
        <f>IF(AND(ISNUMBER($A162),ISNUMBER(BBG_Data!D162)),BBG_Data!D162,NA())</f>
        <v/>
      </c>
      <c r="E162" s="17">
        <f>IF(AND(ISNUMBER($A162),ISNUMBER(BBG_Data!E162)),BBG_Data!E162,NA())</f>
        <v/>
      </c>
      <c r="F162" s="18">
        <f>IF(AND(ISNUMBER(B162),ISNUMBER(B161)),(B162-B161)*100,"")</f>
        <v/>
      </c>
      <c r="G162" s="18">
        <f>IF(AND(ISNUMBER(C162),ISNUMBER(C161)),(C162-C161)*100,"")</f>
        <v/>
      </c>
      <c r="H162" s="18">
        <f>IF(OR(NOT(ISNUMBER($A162)),ROW()-2&lt;Settings!$B$11),NA(),IF(COUNT(OFFSET(F162,1-Settings!$B$11,0,Settings!$B$11,1))&lt;Settings!$B$11,NA(),STDEV(OFFSET(F162,1-Settings!$B$11,0,Settings!$B$11,1))*SQRT(Settings!$B$13)))</f>
        <v/>
      </c>
      <c r="I162" s="18">
        <f>IF(OR(NOT(ISNUMBER($A162)),ROW()-2&lt;Settings!$B$12),NA(),IF(COUNT(OFFSET(F162,1-Settings!$B$12,0,Settings!$B$12,1))&lt;Settings!$B$12,NA(),STDEV(OFFSET(F162,1-Settings!$B$12,0,Settings!$B$12,1))*SQRT(Settings!$B$13)))</f>
        <v/>
      </c>
      <c r="J162" s="18">
        <f>IF(OR(NOT(ISNUMBER($A162)),ROW()-2&lt;Settings!$B$11),NA(),IF(COUNT(OFFSET(G162,1-Settings!$B$11,0,Settings!$B$11,1))&lt;Settings!$B$11,NA(),STDEV(OFFSET(G162,1-Settings!$B$11,0,Settings!$B$11,1))*SQRT(Settings!$B$13)))</f>
        <v/>
      </c>
      <c r="K162" s="18">
        <f>IF(OR(NOT(ISNUMBER($A162)),ROW()-2&lt;Settings!$B$12),NA(),IF(COUNT(OFFSET(G162,1-Settings!$B$12,0,Settings!$B$12,1))&lt;Settings!$B$12,NA(),STDEV(OFFSET(G162,1-Settings!$B$12,0,Settings!$B$12,1))*SQRT(Settings!$B$13)))</f>
        <v/>
      </c>
      <c r="L162" s="18">
        <f>IF(AND(ISNUMBER(D162),ISNUMBER(H162)),D162-H162,NA())</f>
        <v/>
      </c>
      <c r="M162" s="18">
        <f>IF(AND(ISNUMBER(E162),ISNUMBER(K162)),E162-K162,NA())</f>
        <v/>
      </c>
      <c r="N162" s="18">
        <f>IF(NOT(ISNUMBER($A162)),NA(),IF(COUNT(OFFSET(G162,1,0,Settings!$B$12,1))&lt;Settings!$B$12,NA(),STDEV(OFFSET(G162,1,0,Settings!$B$12,1))*SQRT(Settings!$B$13)))</f>
        <v/>
      </c>
      <c r="O162" s="18">
        <f>IF(AND(ISNUMBER(E162),ISNUMBER(N162)),E162-N162,NA())</f>
        <v/>
      </c>
      <c r="P162" s="17">
        <f>IF(NOT(ISNUMBER($A162)),NA(),IF(OR($A162&lt;MIN(KW_TP!$A$2:$A$2501),$A162&gt;MAX(KW_TP!$A$2:$A$2501)),NA(),INDEX(KW_TP!$C$2:$C$2501,MATCH($A162,KW_TP!$A$2:$A$2501,1))))</f>
        <v/>
      </c>
    </row>
    <row r="163">
      <c r="A163" s="15">
        <f>IF(ISNUMBER(BBG_Data!A163),BBG_Data!A163,"")</f>
        <v/>
      </c>
      <c r="B163" s="16">
        <f>IF(AND(ISNUMBER($A163),ISNUMBER(BBG_Data!B163)),BBG_Data!B163,NA())</f>
        <v/>
      </c>
      <c r="C163" s="16">
        <f>IF(AND(ISNUMBER($A163),ISNUMBER(BBG_Data!C163)),BBG_Data!C163,NA())</f>
        <v/>
      </c>
      <c r="D163" s="17">
        <f>IF(AND(ISNUMBER($A163),ISNUMBER(BBG_Data!D163)),BBG_Data!D163,NA())</f>
        <v/>
      </c>
      <c r="E163" s="17">
        <f>IF(AND(ISNUMBER($A163),ISNUMBER(BBG_Data!E163)),BBG_Data!E163,NA())</f>
        <v/>
      </c>
      <c r="F163" s="18">
        <f>IF(AND(ISNUMBER(B163),ISNUMBER(B162)),(B163-B162)*100,"")</f>
        <v/>
      </c>
      <c r="G163" s="18">
        <f>IF(AND(ISNUMBER(C163),ISNUMBER(C162)),(C163-C162)*100,"")</f>
        <v/>
      </c>
      <c r="H163" s="18">
        <f>IF(OR(NOT(ISNUMBER($A163)),ROW()-2&lt;Settings!$B$11),NA(),IF(COUNT(OFFSET(F163,1-Settings!$B$11,0,Settings!$B$11,1))&lt;Settings!$B$11,NA(),STDEV(OFFSET(F163,1-Settings!$B$11,0,Settings!$B$11,1))*SQRT(Settings!$B$13)))</f>
        <v/>
      </c>
      <c r="I163" s="18">
        <f>IF(OR(NOT(ISNUMBER($A163)),ROW()-2&lt;Settings!$B$12),NA(),IF(COUNT(OFFSET(F163,1-Settings!$B$12,0,Settings!$B$12,1))&lt;Settings!$B$12,NA(),STDEV(OFFSET(F163,1-Settings!$B$12,0,Settings!$B$12,1))*SQRT(Settings!$B$13)))</f>
        <v/>
      </c>
      <c r="J163" s="18">
        <f>IF(OR(NOT(ISNUMBER($A163)),ROW()-2&lt;Settings!$B$11),NA(),IF(COUNT(OFFSET(G163,1-Settings!$B$11,0,Settings!$B$11,1))&lt;Settings!$B$11,NA(),STDEV(OFFSET(G163,1-Settings!$B$11,0,Settings!$B$11,1))*SQRT(Settings!$B$13)))</f>
        <v/>
      </c>
      <c r="K163" s="18">
        <f>IF(OR(NOT(ISNUMBER($A163)),ROW()-2&lt;Settings!$B$12),NA(),IF(COUNT(OFFSET(G163,1-Settings!$B$12,0,Settings!$B$12,1))&lt;Settings!$B$12,NA(),STDEV(OFFSET(G163,1-Settings!$B$12,0,Settings!$B$12,1))*SQRT(Settings!$B$13)))</f>
        <v/>
      </c>
      <c r="L163" s="18">
        <f>IF(AND(ISNUMBER(D163),ISNUMBER(H163)),D163-H163,NA())</f>
        <v/>
      </c>
      <c r="M163" s="18">
        <f>IF(AND(ISNUMBER(E163),ISNUMBER(K163)),E163-K163,NA())</f>
        <v/>
      </c>
      <c r="N163" s="18">
        <f>IF(NOT(ISNUMBER($A163)),NA(),IF(COUNT(OFFSET(G163,1,0,Settings!$B$12,1))&lt;Settings!$B$12,NA(),STDEV(OFFSET(G163,1,0,Settings!$B$12,1))*SQRT(Settings!$B$13)))</f>
        <v/>
      </c>
      <c r="O163" s="18">
        <f>IF(AND(ISNUMBER(E163),ISNUMBER(N163)),E163-N163,NA())</f>
        <v/>
      </c>
      <c r="P163" s="17">
        <f>IF(NOT(ISNUMBER($A163)),NA(),IF(OR($A163&lt;MIN(KW_TP!$A$2:$A$2501),$A163&gt;MAX(KW_TP!$A$2:$A$2501)),NA(),INDEX(KW_TP!$C$2:$C$2501,MATCH($A163,KW_TP!$A$2:$A$2501,1))))</f>
        <v/>
      </c>
    </row>
    <row r="164">
      <c r="A164" s="15">
        <f>IF(ISNUMBER(BBG_Data!A164),BBG_Data!A164,"")</f>
        <v/>
      </c>
      <c r="B164" s="16">
        <f>IF(AND(ISNUMBER($A164),ISNUMBER(BBG_Data!B164)),BBG_Data!B164,NA())</f>
        <v/>
      </c>
      <c r="C164" s="16">
        <f>IF(AND(ISNUMBER($A164),ISNUMBER(BBG_Data!C164)),BBG_Data!C164,NA())</f>
        <v/>
      </c>
      <c r="D164" s="17">
        <f>IF(AND(ISNUMBER($A164),ISNUMBER(BBG_Data!D164)),BBG_Data!D164,NA())</f>
        <v/>
      </c>
      <c r="E164" s="17">
        <f>IF(AND(ISNUMBER($A164),ISNUMBER(BBG_Data!E164)),BBG_Data!E164,NA())</f>
        <v/>
      </c>
      <c r="F164" s="18">
        <f>IF(AND(ISNUMBER(B164),ISNUMBER(B163)),(B164-B163)*100,"")</f>
        <v/>
      </c>
      <c r="G164" s="18">
        <f>IF(AND(ISNUMBER(C164),ISNUMBER(C163)),(C164-C163)*100,"")</f>
        <v/>
      </c>
      <c r="H164" s="18">
        <f>IF(OR(NOT(ISNUMBER($A164)),ROW()-2&lt;Settings!$B$11),NA(),IF(COUNT(OFFSET(F164,1-Settings!$B$11,0,Settings!$B$11,1))&lt;Settings!$B$11,NA(),STDEV(OFFSET(F164,1-Settings!$B$11,0,Settings!$B$11,1))*SQRT(Settings!$B$13)))</f>
        <v/>
      </c>
      <c r="I164" s="18">
        <f>IF(OR(NOT(ISNUMBER($A164)),ROW()-2&lt;Settings!$B$12),NA(),IF(COUNT(OFFSET(F164,1-Settings!$B$12,0,Settings!$B$12,1))&lt;Settings!$B$12,NA(),STDEV(OFFSET(F164,1-Settings!$B$12,0,Settings!$B$12,1))*SQRT(Settings!$B$13)))</f>
        <v/>
      </c>
      <c r="J164" s="18">
        <f>IF(OR(NOT(ISNUMBER($A164)),ROW()-2&lt;Settings!$B$11),NA(),IF(COUNT(OFFSET(G164,1-Settings!$B$11,0,Settings!$B$11,1))&lt;Settings!$B$11,NA(),STDEV(OFFSET(G164,1-Settings!$B$11,0,Settings!$B$11,1))*SQRT(Settings!$B$13)))</f>
        <v/>
      </c>
      <c r="K164" s="18">
        <f>IF(OR(NOT(ISNUMBER($A164)),ROW()-2&lt;Settings!$B$12),NA(),IF(COUNT(OFFSET(G164,1-Settings!$B$12,0,Settings!$B$12,1))&lt;Settings!$B$12,NA(),STDEV(OFFSET(G164,1-Settings!$B$12,0,Settings!$B$12,1))*SQRT(Settings!$B$13)))</f>
        <v/>
      </c>
      <c r="L164" s="18">
        <f>IF(AND(ISNUMBER(D164),ISNUMBER(H164)),D164-H164,NA())</f>
        <v/>
      </c>
      <c r="M164" s="18">
        <f>IF(AND(ISNUMBER(E164),ISNUMBER(K164)),E164-K164,NA())</f>
        <v/>
      </c>
      <c r="N164" s="18">
        <f>IF(NOT(ISNUMBER($A164)),NA(),IF(COUNT(OFFSET(G164,1,0,Settings!$B$12,1))&lt;Settings!$B$12,NA(),STDEV(OFFSET(G164,1,0,Settings!$B$12,1))*SQRT(Settings!$B$13)))</f>
        <v/>
      </c>
      <c r="O164" s="18">
        <f>IF(AND(ISNUMBER(E164),ISNUMBER(N164)),E164-N164,NA())</f>
        <v/>
      </c>
      <c r="P164" s="17">
        <f>IF(NOT(ISNUMBER($A164)),NA(),IF(OR($A164&lt;MIN(KW_TP!$A$2:$A$2501),$A164&gt;MAX(KW_TP!$A$2:$A$2501)),NA(),INDEX(KW_TP!$C$2:$C$2501,MATCH($A164,KW_TP!$A$2:$A$2501,1))))</f>
        <v/>
      </c>
    </row>
    <row r="165">
      <c r="A165" s="15">
        <f>IF(ISNUMBER(BBG_Data!A165),BBG_Data!A165,"")</f>
        <v/>
      </c>
      <c r="B165" s="16">
        <f>IF(AND(ISNUMBER($A165),ISNUMBER(BBG_Data!B165)),BBG_Data!B165,NA())</f>
        <v/>
      </c>
      <c r="C165" s="16">
        <f>IF(AND(ISNUMBER($A165),ISNUMBER(BBG_Data!C165)),BBG_Data!C165,NA())</f>
        <v/>
      </c>
      <c r="D165" s="17">
        <f>IF(AND(ISNUMBER($A165),ISNUMBER(BBG_Data!D165)),BBG_Data!D165,NA())</f>
        <v/>
      </c>
      <c r="E165" s="17">
        <f>IF(AND(ISNUMBER($A165),ISNUMBER(BBG_Data!E165)),BBG_Data!E165,NA())</f>
        <v/>
      </c>
      <c r="F165" s="18">
        <f>IF(AND(ISNUMBER(B165),ISNUMBER(B164)),(B165-B164)*100,"")</f>
        <v/>
      </c>
      <c r="G165" s="18">
        <f>IF(AND(ISNUMBER(C165),ISNUMBER(C164)),(C165-C164)*100,"")</f>
        <v/>
      </c>
      <c r="H165" s="18">
        <f>IF(OR(NOT(ISNUMBER($A165)),ROW()-2&lt;Settings!$B$11),NA(),IF(COUNT(OFFSET(F165,1-Settings!$B$11,0,Settings!$B$11,1))&lt;Settings!$B$11,NA(),STDEV(OFFSET(F165,1-Settings!$B$11,0,Settings!$B$11,1))*SQRT(Settings!$B$13)))</f>
        <v/>
      </c>
      <c r="I165" s="18">
        <f>IF(OR(NOT(ISNUMBER($A165)),ROW()-2&lt;Settings!$B$12),NA(),IF(COUNT(OFFSET(F165,1-Settings!$B$12,0,Settings!$B$12,1))&lt;Settings!$B$12,NA(),STDEV(OFFSET(F165,1-Settings!$B$12,0,Settings!$B$12,1))*SQRT(Settings!$B$13)))</f>
        <v/>
      </c>
      <c r="J165" s="18">
        <f>IF(OR(NOT(ISNUMBER($A165)),ROW()-2&lt;Settings!$B$11),NA(),IF(COUNT(OFFSET(G165,1-Settings!$B$11,0,Settings!$B$11,1))&lt;Settings!$B$11,NA(),STDEV(OFFSET(G165,1-Settings!$B$11,0,Settings!$B$11,1))*SQRT(Settings!$B$13)))</f>
        <v/>
      </c>
      <c r="K165" s="18">
        <f>IF(OR(NOT(ISNUMBER($A165)),ROW()-2&lt;Settings!$B$12),NA(),IF(COUNT(OFFSET(G165,1-Settings!$B$12,0,Settings!$B$12,1))&lt;Settings!$B$12,NA(),STDEV(OFFSET(G165,1-Settings!$B$12,0,Settings!$B$12,1))*SQRT(Settings!$B$13)))</f>
        <v/>
      </c>
      <c r="L165" s="18">
        <f>IF(AND(ISNUMBER(D165),ISNUMBER(H165)),D165-H165,NA())</f>
        <v/>
      </c>
      <c r="M165" s="18">
        <f>IF(AND(ISNUMBER(E165),ISNUMBER(K165)),E165-K165,NA())</f>
        <v/>
      </c>
      <c r="N165" s="18">
        <f>IF(NOT(ISNUMBER($A165)),NA(),IF(COUNT(OFFSET(G165,1,0,Settings!$B$12,1))&lt;Settings!$B$12,NA(),STDEV(OFFSET(G165,1,0,Settings!$B$12,1))*SQRT(Settings!$B$13)))</f>
        <v/>
      </c>
      <c r="O165" s="18">
        <f>IF(AND(ISNUMBER(E165),ISNUMBER(N165)),E165-N165,NA())</f>
        <v/>
      </c>
      <c r="P165" s="17">
        <f>IF(NOT(ISNUMBER($A165)),NA(),IF(OR($A165&lt;MIN(KW_TP!$A$2:$A$2501),$A165&gt;MAX(KW_TP!$A$2:$A$2501)),NA(),INDEX(KW_TP!$C$2:$C$2501,MATCH($A165,KW_TP!$A$2:$A$2501,1))))</f>
        <v/>
      </c>
    </row>
    <row r="166">
      <c r="A166" s="15">
        <f>IF(ISNUMBER(BBG_Data!A166),BBG_Data!A166,"")</f>
        <v/>
      </c>
      <c r="B166" s="16">
        <f>IF(AND(ISNUMBER($A166),ISNUMBER(BBG_Data!B166)),BBG_Data!B166,NA())</f>
        <v/>
      </c>
      <c r="C166" s="16">
        <f>IF(AND(ISNUMBER($A166),ISNUMBER(BBG_Data!C166)),BBG_Data!C166,NA())</f>
        <v/>
      </c>
      <c r="D166" s="17">
        <f>IF(AND(ISNUMBER($A166),ISNUMBER(BBG_Data!D166)),BBG_Data!D166,NA())</f>
        <v/>
      </c>
      <c r="E166" s="17">
        <f>IF(AND(ISNUMBER($A166),ISNUMBER(BBG_Data!E166)),BBG_Data!E166,NA())</f>
        <v/>
      </c>
      <c r="F166" s="18">
        <f>IF(AND(ISNUMBER(B166),ISNUMBER(B165)),(B166-B165)*100,"")</f>
        <v/>
      </c>
      <c r="G166" s="18">
        <f>IF(AND(ISNUMBER(C166),ISNUMBER(C165)),(C166-C165)*100,"")</f>
        <v/>
      </c>
      <c r="H166" s="18">
        <f>IF(OR(NOT(ISNUMBER($A166)),ROW()-2&lt;Settings!$B$11),NA(),IF(COUNT(OFFSET(F166,1-Settings!$B$11,0,Settings!$B$11,1))&lt;Settings!$B$11,NA(),STDEV(OFFSET(F166,1-Settings!$B$11,0,Settings!$B$11,1))*SQRT(Settings!$B$13)))</f>
        <v/>
      </c>
      <c r="I166" s="18">
        <f>IF(OR(NOT(ISNUMBER($A166)),ROW()-2&lt;Settings!$B$12),NA(),IF(COUNT(OFFSET(F166,1-Settings!$B$12,0,Settings!$B$12,1))&lt;Settings!$B$12,NA(),STDEV(OFFSET(F166,1-Settings!$B$12,0,Settings!$B$12,1))*SQRT(Settings!$B$13)))</f>
        <v/>
      </c>
      <c r="J166" s="18">
        <f>IF(OR(NOT(ISNUMBER($A166)),ROW()-2&lt;Settings!$B$11),NA(),IF(COUNT(OFFSET(G166,1-Settings!$B$11,0,Settings!$B$11,1))&lt;Settings!$B$11,NA(),STDEV(OFFSET(G166,1-Settings!$B$11,0,Settings!$B$11,1))*SQRT(Settings!$B$13)))</f>
        <v/>
      </c>
      <c r="K166" s="18">
        <f>IF(OR(NOT(ISNUMBER($A166)),ROW()-2&lt;Settings!$B$12),NA(),IF(COUNT(OFFSET(G166,1-Settings!$B$12,0,Settings!$B$12,1))&lt;Settings!$B$12,NA(),STDEV(OFFSET(G166,1-Settings!$B$12,0,Settings!$B$12,1))*SQRT(Settings!$B$13)))</f>
        <v/>
      </c>
      <c r="L166" s="18">
        <f>IF(AND(ISNUMBER(D166),ISNUMBER(H166)),D166-H166,NA())</f>
        <v/>
      </c>
      <c r="M166" s="18">
        <f>IF(AND(ISNUMBER(E166),ISNUMBER(K166)),E166-K166,NA())</f>
        <v/>
      </c>
      <c r="N166" s="18">
        <f>IF(NOT(ISNUMBER($A166)),NA(),IF(COUNT(OFFSET(G166,1,0,Settings!$B$12,1))&lt;Settings!$B$12,NA(),STDEV(OFFSET(G166,1,0,Settings!$B$12,1))*SQRT(Settings!$B$13)))</f>
        <v/>
      </c>
      <c r="O166" s="18">
        <f>IF(AND(ISNUMBER(E166),ISNUMBER(N166)),E166-N166,NA())</f>
        <v/>
      </c>
      <c r="P166" s="17">
        <f>IF(NOT(ISNUMBER($A166)),NA(),IF(OR($A166&lt;MIN(KW_TP!$A$2:$A$2501),$A166&gt;MAX(KW_TP!$A$2:$A$2501)),NA(),INDEX(KW_TP!$C$2:$C$2501,MATCH($A166,KW_TP!$A$2:$A$2501,1))))</f>
        <v/>
      </c>
    </row>
    <row r="167">
      <c r="A167" s="15">
        <f>IF(ISNUMBER(BBG_Data!A167),BBG_Data!A167,"")</f>
        <v/>
      </c>
      <c r="B167" s="16">
        <f>IF(AND(ISNUMBER($A167),ISNUMBER(BBG_Data!B167)),BBG_Data!B167,NA())</f>
        <v/>
      </c>
      <c r="C167" s="16">
        <f>IF(AND(ISNUMBER($A167),ISNUMBER(BBG_Data!C167)),BBG_Data!C167,NA())</f>
        <v/>
      </c>
      <c r="D167" s="17">
        <f>IF(AND(ISNUMBER($A167),ISNUMBER(BBG_Data!D167)),BBG_Data!D167,NA())</f>
        <v/>
      </c>
      <c r="E167" s="17">
        <f>IF(AND(ISNUMBER($A167),ISNUMBER(BBG_Data!E167)),BBG_Data!E167,NA())</f>
        <v/>
      </c>
      <c r="F167" s="18">
        <f>IF(AND(ISNUMBER(B167),ISNUMBER(B166)),(B167-B166)*100,"")</f>
        <v/>
      </c>
      <c r="G167" s="18">
        <f>IF(AND(ISNUMBER(C167),ISNUMBER(C166)),(C167-C166)*100,"")</f>
        <v/>
      </c>
      <c r="H167" s="18">
        <f>IF(OR(NOT(ISNUMBER($A167)),ROW()-2&lt;Settings!$B$11),NA(),IF(COUNT(OFFSET(F167,1-Settings!$B$11,0,Settings!$B$11,1))&lt;Settings!$B$11,NA(),STDEV(OFFSET(F167,1-Settings!$B$11,0,Settings!$B$11,1))*SQRT(Settings!$B$13)))</f>
        <v/>
      </c>
      <c r="I167" s="18">
        <f>IF(OR(NOT(ISNUMBER($A167)),ROW()-2&lt;Settings!$B$12),NA(),IF(COUNT(OFFSET(F167,1-Settings!$B$12,0,Settings!$B$12,1))&lt;Settings!$B$12,NA(),STDEV(OFFSET(F167,1-Settings!$B$12,0,Settings!$B$12,1))*SQRT(Settings!$B$13)))</f>
        <v/>
      </c>
      <c r="J167" s="18">
        <f>IF(OR(NOT(ISNUMBER($A167)),ROW()-2&lt;Settings!$B$11),NA(),IF(COUNT(OFFSET(G167,1-Settings!$B$11,0,Settings!$B$11,1))&lt;Settings!$B$11,NA(),STDEV(OFFSET(G167,1-Settings!$B$11,0,Settings!$B$11,1))*SQRT(Settings!$B$13)))</f>
        <v/>
      </c>
      <c r="K167" s="18">
        <f>IF(OR(NOT(ISNUMBER($A167)),ROW()-2&lt;Settings!$B$12),NA(),IF(COUNT(OFFSET(G167,1-Settings!$B$12,0,Settings!$B$12,1))&lt;Settings!$B$12,NA(),STDEV(OFFSET(G167,1-Settings!$B$12,0,Settings!$B$12,1))*SQRT(Settings!$B$13)))</f>
        <v/>
      </c>
      <c r="L167" s="18">
        <f>IF(AND(ISNUMBER(D167),ISNUMBER(H167)),D167-H167,NA())</f>
        <v/>
      </c>
      <c r="M167" s="18">
        <f>IF(AND(ISNUMBER(E167),ISNUMBER(K167)),E167-K167,NA())</f>
        <v/>
      </c>
      <c r="N167" s="18">
        <f>IF(NOT(ISNUMBER($A167)),NA(),IF(COUNT(OFFSET(G167,1,0,Settings!$B$12,1))&lt;Settings!$B$12,NA(),STDEV(OFFSET(G167,1,0,Settings!$B$12,1))*SQRT(Settings!$B$13)))</f>
        <v/>
      </c>
      <c r="O167" s="18">
        <f>IF(AND(ISNUMBER(E167),ISNUMBER(N167)),E167-N167,NA())</f>
        <v/>
      </c>
      <c r="P167" s="17">
        <f>IF(NOT(ISNUMBER($A167)),NA(),IF(OR($A167&lt;MIN(KW_TP!$A$2:$A$2501),$A167&gt;MAX(KW_TP!$A$2:$A$2501)),NA(),INDEX(KW_TP!$C$2:$C$2501,MATCH($A167,KW_TP!$A$2:$A$2501,1))))</f>
        <v/>
      </c>
    </row>
    <row r="168">
      <c r="A168" s="15">
        <f>IF(ISNUMBER(BBG_Data!A168),BBG_Data!A168,"")</f>
        <v/>
      </c>
      <c r="B168" s="16">
        <f>IF(AND(ISNUMBER($A168),ISNUMBER(BBG_Data!B168)),BBG_Data!B168,NA())</f>
        <v/>
      </c>
      <c r="C168" s="16">
        <f>IF(AND(ISNUMBER($A168),ISNUMBER(BBG_Data!C168)),BBG_Data!C168,NA())</f>
        <v/>
      </c>
      <c r="D168" s="17">
        <f>IF(AND(ISNUMBER($A168),ISNUMBER(BBG_Data!D168)),BBG_Data!D168,NA())</f>
        <v/>
      </c>
      <c r="E168" s="17">
        <f>IF(AND(ISNUMBER($A168),ISNUMBER(BBG_Data!E168)),BBG_Data!E168,NA())</f>
        <v/>
      </c>
      <c r="F168" s="18">
        <f>IF(AND(ISNUMBER(B168),ISNUMBER(B167)),(B168-B167)*100,"")</f>
        <v/>
      </c>
      <c r="G168" s="18">
        <f>IF(AND(ISNUMBER(C168),ISNUMBER(C167)),(C168-C167)*100,"")</f>
        <v/>
      </c>
      <c r="H168" s="18">
        <f>IF(OR(NOT(ISNUMBER($A168)),ROW()-2&lt;Settings!$B$11),NA(),IF(COUNT(OFFSET(F168,1-Settings!$B$11,0,Settings!$B$11,1))&lt;Settings!$B$11,NA(),STDEV(OFFSET(F168,1-Settings!$B$11,0,Settings!$B$11,1))*SQRT(Settings!$B$13)))</f>
        <v/>
      </c>
      <c r="I168" s="18">
        <f>IF(OR(NOT(ISNUMBER($A168)),ROW()-2&lt;Settings!$B$12),NA(),IF(COUNT(OFFSET(F168,1-Settings!$B$12,0,Settings!$B$12,1))&lt;Settings!$B$12,NA(),STDEV(OFFSET(F168,1-Settings!$B$12,0,Settings!$B$12,1))*SQRT(Settings!$B$13)))</f>
        <v/>
      </c>
      <c r="J168" s="18">
        <f>IF(OR(NOT(ISNUMBER($A168)),ROW()-2&lt;Settings!$B$11),NA(),IF(COUNT(OFFSET(G168,1-Settings!$B$11,0,Settings!$B$11,1))&lt;Settings!$B$11,NA(),STDEV(OFFSET(G168,1-Settings!$B$11,0,Settings!$B$11,1))*SQRT(Settings!$B$13)))</f>
        <v/>
      </c>
      <c r="K168" s="18">
        <f>IF(OR(NOT(ISNUMBER($A168)),ROW()-2&lt;Settings!$B$12),NA(),IF(COUNT(OFFSET(G168,1-Settings!$B$12,0,Settings!$B$12,1))&lt;Settings!$B$12,NA(),STDEV(OFFSET(G168,1-Settings!$B$12,0,Settings!$B$12,1))*SQRT(Settings!$B$13)))</f>
        <v/>
      </c>
      <c r="L168" s="18">
        <f>IF(AND(ISNUMBER(D168),ISNUMBER(H168)),D168-H168,NA())</f>
        <v/>
      </c>
      <c r="M168" s="18">
        <f>IF(AND(ISNUMBER(E168),ISNUMBER(K168)),E168-K168,NA())</f>
        <v/>
      </c>
      <c r="N168" s="18">
        <f>IF(NOT(ISNUMBER($A168)),NA(),IF(COUNT(OFFSET(G168,1,0,Settings!$B$12,1))&lt;Settings!$B$12,NA(),STDEV(OFFSET(G168,1,0,Settings!$B$12,1))*SQRT(Settings!$B$13)))</f>
        <v/>
      </c>
      <c r="O168" s="18">
        <f>IF(AND(ISNUMBER(E168),ISNUMBER(N168)),E168-N168,NA())</f>
        <v/>
      </c>
      <c r="P168" s="17">
        <f>IF(NOT(ISNUMBER($A168)),NA(),IF(OR($A168&lt;MIN(KW_TP!$A$2:$A$2501),$A168&gt;MAX(KW_TP!$A$2:$A$2501)),NA(),INDEX(KW_TP!$C$2:$C$2501,MATCH($A168,KW_TP!$A$2:$A$2501,1))))</f>
        <v/>
      </c>
    </row>
    <row r="169">
      <c r="A169" s="15">
        <f>IF(ISNUMBER(BBG_Data!A169),BBG_Data!A169,"")</f>
        <v/>
      </c>
      <c r="B169" s="16">
        <f>IF(AND(ISNUMBER($A169),ISNUMBER(BBG_Data!B169)),BBG_Data!B169,NA())</f>
        <v/>
      </c>
      <c r="C169" s="16">
        <f>IF(AND(ISNUMBER($A169),ISNUMBER(BBG_Data!C169)),BBG_Data!C169,NA())</f>
        <v/>
      </c>
      <c r="D169" s="17">
        <f>IF(AND(ISNUMBER($A169),ISNUMBER(BBG_Data!D169)),BBG_Data!D169,NA())</f>
        <v/>
      </c>
      <c r="E169" s="17">
        <f>IF(AND(ISNUMBER($A169),ISNUMBER(BBG_Data!E169)),BBG_Data!E169,NA())</f>
        <v/>
      </c>
      <c r="F169" s="18">
        <f>IF(AND(ISNUMBER(B169),ISNUMBER(B168)),(B169-B168)*100,"")</f>
        <v/>
      </c>
      <c r="G169" s="18">
        <f>IF(AND(ISNUMBER(C169),ISNUMBER(C168)),(C169-C168)*100,"")</f>
        <v/>
      </c>
      <c r="H169" s="18">
        <f>IF(OR(NOT(ISNUMBER($A169)),ROW()-2&lt;Settings!$B$11),NA(),IF(COUNT(OFFSET(F169,1-Settings!$B$11,0,Settings!$B$11,1))&lt;Settings!$B$11,NA(),STDEV(OFFSET(F169,1-Settings!$B$11,0,Settings!$B$11,1))*SQRT(Settings!$B$13)))</f>
        <v/>
      </c>
      <c r="I169" s="18">
        <f>IF(OR(NOT(ISNUMBER($A169)),ROW()-2&lt;Settings!$B$12),NA(),IF(COUNT(OFFSET(F169,1-Settings!$B$12,0,Settings!$B$12,1))&lt;Settings!$B$12,NA(),STDEV(OFFSET(F169,1-Settings!$B$12,0,Settings!$B$12,1))*SQRT(Settings!$B$13)))</f>
        <v/>
      </c>
      <c r="J169" s="18">
        <f>IF(OR(NOT(ISNUMBER($A169)),ROW()-2&lt;Settings!$B$11),NA(),IF(COUNT(OFFSET(G169,1-Settings!$B$11,0,Settings!$B$11,1))&lt;Settings!$B$11,NA(),STDEV(OFFSET(G169,1-Settings!$B$11,0,Settings!$B$11,1))*SQRT(Settings!$B$13)))</f>
        <v/>
      </c>
      <c r="K169" s="18">
        <f>IF(OR(NOT(ISNUMBER($A169)),ROW()-2&lt;Settings!$B$12),NA(),IF(COUNT(OFFSET(G169,1-Settings!$B$12,0,Settings!$B$12,1))&lt;Settings!$B$12,NA(),STDEV(OFFSET(G169,1-Settings!$B$12,0,Settings!$B$12,1))*SQRT(Settings!$B$13)))</f>
        <v/>
      </c>
      <c r="L169" s="18">
        <f>IF(AND(ISNUMBER(D169),ISNUMBER(H169)),D169-H169,NA())</f>
        <v/>
      </c>
      <c r="M169" s="18">
        <f>IF(AND(ISNUMBER(E169),ISNUMBER(K169)),E169-K169,NA())</f>
        <v/>
      </c>
      <c r="N169" s="18">
        <f>IF(NOT(ISNUMBER($A169)),NA(),IF(COUNT(OFFSET(G169,1,0,Settings!$B$12,1))&lt;Settings!$B$12,NA(),STDEV(OFFSET(G169,1,0,Settings!$B$12,1))*SQRT(Settings!$B$13)))</f>
        <v/>
      </c>
      <c r="O169" s="18">
        <f>IF(AND(ISNUMBER(E169),ISNUMBER(N169)),E169-N169,NA())</f>
        <v/>
      </c>
      <c r="P169" s="17">
        <f>IF(NOT(ISNUMBER($A169)),NA(),IF(OR($A169&lt;MIN(KW_TP!$A$2:$A$2501),$A169&gt;MAX(KW_TP!$A$2:$A$2501)),NA(),INDEX(KW_TP!$C$2:$C$2501,MATCH($A169,KW_TP!$A$2:$A$2501,1))))</f>
        <v/>
      </c>
    </row>
    <row r="170">
      <c r="A170" s="15">
        <f>IF(ISNUMBER(BBG_Data!A170),BBG_Data!A170,"")</f>
        <v/>
      </c>
      <c r="B170" s="16">
        <f>IF(AND(ISNUMBER($A170),ISNUMBER(BBG_Data!B170)),BBG_Data!B170,NA())</f>
        <v/>
      </c>
      <c r="C170" s="16">
        <f>IF(AND(ISNUMBER($A170),ISNUMBER(BBG_Data!C170)),BBG_Data!C170,NA())</f>
        <v/>
      </c>
      <c r="D170" s="17">
        <f>IF(AND(ISNUMBER($A170),ISNUMBER(BBG_Data!D170)),BBG_Data!D170,NA())</f>
        <v/>
      </c>
      <c r="E170" s="17">
        <f>IF(AND(ISNUMBER($A170),ISNUMBER(BBG_Data!E170)),BBG_Data!E170,NA())</f>
        <v/>
      </c>
      <c r="F170" s="18">
        <f>IF(AND(ISNUMBER(B170),ISNUMBER(B169)),(B170-B169)*100,"")</f>
        <v/>
      </c>
      <c r="G170" s="18">
        <f>IF(AND(ISNUMBER(C170),ISNUMBER(C169)),(C170-C169)*100,"")</f>
        <v/>
      </c>
      <c r="H170" s="18">
        <f>IF(OR(NOT(ISNUMBER($A170)),ROW()-2&lt;Settings!$B$11),NA(),IF(COUNT(OFFSET(F170,1-Settings!$B$11,0,Settings!$B$11,1))&lt;Settings!$B$11,NA(),STDEV(OFFSET(F170,1-Settings!$B$11,0,Settings!$B$11,1))*SQRT(Settings!$B$13)))</f>
        <v/>
      </c>
      <c r="I170" s="18">
        <f>IF(OR(NOT(ISNUMBER($A170)),ROW()-2&lt;Settings!$B$12),NA(),IF(COUNT(OFFSET(F170,1-Settings!$B$12,0,Settings!$B$12,1))&lt;Settings!$B$12,NA(),STDEV(OFFSET(F170,1-Settings!$B$12,0,Settings!$B$12,1))*SQRT(Settings!$B$13)))</f>
        <v/>
      </c>
      <c r="J170" s="18">
        <f>IF(OR(NOT(ISNUMBER($A170)),ROW()-2&lt;Settings!$B$11),NA(),IF(COUNT(OFFSET(G170,1-Settings!$B$11,0,Settings!$B$11,1))&lt;Settings!$B$11,NA(),STDEV(OFFSET(G170,1-Settings!$B$11,0,Settings!$B$11,1))*SQRT(Settings!$B$13)))</f>
        <v/>
      </c>
      <c r="K170" s="18">
        <f>IF(OR(NOT(ISNUMBER($A170)),ROW()-2&lt;Settings!$B$12),NA(),IF(COUNT(OFFSET(G170,1-Settings!$B$12,0,Settings!$B$12,1))&lt;Settings!$B$12,NA(),STDEV(OFFSET(G170,1-Settings!$B$12,0,Settings!$B$12,1))*SQRT(Settings!$B$13)))</f>
        <v/>
      </c>
      <c r="L170" s="18">
        <f>IF(AND(ISNUMBER(D170),ISNUMBER(H170)),D170-H170,NA())</f>
        <v/>
      </c>
      <c r="M170" s="18">
        <f>IF(AND(ISNUMBER(E170),ISNUMBER(K170)),E170-K170,NA())</f>
        <v/>
      </c>
      <c r="N170" s="18">
        <f>IF(NOT(ISNUMBER($A170)),NA(),IF(COUNT(OFFSET(G170,1,0,Settings!$B$12,1))&lt;Settings!$B$12,NA(),STDEV(OFFSET(G170,1,0,Settings!$B$12,1))*SQRT(Settings!$B$13)))</f>
        <v/>
      </c>
      <c r="O170" s="18">
        <f>IF(AND(ISNUMBER(E170),ISNUMBER(N170)),E170-N170,NA())</f>
        <v/>
      </c>
      <c r="P170" s="17">
        <f>IF(NOT(ISNUMBER($A170)),NA(),IF(OR($A170&lt;MIN(KW_TP!$A$2:$A$2501),$A170&gt;MAX(KW_TP!$A$2:$A$2501)),NA(),INDEX(KW_TP!$C$2:$C$2501,MATCH($A170,KW_TP!$A$2:$A$2501,1))))</f>
        <v/>
      </c>
    </row>
    <row r="171">
      <c r="A171" s="15">
        <f>IF(ISNUMBER(BBG_Data!A171),BBG_Data!A171,"")</f>
        <v/>
      </c>
      <c r="B171" s="16">
        <f>IF(AND(ISNUMBER($A171),ISNUMBER(BBG_Data!B171)),BBG_Data!B171,NA())</f>
        <v/>
      </c>
      <c r="C171" s="16">
        <f>IF(AND(ISNUMBER($A171),ISNUMBER(BBG_Data!C171)),BBG_Data!C171,NA())</f>
        <v/>
      </c>
      <c r="D171" s="17">
        <f>IF(AND(ISNUMBER($A171),ISNUMBER(BBG_Data!D171)),BBG_Data!D171,NA())</f>
        <v/>
      </c>
      <c r="E171" s="17">
        <f>IF(AND(ISNUMBER($A171),ISNUMBER(BBG_Data!E171)),BBG_Data!E171,NA())</f>
        <v/>
      </c>
      <c r="F171" s="18">
        <f>IF(AND(ISNUMBER(B171),ISNUMBER(B170)),(B171-B170)*100,"")</f>
        <v/>
      </c>
      <c r="G171" s="18">
        <f>IF(AND(ISNUMBER(C171),ISNUMBER(C170)),(C171-C170)*100,"")</f>
        <v/>
      </c>
      <c r="H171" s="18">
        <f>IF(OR(NOT(ISNUMBER($A171)),ROW()-2&lt;Settings!$B$11),NA(),IF(COUNT(OFFSET(F171,1-Settings!$B$11,0,Settings!$B$11,1))&lt;Settings!$B$11,NA(),STDEV(OFFSET(F171,1-Settings!$B$11,0,Settings!$B$11,1))*SQRT(Settings!$B$13)))</f>
        <v/>
      </c>
      <c r="I171" s="18">
        <f>IF(OR(NOT(ISNUMBER($A171)),ROW()-2&lt;Settings!$B$12),NA(),IF(COUNT(OFFSET(F171,1-Settings!$B$12,0,Settings!$B$12,1))&lt;Settings!$B$12,NA(),STDEV(OFFSET(F171,1-Settings!$B$12,0,Settings!$B$12,1))*SQRT(Settings!$B$13)))</f>
        <v/>
      </c>
      <c r="J171" s="18">
        <f>IF(OR(NOT(ISNUMBER($A171)),ROW()-2&lt;Settings!$B$11),NA(),IF(COUNT(OFFSET(G171,1-Settings!$B$11,0,Settings!$B$11,1))&lt;Settings!$B$11,NA(),STDEV(OFFSET(G171,1-Settings!$B$11,0,Settings!$B$11,1))*SQRT(Settings!$B$13)))</f>
        <v/>
      </c>
      <c r="K171" s="18">
        <f>IF(OR(NOT(ISNUMBER($A171)),ROW()-2&lt;Settings!$B$12),NA(),IF(COUNT(OFFSET(G171,1-Settings!$B$12,0,Settings!$B$12,1))&lt;Settings!$B$12,NA(),STDEV(OFFSET(G171,1-Settings!$B$12,0,Settings!$B$12,1))*SQRT(Settings!$B$13)))</f>
        <v/>
      </c>
      <c r="L171" s="18">
        <f>IF(AND(ISNUMBER(D171),ISNUMBER(H171)),D171-H171,NA())</f>
        <v/>
      </c>
      <c r="M171" s="18">
        <f>IF(AND(ISNUMBER(E171),ISNUMBER(K171)),E171-K171,NA())</f>
        <v/>
      </c>
      <c r="N171" s="18">
        <f>IF(NOT(ISNUMBER($A171)),NA(),IF(COUNT(OFFSET(G171,1,0,Settings!$B$12,1))&lt;Settings!$B$12,NA(),STDEV(OFFSET(G171,1,0,Settings!$B$12,1))*SQRT(Settings!$B$13)))</f>
        <v/>
      </c>
      <c r="O171" s="18">
        <f>IF(AND(ISNUMBER(E171),ISNUMBER(N171)),E171-N171,NA())</f>
        <v/>
      </c>
      <c r="P171" s="17">
        <f>IF(NOT(ISNUMBER($A171)),NA(),IF(OR($A171&lt;MIN(KW_TP!$A$2:$A$2501),$A171&gt;MAX(KW_TP!$A$2:$A$2501)),NA(),INDEX(KW_TP!$C$2:$C$2501,MATCH($A171,KW_TP!$A$2:$A$2501,1))))</f>
        <v/>
      </c>
    </row>
    <row r="172">
      <c r="A172" s="15">
        <f>IF(ISNUMBER(BBG_Data!A172),BBG_Data!A172,"")</f>
        <v/>
      </c>
      <c r="B172" s="16">
        <f>IF(AND(ISNUMBER($A172),ISNUMBER(BBG_Data!B172)),BBG_Data!B172,NA())</f>
        <v/>
      </c>
      <c r="C172" s="16">
        <f>IF(AND(ISNUMBER($A172),ISNUMBER(BBG_Data!C172)),BBG_Data!C172,NA())</f>
        <v/>
      </c>
      <c r="D172" s="17">
        <f>IF(AND(ISNUMBER($A172),ISNUMBER(BBG_Data!D172)),BBG_Data!D172,NA())</f>
        <v/>
      </c>
      <c r="E172" s="17">
        <f>IF(AND(ISNUMBER($A172),ISNUMBER(BBG_Data!E172)),BBG_Data!E172,NA())</f>
        <v/>
      </c>
      <c r="F172" s="18">
        <f>IF(AND(ISNUMBER(B172),ISNUMBER(B171)),(B172-B171)*100,"")</f>
        <v/>
      </c>
      <c r="G172" s="18">
        <f>IF(AND(ISNUMBER(C172),ISNUMBER(C171)),(C172-C171)*100,"")</f>
        <v/>
      </c>
      <c r="H172" s="18">
        <f>IF(OR(NOT(ISNUMBER($A172)),ROW()-2&lt;Settings!$B$11),NA(),IF(COUNT(OFFSET(F172,1-Settings!$B$11,0,Settings!$B$11,1))&lt;Settings!$B$11,NA(),STDEV(OFFSET(F172,1-Settings!$B$11,0,Settings!$B$11,1))*SQRT(Settings!$B$13)))</f>
        <v/>
      </c>
      <c r="I172" s="18">
        <f>IF(OR(NOT(ISNUMBER($A172)),ROW()-2&lt;Settings!$B$12),NA(),IF(COUNT(OFFSET(F172,1-Settings!$B$12,0,Settings!$B$12,1))&lt;Settings!$B$12,NA(),STDEV(OFFSET(F172,1-Settings!$B$12,0,Settings!$B$12,1))*SQRT(Settings!$B$13)))</f>
        <v/>
      </c>
      <c r="J172" s="18">
        <f>IF(OR(NOT(ISNUMBER($A172)),ROW()-2&lt;Settings!$B$11),NA(),IF(COUNT(OFFSET(G172,1-Settings!$B$11,0,Settings!$B$11,1))&lt;Settings!$B$11,NA(),STDEV(OFFSET(G172,1-Settings!$B$11,0,Settings!$B$11,1))*SQRT(Settings!$B$13)))</f>
        <v/>
      </c>
      <c r="K172" s="18">
        <f>IF(OR(NOT(ISNUMBER($A172)),ROW()-2&lt;Settings!$B$12),NA(),IF(COUNT(OFFSET(G172,1-Settings!$B$12,0,Settings!$B$12,1))&lt;Settings!$B$12,NA(),STDEV(OFFSET(G172,1-Settings!$B$12,0,Settings!$B$12,1))*SQRT(Settings!$B$13)))</f>
        <v/>
      </c>
      <c r="L172" s="18">
        <f>IF(AND(ISNUMBER(D172),ISNUMBER(H172)),D172-H172,NA())</f>
        <v/>
      </c>
      <c r="M172" s="18">
        <f>IF(AND(ISNUMBER(E172),ISNUMBER(K172)),E172-K172,NA())</f>
        <v/>
      </c>
      <c r="N172" s="18">
        <f>IF(NOT(ISNUMBER($A172)),NA(),IF(COUNT(OFFSET(G172,1,0,Settings!$B$12,1))&lt;Settings!$B$12,NA(),STDEV(OFFSET(G172,1,0,Settings!$B$12,1))*SQRT(Settings!$B$13)))</f>
        <v/>
      </c>
      <c r="O172" s="18">
        <f>IF(AND(ISNUMBER(E172),ISNUMBER(N172)),E172-N172,NA())</f>
        <v/>
      </c>
      <c r="P172" s="17">
        <f>IF(NOT(ISNUMBER($A172)),NA(),IF(OR($A172&lt;MIN(KW_TP!$A$2:$A$2501),$A172&gt;MAX(KW_TP!$A$2:$A$2501)),NA(),INDEX(KW_TP!$C$2:$C$2501,MATCH($A172,KW_TP!$A$2:$A$2501,1))))</f>
        <v/>
      </c>
    </row>
    <row r="173">
      <c r="A173" s="15">
        <f>IF(ISNUMBER(BBG_Data!A173),BBG_Data!A173,"")</f>
        <v/>
      </c>
      <c r="B173" s="16">
        <f>IF(AND(ISNUMBER($A173),ISNUMBER(BBG_Data!B173)),BBG_Data!B173,NA())</f>
        <v/>
      </c>
      <c r="C173" s="16">
        <f>IF(AND(ISNUMBER($A173),ISNUMBER(BBG_Data!C173)),BBG_Data!C173,NA())</f>
        <v/>
      </c>
      <c r="D173" s="17">
        <f>IF(AND(ISNUMBER($A173),ISNUMBER(BBG_Data!D173)),BBG_Data!D173,NA())</f>
        <v/>
      </c>
      <c r="E173" s="17">
        <f>IF(AND(ISNUMBER($A173),ISNUMBER(BBG_Data!E173)),BBG_Data!E173,NA())</f>
        <v/>
      </c>
      <c r="F173" s="18">
        <f>IF(AND(ISNUMBER(B173),ISNUMBER(B172)),(B173-B172)*100,"")</f>
        <v/>
      </c>
      <c r="G173" s="18">
        <f>IF(AND(ISNUMBER(C173),ISNUMBER(C172)),(C173-C172)*100,"")</f>
        <v/>
      </c>
      <c r="H173" s="18">
        <f>IF(OR(NOT(ISNUMBER($A173)),ROW()-2&lt;Settings!$B$11),NA(),IF(COUNT(OFFSET(F173,1-Settings!$B$11,0,Settings!$B$11,1))&lt;Settings!$B$11,NA(),STDEV(OFFSET(F173,1-Settings!$B$11,0,Settings!$B$11,1))*SQRT(Settings!$B$13)))</f>
        <v/>
      </c>
      <c r="I173" s="18">
        <f>IF(OR(NOT(ISNUMBER($A173)),ROW()-2&lt;Settings!$B$12),NA(),IF(COUNT(OFFSET(F173,1-Settings!$B$12,0,Settings!$B$12,1))&lt;Settings!$B$12,NA(),STDEV(OFFSET(F173,1-Settings!$B$12,0,Settings!$B$12,1))*SQRT(Settings!$B$13)))</f>
        <v/>
      </c>
      <c r="J173" s="18">
        <f>IF(OR(NOT(ISNUMBER($A173)),ROW()-2&lt;Settings!$B$11),NA(),IF(COUNT(OFFSET(G173,1-Settings!$B$11,0,Settings!$B$11,1))&lt;Settings!$B$11,NA(),STDEV(OFFSET(G173,1-Settings!$B$11,0,Settings!$B$11,1))*SQRT(Settings!$B$13)))</f>
        <v/>
      </c>
      <c r="K173" s="18">
        <f>IF(OR(NOT(ISNUMBER($A173)),ROW()-2&lt;Settings!$B$12),NA(),IF(COUNT(OFFSET(G173,1-Settings!$B$12,0,Settings!$B$12,1))&lt;Settings!$B$12,NA(),STDEV(OFFSET(G173,1-Settings!$B$12,0,Settings!$B$12,1))*SQRT(Settings!$B$13)))</f>
        <v/>
      </c>
      <c r="L173" s="18">
        <f>IF(AND(ISNUMBER(D173),ISNUMBER(H173)),D173-H173,NA())</f>
        <v/>
      </c>
      <c r="M173" s="18">
        <f>IF(AND(ISNUMBER(E173),ISNUMBER(K173)),E173-K173,NA())</f>
        <v/>
      </c>
      <c r="N173" s="18">
        <f>IF(NOT(ISNUMBER($A173)),NA(),IF(COUNT(OFFSET(G173,1,0,Settings!$B$12,1))&lt;Settings!$B$12,NA(),STDEV(OFFSET(G173,1,0,Settings!$B$12,1))*SQRT(Settings!$B$13)))</f>
        <v/>
      </c>
      <c r="O173" s="18">
        <f>IF(AND(ISNUMBER(E173),ISNUMBER(N173)),E173-N173,NA())</f>
        <v/>
      </c>
      <c r="P173" s="17">
        <f>IF(NOT(ISNUMBER($A173)),NA(),IF(OR($A173&lt;MIN(KW_TP!$A$2:$A$2501),$A173&gt;MAX(KW_TP!$A$2:$A$2501)),NA(),INDEX(KW_TP!$C$2:$C$2501,MATCH($A173,KW_TP!$A$2:$A$2501,1))))</f>
        <v/>
      </c>
    </row>
    <row r="174">
      <c r="A174" s="15">
        <f>IF(ISNUMBER(BBG_Data!A174),BBG_Data!A174,"")</f>
        <v/>
      </c>
      <c r="B174" s="16">
        <f>IF(AND(ISNUMBER($A174),ISNUMBER(BBG_Data!B174)),BBG_Data!B174,NA())</f>
        <v/>
      </c>
      <c r="C174" s="16">
        <f>IF(AND(ISNUMBER($A174),ISNUMBER(BBG_Data!C174)),BBG_Data!C174,NA())</f>
        <v/>
      </c>
      <c r="D174" s="17">
        <f>IF(AND(ISNUMBER($A174),ISNUMBER(BBG_Data!D174)),BBG_Data!D174,NA())</f>
        <v/>
      </c>
      <c r="E174" s="17">
        <f>IF(AND(ISNUMBER($A174),ISNUMBER(BBG_Data!E174)),BBG_Data!E174,NA())</f>
        <v/>
      </c>
      <c r="F174" s="18">
        <f>IF(AND(ISNUMBER(B174),ISNUMBER(B173)),(B174-B173)*100,"")</f>
        <v/>
      </c>
      <c r="G174" s="18">
        <f>IF(AND(ISNUMBER(C174),ISNUMBER(C173)),(C174-C173)*100,"")</f>
        <v/>
      </c>
      <c r="H174" s="18">
        <f>IF(OR(NOT(ISNUMBER($A174)),ROW()-2&lt;Settings!$B$11),NA(),IF(COUNT(OFFSET(F174,1-Settings!$B$11,0,Settings!$B$11,1))&lt;Settings!$B$11,NA(),STDEV(OFFSET(F174,1-Settings!$B$11,0,Settings!$B$11,1))*SQRT(Settings!$B$13)))</f>
        <v/>
      </c>
      <c r="I174" s="18">
        <f>IF(OR(NOT(ISNUMBER($A174)),ROW()-2&lt;Settings!$B$12),NA(),IF(COUNT(OFFSET(F174,1-Settings!$B$12,0,Settings!$B$12,1))&lt;Settings!$B$12,NA(),STDEV(OFFSET(F174,1-Settings!$B$12,0,Settings!$B$12,1))*SQRT(Settings!$B$13)))</f>
        <v/>
      </c>
      <c r="J174" s="18">
        <f>IF(OR(NOT(ISNUMBER($A174)),ROW()-2&lt;Settings!$B$11),NA(),IF(COUNT(OFFSET(G174,1-Settings!$B$11,0,Settings!$B$11,1))&lt;Settings!$B$11,NA(),STDEV(OFFSET(G174,1-Settings!$B$11,0,Settings!$B$11,1))*SQRT(Settings!$B$13)))</f>
        <v/>
      </c>
      <c r="K174" s="18">
        <f>IF(OR(NOT(ISNUMBER($A174)),ROW()-2&lt;Settings!$B$12),NA(),IF(COUNT(OFFSET(G174,1-Settings!$B$12,0,Settings!$B$12,1))&lt;Settings!$B$12,NA(),STDEV(OFFSET(G174,1-Settings!$B$12,0,Settings!$B$12,1))*SQRT(Settings!$B$13)))</f>
        <v/>
      </c>
      <c r="L174" s="18">
        <f>IF(AND(ISNUMBER(D174),ISNUMBER(H174)),D174-H174,NA())</f>
        <v/>
      </c>
      <c r="M174" s="18">
        <f>IF(AND(ISNUMBER(E174),ISNUMBER(K174)),E174-K174,NA())</f>
        <v/>
      </c>
      <c r="N174" s="18">
        <f>IF(NOT(ISNUMBER($A174)),NA(),IF(COUNT(OFFSET(G174,1,0,Settings!$B$12,1))&lt;Settings!$B$12,NA(),STDEV(OFFSET(G174,1,0,Settings!$B$12,1))*SQRT(Settings!$B$13)))</f>
        <v/>
      </c>
      <c r="O174" s="18">
        <f>IF(AND(ISNUMBER(E174),ISNUMBER(N174)),E174-N174,NA())</f>
        <v/>
      </c>
      <c r="P174" s="17">
        <f>IF(NOT(ISNUMBER($A174)),NA(),IF(OR($A174&lt;MIN(KW_TP!$A$2:$A$2501),$A174&gt;MAX(KW_TP!$A$2:$A$2501)),NA(),INDEX(KW_TP!$C$2:$C$2501,MATCH($A174,KW_TP!$A$2:$A$2501,1))))</f>
        <v/>
      </c>
    </row>
    <row r="175">
      <c r="A175" s="15">
        <f>IF(ISNUMBER(BBG_Data!A175),BBG_Data!A175,"")</f>
        <v/>
      </c>
      <c r="B175" s="16">
        <f>IF(AND(ISNUMBER($A175),ISNUMBER(BBG_Data!B175)),BBG_Data!B175,NA())</f>
        <v/>
      </c>
      <c r="C175" s="16">
        <f>IF(AND(ISNUMBER($A175),ISNUMBER(BBG_Data!C175)),BBG_Data!C175,NA())</f>
        <v/>
      </c>
      <c r="D175" s="17">
        <f>IF(AND(ISNUMBER($A175),ISNUMBER(BBG_Data!D175)),BBG_Data!D175,NA())</f>
        <v/>
      </c>
      <c r="E175" s="17">
        <f>IF(AND(ISNUMBER($A175),ISNUMBER(BBG_Data!E175)),BBG_Data!E175,NA())</f>
        <v/>
      </c>
      <c r="F175" s="18">
        <f>IF(AND(ISNUMBER(B175),ISNUMBER(B174)),(B175-B174)*100,"")</f>
        <v/>
      </c>
      <c r="G175" s="18">
        <f>IF(AND(ISNUMBER(C175),ISNUMBER(C174)),(C175-C174)*100,"")</f>
        <v/>
      </c>
      <c r="H175" s="18">
        <f>IF(OR(NOT(ISNUMBER($A175)),ROW()-2&lt;Settings!$B$11),NA(),IF(COUNT(OFFSET(F175,1-Settings!$B$11,0,Settings!$B$11,1))&lt;Settings!$B$11,NA(),STDEV(OFFSET(F175,1-Settings!$B$11,0,Settings!$B$11,1))*SQRT(Settings!$B$13)))</f>
        <v/>
      </c>
      <c r="I175" s="18">
        <f>IF(OR(NOT(ISNUMBER($A175)),ROW()-2&lt;Settings!$B$12),NA(),IF(COUNT(OFFSET(F175,1-Settings!$B$12,0,Settings!$B$12,1))&lt;Settings!$B$12,NA(),STDEV(OFFSET(F175,1-Settings!$B$12,0,Settings!$B$12,1))*SQRT(Settings!$B$13)))</f>
        <v/>
      </c>
      <c r="J175" s="18">
        <f>IF(OR(NOT(ISNUMBER($A175)),ROW()-2&lt;Settings!$B$11),NA(),IF(COUNT(OFFSET(G175,1-Settings!$B$11,0,Settings!$B$11,1))&lt;Settings!$B$11,NA(),STDEV(OFFSET(G175,1-Settings!$B$11,0,Settings!$B$11,1))*SQRT(Settings!$B$13)))</f>
        <v/>
      </c>
      <c r="K175" s="18">
        <f>IF(OR(NOT(ISNUMBER($A175)),ROW()-2&lt;Settings!$B$12),NA(),IF(COUNT(OFFSET(G175,1-Settings!$B$12,0,Settings!$B$12,1))&lt;Settings!$B$12,NA(),STDEV(OFFSET(G175,1-Settings!$B$12,0,Settings!$B$12,1))*SQRT(Settings!$B$13)))</f>
        <v/>
      </c>
      <c r="L175" s="18">
        <f>IF(AND(ISNUMBER(D175),ISNUMBER(H175)),D175-H175,NA())</f>
        <v/>
      </c>
      <c r="M175" s="18">
        <f>IF(AND(ISNUMBER(E175),ISNUMBER(K175)),E175-K175,NA())</f>
        <v/>
      </c>
      <c r="N175" s="18">
        <f>IF(NOT(ISNUMBER($A175)),NA(),IF(COUNT(OFFSET(G175,1,0,Settings!$B$12,1))&lt;Settings!$B$12,NA(),STDEV(OFFSET(G175,1,0,Settings!$B$12,1))*SQRT(Settings!$B$13)))</f>
        <v/>
      </c>
      <c r="O175" s="18">
        <f>IF(AND(ISNUMBER(E175),ISNUMBER(N175)),E175-N175,NA())</f>
        <v/>
      </c>
      <c r="P175" s="17">
        <f>IF(NOT(ISNUMBER($A175)),NA(),IF(OR($A175&lt;MIN(KW_TP!$A$2:$A$2501),$A175&gt;MAX(KW_TP!$A$2:$A$2501)),NA(),INDEX(KW_TP!$C$2:$C$2501,MATCH($A175,KW_TP!$A$2:$A$2501,1))))</f>
        <v/>
      </c>
    </row>
    <row r="176">
      <c r="A176" s="15">
        <f>IF(ISNUMBER(BBG_Data!A176),BBG_Data!A176,"")</f>
        <v/>
      </c>
      <c r="B176" s="16">
        <f>IF(AND(ISNUMBER($A176),ISNUMBER(BBG_Data!B176)),BBG_Data!B176,NA())</f>
        <v/>
      </c>
      <c r="C176" s="16">
        <f>IF(AND(ISNUMBER($A176),ISNUMBER(BBG_Data!C176)),BBG_Data!C176,NA())</f>
        <v/>
      </c>
      <c r="D176" s="17">
        <f>IF(AND(ISNUMBER($A176),ISNUMBER(BBG_Data!D176)),BBG_Data!D176,NA())</f>
        <v/>
      </c>
      <c r="E176" s="17">
        <f>IF(AND(ISNUMBER($A176),ISNUMBER(BBG_Data!E176)),BBG_Data!E176,NA())</f>
        <v/>
      </c>
      <c r="F176" s="18">
        <f>IF(AND(ISNUMBER(B176),ISNUMBER(B175)),(B176-B175)*100,"")</f>
        <v/>
      </c>
      <c r="G176" s="18">
        <f>IF(AND(ISNUMBER(C176),ISNUMBER(C175)),(C176-C175)*100,"")</f>
        <v/>
      </c>
      <c r="H176" s="18">
        <f>IF(OR(NOT(ISNUMBER($A176)),ROW()-2&lt;Settings!$B$11),NA(),IF(COUNT(OFFSET(F176,1-Settings!$B$11,0,Settings!$B$11,1))&lt;Settings!$B$11,NA(),STDEV(OFFSET(F176,1-Settings!$B$11,0,Settings!$B$11,1))*SQRT(Settings!$B$13)))</f>
        <v/>
      </c>
      <c r="I176" s="18">
        <f>IF(OR(NOT(ISNUMBER($A176)),ROW()-2&lt;Settings!$B$12),NA(),IF(COUNT(OFFSET(F176,1-Settings!$B$12,0,Settings!$B$12,1))&lt;Settings!$B$12,NA(),STDEV(OFFSET(F176,1-Settings!$B$12,0,Settings!$B$12,1))*SQRT(Settings!$B$13)))</f>
        <v/>
      </c>
      <c r="J176" s="18">
        <f>IF(OR(NOT(ISNUMBER($A176)),ROW()-2&lt;Settings!$B$11),NA(),IF(COUNT(OFFSET(G176,1-Settings!$B$11,0,Settings!$B$11,1))&lt;Settings!$B$11,NA(),STDEV(OFFSET(G176,1-Settings!$B$11,0,Settings!$B$11,1))*SQRT(Settings!$B$13)))</f>
        <v/>
      </c>
      <c r="K176" s="18">
        <f>IF(OR(NOT(ISNUMBER($A176)),ROW()-2&lt;Settings!$B$12),NA(),IF(COUNT(OFFSET(G176,1-Settings!$B$12,0,Settings!$B$12,1))&lt;Settings!$B$12,NA(),STDEV(OFFSET(G176,1-Settings!$B$12,0,Settings!$B$12,1))*SQRT(Settings!$B$13)))</f>
        <v/>
      </c>
      <c r="L176" s="18">
        <f>IF(AND(ISNUMBER(D176),ISNUMBER(H176)),D176-H176,NA())</f>
        <v/>
      </c>
      <c r="M176" s="18">
        <f>IF(AND(ISNUMBER(E176),ISNUMBER(K176)),E176-K176,NA())</f>
        <v/>
      </c>
      <c r="N176" s="18">
        <f>IF(NOT(ISNUMBER($A176)),NA(),IF(COUNT(OFFSET(G176,1,0,Settings!$B$12,1))&lt;Settings!$B$12,NA(),STDEV(OFFSET(G176,1,0,Settings!$B$12,1))*SQRT(Settings!$B$13)))</f>
        <v/>
      </c>
      <c r="O176" s="18">
        <f>IF(AND(ISNUMBER(E176),ISNUMBER(N176)),E176-N176,NA())</f>
        <v/>
      </c>
      <c r="P176" s="17">
        <f>IF(NOT(ISNUMBER($A176)),NA(),IF(OR($A176&lt;MIN(KW_TP!$A$2:$A$2501),$A176&gt;MAX(KW_TP!$A$2:$A$2501)),NA(),INDEX(KW_TP!$C$2:$C$2501,MATCH($A176,KW_TP!$A$2:$A$2501,1))))</f>
        <v/>
      </c>
    </row>
    <row r="177">
      <c r="A177" s="15">
        <f>IF(ISNUMBER(BBG_Data!A177),BBG_Data!A177,"")</f>
        <v/>
      </c>
      <c r="B177" s="16">
        <f>IF(AND(ISNUMBER($A177),ISNUMBER(BBG_Data!B177)),BBG_Data!B177,NA())</f>
        <v/>
      </c>
      <c r="C177" s="16">
        <f>IF(AND(ISNUMBER($A177),ISNUMBER(BBG_Data!C177)),BBG_Data!C177,NA())</f>
        <v/>
      </c>
      <c r="D177" s="17">
        <f>IF(AND(ISNUMBER($A177),ISNUMBER(BBG_Data!D177)),BBG_Data!D177,NA())</f>
        <v/>
      </c>
      <c r="E177" s="17">
        <f>IF(AND(ISNUMBER($A177),ISNUMBER(BBG_Data!E177)),BBG_Data!E177,NA())</f>
        <v/>
      </c>
      <c r="F177" s="18">
        <f>IF(AND(ISNUMBER(B177),ISNUMBER(B176)),(B177-B176)*100,"")</f>
        <v/>
      </c>
      <c r="G177" s="18">
        <f>IF(AND(ISNUMBER(C177),ISNUMBER(C176)),(C177-C176)*100,"")</f>
        <v/>
      </c>
      <c r="H177" s="18">
        <f>IF(OR(NOT(ISNUMBER($A177)),ROW()-2&lt;Settings!$B$11),NA(),IF(COUNT(OFFSET(F177,1-Settings!$B$11,0,Settings!$B$11,1))&lt;Settings!$B$11,NA(),STDEV(OFFSET(F177,1-Settings!$B$11,0,Settings!$B$11,1))*SQRT(Settings!$B$13)))</f>
        <v/>
      </c>
      <c r="I177" s="18">
        <f>IF(OR(NOT(ISNUMBER($A177)),ROW()-2&lt;Settings!$B$12),NA(),IF(COUNT(OFFSET(F177,1-Settings!$B$12,0,Settings!$B$12,1))&lt;Settings!$B$12,NA(),STDEV(OFFSET(F177,1-Settings!$B$12,0,Settings!$B$12,1))*SQRT(Settings!$B$13)))</f>
        <v/>
      </c>
      <c r="J177" s="18">
        <f>IF(OR(NOT(ISNUMBER($A177)),ROW()-2&lt;Settings!$B$11),NA(),IF(COUNT(OFFSET(G177,1-Settings!$B$11,0,Settings!$B$11,1))&lt;Settings!$B$11,NA(),STDEV(OFFSET(G177,1-Settings!$B$11,0,Settings!$B$11,1))*SQRT(Settings!$B$13)))</f>
        <v/>
      </c>
      <c r="K177" s="18">
        <f>IF(OR(NOT(ISNUMBER($A177)),ROW()-2&lt;Settings!$B$12),NA(),IF(COUNT(OFFSET(G177,1-Settings!$B$12,0,Settings!$B$12,1))&lt;Settings!$B$12,NA(),STDEV(OFFSET(G177,1-Settings!$B$12,0,Settings!$B$12,1))*SQRT(Settings!$B$13)))</f>
        <v/>
      </c>
      <c r="L177" s="18">
        <f>IF(AND(ISNUMBER(D177),ISNUMBER(H177)),D177-H177,NA())</f>
        <v/>
      </c>
      <c r="M177" s="18">
        <f>IF(AND(ISNUMBER(E177),ISNUMBER(K177)),E177-K177,NA())</f>
        <v/>
      </c>
      <c r="N177" s="18">
        <f>IF(NOT(ISNUMBER($A177)),NA(),IF(COUNT(OFFSET(G177,1,0,Settings!$B$12,1))&lt;Settings!$B$12,NA(),STDEV(OFFSET(G177,1,0,Settings!$B$12,1))*SQRT(Settings!$B$13)))</f>
        <v/>
      </c>
      <c r="O177" s="18">
        <f>IF(AND(ISNUMBER(E177),ISNUMBER(N177)),E177-N177,NA())</f>
        <v/>
      </c>
      <c r="P177" s="17">
        <f>IF(NOT(ISNUMBER($A177)),NA(),IF(OR($A177&lt;MIN(KW_TP!$A$2:$A$2501),$A177&gt;MAX(KW_TP!$A$2:$A$2501)),NA(),INDEX(KW_TP!$C$2:$C$2501,MATCH($A177,KW_TP!$A$2:$A$2501,1))))</f>
        <v/>
      </c>
    </row>
    <row r="178">
      <c r="A178" s="15">
        <f>IF(ISNUMBER(BBG_Data!A178),BBG_Data!A178,"")</f>
        <v/>
      </c>
      <c r="B178" s="16">
        <f>IF(AND(ISNUMBER($A178),ISNUMBER(BBG_Data!B178)),BBG_Data!B178,NA())</f>
        <v/>
      </c>
      <c r="C178" s="16">
        <f>IF(AND(ISNUMBER($A178),ISNUMBER(BBG_Data!C178)),BBG_Data!C178,NA())</f>
        <v/>
      </c>
      <c r="D178" s="17">
        <f>IF(AND(ISNUMBER($A178),ISNUMBER(BBG_Data!D178)),BBG_Data!D178,NA())</f>
        <v/>
      </c>
      <c r="E178" s="17">
        <f>IF(AND(ISNUMBER($A178),ISNUMBER(BBG_Data!E178)),BBG_Data!E178,NA())</f>
        <v/>
      </c>
      <c r="F178" s="18">
        <f>IF(AND(ISNUMBER(B178),ISNUMBER(B177)),(B178-B177)*100,"")</f>
        <v/>
      </c>
      <c r="G178" s="18">
        <f>IF(AND(ISNUMBER(C178),ISNUMBER(C177)),(C178-C177)*100,"")</f>
        <v/>
      </c>
      <c r="H178" s="18">
        <f>IF(OR(NOT(ISNUMBER($A178)),ROW()-2&lt;Settings!$B$11),NA(),IF(COUNT(OFFSET(F178,1-Settings!$B$11,0,Settings!$B$11,1))&lt;Settings!$B$11,NA(),STDEV(OFFSET(F178,1-Settings!$B$11,0,Settings!$B$11,1))*SQRT(Settings!$B$13)))</f>
        <v/>
      </c>
      <c r="I178" s="18">
        <f>IF(OR(NOT(ISNUMBER($A178)),ROW()-2&lt;Settings!$B$12),NA(),IF(COUNT(OFFSET(F178,1-Settings!$B$12,0,Settings!$B$12,1))&lt;Settings!$B$12,NA(),STDEV(OFFSET(F178,1-Settings!$B$12,0,Settings!$B$12,1))*SQRT(Settings!$B$13)))</f>
        <v/>
      </c>
      <c r="J178" s="18">
        <f>IF(OR(NOT(ISNUMBER($A178)),ROW()-2&lt;Settings!$B$11),NA(),IF(COUNT(OFFSET(G178,1-Settings!$B$11,0,Settings!$B$11,1))&lt;Settings!$B$11,NA(),STDEV(OFFSET(G178,1-Settings!$B$11,0,Settings!$B$11,1))*SQRT(Settings!$B$13)))</f>
        <v/>
      </c>
      <c r="K178" s="18">
        <f>IF(OR(NOT(ISNUMBER($A178)),ROW()-2&lt;Settings!$B$12),NA(),IF(COUNT(OFFSET(G178,1-Settings!$B$12,0,Settings!$B$12,1))&lt;Settings!$B$12,NA(),STDEV(OFFSET(G178,1-Settings!$B$12,0,Settings!$B$12,1))*SQRT(Settings!$B$13)))</f>
        <v/>
      </c>
      <c r="L178" s="18">
        <f>IF(AND(ISNUMBER(D178),ISNUMBER(H178)),D178-H178,NA())</f>
        <v/>
      </c>
      <c r="M178" s="18">
        <f>IF(AND(ISNUMBER(E178),ISNUMBER(K178)),E178-K178,NA())</f>
        <v/>
      </c>
      <c r="N178" s="18">
        <f>IF(NOT(ISNUMBER($A178)),NA(),IF(COUNT(OFFSET(G178,1,0,Settings!$B$12,1))&lt;Settings!$B$12,NA(),STDEV(OFFSET(G178,1,0,Settings!$B$12,1))*SQRT(Settings!$B$13)))</f>
        <v/>
      </c>
      <c r="O178" s="18">
        <f>IF(AND(ISNUMBER(E178),ISNUMBER(N178)),E178-N178,NA())</f>
        <v/>
      </c>
      <c r="P178" s="17">
        <f>IF(NOT(ISNUMBER($A178)),NA(),IF(OR($A178&lt;MIN(KW_TP!$A$2:$A$2501),$A178&gt;MAX(KW_TP!$A$2:$A$2501)),NA(),INDEX(KW_TP!$C$2:$C$2501,MATCH($A178,KW_TP!$A$2:$A$2501,1))))</f>
        <v/>
      </c>
    </row>
    <row r="179">
      <c r="A179" s="15">
        <f>IF(ISNUMBER(BBG_Data!A179),BBG_Data!A179,"")</f>
        <v/>
      </c>
      <c r="B179" s="16">
        <f>IF(AND(ISNUMBER($A179),ISNUMBER(BBG_Data!B179)),BBG_Data!B179,NA())</f>
        <v/>
      </c>
      <c r="C179" s="16">
        <f>IF(AND(ISNUMBER($A179),ISNUMBER(BBG_Data!C179)),BBG_Data!C179,NA())</f>
        <v/>
      </c>
      <c r="D179" s="17">
        <f>IF(AND(ISNUMBER($A179),ISNUMBER(BBG_Data!D179)),BBG_Data!D179,NA())</f>
        <v/>
      </c>
      <c r="E179" s="17">
        <f>IF(AND(ISNUMBER($A179),ISNUMBER(BBG_Data!E179)),BBG_Data!E179,NA())</f>
        <v/>
      </c>
      <c r="F179" s="18">
        <f>IF(AND(ISNUMBER(B179),ISNUMBER(B178)),(B179-B178)*100,"")</f>
        <v/>
      </c>
      <c r="G179" s="18">
        <f>IF(AND(ISNUMBER(C179),ISNUMBER(C178)),(C179-C178)*100,"")</f>
        <v/>
      </c>
      <c r="H179" s="18">
        <f>IF(OR(NOT(ISNUMBER($A179)),ROW()-2&lt;Settings!$B$11),NA(),IF(COUNT(OFFSET(F179,1-Settings!$B$11,0,Settings!$B$11,1))&lt;Settings!$B$11,NA(),STDEV(OFFSET(F179,1-Settings!$B$11,0,Settings!$B$11,1))*SQRT(Settings!$B$13)))</f>
        <v/>
      </c>
      <c r="I179" s="18">
        <f>IF(OR(NOT(ISNUMBER($A179)),ROW()-2&lt;Settings!$B$12),NA(),IF(COUNT(OFFSET(F179,1-Settings!$B$12,0,Settings!$B$12,1))&lt;Settings!$B$12,NA(),STDEV(OFFSET(F179,1-Settings!$B$12,0,Settings!$B$12,1))*SQRT(Settings!$B$13)))</f>
        <v/>
      </c>
      <c r="J179" s="18">
        <f>IF(OR(NOT(ISNUMBER($A179)),ROW()-2&lt;Settings!$B$11),NA(),IF(COUNT(OFFSET(G179,1-Settings!$B$11,0,Settings!$B$11,1))&lt;Settings!$B$11,NA(),STDEV(OFFSET(G179,1-Settings!$B$11,0,Settings!$B$11,1))*SQRT(Settings!$B$13)))</f>
        <v/>
      </c>
      <c r="K179" s="18">
        <f>IF(OR(NOT(ISNUMBER($A179)),ROW()-2&lt;Settings!$B$12),NA(),IF(COUNT(OFFSET(G179,1-Settings!$B$12,0,Settings!$B$12,1))&lt;Settings!$B$12,NA(),STDEV(OFFSET(G179,1-Settings!$B$12,0,Settings!$B$12,1))*SQRT(Settings!$B$13)))</f>
        <v/>
      </c>
      <c r="L179" s="18">
        <f>IF(AND(ISNUMBER(D179),ISNUMBER(H179)),D179-H179,NA())</f>
        <v/>
      </c>
      <c r="M179" s="18">
        <f>IF(AND(ISNUMBER(E179),ISNUMBER(K179)),E179-K179,NA())</f>
        <v/>
      </c>
      <c r="N179" s="18">
        <f>IF(NOT(ISNUMBER($A179)),NA(),IF(COUNT(OFFSET(G179,1,0,Settings!$B$12,1))&lt;Settings!$B$12,NA(),STDEV(OFFSET(G179,1,0,Settings!$B$12,1))*SQRT(Settings!$B$13)))</f>
        <v/>
      </c>
      <c r="O179" s="18">
        <f>IF(AND(ISNUMBER(E179),ISNUMBER(N179)),E179-N179,NA())</f>
        <v/>
      </c>
      <c r="P179" s="17">
        <f>IF(NOT(ISNUMBER($A179)),NA(),IF(OR($A179&lt;MIN(KW_TP!$A$2:$A$2501),$A179&gt;MAX(KW_TP!$A$2:$A$2501)),NA(),INDEX(KW_TP!$C$2:$C$2501,MATCH($A179,KW_TP!$A$2:$A$2501,1))))</f>
        <v/>
      </c>
    </row>
    <row r="180">
      <c r="A180" s="15">
        <f>IF(ISNUMBER(BBG_Data!A180),BBG_Data!A180,"")</f>
        <v/>
      </c>
      <c r="B180" s="16">
        <f>IF(AND(ISNUMBER($A180),ISNUMBER(BBG_Data!B180)),BBG_Data!B180,NA())</f>
        <v/>
      </c>
      <c r="C180" s="16">
        <f>IF(AND(ISNUMBER($A180),ISNUMBER(BBG_Data!C180)),BBG_Data!C180,NA())</f>
        <v/>
      </c>
      <c r="D180" s="17">
        <f>IF(AND(ISNUMBER($A180),ISNUMBER(BBG_Data!D180)),BBG_Data!D180,NA())</f>
        <v/>
      </c>
      <c r="E180" s="17">
        <f>IF(AND(ISNUMBER($A180),ISNUMBER(BBG_Data!E180)),BBG_Data!E180,NA())</f>
        <v/>
      </c>
      <c r="F180" s="18">
        <f>IF(AND(ISNUMBER(B180),ISNUMBER(B179)),(B180-B179)*100,"")</f>
        <v/>
      </c>
      <c r="G180" s="18">
        <f>IF(AND(ISNUMBER(C180),ISNUMBER(C179)),(C180-C179)*100,"")</f>
        <v/>
      </c>
      <c r="H180" s="18">
        <f>IF(OR(NOT(ISNUMBER($A180)),ROW()-2&lt;Settings!$B$11),NA(),IF(COUNT(OFFSET(F180,1-Settings!$B$11,0,Settings!$B$11,1))&lt;Settings!$B$11,NA(),STDEV(OFFSET(F180,1-Settings!$B$11,0,Settings!$B$11,1))*SQRT(Settings!$B$13)))</f>
        <v/>
      </c>
      <c r="I180" s="18">
        <f>IF(OR(NOT(ISNUMBER($A180)),ROW()-2&lt;Settings!$B$12),NA(),IF(COUNT(OFFSET(F180,1-Settings!$B$12,0,Settings!$B$12,1))&lt;Settings!$B$12,NA(),STDEV(OFFSET(F180,1-Settings!$B$12,0,Settings!$B$12,1))*SQRT(Settings!$B$13)))</f>
        <v/>
      </c>
      <c r="J180" s="18">
        <f>IF(OR(NOT(ISNUMBER($A180)),ROW()-2&lt;Settings!$B$11),NA(),IF(COUNT(OFFSET(G180,1-Settings!$B$11,0,Settings!$B$11,1))&lt;Settings!$B$11,NA(),STDEV(OFFSET(G180,1-Settings!$B$11,0,Settings!$B$11,1))*SQRT(Settings!$B$13)))</f>
        <v/>
      </c>
      <c r="K180" s="18">
        <f>IF(OR(NOT(ISNUMBER($A180)),ROW()-2&lt;Settings!$B$12),NA(),IF(COUNT(OFFSET(G180,1-Settings!$B$12,0,Settings!$B$12,1))&lt;Settings!$B$12,NA(),STDEV(OFFSET(G180,1-Settings!$B$12,0,Settings!$B$12,1))*SQRT(Settings!$B$13)))</f>
        <v/>
      </c>
      <c r="L180" s="18">
        <f>IF(AND(ISNUMBER(D180),ISNUMBER(H180)),D180-H180,NA())</f>
        <v/>
      </c>
      <c r="M180" s="18">
        <f>IF(AND(ISNUMBER(E180),ISNUMBER(K180)),E180-K180,NA())</f>
        <v/>
      </c>
      <c r="N180" s="18">
        <f>IF(NOT(ISNUMBER($A180)),NA(),IF(COUNT(OFFSET(G180,1,0,Settings!$B$12,1))&lt;Settings!$B$12,NA(),STDEV(OFFSET(G180,1,0,Settings!$B$12,1))*SQRT(Settings!$B$13)))</f>
        <v/>
      </c>
      <c r="O180" s="18">
        <f>IF(AND(ISNUMBER(E180),ISNUMBER(N180)),E180-N180,NA())</f>
        <v/>
      </c>
      <c r="P180" s="17">
        <f>IF(NOT(ISNUMBER($A180)),NA(),IF(OR($A180&lt;MIN(KW_TP!$A$2:$A$2501),$A180&gt;MAX(KW_TP!$A$2:$A$2501)),NA(),INDEX(KW_TP!$C$2:$C$2501,MATCH($A180,KW_TP!$A$2:$A$2501,1))))</f>
        <v/>
      </c>
    </row>
    <row r="181">
      <c r="A181" s="15">
        <f>IF(ISNUMBER(BBG_Data!A181),BBG_Data!A181,"")</f>
        <v/>
      </c>
      <c r="B181" s="16">
        <f>IF(AND(ISNUMBER($A181),ISNUMBER(BBG_Data!B181)),BBG_Data!B181,NA())</f>
        <v/>
      </c>
      <c r="C181" s="16">
        <f>IF(AND(ISNUMBER($A181),ISNUMBER(BBG_Data!C181)),BBG_Data!C181,NA())</f>
        <v/>
      </c>
      <c r="D181" s="17">
        <f>IF(AND(ISNUMBER($A181),ISNUMBER(BBG_Data!D181)),BBG_Data!D181,NA())</f>
        <v/>
      </c>
      <c r="E181" s="17">
        <f>IF(AND(ISNUMBER($A181),ISNUMBER(BBG_Data!E181)),BBG_Data!E181,NA())</f>
        <v/>
      </c>
      <c r="F181" s="18">
        <f>IF(AND(ISNUMBER(B181),ISNUMBER(B180)),(B181-B180)*100,"")</f>
        <v/>
      </c>
      <c r="G181" s="18">
        <f>IF(AND(ISNUMBER(C181),ISNUMBER(C180)),(C181-C180)*100,"")</f>
        <v/>
      </c>
      <c r="H181" s="18">
        <f>IF(OR(NOT(ISNUMBER($A181)),ROW()-2&lt;Settings!$B$11),NA(),IF(COUNT(OFFSET(F181,1-Settings!$B$11,0,Settings!$B$11,1))&lt;Settings!$B$11,NA(),STDEV(OFFSET(F181,1-Settings!$B$11,0,Settings!$B$11,1))*SQRT(Settings!$B$13)))</f>
        <v/>
      </c>
      <c r="I181" s="18">
        <f>IF(OR(NOT(ISNUMBER($A181)),ROW()-2&lt;Settings!$B$12),NA(),IF(COUNT(OFFSET(F181,1-Settings!$B$12,0,Settings!$B$12,1))&lt;Settings!$B$12,NA(),STDEV(OFFSET(F181,1-Settings!$B$12,0,Settings!$B$12,1))*SQRT(Settings!$B$13)))</f>
        <v/>
      </c>
      <c r="J181" s="18">
        <f>IF(OR(NOT(ISNUMBER($A181)),ROW()-2&lt;Settings!$B$11),NA(),IF(COUNT(OFFSET(G181,1-Settings!$B$11,0,Settings!$B$11,1))&lt;Settings!$B$11,NA(),STDEV(OFFSET(G181,1-Settings!$B$11,0,Settings!$B$11,1))*SQRT(Settings!$B$13)))</f>
        <v/>
      </c>
      <c r="K181" s="18">
        <f>IF(OR(NOT(ISNUMBER($A181)),ROW()-2&lt;Settings!$B$12),NA(),IF(COUNT(OFFSET(G181,1-Settings!$B$12,0,Settings!$B$12,1))&lt;Settings!$B$12,NA(),STDEV(OFFSET(G181,1-Settings!$B$12,0,Settings!$B$12,1))*SQRT(Settings!$B$13)))</f>
        <v/>
      </c>
      <c r="L181" s="18">
        <f>IF(AND(ISNUMBER(D181),ISNUMBER(H181)),D181-H181,NA())</f>
        <v/>
      </c>
      <c r="M181" s="18">
        <f>IF(AND(ISNUMBER(E181),ISNUMBER(K181)),E181-K181,NA())</f>
        <v/>
      </c>
      <c r="N181" s="18">
        <f>IF(NOT(ISNUMBER($A181)),NA(),IF(COUNT(OFFSET(G181,1,0,Settings!$B$12,1))&lt;Settings!$B$12,NA(),STDEV(OFFSET(G181,1,0,Settings!$B$12,1))*SQRT(Settings!$B$13)))</f>
        <v/>
      </c>
      <c r="O181" s="18">
        <f>IF(AND(ISNUMBER(E181),ISNUMBER(N181)),E181-N181,NA())</f>
        <v/>
      </c>
      <c r="P181" s="17">
        <f>IF(NOT(ISNUMBER($A181)),NA(),IF(OR($A181&lt;MIN(KW_TP!$A$2:$A$2501),$A181&gt;MAX(KW_TP!$A$2:$A$2501)),NA(),INDEX(KW_TP!$C$2:$C$2501,MATCH($A181,KW_TP!$A$2:$A$2501,1))))</f>
        <v/>
      </c>
    </row>
    <row r="182">
      <c r="A182" s="15">
        <f>IF(ISNUMBER(BBG_Data!A182),BBG_Data!A182,"")</f>
        <v/>
      </c>
      <c r="B182" s="16">
        <f>IF(AND(ISNUMBER($A182),ISNUMBER(BBG_Data!B182)),BBG_Data!B182,NA())</f>
        <v/>
      </c>
      <c r="C182" s="16">
        <f>IF(AND(ISNUMBER($A182),ISNUMBER(BBG_Data!C182)),BBG_Data!C182,NA())</f>
        <v/>
      </c>
      <c r="D182" s="17">
        <f>IF(AND(ISNUMBER($A182),ISNUMBER(BBG_Data!D182)),BBG_Data!D182,NA())</f>
        <v/>
      </c>
      <c r="E182" s="17">
        <f>IF(AND(ISNUMBER($A182),ISNUMBER(BBG_Data!E182)),BBG_Data!E182,NA())</f>
        <v/>
      </c>
      <c r="F182" s="18">
        <f>IF(AND(ISNUMBER(B182),ISNUMBER(B181)),(B182-B181)*100,"")</f>
        <v/>
      </c>
      <c r="G182" s="18">
        <f>IF(AND(ISNUMBER(C182),ISNUMBER(C181)),(C182-C181)*100,"")</f>
        <v/>
      </c>
      <c r="H182" s="18">
        <f>IF(OR(NOT(ISNUMBER($A182)),ROW()-2&lt;Settings!$B$11),NA(),IF(COUNT(OFFSET(F182,1-Settings!$B$11,0,Settings!$B$11,1))&lt;Settings!$B$11,NA(),STDEV(OFFSET(F182,1-Settings!$B$11,0,Settings!$B$11,1))*SQRT(Settings!$B$13)))</f>
        <v/>
      </c>
      <c r="I182" s="18">
        <f>IF(OR(NOT(ISNUMBER($A182)),ROW()-2&lt;Settings!$B$12),NA(),IF(COUNT(OFFSET(F182,1-Settings!$B$12,0,Settings!$B$12,1))&lt;Settings!$B$12,NA(),STDEV(OFFSET(F182,1-Settings!$B$12,0,Settings!$B$12,1))*SQRT(Settings!$B$13)))</f>
        <v/>
      </c>
      <c r="J182" s="18">
        <f>IF(OR(NOT(ISNUMBER($A182)),ROW()-2&lt;Settings!$B$11),NA(),IF(COUNT(OFFSET(G182,1-Settings!$B$11,0,Settings!$B$11,1))&lt;Settings!$B$11,NA(),STDEV(OFFSET(G182,1-Settings!$B$11,0,Settings!$B$11,1))*SQRT(Settings!$B$13)))</f>
        <v/>
      </c>
      <c r="K182" s="18">
        <f>IF(OR(NOT(ISNUMBER($A182)),ROW()-2&lt;Settings!$B$12),NA(),IF(COUNT(OFFSET(G182,1-Settings!$B$12,0,Settings!$B$12,1))&lt;Settings!$B$12,NA(),STDEV(OFFSET(G182,1-Settings!$B$12,0,Settings!$B$12,1))*SQRT(Settings!$B$13)))</f>
        <v/>
      </c>
      <c r="L182" s="18">
        <f>IF(AND(ISNUMBER(D182),ISNUMBER(H182)),D182-H182,NA())</f>
        <v/>
      </c>
      <c r="M182" s="18">
        <f>IF(AND(ISNUMBER(E182),ISNUMBER(K182)),E182-K182,NA())</f>
        <v/>
      </c>
      <c r="N182" s="18">
        <f>IF(NOT(ISNUMBER($A182)),NA(),IF(COUNT(OFFSET(G182,1,0,Settings!$B$12,1))&lt;Settings!$B$12,NA(),STDEV(OFFSET(G182,1,0,Settings!$B$12,1))*SQRT(Settings!$B$13)))</f>
        <v/>
      </c>
      <c r="O182" s="18">
        <f>IF(AND(ISNUMBER(E182),ISNUMBER(N182)),E182-N182,NA())</f>
        <v/>
      </c>
      <c r="P182" s="17">
        <f>IF(NOT(ISNUMBER($A182)),NA(),IF(OR($A182&lt;MIN(KW_TP!$A$2:$A$2501),$A182&gt;MAX(KW_TP!$A$2:$A$2501)),NA(),INDEX(KW_TP!$C$2:$C$2501,MATCH($A182,KW_TP!$A$2:$A$2501,1))))</f>
        <v/>
      </c>
    </row>
    <row r="183">
      <c r="A183" s="15">
        <f>IF(ISNUMBER(BBG_Data!A183),BBG_Data!A183,"")</f>
        <v/>
      </c>
      <c r="B183" s="16">
        <f>IF(AND(ISNUMBER($A183),ISNUMBER(BBG_Data!B183)),BBG_Data!B183,NA())</f>
        <v/>
      </c>
      <c r="C183" s="16">
        <f>IF(AND(ISNUMBER($A183),ISNUMBER(BBG_Data!C183)),BBG_Data!C183,NA())</f>
        <v/>
      </c>
      <c r="D183" s="17">
        <f>IF(AND(ISNUMBER($A183),ISNUMBER(BBG_Data!D183)),BBG_Data!D183,NA())</f>
        <v/>
      </c>
      <c r="E183" s="17">
        <f>IF(AND(ISNUMBER($A183),ISNUMBER(BBG_Data!E183)),BBG_Data!E183,NA())</f>
        <v/>
      </c>
      <c r="F183" s="18">
        <f>IF(AND(ISNUMBER(B183),ISNUMBER(B182)),(B183-B182)*100,"")</f>
        <v/>
      </c>
      <c r="G183" s="18">
        <f>IF(AND(ISNUMBER(C183),ISNUMBER(C182)),(C183-C182)*100,"")</f>
        <v/>
      </c>
      <c r="H183" s="18">
        <f>IF(OR(NOT(ISNUMBER($A183)),ROW()-2&lt;Settings!$B$11),NA(),IF(COUNT(OFFSET(F183,1-Settings!$B$11,0,Settings!$B$11,1))&lt;Settings!$B$11,NA(),STDEV(OFFSET(F183,1-Settings!$B$11,0,Settings!$B$11,1))*SQRT(Settings!$B$13)))</f>
        <v/>
      </c>
      <c r="I183" s="18">
        <f>IF(OR(NOT(ISNUMBER($A183)),ROW()-2&lt;Settings!$B$12),NA(),IF(COUNT(OFFSET(F183,1-Settings!$B$12,0,Settings!$B$12,1))&lt;Settings!$B$12,NA(),STDEV(OFFSET(F183,1-Settings!$B$12,0,Settings!$B$12,1))*SQRT(Settings!$B$13)))</f>
        <v/>
      </c>
      <c r="J183" s="18">
        <f>IF(OR(NOT(ISNUMBER($A183)),ROW()-2&lt;Settings!$B$11),NA(),IF(COUNT(OFFSET(G183,1-Settings!$B$11,0,Settings!$B$11,1))&lt;Settings!$B$11,NA(),STDEV(OFFSET(G183,1-Settings!$B$11,0,Settings!$B$11,1))*SQRT(Settings!$B$13)))</f>
        <v/>
      </c>
      <c r="K183" s="18">
        <f>IF(OR(NOT(ISNUMBER($A183)),ROW()-2&lt;Settings!$B$12),NA(),IF(COUNT(OFFSET(G183,1-Settings!$B$12,0,Settings!$B$12,1))&lt;Settings!$B$12,NA(),STDEV(OFFSET(G183,1-Settings!$B$12,0,Settings!$B$12,1))*SQRT(Settings!$B$13)))</f>
        <v/>
      </c>
      <c r="L183" s="18">
        <f>IF(AND(ISNUMBER(D183),ISNUMBER(H183)),D183-H183,NA())</f>
        <v/>
      </c>
      <c r="M183" s="18">
        <f>IF(AND(ISNUMBER(E183),ISNUMBER(K183)),E183-K183,NA())</f>
        <v/>
      </c>
      <c r="N183" s="18">
        <f>IF(NOT(ISNUMBER($A183)),NA(),IF(COUNT(OFFSET(G183,1,0,Settings!$B$12,1))&lt;Settings!$B$12,NA(),STDEV(OFFSET(G183,1,0,Settings!$B$12,1))*SQRT(Settings!$B$13)))</f>
        <v/>
      </c>
      <c r="O183" s="18">
        <f>IF(AND(ISNUMBER(E183),ISNUMBER(N183)),E183-N183,NA())</f>
        <v/>
      </c>
      <c r="P183" s="17">
        <f>IF(NOT(ISNUMBER($A183)),NA(),IF(OR($A183&lt;MIN(KW_TP!$A$2:$A$2501),$A183&gt;MAX(KW_TP!$A$2:$A$2501)),NA(),INDEX(KW_TP!$C$2:$C$2501,MATCH($A183,KW_TP!$A$2:$A$2501,1))))</f>
        <v/>
      </c>
    </row>
    <row r="184">
      <c r="A184" s="15">
        <f>IF(ISNUMBER(BBG_Data!A184),BBG_Data!A184,"")</f>
        <v/>
      </c>
      <c r="B184" s="16">
        <f>IF(AND(ISNUMBER($A184),ISNUMBER(BBG_Data!B184)),BBG_Data!B184,NA())</f>
        <v/>
      </c>
      <c r="C184" s="16">
        <f>IF(AND(ISNUMBER($A184),ISNUMBER(BBG_Data!C184)),BBG_Data!C184,NA())</f>
        <v/>
      </c>
      <c r="D184" s="17">
        <f>IF(AND(ISNUMBER($A184),ISNUMBER(BBG_Data!D184)),BBG_Data!D184,NA())</f>
        <v/>
      </c>
      <c r="E184" s="17">
        <f>IF(AND(ISNUMBER($A184),ISNUMBER(BBG_Data!E184)),BBG_Data!E184,NA())</f>
        <v/>
      </c>
      <c r="F184" s="18">
        <f>IF(AND(ISNUMBER(B184),ISNUMBER(B183)),(B184-B183)*100,"")</f>
        <v/>
      </c>
      <c r="G184" s="18">
        <f>IF(AND(ISNUMBER(C184),ISNUMBER(C183)),(C184-C183)*100,"")</f>
        <v/>
      </c>
      <c r="H184" s="18">
        <f>IF(OR(NOT(ISNUMBER($A184)),ROW()-2&lt;Settings!$B$11),NA(),IF(COUNT(OFFSET(F184,1-Settings!$B$11,0,Settings!$B$11,1))&lt;Settings!$B$11,NA(),STDEV(OFFSET(F184,1-Settings!$B$11,0,Settings!$B$11,1))*SQRT(Settings!$B$13)))</f>
        <v/>
      </c>
      <c r="I184" s="18">
        <f>IF(OR(NOT(ISNUMBER($A184)),ROW()-2&lt;Settings!$B$12),NA(),IF(COUNT(OFFSET(F184,1-Settings!$B$12,0,Settings!$B$12,1))&lt;Settings!$B$12,NA(),STDEV(OFFSET(F184,1-Settings!$B$12,0,Settings!$B$12,1))*SQRT(Settings!$B$13)))</f>
        <v/>
      </c>
      <c r="J184" s="18">
        <f>IF(OR(NOT(ISNUMBER($A184)),ROW()-2&lt;Settings!$B$11),NA(),IF(COUNT(OFFSET(G184,1-Settings!$B$11,0,Settings!$B$11,1))&lt;Settings!$B$11,NA(),STDEV(OFFSET(G184,1-Settings!$B$11,0,Settings!$B$11,1))*SQRT(Settings!$B$13)))</f>
        <v/>
      </c>
      <c r="K184" s="18">
        <f>IF(OR(NOT(ISNUMBER($A184)),ROW()-2&lt;Settings!$B$12),NA(),IF(COUNT(OFFSET(G184,1-Settings!$B$12,0,Settings!$B$12,1))&lt;Settings!$B$12,NA(),STDEV(OFFSET(G184,1-Settings!$B$12,0,Settings!$B$12,1))*SQRT(Settings!$B$13)))</f>
        <v/>
      </c>
      <c r="L184" s="18">
        <f>IF(AND(ISNUMBER(D184),ISNUMBER(H184)),D184-H184,NA())</f>
        <v/>
      </c>
      <c r="M184" s="18">
        <f>IF(AND(ISNUMBER(E184),ISNUMBER(K184)),E184-K184,NA())</f>
        <v/>
      </c>
      <c r="N184" s="18">
        <f>IF(NOT(ISNUMBER($A184)),NA(),IF(COUNT(OFFSET(G184,1,0,Settings!$B$12,1))&lt;Settings!$B$12,NA(),STDEV(OFFSET(G184,1,0,Settings!$B$12,1))*SQRT(Settings!$B$13)))</f>
        <v/>
      </c>
      <c r="O184" s="18">
        <f>IF(AND(ISNUMBER(E184),ISNUMBER(N184)),E184-N184,NA())</f>
        <v/>
      </c>
      <c r="P184" s="17">
        <f>IF(NOT(ISNUMBER($A184)),NA(),IF(OR($A184&lt;MIN(KW_TP!$A$2:$A$2501),$A184&gt;MAX(KW_TP!$A$2:$A$2501)),NA(),INDEX(KW_TP!$C$2:$C$2501,MATCH($A184,KW_TP!$A$2:$A$2501,1))))</f>
        <v/>
      </c>
    </row>
    <row r="185">
      <c r="A185" s="15">
        <f>IF(ISNUMBER(BBG_Data!A185),BBG_Data!A185,"")</f>
        <v/>
      </c>
      <c r="B185" s="16">
        <f>IF(AND(ISNUMBER($A185),ISNUMBER(BBG_Data!B185)),BBG_Data!B185,NA())</f>
        <v/>
      </c>
      <c r="C185" s="16">
        <f>IF(AND(ISNUMBER($A185),ISNUMBER(BBG_Data!C185)),BBG_Data!C185,NA())</f>
        <v/>
      </c>
      <c r="D185" s="17">
        <f>IF(AND(ISNUMBER($A185),ISNUMBER(BBG_Data!D185)),BBG_Data!D185,NA())</f>
        <v/>
      </c>
      <c r="E185" s="17">
        <f>IF(AND(ISNUMBER($A185),ISNUMBER(BBG_Data!E185)),BBG_Data!E185,NA())</f>
        <v/>
      </c>
      <c r="F185" s="18">
        <f>IF(AND(ISNUMBER(B185),ISNUMBER(B184)),(B185-B184)*100,"")</f>
        <v/>
      </c>
      <c r="G185" s="18">
        <f>IF(AND(ISNUMBER(C185),ISNUMBER(C184)),(C185-C184)*100,"")</f>
        <v/>
      </c>
      <c r="H185" s="18">
        <f>IF(OR(NOT(ISNUMBER($A185)),ROW()-2&lt;Settings!$B$11),NA(),IF(COUNT(OFFSET(F185,1-Settings!$B$11,0,Settings!$B$11,1))&lt;Settings!$B$11,NA(),STDEV(OFFSET(F185,1-Settings!$B$11,0,Settings!$B$11,1))*SQRT(Settings!$B$13)))</f>
        <v/>
      </c>
      <c r="I185" s="18">
        <f>IF(OR(NOT(ISNUMBER($A185)),ROW()-2&lt;Settings!$B$12),NA(),IF(COUNT(OFFSET(F185,1-Settings!$B$12,0,Settings!$B$12,1))&lt;Settings!$B$12,NA(),STDEV(OFFSET(F185,1-Settings!$B$12,0,Settings!$B$12,1))*SQRT(Settings!$B$13)))</f>
        <v/>
      </c>
      <c r="J185" s="18">
        <f>IF(OR(NOT(ISNUMBER($A185)),ROW()-2&lt;Settings!$B$11),NA(),IF(COUNT(OFFSET(G185,1-Settings!$B$11,0,Settings!$B$11,1))&lt;Settings!$B$11,NA(),STDEV(OFFSET(G185,1-Settings!$B$11,0,Settings!$B$11,1))*SQRT(Settings!$B$13)))</f>
        <v/>
      </c>
      <c r="K185" s="18">
        <f>IF(OR(NOT(ISNUMBER($A185)),ROW()-2&lt;Settings!$B$12),NA(),IF(COUNT(OFFSET(G185,1-Settings!$B$12,0,Settings!$B$12,1))&lt;Settings!$B$12,NA(),STDEV(OFFSET(G185,1-Settings!$B$12,0,Settings!$B$12,1))*SQRT(Settings!$B$13)))</f>
        <v/>
      </c>
      <c r="L185" s="18">
        <f>IF(AND(ISNUMBER(D185),ISNUMBER(H185)),D185-H185,NA())</f>
        <v/>
      </c>
      <c r="M185" s="18">
        <f>IF(AND(ISNUMBER(E185),ISNUMBER(K185)),E185-K185,NA())</f>
        <v/>
      </c>
      <c r="N185" s="18">
        <f>IF(NOT(ISNUMBER($A185)),NA(),IF(COUNT(OFFSET(G185,1,0,Settings!$B$12,1))&lt;Settings!$B$12,NA(),STDEV(OFFSET(G185,1,0,Settings!$B$12,1))*SQRT(Settings!$B$13)))</f>
        <v/>
      </c>
      <c r="O185" s="18">
        <f>IF(AND(ISNUMBER(E185),ISNUMBER(N185)),E185-N185,NA())</f>
        <v/>
      </c>
      <c r="P185" s="17">
        <f>IF(NOT(ISNUMBER($A185)),NA(),IF(OR($A185&lt;MIN(KW_TP!$A$2:$A$2501),$A185&gt;MAX(KW_TP!$A$2:$A$2501)),NA(),INDEX(KW_TP!$C$2:$C$2501,MATCH($A185,KW_TP!$A$2:$A$2501,1))))</f>
        <v/>
      </c>
    </row>
    <row r="186">
      <c r="A186" s="15">
        <f>IF(ISNUMBER(BBG_Data!A186),BBG_Data!A186,"")</f>
        <v/>
      </c>
      <c r="B186" s="16">
        <f>IF(AND(ISNUMBER($A186),ISNUMBER(BBG_Data!B186)),BBG_Data!B186,NA())</f>
        <v/>
      </c>
      <c r="C186" s="16">
        <f>IF(AND(ISNUMBER($A186),ISNUMBER(BBG_Data!C186)),BBG_Data!C186,NA())</f>
        <v/>
      </c>
      <c r="D186" s="17">
        <f>IF(AND(ISNUMBER($A186),ISNUMBER(BBG_Data!D186)),BBG_Data!D186,NA())</f>
        <v/>
      </c>
      <c r="E186" s="17">
        <f>IF(AND(ISNUMBER($A186),ISNUMBER(BBG_Data!E186)),BBG_Data!E186,NA())</f>
        <v/>
      </c>
      <c r="F186" s="18">
        <f>IF(AND(ISNUMBER(B186),ISNUMBER(B185)),(B186-B185)*100,"")</f>
        <v/>
      </c>
      <c r="G186" s="18">
        <f>IF(AND(ISNUMBER(C186),ISNUMBER(C185)),(C186-C185)*100,"")</f>
        <v/>
      </c>
      <c r="H186" s="18">
        <f>IF(OR(NOT(ISNUMBER($A186)),ROW()-2&lt;Settings!$B$11),NA(),IF(COUNT(OFFSET(F186,1-Settings!$B$11,0,Settings!$B$11,1))&lt;Settings!$B$11,NA(),STDEV(OFFSET(F186,1-Settings!$B$11,0,Settings!$B$11,1))*SQRT(Settings!$B$13)))</f>
        <v/>
      </c>
      <c r="I186" s="18">
        <f>IF(OR(NOT(ISNUMBER($A186)),ROW()-2&lt;Settings!$B$12),NA(),IF(COUNT(OFFSET(F186,1-Settings!$B$12,0,Settings!$B$12,1))&lt;Settings!$B$12,NA(),STDEV(OFFSET(F186,1-Settings!$B$12,0,Settings!$B$12,1))*SQRT(Settings!$B$13)))</f>
        <v/>
      </c>
      <c r="J186" s="18">
        <f>IF(OR(NOT(ISNUMBER($A186)),ROW()-2&lt;Settings!$B$11),NA(),IF(COUNT(OFFSET(G186,1-Settings!$B$11,0,Settings!$B$11,1))&lt;Settings!$B$11,NA(),STDEV(OFFSET(G186,1-Settings!$B$11,0,Settings!$B$11,1))*SQRT(Settings!$B$13)))</f>
        <v/>
      </c>
      <c r="K186" s="18">
        <f>IF(OR(NOT(ISNUMBER($A186)),ROW()-2&lt;Settings!$B$12),NA(),IF(COUNT(OFFSET(G186,1-Settings!$B$12,0,Settings!$B$12,1))&lt;Settings!$B$12,NA(),STDEV(OFFSET(G186,1-Settings!$B$12,0,Settings!$B$12,1))*SQRT(Settings!$B$13)))</f>
        <v/>
      </c>
      <c r="L186" s="18">
        <f>IF(AND(ISNUMBER(D186),ISNUMBER(H186)),D186-H186,NA())</f>
        <v/>
      </c>
      <c r="M186" s="18">
        <f>IF(AND(ISNUMBER(E186),ISNUMBER(K186)),E186-K186,NA())</f>
        <v/>
      </c>
      <c r="N186" s="18">
        <f>IF(NOT(ISNUMBER($A186)),NA(),IF(COUNT(OFFSET(G186,1,0,Settings!$B$12,1))&lt;Settings!$B$12,NA(),STDEV(OFFSET(G186,1,0,Settings!$B$12,1))*SQRT(Settings!$B$13)))</f>
        <v/>
      </c>
      <c r="O186" s="18">
        <f>IF(AND(ISNUMBER(E186),ISNUMBER(N186)),E186-N186,NA())</f>
        <v/>
      </c>
      <c r="P186" s="17">
        <f>IF(NOT(ISNUMBER($A186)),NA(),IF(OR($A186&lt;MIN(KW_TP!$A$2:$A$2501),$A186&gt;MAX(KW_TP!$A$2:$A$2501)),NA(),INDEX(KW_TP!$C$2:$C$2501,MATCH($A186,KW_TP!$A$2:$A$2501,1))))</f>
        <v/>
      </c>
    </row>
    <row r="187">
      <c r="A187" s="15">
        <f>IF(ISNUMBER(BBG_Data!A187),BBG_Data!A187,"")</f>
        <v/>
      </c>
      <c r="B187" s="16">
        <f>IF(AND(ISNUMBER($A187),ISNUMBER(BBG_Data!B187)),BBG_Data!B187,NA())</f>
        <v/>
      </c>
      <c r="C187" s="16">
        <f>IF(AND(ISNUMBER($A187),ISNUMBER(BBG_Data!C187)),BBG_Data!C187,NA())</f>
        <v/>
      </c>
      <c r="D187" s="17">
        <f>IF(AND(ISNUMBER($A187),ISNUMBER(BBG_Data!D187)),BBG_Data!D187,NA())</f>
        <v/>
      </c>
      <c r="E187" s="17">
        <f>IF(AND(ISNUMBER($A187),ISNUMBER(BBG_Data!E187)),BBG_Data!E187,NA())</f>
        <v/>
      </c>
      <c r="F187" s="18">
        <f>IF(AND(ISNUMBER(B187),ISNUMBER(B186)),(B187-B186)*100,"")</f>
        <v/>
      </c>
      <c r="G187" s="18">
        <f>IF(AND(ISNUMBER(C187),ISNUMBER(C186)),(C187-C186)*100,"")</f>
        <v/>
      </c>
      <c r="H187" s="18">
        <f>IF(OR(NOT(ISNUMBER($A187)),ROW()-2&lt;Settings!$B$11),NA(),IF(COUNT(OFFSET(F187,1-Settings!$B$11,0,Settings!$B$11,1))&lt;Settings!$B$11,NA(),STDEV(OFFSET(F187,1-Settings!$B$11,0,Settings!$B$11,1))*SQRT(Settings!$B$13)))</f>
        <v/>
      </c>
      <c r="I187" s="18">
        <f>IF(OR(NOT(ISNUMBER($A187)),ROW()-2&lt;Settings!$B$12),NA(),IF(COUNT(OFFSET(F187,1-Settings!$B$12,0,Settings!$B$12,1))&lt;Settings!$B$12,NA(),STDEV(OFFSET(F187,1-Settings!$B$12,0,Settings!$B$12,1))*SQRT(Settings!$B$13)))</f>
        <v/>
      </c>
      <c r="J187" s="18">
        <f>IF(OR(NOT(ISNUMBER($A187)),ROW()-2&lt;Settings!$B$11),NA(),IF(COUNT(OFFSET(G187,1-Settings!$B$11,0,Settings!$B$11,1))&lt;Settings!$B$11,NA(),STDEV(OFFSET(G187,1-Settings!$B$11,0,Settings!$B$11,1))*SQRT(Settings!$B$13)))</f>
        <v/>
      </c>
      <c r="K187" s="18">
        <f>IF(OR(NOT(ISNUMBER($A187)),ROW()-2&lt;Settings!$B$12),NA(),IF(COUNT(OFFSET(G187,1-Settings!$B$12,0,Settings!$B$12,1))&lt;Settings!$B$12,NA(),STDEV(OFFSET(G187,1-Settings!$B$12,0,Settings!$B$12,1))*SQRT(Settings!$B$13)))</f>
        <v/>
      </c>
      <c r="L187" s="18">
        <f>IF(AND(ISNUMBER(D187),ISNUMBER(H187)),D187-H187,NA())</f>
        <v/>
      </c>
      <c r="M187" s="18">
        <f>IF(AND(ISNUMBER(E187),ISNUMBER(K187)),E187-K187,NA())</f>
        <v/>
      </c>
      <c r="N187" s="18">
        <f>IF(NOT(ISNUMBER($A187)),NA(),IF(COUNT(OFFSET(G187,1,0,Settings!$B$12,1))&lt;Settings!$B$12,NA(),STDEV(OFFSET(G187,1,0,Settings!$B$12,1))*SQRT(Settings!$B$13)))</f>
        <v/>
      </c>
      <c r="O187" s="18">
        <f>IF(AND(ISNUMBER(E187),ISNUMBER(N187)),E187-N187,NA())</f>
        <v/>
      </c>
      <c r="P187" s="17">
        <f>IF(NOT(ISNUMBER($A187)),NA(),IF(OR($A187&lt;MIN(KW_TP!$A$2:$A$2501),$A187&gt;MAX(KW_TP!$A$2:$A$2501)),NA(),INDEX(KW_TP!$C$2:$C$2501,MATCH($A187,KW_TP!$A$2:$A$2501,1))))</f>
        <v/>
      </c>
    </row>
    <row r="188">
      <c r="A188" s="15">
        <f>IF(ISNUMBER(BBG_Data!A188),BBG_Data!A188,"")</f>
        <v/>
      </c>
      <c r="B188" s="16">
        <f>IF(AND(ISNUMBER($A188),ISNUMBER(BBG_Data!B188)),BBG_Data!B188,NA())</f>
        <v/>
      </c>
      <c r="C188" s="16">
        <f>IF(AND(ISNUMBER($A188),ISNUMBER(BBG_Data!C188)),BBG_Data!C188,NA())</f>
        <v/>
      </c>
      <c r="D188" s="17">
        <f>IF(AND(ISNUMBER($A188),ISNUMBER(BBG_Data!D188)),BBG_Data!D188,NA())</f>
        <v/>
      </c>
      <c r="E188" s="17">
        <f>IF(AND(ISNUMBER($A188),ISNUMBER(BBG_Data!E188)),BBG_Data!E188,NA())</f>
        <v/>
      </c>
      <c r="F188" s="18">
        <f>IF(AND(ISNUMBER(B188),ISNUMBER(B187)),(B188-B187)*100,"")</f>
        <v/>
      </c>
      <c r="G188" s="18">
        <f>IF(AND(ISNUMBER(C188),ISNUMBER(C187)),(C188-C187)*100,"")</f>
        <v/>
      </c>
      <c r="H188" s="18">
        <f>IF(OR(NOT(ISNUMBER($A188)),ROW()-2&lt;Settings!$B$11),NA(),IF(COUNT(OFFSET(F188,1-Settings!$B$11,0,Settings!$B$11,1))&lt;Settings!$B$11,NA(),STDEV(OFFSET(F188,1-Settings!$B$11,0,Settings!$B$11,1))*SQRT(Settings!$B$13)))</f>
        <v/>
      </c>
      <c r="I188" s="18">
        <f>IF(OR(NOT(ISNUMBER($A188)),ROW()-2&lt;Settings!$B$12),NA(),IF(COUNT(OFFSET(F188,1-Settings!$B$12,0,Settings!$B$12,1))&lt;Settings!$B$12,NA(),STDEV(OFFSET(F188,1-Settings!$B$12,0,Settings!$B$12,1))*SQRT(Settings!$B$13)))</f>
        <v/>
      </c>
      <c r="J188" s="18">
        <f>IF(OR(NOT(ISNUMBER($A188)),ROW()-2&lt;Settings!$B$11),NA(),IF(COUNT(OFFSET(G188,1-Settings!$B$11,0,Settings!$B$11,1))&lt;Settings!$B$11,NA(),STDEV(OFFSET(G188,1-Settings!$B$11,0,Settings!$B$11,1))*SQRT(Settings!$B$13)))</f>
        <v/>
      </c>
      <c r="K188" s="18">
        <f>IF(OR(NOT(ISNUMBER($A188)),ROW()-2&lt;Settings!$B$12),NA(),IF(COUNT(OFFSET(G188,1-Settings!$B$12,0,Settings!$B$12,1))&lt;Settings!$B$12,NA(),STDEV(OFFSET(G188,1-Settings!$B$12,0,Settings!$B$12,1))*SQRT(Settings!$B$13)))</f>
        <v/>
      </c>
      <c r="L188" s="18">
        <f>IF(AND(ISNUMBER(D188),ISNUMBER(H188)),D188-H188,NA())</f>
        <v/>
      </c>
      <c r="M188" s="18">
        <f>IF(AND(ISNUMBER(E188),ISNUMBER(K188)),E188-K188,NA())</f>
        <v/>
      </c>
      <c r="N188" s="18">
        <f>IF(NOT(ISNUMBER($A188)),NA(),IF(COUNT(OFFSET(G188,1,0,Settings!$B$12,1))&lt;Settings!$B$12,NA(),STDEV(OFFSET(G188,1,0,Settings!$B$12,1))*SQRT(Settings!$B$13)))</f>
        <v/>
      </c>
      <c r="O188" s="18">
        <f>IF(AND(ISNUMBER(E188),ISNUMBER(N188)),E188-N188,NA())</f>
        <v/>
      </c>
      <c r="P188" s="17">
        <f>IF(NOT(ISNUMBER($A188)),NA(),IF(OR($A188&lt;MIN(KW_TP!$A$2:$A$2501),$A188&gt;MAX(KW_TP!$A$2:$A$2501)),NA(),INDEX(KW_TP!$C$2:$C$2501,MATCH($A188,KW_TP!$A$2:$A$2501,1))))</f>
        <v/>
      </c>
    </row>
    <row r="189">
      <c r="A189" s="15">
        <f>IF(ISNUMBER(BBG_Data!A189),BBG_Data!A189,"")</f>
        <v/>
      </c>
      <c r="B189" s="16">
        <f>IF(AND(ISNUMBER($A189),ISNUMBER(BBG_Data!B189)),BBG_Data!B189,NA())</f>
        <v/>
      </c>
      <c r="C189" s="16">
        <f>IF(AND(ISNUMBER($A189),ISNUMBER(BBG_Data!C189)),BBG_Data!C189,NA())</f>
        <v/>
      </c>
      <c r="D189" s="17">
        <f>IF(AND(ISNUMBER($A189),ISNUMBER(BBG_Data!D189)),BBG_Data!D189,NA())</f>
        <v/>
      </c>
      <c r="E189" s="17">
        <f>IF(AND(ISNUMBER($A189),ISNUMBER(BBG_Data!E189)),BBG_Data!E189,NA())</f>
        <v/>
      </c>
      <c r="F189" s="18">
        <f>IF(AND(ISNUMBER(B189),ISNUMBER(B188)),(B189-B188)*100,"")</f>
        <v/>
      </c>
      <c r="G189" s="18">
        <f>IF(AND(ISNUMBER(C189),ISNUMBER(C188)),(C189-C188)*100,"")</f>
        <v/>
      </c>
      <c r="H189" s="18">
        <f>IF(OR(NOT(ISNUMBER($A189)),ROW()-2&lt;Settings!$B$11),NA(),IF(COUNT(OFFSET(F189,1-Settings!$B$11,0,Settings!$B$11,1))&lt;Settings!$B$11,NA(),STDEV(OFFSET(F189,1-Settings!$B$11,0,Settings!$B$11,1))*SQRT(Settings!$B$13)))</f>
        <v/>
      </c>
      <c r="I189" s="18">
        <f>IF(OR(NOT(ISNUMBER($A189)),ROW()-2&lt;Settings!$B$12),NA(),IF(COUNT(OFFSET(F189,1-Settings!$B$12,0,Settings!$B$12,1))&lt;Settings!$B$12,NA(),STDEV(OFFSET(F189,1-Settings!$B$12,0,Settings!$B$12,1))*SQRT(Settings!$B$13)))</f>
        <v/>
      </c>
      <c r="J189" s="18">
        <f>IF(OR(NOT(ISNUMBER($A189)),ROW()-2&lt;Settings!$B$11),NA(),IF(COUNT(OFFSET(G189,1-Settings!$B$11,0,Settings!$B$11,1))&lt;Settings!$B$11,NA(),STDEV(OFFSET(G189,1-Settings!$B$11,0,Settings!$B$11,1))*SQRT(Settings!$B$13)))</f>
        <v/>
      </c>
      <c r="K189" s="18">
        <f>IF(OR(NOT(ISNUMBER($A189)),ROW()-2&lt;Settings!$B$12),NA(),IF(COUNT(OFFSET(G189,1-Settings!$B$12,0,Settings!$B$12,1))&lt;Settings!$B$12,NA(),STDEV(OFFSET(G189,1-Settings!$B$12,0,Settings!$B$12,1))*SQRT(Settings!$B$13)))</f>
        <v/>
      </c>
      <c r="L189" s="18">
        <f>IF(AND(ISNUMBER(D189),ISNUMBER(H189)),D189-H189,NA())</f>
        <v/>
      </c>
      <c r="M189" s="18">
        <f>IF(AND(ISNUMBER(E189),ISNUMBER(K189)),E189-K189,NA())</f>
        <v/>
      </c>
      <c r="N189" s="18">
        <f>IF(NOT(ISNUMBER($A189)),NA(),IF(COUNT(OFFSET(G189,1,0,Settings!$B$12,1))&lt;Settings!$B$12,NA(),STDEV(OFFSET(G189,1,0,Settings!$B$12,1))*SQRT(Settings!$B$13)))</f>
        <v/>
      </c>
      <c r="O189" s="18">
        <f>IF(AND(ISNUMBER(E189),ISNUMBER(N189)),E189-N189,NA())</f>
        <v/>
      </c>
      <c r="P189" s="17">
        <f>IF(NOT(ISNUMBER($A189)),NA(),IF(OR($A189&lt;MIN(KW_TP!$A$2:$A$2501),$A189&gt;MAX(KW_TP!$A$2:$A$2501)),NA(),INDEX(KW_TP!$C$2:$C$2501,MATCH($A189,KW_TP!$A$2:$A$2501,1))))</f>
        <v/>
      </c>
    </row>
    <row r="190">
      <c r="A190" s="15">
        <f>IF(ISNUMBER(BBG_Data!A190),BBG_Data!A190,"")</f>
        <v/>
      </c>
      <c r="B190" s="16">
        <f>IF(AND(ISNUMBER($A190),ISNUMBER(BBG_Data!B190)),BBG_Data!B190,NA())</f>
        <v/>
      </c>
      <c r="C190" s="16">
        <f>IF(AND(ISNUMBER($A190),ISNUMBER(BBG_Data!C190)),BBG_Data!C190,NA())</f>
        <v/>
      </c>
      <c r="D190" s="17">
        <f>IF(AND(ISNUMBER($A190),ISNUMBER(BBG_Data!D190)),BBG_Data!D190,NA())</f>
        <v/>
      </c>
      <c r="E190" s="17">
        <f>IF(AND(ISNUMBER($A190),ISNUMBER(BBG_Data!E190)),BBG_Data!E190,NA())</f>
        <v/>
      </c>
      <c r="F190" s="18">
        <f>IF(AND(ISNUMBER(B190),ISNUMBER(B189)),(B190-B189)*100,"")</f>
        <v/>
      </c>
      <c r="G190" s="18">
        <f>IF(AND(ISNUMBER(C190),ISNUMBER(C189)),(C190-C189)*100,"")</f>
        <v/>
      </c>
      <c r="H190" s="18">
        <f>IF(OR(NOT(ISNUMBER($A190)),ROW()-2&lt;Settings!$B$11),NA(),IF(COUNT(OFFSET(F190,1-Settings!$B$11,0,Settings!$B$11,1))&lt;Settings!$B$11,NA(),STDEV(OFFSET(F190,1-Settings!$B$11,0,Settings!$B$11,1))*SQRT(Settings!$B$13)))</f>
        <v/>
      </c>
      <c r="I190" s="18">
        <f>IF(OR(NOT(ISNUMBER($A190)),ROW()-2&lt;Settings!$B$12),NA(),IF(COUNT(OFFSET(F190,1-Settings!$B$12,0,Settings!$B$12,1))&lt;Settings!$B$12,NA(),STDEV(OFFSET(F190,1-Settings!$B$12,0,Settings!$B$12,1))*SQRT(Settings!$B$13)))</f>
        <v/>
      </c>
      <c r="J190" s="18">
        <f>IF(OR(NOT(ISNUMBER($A190)),ROW()-2&lt;Settings!$B$11),NA(),IF(COUNT(OFFSET(G190,1-Settings!$B$11,0,Settings!$B$11,1))&lt;Settings!$B$11,NA(),STDEV(OFFSET(G190,1-Settings!$B$11,0,Settings!$B$11,1))*SQRT(Settings!$B$13)))</f>
        <v/>
      </c>
      <c r="K190" s="18">
        <f>IF(OR(NOT(ISNUMBER($A190)),ROW()-2&lt;Settings!$B$12),NA(),IF(COUNT(OFFSET(G190,1-Settings!$B$12,0,Settings!$B$12,1))&lt;Settings!$B$12,NA(),STDEV(OFFSET(G190,1-Settings!$B$12,0,Settings!$B$12,1))*SQRT(Settings!$B$13)))</f>
        <v/>
      </c>
      <c r="L190" s="18">
        <f>IF(AND(ISNUMBER(D190),ISNUMBER(H190)),D190-H190,NA())</f>
        <v/>
      </c>
      <c r="M190" s="18">
        <f>IF(AND(ISNUMBER(E190),ISNUMBER(K190)),E190-K190,NA())</f>
        <v/>
      </c>
      <c r="N190" s="18">
        <f>IF(NOT(ISNUMBER($A190)),NA(),IF(COUNT(OFFSET(G190,1,0,Settings!$B$12,1))&lt;Settings!$B$12,NA(),STDEV(OFFSET(G190,1,0,Settings!$B$12,1))*SQRT(Settings!$B$13)))</f>
        <v/>
      </c>
      <c r="O190" s="18">
        <f>IF(AND(ISNUMBER(E190),ISNUMBER(N190)),E190-N190,NA())</f>
        <v/>
      </c>
      <c r="P190" s="17">
        <f>IF(NOT(ISNUMBER($A190)),NA(),IF(OR($A190&lt;MIN(KW_TP!$A$2:$A$2501),$A190&gt;MAX(KW_TP!$A$2:$A$2501)),NA(),INDEX(KW_TP!$C$2:$C$2501,MATCH($A190,KW_TP!$A$2:$A$2501,1))))</f>
        <v/>
      </c>
    </row>
    <row r="191">
      <c r="A191" s="15">
        <f>IF(ISNUMBER(BBG_Data!A191),BBG_Data!A191,"")</f>
        <v/>
      </c>
      <c r="B191" s="16">
        <f>IF(AND(ISNUMBER($A191),ISNUMBER(BBG_Data!B191)),BBG_Data!B191,NA())</f>
        <v/>
      </c>
      <c r="C191" s="16">
        <f>IF(AND(ISNUMBER($A191),ISNUMBER(BBG_Data!C191)),BBG_Data!C191,NA())</f>
        <v/>
      </c>
      <c r="D191" s="17">
        <f>IF(AND(ISNUMBER($A191),ISNUMBER(BBG_Data!D191)),BBG_Data!D191,NA())</f>
        <v/>
      </c>
      <c r="E191" s="17">
        <f>IF(AND(ISNUMBER($A191),ISNUMBER(BBG_Data!E191)),BBG_Data!E191,NA())</f>
        <v/>
      </c>
      <c r="F191" s="18">
        <f>IF(AND(ISNUMBER(B191),ISNUMBER(B190)),(B191-B190)*100,"")</f>
        <v/>
      </c>
      <c r="G191" s="18">
        <f>IF(AND(ISNUMBER(C191),ISNUMBER(C190)),(C191-C190)*100,"")</f>
        <v/>
      </c>
      <c r="H191" s="18">
        <f>IF(OR(NOT(ISNUMBER($A191)),ROW()-2&lt;Settings!$B$11),NA(),IF(COUNT(OFFSET(F191,1-Settings!$B$11,0,Settings!$B$11,1))&lt;Settings!$B$11,NA(),STDEV(OFFSET(F191,1-Settings!$B$11,0,Settings!$B$11,1))*SQRT(Settings!$B$13)))</f>
        <v/>
      </c>
      <c r="I191" s="18">
        <f>IF(OR(NOT(ISNUMBER($A191)),ROW()-2&lt;Settings!$B$12),NA(),IF(COUNT(OFFSET(F191,1-Settings!$B$12,0,Settings!$B$12,1))&lt;Settings!$B$12,NA(),STDEV(OFFSET(F191,1-Settings!$B$12,0,Settings!$B$12,1))*SQRT(Settings!$B$13)))</f>
        <v/>
      </c>
      <c r="J191" s="18">
        <f>IF(OR(NOT(ISNUMBER($A191)),ROW()-2&lt;Settings!$B$11),NA(),IF(COUNT(OFFSET(G191,1-Settings!$B$11,0,Settings!$B$11,1))&lt;Settings!$B$11,NA(),STDEV(OFFSET(G191,1-Settings!$B$11,0,Settings!$B$11,1))*SQRT(Settings!$B$13)))</f>
        <v/>
      </c>
      <c r="K191" s="18">
        <f>IF(OR(NOT(ISNUMBER($A191)),ROW()-2&lt;Settings!$B$12),NA(),IF(COUNT(OFFSET(G191,1-Settings!$B$12,0,Settings!$B$12,1))&lt;Settings!$B$12,NA(),STDEV(OFFSET(G191,1-Settings!$B$12,0,Settings!$B$12,1))*SQRT(Settings!$B$13)))</f>
        <v/>
      </c>
      <c r="L191" s="18">
        <f>IF(AND(ISNUMBER(D191),ISNUMBER(H191)),D191-H191,NA())</f>
        <v/>
      </c>
      <c r="M191" s="18">
        <f>IF(AND(ISNUMBER(E191),ISNUMBER(K191)),E191-K191,NA())</f>
        <v/>
      </c>
      <c r="N191" s="18">
        <f>IF(NOT(ISNUMBER($A191)),NA(),IF(COUNT(OFFSET(G191,1,0,Settings!$B$12,1))&lt;Settings!$B$12,NA(),STDEV(OFFSET(G191,1,0,Settings!$B$12,1))*SQRT(Settings!$B$13)))</f>
        <v/>
      </c>
      <c r="O191" s="18">
        <f>IF(AND(ISNUMBER(E191),ISNUMBER(N191)),E191-N191,NA())</f>
        <v/>
      </c>
      <c r="P191" s="17">
        <f>IF(NOT(ISNUMBER($A191)),NA(),IF(OR($A191&lt;MIN(KW_TP!$A$2:$A$2501),$A191&gt;MAX(KW_TP!$A$2:$A$2501)),NA(),INDEX(KW_TP!$C$2:$C$2501,MATCH($A191,KW_TP!$A$2:$A$2501,1))))</f>
        <v/>
      </c>
    </row>
    <row r="192">
      <c r="A192" s="15">
        <f>IF(ISNUMBER(BBG_Data!A192),BBG_Data!A192,"")</f>
        <v/>
      </c>
      <c r="B192" s="16">
        <f>IF(AND(ISNUMBER($A192),ISNUMBER(BBG_Data!B192)),BBG_Data!B192,NA())</f>
        <v/>
      </c>
      <c r="C192" s="16">
        <f>IF(AND(ISNUMBER($A192),ISNUMBER(BBG_Data!C192)),BBG_Data!C192,NA())</f>
        <v/>
      </c>
      <c r="D192" s="17">
        <f>IF(AND(ISNUMBER($A192),ISNUMBER(BBG_Data!D192)),BBG_Data!D192,NA())</f>
        <v/>
      </c>
      <c r="E192" s="17">
        <f>IF(AND(ISNUMBER($A192),ISNUMBER(BBG_Data!E192)),BBG_Data!E192,NA())</f>
        <v/>
      </c>
      <c r="F192" s="18">
        <f>IF(AND(ISNUMBER(B192),ISNUMBER(B191)),(B192-B191)*100,"")</f>
        <v/>
      </c>
      <c r="G192" s="18">
        <f>IF(AND(ISNUMBER(C192),ISNUMBER(C191)),(C192-C191)*100,"")</f>
        <v/>
      </c>
      <c r="H192" s="18">
        <f>IF(OR(NOT(ISNUMBER($A192)),ROW()-2&lt;Settings!$B$11),NA(),IF(COUNT(OFFSET(F192,1-Settings!$B$11,0,Settings!$B$11,1))&lt;Settings!$B$11,NA(),STDEV(OFFSET(F192,1-Settings!$B$11,0,Settings!$B$11,1))*SQRT(Settings!$B$13)))</f>
        <v/>
      </c>
      <c r="I192" s="18">
        <f>IF(OR(NOT(ISNUMBER($A192)),ROW()-2&lt;Settings!$B$12),NA(),IF(COUNT(OFFSET(F192,1-Settings!$B$12,0,Settings!$B$12,1))&lt;Settings!$B$12,NA(),STDEV(OFFSET(F192,1-Settings!$B$12,0,Settings!$B$12,1))*SQRT(Settings!$B$13)))</f>
        <v/>
      </c>
      <c r="J192" s="18">
        <f>IF(OR(NOT(ISNUMBER($A192)),ROW()-2&lt;Settings!$B$11),NA(),IF(COUNT(OFFSET(G192,1-Settings!$B$11,0,Settings!$B$11,1))&lt;Settings!$B$11,NA(),STDEV(OFFSET(G192,1-Settings!$B$11,0,Settings!$B$11,1))*SQRT(Settings!$B$13)))</f>
        <v/>
      </c>
      <c r="K192" s="18">
        <f>IF(OR(NOT(ISNUMBER($A192)),ROW()-2&lt;Settings!$B$12),NA(),IF(COUNT(OFFSET(G192,1-Settings!$B$12,0,Settings!$B$12,1))&lt;Settings!$B$12,NA(),STDEV(OFFSET(G192,1-Settings!$B$12,0,Settings!$B$12,1))*SQRT(Settings!$B$13)))</f>
        <v/>
      </c>
      <c r="L192" s="18">
        <f>IF(AND(ISNUMBER(D192),ISNUMBER(H192)),D192-H192,NA())</f>
        <v/>
      </c>
      <c r="M192" s="18">
        <f>IF(AND(ISNUMBER(E192),ISNUMBER(K192)),E192-K192,NA())</f>
        <v/>
      </c>
      <c r="N192" s="18">
        <f>IF(NOT(ISNUMBER($A192)),NA(),IF(COUNT(OFFSET(G192,1,0,Settings!$B$12,1))&lt;Settings!$B$12,NA(),STDEV(OFFSET(G192,1,0,Settings!$B$12,1))*SQRT(Settings!$B$13)))</f>
        <v/>
      </c>
      <c r="O192" s="18">
        <f>IF(AND(ISNUMBER(E192),ISNUMBER(N192)),E192-N192,NA())</f>
        <v/>
      </c>
      <c r="P192" s="17">
        <f>IF(NOT(ISNUMBER($A192)),NA(),IF(OR($A192&lt;MIN(KW_TP!$A$2:$A$2501),$A192&gt;MAX(KW_TP!$A$2:$A$2501)),NA(),INDEX(KW_TP!$C$2:$C$2501,MATCH($A192,KW_TP!$A$2:$A$2501,1))))</f>
        <v/>
      </c>
    </row>
    <row r="193">
      <c r="A193" s="15">
        <f>IF(ISNUMBER(BBG_Data!A193),BBG_Data!A193,"")</f>
        <v/>
      </c>
      <c r="B193" s="16">
        <f>IF(AND(ISNUMBER($A193),ISNUMBER(BBG_Data!B193)),BBG_Data!B193,NA())</f>
        <v/>
      </c>
      <c r="C193" s="16">
        <f>IF(AND(ISNUMBER($A193),ISNUMBER(BBG_Data!C193)),BBG_Data!C193,NA())</f>
        <v/>
      </c>
      <c r="D193" s="17">
        <f>IF(AND(ISNUMBER($A193),ISNUMBER(BBG_Data!D193)),BBG_Data!D193,NA())</f>
        <v/>
      </c>
      <c r="E193" s="17">
        <f>IF(AND(ISNUMBER($A193),ISNUMBER(BBG_Data!E193)),BBG_Data!E193,NA())</f>
        <v/>
      </c>
      <c r="F193" s="18">
        <f>IF(AND(ISNUMBER(B193),ISNUMBER(B192)),(B193-B192)*100,"")</f>
        <v/>
      </c>
      <c r="G193" s="18">
        <f>IF(AND(ISNUMBER(C193),ISNUMBER(C192)),(C193-C192)*100,"")</f>
        <v/>
      </c>
      <c r="H193" s="18">
        <f>IF(OR(NOT(ISNUMBER($A193)),ROW()-2&lt;Settings!$B$11),NA(),IF(COUNT(OFFSET(F193,1-Settings!$B$11,0,Settings!$B$11,1))&lt;Settings!$B$11,NA(),STDEV(OFFSET(F193,1-Settings!$B$11,0,Settings!$B$11,1))*SQRT(Settings!$B$13)))</f>
        <v/>
      </c>
      <c r="I193" s="18">
        <f>IF(OR(NOT(ISNUMBER($A193)),ROW()-2&lt;Settings!$B$12),NA(),IF(COUNT(OFFSET(F193,1-Settings!$B$12,0,Settings!$B$12,1))&lt;Settings!$B$12,NA(),STDEV(OFFSET(F193,1-Settings!$B$12,0,Settings!$B$12,1))*SQRT(Settings!$B$13)))</f>
        <v/>
      </c>
      <c r="J193" s="18">
        <f>IF(OR(NOT(ISNUMBER($A193)),ROW()-2&lt;Settings!$B$11),NA(),IF(COUNT(OFFSET(G193,1-Settings!$B$11,0,Settings!$B$11,1))&lt;Settings!$B$11,NA(),STDEV(OFFSET(G193,1-Settings!$B$11,0,Settings!$B$11,1))*SQRT(Settings!$B$13)))</f>
        <v/>
      </c>
      <c r="K193" s="18">
        <f>IF(OR(NOT(ISNUMBER($A193)),ROW()-2&lt;Settings!$B$12),NA(),IF(COUNT(OFFSET(G193,1-Settings!$B$12,0,Settings!$B$12,1))&lt;Settings!$B$12,NA(),STDEV(OFFSET(G193,1-Settings!$B$12,0,Settings!$B$12,1))*SQRT(Settings!$B$13)))</f>
        <v/>
      </c>
      <c r="L193" s="18">
        <f>IF(AND(ISNUMBER(D193),ISNUMBER(H193)),D193-H193,NA())</f>
        <v/>
      </c>
      <c r="M193" s="18">
        <f>IF(AND(ISNUMBER(E193),ISNUMBER(K193)),E193-K193,NA())</f>
        <v/>
      </c>
      <c r="N193" s="18">
        <f>IF(NOT(ISNUMBER($A193)),NA(),IF(COUNT(OFFSET(G193,1,0,Settings!$B$12,1))&lt;Settings!$B$12,NA(),STDEV(OFFSET(G193,1,0,Settings!$B$12,1))*SQRT(Settings!$B$13)))</f>
        <v/>
      </c>
      <c r="O193" s="18">
        <f>IF(AND(ISNUMBER(E193),ISNUMBER(N193)),E193-N193,NA())</f>
        <v/>
      </c>
      <c r="P193" s="17">
        <f>IF(NOT(ISNUMBER($A193)),NA(),IF(OR($A193&lt;MIN(KW_TP!$A$2:$A$2501),$A193&gt;MAX(KW_TP!$A$2:$A$2501)),NA(),INDEX(KW_TP!$C$2:$C$2501,MATCH($A193,KW_TP!$A$2:$A$2501,1))))</f>
        <v/>
      </c>
    </row>
    <row r="194">
      <c r="A194" s="15">
        <f>IF(ISNUMBER(BBG_Data!A194),BBG_Data!A194,"")</f>
        <v/>
      </c>
      <c r="B194" s="16">
        <f>IF(AND(ISNUMBER($A194),ISNUMBER(BBG_Data!B194)),BBG_Data!B194,NA())</f>
        <v/>
      </c>
      <c r="C194" s="16">
        <f>IF(AND(ISNUMBER($A194),ISNUMBER(BBG_Data!C194)),BBG_Data!C194,NA())</f>
        <v/>
      </c>
      <c r="D194" s="17">
        <f>IF(AND(ISNUMBER($A194),ISNUMBER(BBG_Data!D194)),BBG_Data!D194,NA())</f>
        <v/>
      </c>
      <c r="E194" s="17">
        <f>IF(AND(ISNUMBER($A194),ISNUMBER(BBG_Data!E194)),BBG_Data!E194,NA())</f>
        <v/>
      </c>
      <c r="F194" s="18">
        <f>IF(AND(ISNUMBER(B194),ISNUMBER(B193)),(B194-B193)*100,"")</f>
        <v/>
      </c>
      <c r="G194" s="18">
        <f>IF(AND(ISNUMBER(C194),ISNUMBER(C193)),(C194-C193)*100,"")</f>
        <v/>
      </c>
      <c r="H194" s="18">
        <f>IF(OR(NOT(ISNUMBER($A194)),ROW()-2&lt;Settings!$B$11),NA(),IF(COUNT(OFFSET(F194,1-Settings!$B$11,0,Settings!$B$11,1))&lt;Settings!$B$11,NA(),STDEV(OFFSET(F194,1-Settings!$B$11,0,Settings!$B$11,1))*SQRT(Settings!$B$13)))</f>
        <v/>
      </c>
      <c r="I194" s="18">
        <f>IF(OR(NOT(ISNUMBER($A194)),ROW()-2&lt;Settings!$B$12),NA(),IF(COUNT(OFFSET(F194,1-Settings!$B$12,0,Settings!$B$12,1))&lt;Settings!$B$12,NA(),STDEV(OFFSET(F194,1-Settings!$B$12,0,Settings!$B$12,1))*SQRT(Settings!$B$13)))</f>
        <v/>
      </c>
      <c r="J194" s="18">
        <f>IF(OR(NOT(ISNUMBER($A194)),ROW()-2&lt;Settings!$B$11),NA(),IF(COUNT(OFFSET(G194,1-Settings!$B$11,0,Settings!$B$11,1))&lt;Settings!$B$11,NA(),STDEV(OFFSET(G194,1-Settings!$B$11,0,Settings!$B$11,1))*SQRT(Settings!$B$13)))</f>
        <v/>
      </c>
      <c r="K194" s="18">
        <f>IF(OR(NOT(ISNUMBER($A194)),ROW()-2&lt;Settings!$B$12),NA(),IF(COUNT(OFFSET(G194,1-Settings!$B$12,0,Settings!$B$12,1))&lt;Settings!$B$12,NA(),STDEV(OFFSET(G194,1-Settings!$B$12,0,Settings!$B$12,1))*SQRT(Settings!$B$13)))</f>
        <v/>
      </c>
      <c r="L194" s="18">
        <f>IF(AND(ISNUMBER(D194),ISNUMBER(H194)),D194-H194,NA())</f>
        <v/>
      </c>
      <c r="M194" s="18">
        <f>IF(AND(ISNUMBER(E194),ISNUMBER(K194)),E194-K194,NA())</f>
        <v/>
      </c>
      <c r="N194" s="18">
        <f>IF(NOT(ISNUMBER($A194)),NA(),IF(COUNT(OFFSET(G194,1,0,Settings!$B$12,1))&lt;Settings!$B$12,NA(),STDEV(OFFSET(G194,1,0,Settings!$B$12,1))*SQRT(Settings!$B$13)))</f>
        <v/>
      </c>
      <c r="O194" s="18">
        <f>IF(AND(ISNUMBER(E194),ISNUMBER(N194)),E194-N194,NA())</f>
        <v/>
      </c>
      <c r="P194" s="17">
        <f>IF(NOT(ISNUMBER($A194)),NA(),IF(OR($A194&lt;MIN(KW_TP!$A$2:$A$2501),$A194&gt;MAX(KW_TP!$A$2:$A$2501)),NA(),INDEX(KW_TP!$C$2:$C$2501,MATCH($A194,KW_TP!$A$2:$A$2501,1))))</f>
        <v/>
      </c>
    </row>
    <row r="195">
      <c r="A195" s="15">
        <f>IF(ISNUMBER(BBG_Data!A195),BBG_Data!A195,"")</f>
        <v/>
      </c>
      <c r="B195" s="16">
        <f>IF(AND(ISNUMBER($A195),ISNUMBER(BBG_Data!B195)),BBG_Data!B195,NA())</f>
        <v/>
      </c>
      <c r="C195" s="16">
        <f>IF(AND(ISNUMBER($A195),ISNUMBER(BBG_Data!C195)),BBG_Data!C195,NA())</f>
        <v/>
      </c>
      <c r="D195" s="17">
        <f>IF(AND(ISNUMBER($A195),ISNUMBER(BBG_Data!D195)),BBG_Data!D195,NA())</f>
        <v/>
      </c>
      <c r="E195" s="17">
        <f>IF(AND(ISNUMBER($A195),ISNUMBER(BBG_Data!E195)),BBG_Data!E195,NA())</f>
        <v/>
      </c>
      <c r="F195" s="18">
        <f>IF(AND(ISNUMBER(B195),ISNUMBER(B194)),(B195-B194)*100,"")</f>
        <v/>
      </c>
      <c r="G195" s="18">
        <f>IF(AND(ISNUMBER(C195),ISNUMBER(C194)),(C195-C194)*100,"")</f>
        <v/>
      </c>
      <c r="H195" s="18">
        <f>IF(OR(NOT(ISNUMBER($A195)),ROW()-2&lt;Settings!$B$11),NA(),IF(COUNT(OFFSET(F195,1-Settings!$B$11,0,Settings!$B$11,1))&lt;Settings!$B$11,NA(),STDEV(OFFSET(F195,1-Settings!$B$11,0,Settings!$B$11,1))*SQRT(Settings!$B$13)))</f>
        <v/>
      </c>
      <c r="I195" s="18">
        <f>IF(OR(NOT(ISNUMBER($A195)),ROW()-2&lt;Settings!$B$12),NA(),IF(COUNT(OFFSET(F195,1-Settings!$B$12,0,Settings!$B$12,1))&lt;Settings!$B$12,NA(),STDEV(OFFSET(F195,1-Settings!$B$12,0,Settings!$B$12,1))*SQRT(Settings!$B$13)))</f>
        <v/>
      </c>
      <c r="J195" s="18">
        <f>IF(OR(NOT(ISNUMBER($A195)),ROW()-2&lt;Settings!$B$11),NA(),IF(COUNT(OFFSET(G195,1-Settings!$B$11,0,Settings!$B$11,1))&lt;Settings!$B$11,NA(),STDEV(OFFSET(G195,1-Settings!$B$11,0,Settings!$B$11,1))*SQRT(Settings!$B$13)))</f>
        <v/>
      </c>
      <c r="K195" s="18">
        <f>IF(OR(NOT(ISNUMBER($A195)),ROW()-2&lt;Settings!$B$12),NA(),IF(COUNT(OFFSET(G195,1-Settings!$B$12,0,Settings!$B$12,1))&lt;Settings!$B$12,NA(),STDEV(OFFSET(G195,1-Settings!$B$12,0,Settings!$B$12,1))*SQRT(Settings!$B$13)))</f>
        <v/>
      </c>
      <c r="L195" s="18">
        <f>IF(AND(ISNUMBER(D195),ISNUMBER(H195)),D195-H195,NA())</f>
        <v/>
      </c>
      <c r="M195" s="18">
        <f>IF(AND(ISNUMBER(E195),ISNUMBER(K195)),E195-K195,NA())</f>
        <v/>
      </c>
      <c r="N195" s="18">
        <f>IF(NOT(ISNUMBER($A195)),NA(),IF(COUNT(OFFSET(G195,1,0,Settings!$B$12,1))&lt;Settings!$B$12,NA(),STDEV(OFFSET(G195,1,0,Settings!$B$12,1))*SQRT(Settings!$B$13)))</f>
        <v/>
      </c>
      <c r="O195" s="18">
        <f>IF(AND(ISNUMBER(E195),ISNUMBER(N195)),E195-N195,NA())</f>
        <v/>
      </c>
      <c r="P195" s="17">
        <f>IF(NOT(ISNUMBER($A195)),NA(),IF(OR($A195&lt;MIN(KW_TP!$A$2:$A$2501),$A195&gt;MAX(KW_TP!$A$2:$A$2501)),NA(),INDEX(KW_TP!$C$2:$C$2501,MATCH($A195,KW_TP!$A$2:$A$2501,1))))</f>
        <v/>
      </c>
    </row>
    <row r="196">
      <c r="A196" s="15">
        <f>IF(ISNUMBER(BBG_Data!A196),BBG_Data!A196,"")</f>
        <v/>
      </c>
      <c r="B196" s="16">
        <f>IF(AND(ISNUMBER($A196),ISNUMBER(BBG_Data!B196)),BBG_Data!B196,NA())</f>
        <v/>
      </c>
      <c r="C196" s="16">
        <f>IF(AND(ISNUMBER($A196),ISNUMBER(BBG_Data!C196)),BBG_Data!C196,NA())</f>
        <v/>
      </c>
      <c r="D196" s="17">
        <f>IF(AND(ISNUMBER($A196),ISNUMBER(BBG_Data!D196)),BBG_Data!D196,NA())</f>
        <v/>
      </c>
      <c r="E196" s="17">
        <f>IF(AND(ISNUMBER($A196),ISNUMBER(BBG_Data!E196)),BBG_Data!E196,NA())</f>
        <v/>
      </c>
      <c r="F196" s="18">
        <f>IF(AND(ISNUMBER(B196),ISNUMBER(B195)),(B196-B195)*100,"")</f>
        <v/>
      </c>
      <c r="G196" s="18">
        <f>IF(AND(ISNUMBER(C196),ISNUMBER(C195)),(C196-C195)*100,"")</f>
        <v/>
      </c>
      <c r="H196" s="18">
        <f>IF(OR(NOT(ISNUMBER($A196)),ROW()-2&lt;Settings!$B$11),NA(),IF(COUNT(OFFSET(F196,1-Settings!$B$11,0,Settings!$B$11,1))&lt;Settings!$B$11,NA(),STDEV(OFFSET(F196,1-Settings!$B$11,0,Settings!$B$11,1))*SQRT(Settings!$B$13)))</f>
        <v/>
      </c>
      <c r="I196" s="18">
        <f>IF(OR(NOT(ISNUMBER($A196)),ROW()-2&lt;Settings!$B$12),NA(),IF(COUNT(OFFSET(F196,1-Settings!$B$12,0,Settings!$B$12,1))&lt;Settings!$B$12,NA(),STDEV(OFFSET(F196,1-Settings!$B$12,0,Settings!$B$12,1))*SQRT(Settings!$B$13)))</f>
        <v/>
      </c>
      <c r="J196" s="18">
        <f>IF(OR(NOT(ISNUMBER($A196)),ROW()-2&lt;Settings!$B$11),NA(),IF(COUNT(OFFSET(G196,1-Settings!$B$11,0,Settings!$B$11,1))&lt;Settings!$B$11,NA(),STDEV(OFFSET(G196,1-Settings!$B$11,0,Settings!$B$11,1))*SQRT(Settings!$B$13)))</f>
        <v/>
      </c>
      <c r="K196" s="18">
        <f>IF(OR(NOT(ISNUMBER($A196)),ROW()-2&lt;Settings!$B$12),NA(),IF(COUNT(OFFSET(G196,1-Settings!$B$12,0,Settings!$B$12,1))&lt;Settings!$B$12,NA(),STDEV(OFFSET(G196,1-Settings!$B$12,0,Settings!$B$12,1))*SQRT(Settings!$B$13)))</f>
        <v/>
      </c>
      <c r="L196" s="18">
        <f>IF(AND(ISNUMBER(D196),ISNUMBER(H196)),D196-H196,NA())</f>
        <v/>
      </c>
      <c r="M196" s="18">
        <f>IF(AND(ISNUMBER(E196),ISNUMBER(K196)),E196-K196,NA())</f>
        <v/>
      </c>
      <c r="N196" s="18">
        <f>IF(NOT(ISNUMBER($A196)),NA(),IF(COUNT(OFFSET(G196,1,0,Settings!$B$12,1))&lt;Settings!$B$12,NA(),STDEV(OFFSET(G196,1,0,Settings!$B$12,1))*SQRT(Settings!$B$13)))</f>
        <v/>
      </c>
      <c r="O196" s="18">
        <f>IF(AND(ISNUMBER(E196),ISNUMBER(N196)),E196-N196,NA())</f>
        <v/>
      </c>
      <c r="P196" s="17">
        <f>IF(NOT(ISNUMBER($A196)),NA(),IF(OR($A196&lt;MIN(KW_TP!$A$2:$A$2501),$A196&gt;MAX(KW_TP!$A$2:$A$2501)),NA(),INDEX(KW_TP!$C$2:$C$2501,MATCH($A196,KW_TP!$A$2:$A$2501,1))))</f>
        <v/>
      </c>
    </row>
    <row r="197">
      <c r="A197" s="15">
        <f>IF(ISNUMBER(BBG_Data!A197),BBG_Data!A197,"")</f>
        <v/>
      </c>
      <c r="B197" s="16">
        <f>IF(AND(ISNUMBER($A197),ISNUMBER(BBG_Data!B197)),BBG_Data!B197,NA())</f>
        <v/>
      </c>
      <c r="C197" s="16">
        <f>IF(AND(ISNUMBER($A197),ISNUMBER(BBG_Data!C197)),BBG_Data!C197,NA())</f>
        <v/>
      </c>
      <c r="D197" s="17">
        <f>IF(AND(ISNUMBER($A197),ISNUMBER(BBG_Data!D197)),BBG_Data!D197,NA())</f>
        <v/>
      </c>
      <c r="E197" s="17">
        <f>IF(AND(ISNUMBER($A197),ISNUMBER(BBG_Data!E197)),BBG_Data!E197,NA())</f>
        <v/>
      </c>
      <c r="F197" s="18">
        <f>IF(AND(ISNUMBER(B197),ISNUMBER(B196)),(B197-B196)*100,"")</f>
        <v/>
      </c>
      <c r="G197" s="18">
        <f>IF(AND(ISNUMBER(C197),ISNUMBER(C196)),(C197-C196)*100,"")</f>
        <v/>
      </c>
      <c r="H197" s="18">
        <f>IF(OR(NOT(ISNUMBER($A197)),ROW()-2&lt;Settings!$B$11),NA(),IF(COUNT(OFFSET(F197,1-Settings!$B$11,0,Settings!$B$11,1))&lt;Settings!$B$11,NA(),STDEV(OFFSET(F197,1-Settings!$B$11,0,Settings!$B$11,1))*SQRT(Settings!$B$13)))</f>
        <v/>
      </c>
      <c r="I197" s="18">
        <f>IF(OR(NOT(ISNUMBER($A197)),ROW()-2&lt;Settings!$B$12),NA(),IF(COUNT(OFFSET(F197,1-Settings!$B$12,0,Settings!$B$12,1))&lt;Settings!$B$12,NA(),STDEV(OFFSET(F197,1-Settings!$B$12,0,Settings!$B$12,1))*SQRT(Settings!$B$13)))</f>
        <v/>
      </c>
      <c r="J197" s="18">
        <f>IF(OR(NOT(ISNUMBER($A197)),ROW()-2&lt;Settings!$B$11),NA(),IF(COUNT(OFFSET(G197,1-Settings!$B$11,0,Settings!$B$11,1))&lt;Settings!$B$11,NA(),STDEV(OFFSET(G197,1-Settings!$B$11,0,Settings!$B$11,1))*SQRT(Settings!$B$13)))</f>
        <v/>
      </c>
      <c r="K197" s="18">
        <f>IF(OR(NOT(ISNUMBER($A197)),ROW()-2&lt;Settings!$B$12),NA(),IF(COUNT(OFFSET(G197,1-Settings!$B$12,0,Settings!$B$12,1))&lt;Settings!$B$12,NA(),STDEV(OFFSET(G197,1-Settings!$B$12,0,Settings!$B$12,1))*SQRT(Settings!$B$13)))</f>
        <v/>
      </c>
      <c r="L197" s="18">
        <f>IF(AND(ISNUMBER(D197),ISNUMBER(H197)),D197-H197,NA())</f>
        <v/>
      </c>
      <c r="M197" s="18">
        <f>IF(AND(ISNUMBER(E197),ISNUMBER(K197)),E197-K197,NA())</f>
        <v/>
      </c>
      <c r="N197" s="18">
        <f>IF(NOT(ISNUMBER($A197)),NA(),IF(COUNT(OFFSET(G197,1,0,Settings!$B$12,1))&lt;Settings!$B$12,NA(),STDEV(OFFSET(G197,1,0,Settings!$B$12,1))*SQRT(Settings!$B$13)))</f>
        <v/>
      </c>
      <c r="O197" s="18">
        <f>IF(AND(ISNUMBER(E197),ISNUMBER(N197)),E197-N197,NA())</f>
        <v/>
      </c>
      <c r="P197" s="17">
        <f>IF(NOT(ISNUMBER($A197)),NA(),IF(OR($A197&lt;MIN(KW_TP!$A$2:$A$2501),$A197&gt;MAX(KW_TP!$A$2:$A$2501)),NA(),INDEX(KW_TP!$C$2:$C$2501,MATCH($A197,KW_TP!$A$2:$A$2501,1))))</f>
        <v/>
      </c>
    </row>
    <row r="198">
      <c r="A198" s="15">
        <f>IF(ISNUMBER(BBG_Data!A198),BBG_Data!A198,"")</f>
        <v/>
      </c>
      <c r="B198" s="16">
        <f>IF(AND(ISNUMBER($A198),ISNUMBER(BBG_Data!B198)),BBG_Data!B198,NA())</f>
        <v/>
      </c>
      <c r="C198" s="16">
        <f>IF(AND(ISNUMBER($A198),ISNUMBER(BBG_Data!C198)),BBG_Data!C198,NA())</f>
        <v/>
      </c>
      <c r="D198" s="17">
        <f>IF(AND(ISNUMBER($A198),ISNUMBER(BBG_Data!D198)),BBG_Data!D198,NA())</f>
        <v/>
      </c>
      <c r="E198" s="17">
        <f>IF(AND(ISNUMBER($A198),ISNUMBER(BBG_Data!E198)),BBG_Data!E198,NA())</f>
        <v/>
      </c>
      <c r="F198" s="18">
        <f>IF(AND(ISNUMBER(B198),ISNUMBER(B197)),(B198-B197)*100,"")</f>
        <v/>
      </c>
      <c r="G198" s="18">
        <f>IF(AND(ISNUMBER(C198),ISNUMBER(C197)),(C198-C197)*100,"")</f>
        <v/>
      </c>
      <c r="H198" s="18">
        <f>IF(OR(NOT(ISNUMBER($A198)),ROW()-2&lt;Settings!$B$11),NA(),IF(COUNT(OFFSET(F198,1-Settings!$B$11,0,Settings!$B$11,1))&lt;Settings!$B$11,NA(),STDEV(OFFSET(F198,1-Settings!$B$11,0,Settings!$B$11,1))*SQRT(Settings!$B$13)))</f>
        <v/>
      </c>
      <c r="I198" s="18">
        <f>IF(OR(NOT(ISNUMBER($A198)),ROW()-2&lt;Settings!$B$12),NA(),IF(COUNT(OFFSET(F198,1-Settings!$B$12,0,Settings!$B$12,1))&lt;Settings!$B$12,NA(),STDEV(OFFSET(F198,1-Settings!$B$12,0,Settings!$B$12,1))*SQRT(Settings!$B$13)))</f>
        <v/>
      </c>
      <c r="J198" s="18">
        <f>IF(OR(NOT(ISNUMBER($A198)),ROW()-2&lt;Settings!$B$11),NA(),IF(COUNT(OFFSET(G198,1-Settings!$B$11,0,Settings!$B$11,1))&lt;Settings!$B$11,NA(),STDEV(OFFSET(G198,1-Settings!$B$11,0,Settings!$B$11,1))*SQRT(Settings!$B$13)))</f>
        <v/>
      </c>
      <c r="K198" s="18">
        <f>IF(OR(NOT(ISNUMBER($A198)),ROW()-2&lt;Settings!$B$12),NA(),IF(COUNT(OFFSET(G198,1-Settings!$B$12,0,Settings!$B$12,1))&lt;Settings!$B$12,NA(),STDEV(OFFSET(G198,1-Settings!$B$12,0,Settings!$B$12,1))*SQRT(Settings!$B$13)))</f>
        <v/>
      </c>
      <c r="L198" s="18">
        <f>IF(AND(ISNUMBER(D198),ISNUMBER(H198)),D198-H198,NA())</f>
        <v/>
      </c>
      <c r="M198" s="18">
        <f>IF(AND(ISNUMBER(E198),ISNUMBER(K198)),E198-K198,NA())</f>
        <v/>
      </c>
      <c r="N198" s="18">
        <f>IF(NOT(ISNUMBER($A198)),NA(),IF(COUNT(OFFSET(G198,1,0,Settings!$B$12,1))&lt;Settings!$B$12,NA(),STDEV(OFFSET(G198,1,0,Settings!$B$12,1))*SQRT(Settings!$B$13)))</f>
        <v/>
      </c>
      <c r="O198" s="18">
        <f>IF(AND(ISNUMBER(E198),ISNUMBER(N198)),E198-N198,NA())</f>
        <v/>
      </c>
      <c r="P198" s="17">
        <f>IF(NOT(ISNUMBER($A198)),NA(),IF(OR($A198&lt;MIN(KW_TP!$A$2:$A$2501),$A198&gt;MAX(KW_TP!$A$2:$A$2501)),NA(),INDEX(KW_TP!$C$2:$C$2501,MATCH($A198,KW_TP!$A$2:$A$2501,1))))</f>
        <v/>
      </c>
    </row>
    <row r="199">
      <c r="A199" s="15">
        <f>IF(ISNUMBER(BBG_Data!A199),BBG_Data!A199,"")</f>
        <v/>
      </c>
      <c r="B199" s="16">
        <f>IF(AND(ISNUMBER($A199),ISNUMBER(BBG_Data!B199)),BBG_Data!B199,NA())</f>
        <v/>
      </c>
      <c r="C199" s="16">
        <f>IF(AND(ISNUMBER($A199),ISNUMBER(BBG_Data!C199)),BBG_Data!C199,NA())</f>
        <v/>
      </c>
      <c r="D199" s="17">
        <f>IF(AND(ISNUMBER($A199),ISNUMBER(BBG_Data!D199)),BBG_Data!D199,NA())</f>
        <v/>
      </c>
      <c r="E199" s="17">
        <f>IF(AND(ISNUMBER($A199),ISNUMBER(BBG_Data!E199)),BBG_Data!E199,NA())</f>
        <v/>
      </c>
      <c r="F199" s="18">
        <f>IF(AND(ISNUMBER(B199),ISNUMBER(B198)),(B199-B198)*100,"")</f>
        <v/>
      </c>
      <c r="G199" s="18">
        <f>IF(AND(ISNUMBER(C199),ISNUMBER(C198)),(C199-C198)*100,"")</f>
        <v/>
      </c>
      <c r="H199" s="18">
        <f>IF(OR(NOT(ISNUMBER($A199)),ROW()-2&lt;Settings!$B$11),NA(),IF(COUNT(OFFSET(F199,1-Settings!$B$11,0,Settings!$B$11,1))&lt;Settings!$B$11,NA(),STDEV(OFFSET(F199,1-Settings!$B$11,0,Settings!$B$11,1))*SQRT(Settings!$B$13)))</f>
        <v/>
      </c>
      <c r="I199" s="18">
        <f>IF(OR(NOT(ISNUMBER($A199)),ROW()-2&lt;Settings!$B$12),NA(),IF(COUNT(OFFSET(F199,1-Settings!$B$12,0,Settings!$B$12,1))&lt;Settings!$B$12,NA(),STDEV(OFFSET(F199,1-Settings!$B$12,0,Settings!$B$12,1))*SQRT(Settings!$B$13)))</f>
        <v/>
      </c>
      <c r="J199" s="18">
        <f>IF(OR(NOT(ISNUMBER($A199)),ROW()-2&lt;Settings!$B$11),NA(),IF(COUNT(OFFSET(G199,1-Settings!$B$11,0,Settings!$B$11,1))&lt;Settings!$B$11,NA(),STDEV(OFFSET(G199,1-Settings!$B$11,0,Settings!$B$11,1))*SQRT(Settings!$B$13)))</f>
        <v/>
      </c>
      <c r="K199" s="18">
        <f>IF(OR(NOT(ISNUMBER($A199)),ROW()-2&lt;Settings!$B$12),NA(),IF(COUNT(OFFSET(G199,1-Settings!$B$12,0,Settings!$B$12,1))&lt;Settings!$B$12,NA(),STDEV(OFFSET(G199,1-Settings!$B$12,0,Settings!$B$12,1))*SQRT(Settings!$B$13)))</f>
        <v/>
      </c>
      <c r="L199" s="18">
        <f>IF(AND(ISNUMBER(D199),ISNUMBER(H199)),D199-H199,NA())</f>
        <v/>
      </c>
      <c r="M199" s="18">
        <f>IF(AND(ISNUMBER(E199),ISNUMBER(K199)),E199-K199,NA())</f>
        <v/>
      </c>
      <c r="N199" s="18">
        <f>IF(NOT(ISNUMBER($A199)),NA(),IF(COUNT(OFFSET(G199,1,0,Settings!$B$12,1))&lt;Settings!$B$12,NA(),STDEV(OFFSET(G199,1,0,Settings!$B$12,1))*SQRT(Settings!$B$13)))</f>
        <v/>
      </c>
      <c r="O199" s="18">
        <f>IF(AND(ISNUMBER(E199),ISNUMBER(N199)),E199-N199,NA())</f>
        <v/>
      </c>
      <c r="P199" s="17">
        <f>IF(NOT(ISNUMBER($A199)),NA(),IF(OR($A199&lt;MIN(KW_TP!$A$2:$A$2501),$A199&gt;MAX(KW_TP!$A$2:$A$2501)),NA(),INDEX(KW_TP!$C$2:$C$2501,MATCH($A199,KW_TP!$A$2:$A$2501,1))))</f>
        <v/>
      </c>
    </row>
    <row r="200">
      <c r="A200" s="15">
        <f>IF(ISNUMBER(BBG_Data!A200),BBG_Data!A200,"")</f>
        <v/>
      </c>
      <c r="B200" s="16">
        <f>IF(AND(ISNUMBER($A200),ISNUMBER(BBG_Data!B200)),BBG_Data!B200,NA())</f>
        <v/>
      </c>
      <c r="C200" s="16">
        <f>IF(AND(ISNUMBER($A200),ISNUMBER(BBG_Data!C200)),BBG_Data!C200,NA())</f>
        <v/>
      </c>
      <c r="D200" s="17">
        <f>IF(AND(ISNUMBER($A200),ISNUMBER(BBG_Data!D200)),BBG_Data!D200,NA())</f>
        <v/>
      </c>
      <c r="E200" s="17">
        <f>IF(AND(ISNUMBER($A200),ISNUMBER(BBG_Data!E200)),BBG_Data!E200,NA())</f>
        <v/>
      </c>
      <c r="F200" s="18">
        <f>IF(AND(ISNUMBER(B200),ISNUMBER(B199)),(B200-B199)*100,"")</f>
        <v/>
      </c>
      <c r="G200" s="18">
        <f>IF(AND(ISNUMBER(C200),ISNUMBER(C199)),(C200-C199)*100,"")</f>
        <v/>
      </c>
      <c r="H200" s="18">
        <f>IF(OR(NOT(ISNUMBER($A200)),ROW()-2&lt;Settings!$B$11),NA(),IF(COUNT(OFFSET(F200,1-Settings!$B$11,0,Settings!$B$11,1))&lt;Settings!$B$11,NA(),STDEV(OFFSET(F200,1-Settings!$B$11,0,Settings!$B$11,1))*SQRT(Settings!$B$13)))</f>
        <v/>
      </c>
      <c r="I200" s="18">
        <f>IF(OR(NOT(ISNUMBER($A200)),ROW()-2&lt;Settings!$B$12),NA(),IF(COUNT(OFFSET(F200,1-Settings!$B$12,0,Settings!$B$12,1))&lt;Settings!$B$12,NA(),STDEV(OFFSET(F200,1-Settings!$B$12,0,Settings!$B$12,1))*SQRT(Settings!$B$13)))</f>
        <v/>
      </c>
      <c r="J200" s="18">
        <f>IF(OR(NOT(ISNUMBER($A200)),ROW()-2&lt;Settings!$B$11),NA(),IF(COUNT(OFFSET(G200,1-Settings!$B$11,0,Settings!$B$11,1))&lt;Settings!$B$11,NA(),STDEV(OFFSET(G200,1-Settings!$B$11,0,Settings!$B$11,1))*SQRT(Settings!$B$13)))</f>
        <v/>
      </c>
      <c r="K200" s="18">
        <f>IF(OR(NOT(ISNUMBER($A200)),ROW()-2&lt;Settings!$B$12),NA(),IF(COUNT(OFFSET(G200,1-Settings!$B$12,0,Settings!$B$12,1))&lt;Settings!$B$12,NA(),STDEV(OFFSET(G200,1-Settings!$B$12,0,Settings!$B$12,1))*SQRT(Settings!$B$13)))</f>
        <v/>
      </c>
      <c r="L200" s="18">
        <f>IF(AND(ISNUMBER(D200),ISNUMBER(H200)),D200-H200,NA())</f>
        <v/>
      </c>
      <c r="M200" s="18">
        <f>IF(AND(ISNUMBER(E200),ISNUMBER(K200)),E200-K200,NA())</f>
        <v/>
      </c>
      <c r="N200" s="18">
        <f>IF(NOT(ISNUMBER($A200)),NA(),IF(COUNT(OFFSET(G200,1,0,Settings!$B$12,1))&lt;Settings!$B$12,NA(),STDEV(OFFSET(G200,1,0,Settings!$B$12,1))*SQRT(Settings!$B$13)))</f>
        <v/>
      </c>
      <c r="O200" s="18">
        <f>IF(AND(ISNUMBER(E200),ISNUMBER(N200)),E200-N200,NA())</f>
        <v/>
      </c>
      <c r="P200" s="17">
        <f>IF(NOT(ISNUMBER($A200)),NA(),IF(OR($A200&lt;MIN(KW_TP!$A$2:$A$2501),$A200&gt;MAX(KW_TP!$A$2:$A$2501)),NA(),INDEX(KW_TP!$C$2:$C$2501,MATCH($A200,KW_TP!$A$2:$A$2501,1))))</f>
        <v/>
      </c>
    </row>
    <row r="201">
      <c r="A201" s="15">
        <f>IF(ISNUMBER(BBG_Data!A201),BBG_Data!A201,"")</f>
        <v/>
      </c>
      <c r="B201" s="16">
        <f>IF(AND(ISNUMBER($A201),ISNUMBER(BBG_Data!B201)),BBG_Data!B201,NA())</f>
        <v/>
      </c>
      <c r="C201" s="16">
        <f>IF(AND(ISNUMBER($A201),ISNUMBER(BBG_Data!C201)),BBG_Data!C201,NA())</f>
        <v/>
      </c>
      <c r="D201" s="17">
        <f>IF(AND(ISNUMBER($A201),ISNUMBER(BBG_Data!D201)),BBG_Data!D201,NA())</f>
        <v/>
      </c>
      <c r="E201" s="17">
        <f>IF(AND(ISNUMBER($A201),ISNUMBER(BBG_Data!E201)),BBG_Data!E201,NA())</f>
        <v/>
      </c>
      <c r="F201" s="18">
        <f>IF(AND(ISNUMBER(B201),ISNUMBER(B200)),(B201-B200)*100,"")</f>
        <v/>
      </c>
      <c r="G201" s="18">
        <f>IF(AND(ISNUMBER(C201),ISNUMBER(C200)),(C201-C200)*100,"")</f>
        <v/>
      </c>
      <c r="H201" s="18">
        <f>IF(OR(NOT(ISNUMBER($A201)),ROW()-2&lt;Settings!$B$11),NA(),IF(COUNT(OFFSET(F201,1-Settings!$B$11,0,Settings!$B$11,1))&lt;Settings!$B$11,NA(),STDEV(OFFSET(F201,1-Settings!$B$11,0,Settings!$B$11,1))*SQRT(Settings!$B$13)))</f>
        <v/>
      </c>
      <c r="I201" s="18">
        <f>IF(OR(NOT(ISNUMBER($A201)),ROW()-2&lt;Settings!$B$12),NA(),IF(COUNT(OFFSET(F201,1-Settings!$B$12,0,Settings!$B$12,1))&lt;Settings!$B$12,NA(),STDEV(OFFSET(F201,1-Settings!$B$12,0,Settings!$B$12,1))*SQRT(Settings!$B$13)))</f>
        <v/>
      </c>
      <c r="J201" s="18">
        <f>IF(OR(NOT(ISNUMBER($A201)),ROW()-2&lt;Settings!$B$11),NA(),IF(COUNT(OFFSET(G201,1-Settings!$B$11,0,Settings!$B$11,1))&lt;Settings!$B$11,NA(),STDEV(OFFSET(G201,1-Settings!$B$11,0,Settings!$B$11,1))*SQRT(Settings!$B$13)))</f>
        <v/>
      </c>
      <c r="K201" s="18">
        <f>IF(OR(NOT(ISNUMBER($A201)),ROW()-2&lt;Settings!$B$12),NA(),IF(COUNT(OFFSET(G201,1-Settings!$B$12,0,Settings!$B$12,1))&lt;Settings!$B$12,NA(),STDEV(OFFSET(G201,1-Settings!$B$12,0,Settings!$B$12,1))*SQRT(Settings!$B$13)))</f>
        <v/>
      </c>
      <c r="L201" s="18">
        <f>IF(AND(ISNUMBER(D201),ISNUMBER(H201)),D201-H201,NA())</f>
        <v/>
      </c>
      <c r="M201" s="18">
        <f>IF(AND(ISNUMBER(E201),ISNUMBER(K201)),E201-K201,NA())</f>
        <v/>
      </c>
      <c r="N201" s="18">
        <f>IF(NOT(ISNUMBER($A201)),NA(),IF(COUNT(OFFSET(G201,1,0,Settings!$B$12,1))&lt;Settings!$B$12,NA(),STDEV(OFFSET(G201,1,0,Settings!$B$12,1))*SQRT(Settings!$B$13)))</f>
        <v/>
      </c>
      <c r="O201" s="18">
        <f>IF(AND(ISNUMBER(E201),ISNUMBER(N201)),E201-N201,NA())</f>
        <v/>
      </c>
      <c r="P201" s="17">
        <f>IF(NOT(ISNUMBER($A201)),NA(),IF(OR($A201&lt;MIN(KW_TP!$A$2:$A$2501),$A201&gt;MAX(KW_TP!$A$2:$A$2501)),NA(),INDEX(KW_TP!$C$2:$C$2501,MATCH($A201,KW_TP!$A$2:$A$2501,1))))</f>
        <v/>
      </c>
    </row>
    <row r="202">
      <c r="A202" s="15">
        <f>IF(ISNUMBER(BBG_Data!A202),BBG_Data!A202,"")</f>
        <v/>
      </c>
      <c r="B202" s="16">
        <f>IF(AND(ISNUMBER($A202),ISNUMBER(BBG_Data!B202)),BBG_Data!B202,NA())</f>
        <v/>
      </c>
      <c r="C202" s="16">
        <f>IF(AND(ISNUMBER($A202),ISNUMBER(BBG_Data!C202)),BBG_Data!C202,NA())</f>
        <v/>
      </c>
      <c r="D202" s="17">
        <f>IF(AND(ISNUMBER($A202),ISNUMBER(BBG_Data!D202)),BBG_Data!D202,NA())</f>
        <v/>
      </c>
      <c r="E202" s="17">
        <f>IF(AND(ISNUMBER($A202),ISNUMBER(BBG_Data!E202)),BBG_Data!E202,NA())</f>
        <v/>
      </c>
      <c r="F202" s="18">
        <f>IF(AND(ISNUMBER(B202),ISNUMBER(B201)),(B202-B201)*100,"")</f>
        <v/>
      </c>
      <c r="G202" s="18">
        <f>IF(AND(ISNUMBER(C202),ISNUMBER(C201)),(C202-C201)*100,"")</f>
        <v/>
      </c>
      <c r="H202" s="18">
        <f>IF(OR(NOT(ISNUMBER($A202)),ROW()-2&lt;Settings!$B$11),NA(),IF(COUNT(OFFSET(F202,1-Settings!$B$11,0,Settings!$B$11,1))&lt;Settings!$B$11,NA(),STDEV(OFFSET(F202,1-Settings!$B$11,0,Settings!$B$11,1))*SQRT(Settings!$B$13)))</f>
        <v/>
      </c>
      <c r="I202" s="18">
        <f>IF(OR(NOT(ISNUMBER($A202)),ROW()-2&lt;Settings!$B$12),NA(),IF(COUNT(OFFSET(F202,1-Settings!$B$12,0,Settings!$B$12,1))&lt;Settings!$B$12,NA(),STDEV(OFFSET(F202,1-Settings!$B$12,0,Settings!$B$12,1))*SQRT(Settings!$B$13)))</f>
        <v/>
      </c>
      <c r="J202" s="18">
        <f>IF(OR(NOT(ISNUMBER($A202)),ROW()-2&lt;Settings!$B$11),NA(),IF(COUNT(OFFSET(G202,1-Settings!$B$11,0,Settings!$B$11,1))&lt;Settings!$B$11,NA(),STDEV(OFFSET(G202,1-Settings!$B$11,0,Settings!$B$11,1))*SQRT(Settings!$B$13)))</f>
        <v/>
      </c>
      <c r="K202" s="18">
        <f>IF(OR(NOT(ISNUMBER($A202)),ROW()-2&lt;Settings!$B$12),NA(),IF(COUNT(OFFSET(G202,1-Settings!$B$12,0,Settings!$B$12,1))&lt;Settings!$B$12,NA(),STDEV(OFFSET(G202,1-Settings!$B$12,0,Settings!$B$12,1))*SQRT(Settings!$B$13)))</f>
        <v/>
      </c>
      <c r="L202" s="18">
        <f>IF(AND(ISNUMBER(D202),ISNUMBER(H202)),D202-H202,NA())</f>
        <v/>
      </c>
      <c r="M202" s="18">
        <f>IF(AND(ISNUMBER(E202),ISNUMBER(K202)),E202-K202,NA())</f>
        <v/>
      </c>
      <c r="N202" s="18">
        <f>IF(NOT(ISNUMBER($A202)),NA(),IF(COUNT(OFFSET(G202,1,0,Settings!$B$12,1))&lt;Settings!$B$12,NA(),STDEV(OFFSET(G202,1,0,Settings!$B$12,1))*SQRT(Settings!$B$13)))</f>
        <v/>
      </c>
      <c r="O202" s="18">
        <f>IF(AND(ISNUMBER(E202),ISNUMBER(N202)),E202-N202,NA())</f>
        <v/>
      </c>
      <c r="P202" s="17">
        <f>IF(NOT(ISNUMBER($A202)),NA(),IF(OR($A202&lt;MIN(KW_TP!$A$2:$A$2501),$A202&gt;MAX(KW_TP!$A$2:$A$2501)),NA(),INDEX(KW_TP!$C$2:$C$2501,MATCH($A202,KW_TP!$A$2:$A$2501,1))))</f>
        <v/>
      </c>
    </row>
    <row r="203">
      <c r="A203" s="15">
        <f>IF(ISNUMBER(BBG_Data!A203),BBG_Data!A203,"")</f>
        <v/>
      </c>
      <c r="B203" s="16">
        <f>IF(AND(ISNUMBER($A203),ISNUMBER(BBG_Data!B203)),BBG_Data!B203,NA())</f>
        <v/>
      </c>
      <c r="C203" s="16">
        <f>IF(AND(ISNUMBER($A203),ISNUMBER(BBG_Data!C203)),BBG_Data!C203,NA())</f>
        <v/>
      </c>
      <c r="D203" s="17">
        <f>IF(AND(ISNUMBER($A203),ISNUMBER(BBG_Data!D203)),BBG_Data!D203,NA())</f>
        <v/>
      </c>
      <c r="E203" s="17">
        <f>IF(AND(ISNUMBER($A203),ISNUMBER(BBG_Data!E203)),BBG_Data!E203,NA())</f>
        <v/>
      </c>
      <c r="F203" s="18">
        <f>IF(AND(ISNUMBER(B203),ISNUMBER(B202)),(B203-B202)*100,"")</f>
        <v/>
      </c>
      <c r="G203" s="18">
        <f>IF(AND(ISNUMBER(C203),ISNUMBER(C202)),(C203-C202)*100,"")</f>
        <v/>
      </c>
      <c r="H203" s="18">
        <f>IF(OR(NOT(ISNUMBER($A203)),ROW()-2&lt;Settings!$B$11),NA(),IF(COUNT(OFFSET(F203,1-Settings!$B$11,0,Settings!$B$11,1))&lt;Settings!$B$11,NA(),STDEV(OFFSET(F203,1-Settings!$B$11,0,Settings!$B$11,1))*SQRT(Settings!$B$13)))</f>
        <v/>
      </c>
      <c r="I203" s="18">
        <f>IF(OR(NOT(ISNUMBER($A203)),ROW()-2&lt;Settings!$B$12),NA(),IF(COUNT(OFFSET(F203,1-Settings!$B$12,0,Settings!$B$12,1))&lt;Settings!$B$12,NA(),STDEV(OFFSET(F203,1-Settings!$B$12,0,Settings!$B$12,1))*SQRT(Settings!$B$13)))</f>
        <v/>
      </c>
      <c r="J203" s="18">
        <f>IF(OR(NOT(ISNUMBER($A203)),ROW()-2&lt;Settings!$B$11),NA(),IF(COUNT(OFFSET(G203,1-Settings!$B$11,0,Settings!$B$11,1))&lt;Settings!$B$11,NA(),STDEV(OFFSET(G203,1-Settings!$B$11,0,Settings!$B$11,1))*SQRT(Settings!$B$13)))</f>
        <v/>
      </c>
      <c r="K203" s="18">
        <f>IF(OR(NOT(ISNUMBER($A203)),ROW()-2&lt;Settings!$B$12),NA(),IF(COUNT(OFFSET(G203,1-Settings!$B$12,0,Settings!$B$12,1))&lt;Settings!$B$12,NA(),STDEV(OFFSET(G203,1-Settings!$B$12,0,Settings!$B$12,1))*SQRT(Settings!$B$13)))</f>
        <v/>
      </c>
      <c r="L203" s="18">
        <f>IF(AND(ISNUMBER(D203),ISNUMBER(H203)),D203-H203,NA())</f>
        <v/>
      </c>
      <c r="M203" s="18">
        <f>IF(AND(ISNUMBER(E203),ISNUMBER(K203)),E203-K203,NA())</f>
        <v/>
      </c>
      <c r="N203" s="18">
        <f>IF(NOT(ISNUMBER($A203)),NA(),IF(COUNT(OFFSET(G203,1,0,Settings!$B$12,1))&lt;Settings!$B$12,NA(),STDEV(OFFSET(G203,1,0,Settings!$B$12,1))*SQRT(Settings!$B$13)))</f>
        <v/>
      </c>
      <c r="O203" s="18">
        <f>IF(AND(ISNUMBER(E203),ISNUMBER(N203)),E203-N203,NA())</f>
        <v/>
      </c>
      <c r="P203" s="17">
        <f>IF(NOT(ISNUMBER($A203)),NA(),IF(OR($A203&lt;MIN(KW_TP!$A$2:$A$2501),$A203&gt;MAX(KW_TP!$A$2:$A$2501)),NA(),INDEX(KW_TP!$C$2:$C$2501,MATCH($A203,KW_TP!$A$2:$A$2501,1))))</f>
        <v/>
      </c>
    </row>
    <row r="204">
      <c r="A204" s="15">
        <f>IF(ISNUMBER(BBG_Data!A204),BBG_Data!A204,"")</f>
        <v/>
      </c>
      <c r="B204" s="16">
        <f>IF(AND(ISNUMBER($A204),ISNUMBER(BBG_Data!B204)),BBG_Data!B204,NA())</f>
        <v/>
      </c>
      <c r="C204" s="16">
        <f>IF(AND(ISNUMBER($A204),ISNUMBER(BBG_Data!C204)),BBG_Data!C204,NA())</f>
        <v/>
      </c>
      <c r="D204" s="17">
        <f>IF(AND(ISNUMBER($A204),ISNUMBER(BBG_Data!D204)),BBG_Data!D204,NA())</f>
        <v/>
      </c>
      <c r="E204" s="17">
        <f>IF(AND(ISNUMBER($A204),ISNUMBER(BBG_Data!E204)),BBG_Data!E204,NA())</f>
        <v/>
      </c>
      <c r="F204" s="18">
        <f>IF(AND(ISNUMBER(B204),ISNUMBER(B203)),(B204-B203)*100,"")</f>
        <v/>
      </c>
      <c r="G204" s="18">
        <f>IF(AND(ISNUMBER(C204),ISNUMBER(C203)),(C204-C203)*100,"")</f>
        <v/>
      </c>
      <c r="H204" s="18">
        <f>IF(OR(NOT(ISNUMBER($A204)),ROW()-2&lt;Settings!$B$11),NA(),IF(COUNT(OFFSET(F204,1-Settings!$B$11,0,Settings!$B$11,1))&lt;Settings!$B$11,NA(),STDEV(OFFSET(F204,1-Settings!$B$11,0,Settings!$B$11,1))*SQRT(Settings!$B$13)))</f>
        <v/>
      </c>
      <c r="I204" s="18">
        <f>IF(OR(NOT(ISNUMBER($A204)),ROW()-2&lt;Settings!$B$12),NA(),IF(COUNT(OFFSET(F204,1-Settings!$B$12,0,Settings!$B$12,1))&lt;Settings!$B$12,NA(),STDEV(OFFSET(F204,1-Settings!$B$12,0,Settings!$B$12,1))*SQRT(Settings!$B$13)))</f>
        <v/>
      </c>
      <c r="J204" s="18">
        <f>IF(OR(NOT(ISNUMBER($A204)),ROW()-2&lt;Settings!$B$11),NA(),IF(COUNT(OFFSET(G204,1-Settings!$B$11,0,Settings!$B$11,1))&lt;Settings!$B$11,NA(),STDEV(OFFSET(G204,1-Settings!$B$11,0,Settings!$B$11,1))*SQRT(Settings!$B$13)))</f>
        <v/>
      </c>
      <c r="K204" s="18">
        <f>IF(OR(NOT(ISNUMBER($A204)),ROW()-2&lt;Settings!$B$12),NA(),IF(COUNT(OFFSET(G204,1-Settings!$B$12,0,Settings!$B$12,1))&lt;Settings!$B$12,NA(),STDEV(OFFSET(G204,1-Settings!$B$12,0,Settings!$B$12,1))*SQRT(Settings!$B$13)))</f>
        <v/>
      </c>
      <c r="L204" s="18">
        <f>IF(AND(ISNUMBER(D204),ISNUMBER(H204)),D204-H204,NA())</f>
        <v/>
      </c>
      <c r="M204" s="18">
        <f>IF(AND(ISNUMBER(E204),ISNUMBER(K204)),E204-K204,NA())</f>
        <v/>
      </c>
      <c r="N204" s="18">
        <f>IF(NOT(ISNUMBER($A204)),NA(),IF(COUNT(OFFSET(G204,1,0,Settings!$B$12,1))&lt;Settings!$B$12,NA(),STDEV(OFFSET(G204,1,0,Settings!$B$12,1))*SQRT(Settings!$B$13)))</f>
        <v/>
      </c>
      <c r="O204" s="18">
        <f>IF(AND(ISNUMBER(E204),ISNUMBER(N204)),E204-N204,NA())</f>
        <v/>
      </c>
      <c r="P204" s="17">
        <f>IF(NOT(ISNUMBER($A204)),NA(),IF(OR($A204&lt;MIN(KW_TP!$A$2:$A$2501),$A204&gt;MAX(KW_TP!$A$2:$A$2501)),NA(),INDEX(KW_TP!$C$2:$C$2501,MATCH($A204,KW_TP!$A$2:$A$2501,1))))</f>
        <v/>
      </c>
    </row>
    <row r="205">
      <c r="A205" s="15">
        <f>IF(ISNUMBER(BBG_Data!A205),BBG_Data!A205,"")</f>
        <v/>
      </c>
      <c r="B205" s="16">
        <f>IF(AND(ISNUMBER($A205),ISNUMBER(BBG_Data!B205)),BBG_Data!B205,NA())</f>
        <v/>
      </c>
      <c r="C205" s="16">
        <f>IF(AND(ISNUMBER($A205),ISNUMBER(BBG_Data!C205)),BBG_Data!C205,NA())</f>
        <v/>
      </c>
      <c r="D205" s="17">
        <f>IF(AND(ISNUMBER($A205),ISNUMBER(BBG_Data!D205)),BBG_Data!D205,NA())</f>
        <v/>
      </c>
      <c r="E205" s="17">
        <f>IF(AND(ISNUMBER($A205),ISNUMBER(BBG_Data!E205)),BBG_Data!E205,NA())</f>
        <v/>
      </c>
      <c r="F205" s="18">
        <f>IF(AND(ISNUMBER(B205),ISNUMBER(B204)),(B205-B204)*100,"")</f>
        <v/>
      </c>
      <c r="G205" s="18">
        <f>IF(AND(ISNUMBER(C205),ISNUMBER(C204)),(C205-C204)*100,"")</f>
        <v/>
      </c>
      <c r="H205" s="18">
        <f>IF(OR(NOT(ISNUMBER($A205)),ROW()-2&lt;Settings!$B$11),NA(),IF(COUNT(OFFSET(F205,1-Settings!$B$11,0,Settings!$B$11,1))&lt;Settings!$B$11,NA(),STDEV(OFFSET(F205,1-Settings!$B$11,0,Settings!$B$11,1))*SQRT(Settings!$B$13)))</f>
        <v/>
      </c>
      <c r="I205" s="18">
        <f>IF(OR(NOT(ISNUMBER($A205)),ROW()-2&lt;Settings!$B$12),NA(),IF(COUNT(OFFSET(F205,1-Settings!$B$12,0,Settings!$B$12,1))&lt;Settings!$B$12,NA(),STDEV(OFFSET(F205,1-Settings!$B$12,0,Settings!$B$12,1))*SQRT(Settings!$B$13)))</f>
        <v/>
      </c>
      <c r="J205" s="18">
        <f>IF(OR(NOT(ISNUMBER($A205)),ROW()-2&lt;Settings!$B$11),NA(),IF(COUNT(OFFSET(G205,1-Settings!$B$11,0,Settings!$B$11,1))&lt;Settings!$B$11,NA(),STDEV(OFFSET(G205,1-Settings!$B$11,0,Settings!$B$11,1))*SQRT(Settings!$B$13)))</f>
        <v/>
      </c>
      <c r="K205" s="18">
        <f>IF(OR(NOT(ISNUMBER($A205)),ROW()-2&lt;Settings!$B$12),NA(),IF(COUNT(OFFSET(G205,1-Settings!$B$12,0,Settings!$B$12,1))&lt;Settings!$B$12,NA(),STDEV(OFFSET(G205,1-Settings!$B$12,0,Settings!$B$12,1))*SQRT(Settings!$B$13)))</f>
        <v/>
      </c>
      <c r="L205" s="18">
        <f>IF(AND(ISNUMBER(D205),ISNUMBER(H205)),D205-H205,NA())</f>
        <v/>
      </c>
      <c r="M205" s="18">
        <f>IF(AND(ISNUMBER(E205),ISNUMBER(K205)),E205-K205,NA())</f>
        <v/>
      </c>
      <c r="N205" s="18">
        <f>IF(NOT(ISNUMBER($A205)),NA(),IF(COUNT(OFFSET(G205,1,0,Settings!$B$12,1))&lt;Settings!$B$12,NA(),STDEV(OFFSET(G205,1,0,Settings!$B$12,1))*SQRT(Settings!$B$13)))</f>
        <v/>
      </c>
      <c r="O205" s="18">
        <f>IF(AND(ISNUMBER(E205),ISNUMBER(N205)),E205-N205,NA())</f>
        <v/>
      </c>
      <c r="P205" s="17">
        <f>IF(NOT(ISNUMBER($A205)),NA(),IF(OR($A205&lt;MIN(KW_TP!$A$2:$A$2501),$A205&gt;MAX(KW_TP!$A$2:$A$2501)),NA(),INDEX(KW_TP!$C$2:$C$2501,MATCH($A205,KW_TP!$A$2:$A$2501,1))))</f>
        <v/>
      </c>
    </row>
    <row r="206">
      <c r="A206" s="15">
        <f>IF(ISNUMBER(BBG_Data!A206),BBG_Data!A206,"")</f>
        <v/>
      </c>
      <c r="B206" s="16">
        <f>IF(AND(ISNUMBER($A206),ISNUMBER(BBG_Data!B206)),BBG_Data!B206,NA())</f>
        <v/>
      </c>
      <c r="C206" s="16">
        <f>IF(AND(ISNUMBER($A206),ISNUMBER(BBG_Data!C206)),BBG_Data!C206,NA())</f>
        <v/>
      </c>
      <c r="D206" s="17">
        <f>IF(AND(ISNUMBER($A206),ISNUMBER(BBG_Data!D206)),BBG_Data!D206,NA())</f>
        <v/>
      </c>
      <c r="E206" s="17">
        <f>IF(AND(ISNUMBER($A206),ISNUMBER(BBG_Data!E206)),BBG_Data!E206,NA())</f>
        <v/>
      </c>
      <c r="F206" s="18">
        <f>IF(AND(ISNUMBER(B206),ISNUMBER(B205)),(B206-B205)*100,"")</f>
        <v/>
      </c>
      <c r="G206" s="18">
        <f>IF(AND(ISNUMBER(C206),ISNUMBER(C205)),(C206-C205)*100,"")</f>
        <v/>
      </c>
      <c r="H206" s="18">
        <f>IF(OR(NOT(ISNUMBER($A206)),ROW()-2&lt;Settings!$B$11),NA(),IF(COUNT(OFFSET(F206,1-Settings!$B$11,0,Settings!$B$11,1))&lt;Settings!$B$11,NA(),STDEV(OFFSET(F206,1-Settings!$B$11,0,Settings!$B$11,1))*SQRT(Settings!$B$13)))</f>
        <v/>
      </c>
      <c r="I206" s="18">
        <f>IF(OR(NOT(ISNUMBER($A206)),ROW()-2&lt;Settings!$B$12),NA(),IF(COUNT(OFFSET(F206,1-Settings!$B$12,0,Settings!$B$12,1))&lt;Settings!$B$12,NA(),STDEV(OFFSET(F206,1-Settings!$B$12,0,Settings!$B$12,1))*SQRT(Settings!$B$13)))</f>
        <v/>
      </c>
      <c r="J206" s="18">
        <f>IF(OR(NOT(ISNUMBER($A206)),ROW()-2&lt;Settings!$B$11),NA(),IF(COUNT(OFFSET(G206,1-Settings!$B$11,0,Settings!$B$11,1))&lt;Settings!$B$11,NA(),STDEV(OFFSET(G206,1-Settings!$B$11,0,Settings!$B$11,1))*SQRT(Settings!$B$13)))</f>
        <v/>
      </c>
      <c r="K206" s="18">
        <f>IF(OR(NOT(ISNUMBER($A206)),ROW()-2&lt;Settings!$B$12),NA(),IF(COUNT(OFFSET(G206,1-Settings!$B$12,0,Settings!$B$12,1))&lt;Settings!$B$12,NA(),STDEV(OFFSET(G206,1-Settings!$B$12,0,Settings!$B$12,1))*SQRT(Settings!$B$13)))</f>
        <v/>
      </c>
      <c r="L206" s="18">
        <f>IF(AND(ISNUMBER(D206),ISNUMBER(H206)),D206-H206,NA())</f>
        <v/>
      </c>
      <c r="M206" s="18">
        <f>IF(AND(ISNUMBER(E206),ISNUMBER(K206)),E206-K206,NA())</f>
        <v/>
      </c>
      <c r="N206" s="18">
        <f>IF(NOT(ISNUMBER($A206)),NA(),IF(COUNT(OFFSET(G206,1,0,Settings!$B$12,1))&lt;Settings!$B$12,NA(),STDEV(OFFSET(G206,1,0,Settings!$B$12,1))*SQRT(Settings!$B$13)))</f>
        <v/>
      </c>
      <c r="O206" s="18">
        <f>IF(AND(ISNUMBER(E206),ISNUMBER(N206)),E206-N206,NA())</f>
        <v/>
      </c>
      <c r="P206" s="17">
        <f>IF(NOT(ISNUMBER($A206)),NA(),IF(OR($A206&lt;MIN(KW_TP!$A$2:$A$2501),$A206&gt;MAX(KW_TP!$A$2:$A$2501)),NA(),INDEX(KW_TP!$C$2:$C$2501,MATCH($A206,KW_TP!$A$2:$A$2501,1))))</f>
        <v/>
      </c>
    </row>
    <row r="207">
      <c r="A207" s="15">
        <f>IF(ISNUMBER(BBG_Data!A207),BBG_Data!A207,"")</f>
        <v/>
      </c>
      <c r="B207" s="16">
        <f>IF(AND(ISNUMBER($A207),ISNUMBER(BBG_Data!B207)),BBG_Data!B207,NA())</f>
        <v/>
      </c>
      <c r="C207" s="16">
        <f>IF(AND(ISNUMBER($A207),ISNUMBER(BBG_Data!C207)),BBG_Data!C207,NA())</f>
        <v/>
      </c>
      <c r="D207" s="17">
        <f>IF(AND(ISNUMBER($A207),ISNUMBER(BBG_Data!D207)),BBG_Data!D207,NA())</f>
        <v/>
      </c>
      <c r="E207" s="17">
        <f>IF(AND(ISNUMBER($A207),ISNUMBER(BBG_Data!E207)),BBG_Data!E207,NA())</f>
        <v/>
      </c>
      <c r="F207" s="18">
        <f>IF(AND(ISNUMBER(B207),ISNUMBER(B206)),(B207-B206)*100,"")</f>
        <v/>
      </c>
      <c r="G207" s="18">
        <f>IF(AND(ISNUMBER(C207),ISNUMBER(C206)),(C207-C206)*100,"")</f>
        <v/>
      </c>
      <c r="H207" s="18">
        <f>IF(OR(NOT(ISNUMBER($A207)),ROW()-2&lt;Settings!$B$11),NA(),IF(COUNT(OFFSET(F207,1-Settings!$B$11,0,Settings!$B$11,1))&lt;Settings!$B$11,NA(),STDEV(OFFSET(F207,1-Settings!$B$11,0,Settings!$B$11,1))*SQRT(Settings!$B$13)))</f>
        <v/>
      </c>
      <c r="I207" s="18">
        <f>IF(OR(NOT(ISNUMBER($A207)),ROW()-2&lt;Settings!$B$12),NA(),IF(COUNT(OFFSET(F207,1-Settings!$B$12,0,Settings!$B$12,1))&lt;Settings!$B$12,NA(),STDEV(OFFSET(F207,1-Settings!$B$12,0,Settings!$B$12,1))*SQRT(Settings!$B$13)))</f>
        <v/>
      </c>
      <c r="J207" s="18">
        <f>IF(OR(NOT(ISNUMBER($A207)),ROW()-2&lt;Settings!$B$11),NA(),IF(COUNT(OFFSET(G207,1-Settings!$B$11,0,Settings!$B$11,1))&lt;Settings!$B$11,NA(),STDEV(OFFSET(G207,1-Settings!$B$11,0,Settings!$B$11,1))*SQRT(Settings!$B$13)))</f>
        <v/>
      </c>
      <c r="K207" s="18">
        <f>IF(OR(NOT(ISNUMBER($A207)),ROW()-2&lt;Settings!$B$12),NA(),IF(COUNT(OFFSET(G207,1-Settings!$B$12,0,Settings!$B$12,1))&lt;Settings!$B$12,NA(),STDEV(OFFSET(G207,1-Settings!$B$12,0,Settings!$B$12,1))*SQRT(Settings!$B$13)))</f>
        <v/>
      </c>
      <c r="L207" s="18">
        <f>IF(AND(ISNUMBER(D207),ISNUMBER(H207)),D207-H207,NA())</f>
        <v/>
      </c>
      <c r="M207" s="18">
        <f>IF(AND(ISNUMBER(E207),ISNUMBER(K207)),E207-K207,NA())</f>
        <v/>
      </c>
      <c r="N207" s="18">
        <f>IF(NOT(ISNUMBER($A207)),NA(),IF(COUNT(OFFSET(G207,1,0,Settings!$B$12,1))&lt;Settings!$B$12,NA(),STDEV(OFFSET(G207,1,0,Settings!$B$12,1))*SQRT(Settings!$B$13)))</f>
        <v/>
      </c>
      <c r="O207" s="18">
        <f>IF(AND(ISNUMBER(E207),ISNUMBER(N207)),E207-N207,NA())</f>
        <v/>
      </c>
      <c r="P207" s="17">
        <f>IF(NOT(ISNUMBER($A207)),NA(),IF(OR($A207&lt;MIN(KW_TP!$A$2:$A$2501),$A207&gt;MAX(KW_TP!$A$2:$A$2501)),NA(),INDEX(KW_TP!$C$2:$C$2501,MATCH($A207,KW_TP!$A$2:$A$2501,1))))</f>
        <v/>
      </c>
    </row>
    <row r="208">
      <c r="A208" s="15">
        <f>IF(ISNUMBER(BBG_Data!A208),BBG_Data!A208,"")</f>
        <v/>
      </c>
      <c r="B208" s="16">
        <f>IF(AND(ISNUMBER($A208),ISNUMBER(BBG_Data!B208)),BBG_Data!B208,NA())</f>
        <v/>
      </c>
      <c r="C208" s="16">
        <f>IF(AND(ISNUMBER($A208),ISNUMBER(BBG_Data!C208)),BBG_Data!C208,NA())</f>
        <v/>
      </c>
      <c r="D208" s="17">
        <f>IF(AND(ISNUMBER($A208),ISNUMBER(BBG_Data!D208)),BBG_Data!D208,NA())</f>
        <v/>
      </c>
      <c r="E208" s="17">
        <f>IF(AND(ISNUMBER($A208),ISNUMBER(BBG_Data!E208)),BBG_Data!E208,NA())</f>
        <v/>
      </c>
      <c r="F208" s="18">
        <f>IF(AND(ISNUMBER(B208),ISNUMBER(B207)),(B208-B207)*100,"")</f>
        <v/>
      </c>
      <c r="G208" s="18">
        <f>IF(AND(ISNUMBER(C208),ISNUMBER(C207)),(C208-C207)*100,"")</f>
        <v/>
      </c>
      <c r="H208" s="18">
        <f>IF(OR(NOT(ISNUMBER($A208)),ROW()-2&lt;Settings!$B$11),NA(),IF(COUNT(OFFSET(F208,1-Settings!$B$11,0,Settings!$B$11,1))&lt;Settings!$B$11,NA(),STDEV(OFFSET(F208,1-Settings!$B$11,0,Settings!$B$11,1))*SQRT(Settings!$B$13)))</f>
        <v/>
      </c>
      <c r="I208" s="18">
        <f>IF(OR(NOT(ISNUMBER($A208)),ROW()-2&lt;Settings!$B$12),NA(),IF(COUNT(OFFSET(F208,1-Settings!$B$12,0,Settings!$B$12,1))&lt;Settings!$B$12,NA(),STDEV(OFFSET(F208,1-Settings!$B$12,0,Settings!$B$12,1))*SQRT(Settings!$B$13)))</f>
        <v/>
      </c>
      <c r="J208" s="18">
        <f>IF(OR(NOT(ISNUMBER($A208)),ROW()-2&lt;Settings!$B$11),NA(),IF(COUNT(OFFSET(G208,1-Settings!$B$11,0,Settings!$B$11,1))&lt;Settings!$B$11,NA(),STDEV(OFFSET(G208,1-Settings!$B$11,0,Settings!$B$11,1))*SQRT(Settings!$B$13)))</f>
        <v/>
      </c>
      <c r="K208" s="18">
        <f>IF(OR(NOT(ISNUMBER($A208)),ROW()-2&lt;Settings!$B$12),NA(),IF(COUNT(OFFSET(G208,1-Settings!$B$12,0,Settings!$B$12,1))&lt;Settings!$B$12,NA(),STDEV(OFFSET(G208,1-Settings!$B$12,0,Settings!$B$12,1))*SQRT(Settings!$B$13)))</f>
        <v/>
      </c>
      <c r="L208" s="18">
        <f>IF(AND(ISNUMBER(D208),ISNUMBER(H208)),D208-H208,NA())</f>
        <v/>
      </c>
      <c r="M208" s="18">
        <f>IF(AND(ISNUMBER(E208),ISNUMBER(K208)),E208-K208,NA())</f>
        <v/>
      </c>
      <c r="N208" s="18">
        <f>IF(NOT(ISNUMBER($A208)),NA(),IF(COUNT(OFFSET(G208,1,0,Settings!$B$12,1))&lt;Settings!$B$12,NA(),STDEV(OFFSET(G208,1,0,Settings!$B$12,1))*SQRT(Settings!$B$13)))</f>
        <v/>
      </c>
      <c r="O208" s="18">
        <f>IF(AND(ISNUMBER(E208),ISNUMBER(N208)),E208-N208,NA())</f>
        <v/>
      </c>
      <c r="P208" s="17">
        <f>IF(NOT(ISNUMBER($A208)),NA(),IF(OR($A208&lt;MIN(KW_TP!$A$2:$A$2501),$A208&gt;MAX(KW_TP!$A$2:$A$2501)),NA(),INDEX(KW_TP!$C$2:$C$2501,MATCH($A208,KW_TP!$A$2:$A$2501,1))))</f>
        <v/>
      </c>
    </row>
    <row r="209">
      <c r="A209" s="15">
        <f>IF(ISNUMBER(BBG_Data!A209),BBG_Data!A209,"")</f>
        <v/>
      </c>
      <c r="B209" s="16">
        <f>IF(AND(ISNUMBER($A209),ISNUMBER(BBG_Data!B209)),BBG_Data!B209,NA())</f>
        <v/>
      </c>
      <c r="C209" s="16">
        <f>IF(AND(ISNUMBER($A209),ISNUMBER(BBG_Data!C209)),BBG_Data!C209,NA())</f>
        <v/>
      </c>
      <c r="D209" s="17">
        <f>IF(AND(ISNUMBER($A209),ISNUMBER(BBG_Data!D209)),BBG_Data!D209,NA())</f>
        <v/>
      </c>
      <c r="E209" s="17">
        <f>IF(AND(ISNUMBER($A209),ISNUMBER(BBG_Data!E209)),BBG_Data!E209,NA())</f>
        <v/>
      </c>
      <c r="F209" s="18">
        <f>IF(AND(ISNUMBER(B209),ISNUMBER(B208)),(B209-B208)*100,"")</f>
        <v/>
      </c>
      <c r="G209" s="18">
        <f>IF(AND(ISNUMBER(C209),ISNUMBER(C208)),(C209-C208)*100,"")</f>
        <v/>
      </c>
      <c r="H209" s="18">
        <f>IF(OR(NOT(ISNUMBER($A209)),ROW()-2&lt;Settings!$B$11),NA(),IF(COUNT(OFFSET(F209,1-Settings!$B$11,0,Settings!$B$11,1))&lt;Settings!$B$11,NA(),STDEV(OFFSET(F209,1-Settings!$B$11,0,Settings!$B$11,1))*SQRT(Settings!$B$13)))</f>
        <v/>
      </c>
      <c r="I209" s="18">
        <f>IF(OR(NOT(ISNUMBER($A209)),ROW()-2&lt;Settings!$B$12),NA(),IF(COUNT(OFFSET(F209,1-Settings!$B$12,0,Settings!$B$12,1))&lt;Settings!$B$12,NA(),STDEV(OFFSET(F209,1-Settings!$B$12,0,Settings!$B$12,1))*SQRT(Settings!$B$13)))</f>
        <v/>
      </c>
      <c r="J209" s="18">
        <f>IF(OR(NOT(ISNUMBER($A209)),ROW()-2&lt;Settings!$B$11),NA(),IF(COUNT(OFFSET(G209,1-Settings!$B$11,0,Settings!$B$11,1))&lt;Settings!$B$11,NA(),STDEV(OFFSET(G209,1-Settings!$B$11,0,Settings!$B$11,1))*SQRT(Settings!$B$13)))</f>
        <v/>
      </c>
      <c r="K209" s="18">
        <f>IF(OR(NOT(ISNUMBER($A209)),ROW()-2&lt;Settings!$B$12),NA(),IF(COUNT(OFFSET(G209,1-Settings!$B$12,0,Settings!$B$12,1))&lt;Settings!$B$12,NA(),STDEV(OFFSET(G209,1-Settings!$B$12,0,Settings!$B$12,1))*SQRT(Settings!$B$13)))</f>
        <v/>
      </c>
      <c r="L209" s="18">
        <f>IF(AND(ISNUMBER(D209),ISNUMBER(H209)),D209-H209,NA())</f>
        <v/>
      </c>
      <c r="M209" s="18">
        <f>IF(AND(ISNUMBER(E209),ISNUMBER(K209)),E209-K209,NA())</f>
        <v/>
      </c>
      <c r="N209" s="18">
        <f>IF(NOT(ISNUMBER($A209)),NA(),IF(COUNT(OFFSET(G209,1,0,Settings!$B$12,1))&lt;Settings!$B$12,NA(),STDEV(OFFSET(G209,1,0,Settings!$B$12,1))*SQRT(Settings!$B$13)))</f>
        <v/>
      </c>
      <c r="O209" s="18">
        <f>IF(AND(ISNUMBER(E209),ISNUMBER(N209)),E209-N209,NA())</f>
        <v/>
      </c>
      <c r="P209" s="17">
        <f>IF(NOT(ISNUMBER($A209)),NA(),IF(OR($A209&lt;MIN(KW_TP!$A$2:$A$2501),$A209&gt;MAX(KW_TP!$A$2:$A$2501)),NA(),INDEX(KW_TP!$C$2:$C$2501,MATCH($A209,KW_TP!$A$2:$A$2501,1))))</f>
        <v/>
      </c>
    </row>
    <row r="210">
      <c r="A210" s="15">
        <f>IF(ISNUMBER(BBG_Data!A210),BBG_Data!A210,"")</f>
        <v/>
      </c>
      <c r="B210" s="16">
        <f>IF(AND(ISNUMBER($A210),ISNUMBER(BBG_Data!B210)),BBG_Data!B210,NA())</f>
        <v/>
      </c>
      <c r="C210" s="16">
        <f>IF(AND(ISNUMBER($A210),ISNUMBER(BBG_Data!C210)),BBG_Data!C210,NA())</f>
        <v/>
      </c>
      <c r="D210" s="17">
        <f>IF(AND(ISNUMBER($A210),ISNUMBER(BBG_Data!D210)),BBG_Data!D210,NA())</f>
        <v/>
      </c>
      <c r="E210" s="17">
        <f>IF(AND(ISNUMBER($A210),ISNUMBER(BBG_Data!E210)),BBG_Data!E210,NA())</f>
        <v/>
      </c>
      <c r="F210" s="18">
        <f>IF(AND(ISNUMBER(B210),ISNUMBER(B209)),(B210-B209)*100,"")</f>
        <v/>
      </c>
      <c r="G210" s="18">
        <f>IF(AND(ISNUMBER(C210),ISNUMBER(C209)),(C210-C209)*100,"")</f>
        <v/>
      </c>
      <c r="H210" s="18">
        <f>IF(OR(NOT(ISNUMBER($A210)),ROW()-2&lt;Settings!$B$11),NA(),IF(COUNT(OFFSET(F210,1-Settings!$B$11,0,Settings!$B$11,1))&lt;Settings!$B$11,NA(),STDEV(OFFSET(F210,1-Settings!$B$11,0,Settings!$B$11,1))*SQRT(Settings!$B$13)))</f>
        <v/>
      </c>
      <c r="I210" s="18">
        <f>IF(OR(NOT(ISNUMBER($A210)),ROW()-2&lt;Settings!$B$12),NA(),IF(COUNT(OFFSET(F210,1-Settings!$B$12,0,Settings!$B$12,1))&lt;Settings!$B$12,NA(),STDEV(OFFSET(F210,1-Settings!$B$12,0,Settings!$B$12,1))*SQRT(Settings!$B$13)))</f>
        <v/>
      </c>
      <c r="J210" s="18">
        <f>IF(OR(NOT(ISNUMBER($A210)),ROW()-2&lt;Settings!$B$11),NA(),IF(COUNT(OFFSET(G210,1-Settings!$B$11,0,Settings!$B$11,1))&lt;Settings!$B$11,NA(),STDEV(OFFSET(G210,1-Settings!$B$11,0,Settings!$B$11,1))*SQRT(Settings!$B$13)))</f>
        <v/>
      </c>
      <c r="K210" s="18">
        <f>IF(OR(NOT(ISNUMBER($A210)),ROW()-2&lt;Settings!$B$12),NA(),IF(COUNT(OFFSET(G210,1-Settings!$B$12,0,Settings!$B$12,1))&lt;Settings!$B$12,NA(),STDEV(OFFSET(G210,1-Settings!$B$12,0,Settings!$B$12,1))*SQRT(Settings!$B$13)))</f>
        <v/>
      </c>
      <c r="L210" s="18">
        <f>IF(AND(ISNUMBER(D210),ISNUMBER(H210)),D210-H210,NA())</f>
        <v/>
      </c>
      <c r="M210" s="18">
        <f>IF(AND(ISNUMBER(E210),ISNUMBER(K210)),E210-K210,NA())</f>
        <v/>
      </c>
      <c r="N210" s="18">
        <f>IF(NOT(ISNUMBER($A210)),NA(),IF(COUNT(OFFSET(G210,1,0,Settings!$B$12,1))&lt;Settings!$B$12,NA(),STDEV(OFFSET(G210,1,0,Settings!$B$12,1))*SQRT(Settings!$B$13)))</f>
        <v/>
      </c>
      <c r="O210" s="18">
        <f>IF(AND(ISNUMBER(E210),ISNUMBER(N210)),E210-N210,NA())</f>
        <v/>
      </c>
      <c r="P210" s="17">
        <f>IF(NOT(ISNUMBER($A210)),NA(),IF(OR($A210&lt;MIN(KW_TP!$A$2:$A$2501),$A210&gt;MAX(KW_TP!$A$2:$A$2501)),NA(),INDEX(KW_TP!$C$2:$C$2501,MATCH($A210,KW_TP!$A$2:$A$2501,1))))</f>
        <v/>
      </c>
    </row>
    <row r="211">
      <c r="A211" s="15">
        <f>IF(ISNUMBER(BBG_Data!A211),BBG_Data!A211,"")</f>
        <v/>
      </c>
      <c r="B211" s="16">
        <f>IF(AND(ISNUMBER($A211),ISNUMBER(BBG_Data!B211)),BBG_Data!B211,NA())</f>
        <v/>
      </c>
      <c r="C211" s="16">
        <f>IF(AND(ISNUMBER($A211),ISNUMBER(BBG_Data!C211)),BBG_Data!C211,NA())</f>
        <v/>
      </c>
      <c r="D211" s="17">
        <f>IF(AND(ISNUMBER($A211),ISNUMBER(BBG_Data!D211)),BBG_Data!D211,NA())</f>
        <v/>
      </c>
      <c r="E211" s="17">
        <f>IF(AND(ISNUMBER($A211),ISNUMBER(BBG_Data!E211)),BBG_Data!E211,NA())</f>
        <v/>
      </c>
      <c r="F211" s="18">
        <f>IF(AND(ISNUMBER(B211),ISNUMBER(B210)),(B211-B210)*100,"")</f>
        <v/>
      </c>
      <c r="G211" s="18">
        <f>IF(AND(ISNUMBER(C211),ISNUMBER(C210)),(C211-C210)*100,"")</f>
        <v/>
      </c>
      <c r="H211" s="18">
        <f>IF(OR(NOT(ISNUMBER($A211)),ROW()-2&lt;Settings!$B$11),NA(),IF(COUNT(OFFSET(F211,1-Settings!$B$11,0,Settings!$B$11,1))&lt;Settings!$B$11,NA(),STDEV(OFFSET(F211,1-Settings!$B$11,0,Settings!$B$11,1))*SQRT(Settings!$B$13)))</f>
        <v/>
      </c>
      <c r="I211" s="18">
        <f>IF(OR(NOT(ISNUMBER($A211)),ROW()-2&lt;Settings!$B$12),NA(),IF(COUNT(OFFSET(F211,1-Settings!$B$12,0,Settings!$B$12,1))&lt;Settings!$B$12,NA(),STDEV(OFFSET(F211,1-Settings!$B$12,0,Settings!$B$12,1))*SQRT(Settings!$B$13)))</f>
        <v/>
      </c>
      <c r="J211" s="18">
        <f>IF(OR(NOT(ISNUMBER($A211)),ROW()-2&lt;Settings!$B$11),NA(),IF(COUNT(OFFSET(G211,1-Settings!$B$11,0,Settings!$B$11,1))&lt;Settings!$B$11,NA(),STDEV(OFFSET(G211,1-Settings!$B$11,0,Settings!$B$11,1))*SQRT(Settings!$B$13)))</f>
        <v/>
      </c>
      <c r="K211" s="18">
        <f>IF(OR(NOT(ISNUMBER($A211)),ROW()-2&lt;Settings!$B$12),NA(),IF(COUNT(OFFSET(G211,1-Settings!$B$12,0,Settings!$B$12,1))&lt;Settings!$B$12,NA(),STDEV(OFFSET(G211,1-Settings!$B$12,0,Settings!$B$12,1))*SQRT(Settings!$B$13)))</f>
        <v/>
      </c>
      <c r="L211" s="18">
        <f>IF(AND(ISNUMBER(D211),ISNUMBER(H211)),D211-H211,NA())</f>
        <v/>
      </c>
      <c r="M211" s="18">
        <f>IF(AND(ISNUMBER(E211),ISNUMBER(K211)),E211-K211,NA())</f>
        <v/>
      </c>
      <c r="N211" s="18">
        <f>IF(NOT(ISNUMBER($A211)),NA(),IF(COUNT(OFFSET(G211,1,0,Settings!$B$12,1))&lt;Settings!$B$12,NA(),STDEV(OFFSET(G211,1,0,Settings!$B$12,1))*SQRT(Settings!$B$13)))</f>
        <v/>
      </c>
      <c r="O211" s="18">
        <f>IF(AND(ISNUMBER(E211),ISNUMBER(N211)),E211-N211,NA())</f>
        <v/>
      </c>
      <c r="P211" s="17">
        <f>IF(NOT(ISNUMBER($A211)),NA(),IF(OR($A211&lt;MIN(KW_TP!$A$2:$A$2501),$A211&gt;MAX(KW_TP!$A$2:$A$2501)),NA(),INDEX(KW_TP!$C$2:$C$2501,MATCH($A211,KW_TP!$A$2:$A$2501,1))))</f>
        <v/>
      </c>
    </row>
    <row r="212">
      <c r="A212" s="15">
        <f>IF(ISNUMBER(BBG_Data!A212),BBG_Data!A212,"")</f>
        <v/>
      </c>
      <c r="B212" s="16">
        <f>IF(AND(ISNUMBER($A212),ISNUMBER(BBG_Data!B212)),BBG_Data!B212,NA())</f>
        <v/>
      </c>
      <c r="C212" s="16">
        <f>IF(AND(ISNUMBER($A212),ISNUMBER(BBG_Data!C212)),BBG_Data!C212,NA())</f>
        <v/>
      </c>
      <c r="D212" s="17">
        <f>IF(AND(ISNUMBER($A212),ISNUMBER(BBG_Data!D212)),BBG_Data!D212,NA())</f>
        <v/>
      </c>
      <c r="E212" s="17">
        <f>IF(AND(ISNUMBER($A212),ISNUMBER(BBG_Data!E212)),BBG_Data!E212,NA())</f>
        <v/>
      </c>
      <c r="F212" s="18">
        <f>IF(AND(ISNUMBER(B212),ISNUMBER(B211)),(B212-B211)*100,"")</f>
        <v/>
      </c>
      <c r="G212" s="18">
        <f>IF(AND(ISNUMBER(C212),ISNUMBER(C211)),(C212-C211)*100,"")</f>
        <v/>
      </c>
      <c r="H212" s="18">
        <f>IF(OR(NOT(ISNUMBER($A212)),ROW()-2&lt;Settings!$B$11),NA(),IF(COUNT(OFFSET(F212,1-Settings!$B$11,0,Settings!$B$11,1))&lt;Settings!$B$11,NA(),STDEV(OFFSET(F212,1-Settings!$B$11,0,Settings!$B$11,1))*SQRT(Settings!$B$13)))</f>
        <v/>
      </c>
      <c r="I212" s="18">
        <f>IF(OR(NOT(ISNUMBER($A212)),ROW()-2&lt;Settings!$B$12),NA(),IF(COUNT(OFFSET(F212,1-Settings!$B$12,0,Settings!$B$12,1))&lt;Settings!$B$12,NA(),STDEV(OFFSET(F212,1-Settings!$B$12,0,Settings!$B$12,1))*SQRT(Settings!$B$13)))</f>
        <v/>
      </c>
      <c r="J212" s="18">
        <f>IF(OR(NOT(ISNUMBER($A212)),ROW()-2&lt;Settings!$B$11),NA(),IF(COUNT(OFFSET(G212,1-Settings!$B$11,0,Settings!$B$11,1))&lt;Settings!$B$11,NA(),STDEV(OFFSET(G212,1-Settings!$B$11,0,Settings!$B$11,1))*SQRT(Settings!$B$13)))</f>
        <v/>
      </c>
      <c r="K212" s="18">
        <f>IF(OR(NOT(ISNUMBER($A212)),ROW()-2&lt;Settings!$B$12),NA(),IF(COUNT(OFFSET(G212,1-Settings!$B$12,0,Settings!$B$12,1))&lt;Settings!$B$12,NA(),STDEV(OFFSET(G212,1-Settings!$B$12,0,Settings!$B$12,1))*SQRT(Settings!$B$13)))</f>
        <v/>
      </c>
      <c r="L212" s="18">
        <f>IF(AND(ISNUMBER(D212),ISNUMBER(H212)),D212-H212,NA())</f>
        <v/>
      </c>
      <c r="M212" s="18">
        <f>IF(AND(ISNUMBER(E212),ISNUMBER(K212)),E212-K212,NA())</f>
        <v/>
      </c>
      <c r="N212" s="18">
        <f>IF(NOT(ISNUMBER($A212)),NA(),IF(COUNT(OFFSET(G212,1,0,Settings!$B$12,1))&lt;Settings!$B$12,NA(),STDEV(OFFSET(G212,1,0,Settings!$B$12,1))*SQRT(Settings!$B$13)))</f>
        <v/>
      </c>
      <c r="O212" s="18">
        <f>IF(AND(ISNUMBER(E212),ISNUMBER(N212)),E212-N212,NA())</f>
        <v/>
      </c>
      <c r="P212" s="17">
        <f>IF(NOT(ISNUMBER($A212)),NA(),IF(OR($A212&lt;MIN(KW_TP!$A$2:$A$2501),$A212&gt;MAX(KW_TP!$A$2:$A$2501)),NA(),INDEX(KW_TP!$C$2:$C$2501,MATCH($A212,KW_TP!$A$2:$A$2501,1))))</f>
        <v/>
      </c>
    </row>
    <row r="213">
      <c r="A213" s="15">
        <f>IF(ISNUMBER(BBG_Data!A213),BBG_Data!A213,"")</f>
        <v/>
      </c>
      <c r="B213" s="16">
        <f>IF(AND(ISNUMBER($A213),ISNUMBER(BBG_Data!B213)),BBG_Data!B213,NA())</f>
        <v/>
      </c>
      <c r="C213" s="16">
        <f>IF(AND(ISNUMBER($A213),ISNUMBER(BBG_Data!C213)),BBG_Data!C213,NA())</f>
        <v/>
      </c>
      <c r="D213" s="17">
        <f>IF(AND(ISNUMBER($A213),ISNUMBER(BBG_Data!D213)),BBG_Data!D213,NA())</f>
        <v/>
      </c>
      <c r="E213" s="17">
        <f>IF(AND(ISNUMBER($A213),ISNUMBER(BBG_Data!E213)),BBG_Data!E213,NA())</f>
        <v/>
      </c>
      <c r="F213" s="18">
        <f>IF(AND(ISNUMBER(B213),ISNUMBER(B212)),(B213-B212)*100,"")</f>
        <v/>
      </c>
      <c r="G213" s="18">
        <f>IF(AND(ISNUMBER(C213),ISNUMBER(C212)),(C213-C212)*100,"")</f>
        <v/>
      </c>
      <c r="H213" s="18">
        <f>IF(OR(NOT(ISNUMBER($A213)),ROW()-2&lt;Settings!$B$11),NA(),IF(COUNT(OFFSET(F213,1-Settings!$B$11,0,Settings!$B$11,1))&lt;Settings!$B$11,NA(),STDEV(OFFSET(F213,1-Settings!$B$11,0,Settings!$B$11,1))*SQRT(Settings!$B$13)))</f>
        <v/>
      </c>
      <c r="I213" s="18">
        <f>IF(OR(NOT(ISNUMBER($A213)),ROW()-2&lt;Settings!$B$12),NA(),IF(COUNT(OFFSET(F213,1-Settings!$B$12,0,Settings!$B$12,1))&lt;Settings!$B$12,NA(),STDEV(OFFSET(F213,1-Settings!$B$12,0,Settings!$B$12,1))*SQRT(Settings!$B$13)))</f>
        <v/>
      </c>
      <c r="J213" s="18">
        <f>IF(OR(NOT(ISNUMBER($A213)),ROW()-2&lt;Settings!$B$11),NA(),IF(COUNT(OFFSET(G213,1-Settings!$B$11,0,Settings!$B$11,1))&lt;Settings!$B$11,NA(),STDEV(OFFSET(G213,1-Settings!$B$11,0,Settings!$B$11,1))*SQRT(Settings!$B$13)))</f>
        <v/>
      </c>
      <c r="K213" s="18">
        <f>IF(OR(NOT(ISNUMBER($A213)),ROW()-2&lt;Settings!$B$12),NA(),IF(COUNT(OFFSET(G213,1-Settings!$B$12,0,Settings!$B$12,1))&lt;Settings!$B$12,NA(),STDEV(OFFSET(G213,1-Settings!$B$12,0,Settings!$B$12,1))*SQRT(Settings!$B$13)))</f>
        <v/>
      </c>
      <c r="L213" s="18">
        <f>IF(AND(ISNUMBER(D213),ISNUMBER(H213)),D213-H213,NA())</f>
        <v/>
      </c>
      <c r="M213" s="18">
        <f>IF(AND(ISNUMBER(E213),ISNUMBER(K213)),E213-K213,NA())</f>
        <v/>
      </c>
      <c r="N213" s="18">
        <f>IF(NOT(ISNUMBER($A213)),NA(),IF(COUNT(OFFSET(G213,1,0,Settings!$B$12,1))&lt;Settings!$B$12,NA(),STDEV(OFFSET(G213,1,0,Settings!$B$12,1))*SQRT(Settings!$B$13)))</f>
        <v/>
      </c>
      <c r="O213" s="18">
        <f>IF(AND(ISNUMBER(E213),ISNUMBER(N213)),E213-N213,NA())</f>
        <v/>
      </c>
      <c r="P213" s="17">
        <f>IF(NOT(ISNUMBER($A213)),NA(),IF(OR($A213&lt;MIN(KW_TP!$A$2:$A$2501),$A213&gt;MAX(KW_TP!$A$2:$A$2501)),NA(),INDEX(KW_TP!$C$2:$C$2501,MATCH($A213,KW_TP!$A$2:$A$2501,1))))</f>
        <v/>
      </c>
    </row>
    <row r="214">
      <c r="A214" s="15">
        <f>IF(ISNUMBER(BBG_Data!A214),BBG_Data!A214,"")</f>
        <v/>
      </c>
      <c r="B214" s="16">
        <f>IF(AND(ISNUMBER($A214),ISNUMBER(BBG_Data!B214)),BBG_Data!B214,NA())</f>
        <v/>
      </c>
      <c r="C214" s="16">
        <f>IF(AND(ISNUMBER($A214),ISNUMBER(BBG_Data!C214)),BBG_Data!C214,NA())</f>
        <v/>
      </c>
      <c r="D214" s="17">
        <f>IF(AND(ISNUMBER($A214),ISNUMBER(BBG_Data!D214)),BBG_Data!D214,NA())</f>
        <v/>
      </c>
      <c r="E214" s="17">
        <f>IF(AND(ISNUMBER($A214),ISNUMBER(BBG_Data!E214)),BBG_Data!E214,NA())</f>
        <v/>
      </c>
      <c r="F214" s="18">
        <f>IF(AND(ISNUMBER(B214),ISNUMBER(B213)),(B214-B213)*100,"")</f>
        <v/>
      </c>
      <c r="G214" s="18">
        <f>IF(AND(ISNUMBER(C214),ISNUMBER(C213)),(C214-C213)*100,"")</f>
        <v/>
      </c>
      <c r="H214" s="18">
        <f>IF(OR(NOT(ISNUMBER($A214)),ROW()-2&lt;Settings!$B$11),NA(),IF(COUNT(OFFSET(F214,1-Settings!$B$11,0,Settings!$B$11,1))&lt;Settings!$B$11,NA(),STDEV(OFFSET(F214,1-Settings!$B$11,0,Settings!$B$11,1))*SQRT(Settings!$B$13)))</f>
        <v/>
      </c>
      <c r="I214" s="18">
        <f>IF(OR(NOT(ISNUMBER($A214)),ROW()-2&lt;Settings!$B$12),NA(),IF(COUNT(OFFSET(F214,1-Settings!$B$12,0,Settings!$B$12,1))&lt;Settings!$B$12,NA(),STDEV(OFFSET(F214,1-Settings!$B$12,0,Settings!$B$12,1))*SQRT(Settings!$B$13)))</f>
        <v/>
      </c>
      <c r="J214" s="18">
        <f>IF(OR(NOT(ISNUMBER($A214)),ROW()-2&lt;Settings!$B$11),NA(),IF(COUNT(OFFSET(G214,1-Settings!$B$11,0,Settings!$B$11,1))&lt;Settings!$B$11,NA(),STDEV(OFFSET(G214,1-Settings!$B$11,0,Settings!$B$11,1))*SQRT(Settings!$B$13)))</f>
        <v/>
      </c>
      <c r="K214" s="18">
        <f>IF(OR(NOT(ISNUMBER($A214)),ROW()-2&lt;Settings!$B$12),NA(),IF(COUNT(OFFSET(G214,1-Settings!$B$12,0,Settings!$B$12,1))&lt;Settings!$B$12,NA(),STDEV(OFFSET(G214,1-Settings!$B$12,0,Settings!$B$12,1))*SQRT(Settings!$B$13)))</f>
        <v/>
      </c>
      <c r="L214" s="18">
        <f>IF(AND(ISNUMBER(D214),ISNUMBER(H214)),D214-H214,NA())</f>
        <v/>
      </c>
      <c r="M214" s="18">
        <f>IF(AND(ISNUMBER(E214),ISNUMBER(K214)),E214-K214,NA())</f>
        <v/>
      </c>
      <c r="N214" s="18">
        <f>IF(NOT(ISNUMBER($A214)),NA(),IF(COUNT(OFFSET(G214,1,0,Settings!$B$12,1))&lt;Settings!$B$12,NA(),STDEV(OFFSET(G214,1,0,Settings!$B$12,1))*SQRT(Settings!$B$13)))</f>
        <v/>
      </c>
      <c r="O214" s="18">
        <f>IF(AND(ISNUMBER(E214),ISNUMBER(N214)),E214-N214,NA())</f>
        <v/>
      </c>
      <c r="P214" s="17">
        <f>IF(NOT(ISNUMBER($A214)),NA(),IF(OR($A214&lt;MIN(KW_TP!$A$2:$A$2501),$A214&gt;MAX(KW_TP!$A$2:$A$2501)),NA(),INDEX(KW_TP!$C$2:$C$2501,MATCH($A214,KW_TP!$A$2:$A$2501,1))))</f>
        <v/>
      </c>
    </row>
    <row r="215">
      <c r="A215" s="15">
        <f>IF(ISNUMBER(BBG_Data!A215),BBG_Data!A215,"")</f>
        <v/>
      </c>
      <c r="B215" s="16">
        <f>IF(AND(ISNUMBER($A215),ISNUMBER(BBG_Data!B215)),BBG_Data!B215,NA())</f>
        <v/>
      </c>
      <c r="C215" s="16">
        <f>IF(AND(ISNUMBER($A215),ISNUMBER(BBG_Data!C215)),BBG_Data!C215,NA())</f>
        <v/>
      </c>
      <c r="D215" s="17">
        <f>IF(AND(ISNUMBER($A215),ISNUMBER(BBG_Data!D215)),BBG_Data!D215,NA())</f>
        <v/>
      </c>
      <c r="E215" s="17">
        <f>IF(AND(ISNUMBER($A215),ISNUMBER(BBG_Data!E215)),BBG_Data!E215,NA())</f>
        <v/>
      </c>
      <c r="F215" s="18">
        <f>IF(AND(ISNUMBER(B215),ISNUMBER(B214)),(B215-B214)*100,"")</f>
        <v/>
      </c>
      <c r="G215" s="18">
        <f>IF(AND(ISNUMBER(C215),ISNUMBER(C214)),(C215-C214)*100,"")</f>
        <v/>
      </c>
      <c r="H215" s="18">
        <f>IF(OR(NOT(ISNUMBER($A215)),ROW()-2&lt;Settings!$B$11),NA(),IF(COUNT(OFFSET(F215,1-Settings!$B$11,0,Settings!$B$11,1))&lt;Settings!$B$11,NA(),STDEV(OFFSET(F215,1-Settings!$B$11,0,Settings!$B$11,1))*SQRT(Settings!$B$13)))</f>
        <v/>
      </c>
      <c r="I215" s="18">
        <f>IF(OR(NOT(ISNUMBER($A215)),ROW()-2&lt;Settings!$B$12),NA(),IF(COUNT(OFFSET(F215,1-Settings!$B$12,0,Settings!$B$12,1))&lt;Settings!$B$12,NA(),STDEV(OFFSET(F215,1-Settings!$B$12,0,Settings!$B$12,1))*SQRT(Settings!$B$13)))</f>
        <v/>
      </c>
      <c r="J215" s="18">
        <f>IF(OR(NOT(ISNUMBER($A215)),ROW()-2&lt;Settings!$B$11),NA(),IF(COUNT(OFFSET(G215,1-Settings!$B$11,0,Settings!$B$11,1))&lt;Settings!$B$11,NA(),STDEV(OFFSET(G215,1-Settings!$B$11,0,Settings!$B$11,1))*SQRT(Settings!$B$13)))</f>
        <v/>
      </c>
      <c r="K215" s="18">
        <f>IF(OR(NOT(ISNUMBER($A215)),ROW()-2&lt;Settings!$B$12),NA(),IF(COUNT(OFFSET(G215,1-Settings!$B$12,0,Settings!$B$12,1))&lt;Settings!$B$12,NA(),STDEV(OFFSET(G215,1-Settings!$B$12,0,Settings!$B$12,1))*SQRT(Settings!$B$13)))</f>
        <v/>
      </c>
      <c r="L215" s="18">
        <f>IF(AND(ISNUMBER(D215),ISNUMBER(H215)),D215-H215,NA())</f>
        <v/>
      </c>
      <c r="M215" s="18">
        <f>IF(AND(ISNUMBER(E215),ISNUMBER(K215)),E215-K215,NA())</f>
        <v/>
      </c>
      <c r="N215" s="18">
        <f>IF(NOT(ISNUMBER($A215)),NA(),IF(COUNT(OFFSET(G215,1,0,Settings!$B$12,1))&lt;Settings!$B$12,NA(),STDEV(OFFSET(G215,1,0,Settings!$B$12,1))*SQRT(Settings!$B$13)))</f>
        <v/>
      </c>
      <c r="O215" s="18">
        <f>IF(AND(ISNUMBER(E215),ISNUMBER(N215)),E215-N215,NA())</f>
        <v/>
      </c>
      <c r="P215" s="17">
        <f>IF(NOT(ISNUMBER($A215)),NA(),IF(OR($A215&lt;MIN(KW_TP!$A$2:$A$2501),$A215&gt;MAX(KW_TP!$A$2:$A$2501)),NA(),INDEX(KW_TP!$C$2:$C$2501,MATCH($A215,KW_TP!$A$2:$A$2501,1))))</f>
        <v/>
      </c>
    </row>
    <row r="216">
      <c r="A216" s="15">
        <f>IF(ISNUMBER(BBG_Data!A216),BBG_Data!A216,"")</f>
        <v/>
      </c>
      <c r="B216" s="16">
        <f>IF(AND(ISNUMBER($A216),ISNUMBER(BBG_Data!B216)),BBG_Data!B216,NA())</f>
        <v/>
      </c>
      <c r="C216" s="16">
        <f>IF(AND(ISNUMBER($A216),ISNUMBER(BBG_Data!C216)),BBG_Data!C216,NA())</f>
        <v/>
      </c>
      <c r="D216" s="17">
        <f>IF(AND(ISNUMBER($A216),ISNUMBER(BBG_Data!D216)),BBG_Data!D216,NA())</f>
        <v/>
      </c>
      <c r="E216" s="17">
        <f>IF(AND(ISNUMBER($A216),ISNUMBER(BBG_Data!E216)),BBG_Data!E216,NA())</f>
        <v/>
      </c>
      <c r="F216" s="18">
        <f>IF(AND(ISNUMBER(B216),ISNUMBER(B215)),(B216-B215)*100,"")</f>
        <v/>
      </c>
      <c r="G216" s="18">
        <f>IF(AND(ISNUMBER(C216),ISNUMBER(C215)),(C216-C215)*100,"")</f>
        <v/>
      </c>
      <c r="H216" s="18">
        <f>IF(OR(NOT(ISNUMBER($A216)),ROW()-2&lt;Settings!$B$11),NA(),IF(COUNT(OFFSET(F216,1-Settings!$B$11,0,Settings!$B$11,1))&lt;Settings!$B$11,NA(),STDEV(OFFSET(F216,1-Settings!$B$11,0,Settings!$B$11,1))*SQRT(Settings!$B$13)))</f>
        <v/>
      </c>
      <c r="I216" s="18">
        <f>IF(OR(NOT(ISNUMBER($A216)),ROW()-2&lt;Settings!$B$12),NA(),IF(COUNT(OFFSET(F216,1-Settings!$B$12,0,Settings!$B$12,1))&lt;Settings!$B$12,NA(),STDEV(OFFSET(F216,1-Settings!$B$12,0,Settings!$B$12,1))*SQRT(Settings!$B$13)))</f>
        <v/>
      </c>
      <c r="J216" s="18">
        <f>IF(OR(NOT(ISNUMBER($A216)),ROW()-2&lt;Settings!$B$11),NA(),IF(COUNT(OFFSET(G216,1-Settings!$B$11,0,Settings!$B$11,1))&lt;Settings!$B$11,NA(),STDEV(OFFSET(G216,1-Settings!$B$11,0,Settings!$B$11,1))*SQRT(Settings!$B$13)))</f>
        <v/>
      </c>
      <c r="K216" s="18">
        <f>IF(OR(NOT(ISNUMBER($A216)),ROW()-2&lt;Settings!$B$12),NA(),IF(COUNT(OFFSET(G216,1-Settings!$B$12,0,Settings!$B$12,1))&lt;Settings!$B$12,NA(),STDEV(OFFSET(G216,1-Settings!$B$12,0,Settings!$B$12,1))*SQRT(Settings!$B$13)))</f>
        <v/>
      </c>
      <c r="L216" s="18">
        <f>IF(AND(ISNUMBER(D216),ISNUMBER(H216)),D216-H216,NA())</f>
        <v/>
      </c>
      <c r="M216" s="18">
        <f>IF(AND(ISNUMBER(E216),ISNUMBER(K216)),E216-K216,NA())</f>
        <v/>
      </c>
      <c r="N216" s="18">
        <f>IF(NOT(ISNUMBER($A216)),NA(),IF(COUNT(OFFSET(G216,1,0,Settings!$B$12,1))&lt;Settings!$B$12,NA(),STDEV(OFFSET(G216,1,0,Settings!$B$12,1))*SQRT(Settings!$B$13)))</f>
        <v/>
      </c>
      <c r="O216" s="18">
        <f>IF(AND(ISNUMBER(E216),ISNUMBER(N216)),E216-N216,NA())</f>
        <v/>
      </c>
      <c r="P216" s="17">
        <f>IF(NOT(ISNUMBER($A216)),NA(),IF(OR($A216&lt;MIN(KW_TP!$A$2:$A$2501),$A216&gt;MAX(KW_TP!$A$2:$A$2501)),NA(),INDEX(KW_TP!$C$2:$C$2501,MATCH($A216,KW_TP!$A$2:$A$2501,1))))</f>
        <v/>
      </c>
    </row>
    <row r="217">
      <c r="A217" s="15">
        <f>IF(ISNUMBER(BBG_Data!A217),BBG_Data!A217,"")</f>
        <v/>
      </c>
      <c r="B217" s="16">
        <f>IF(AND(ISNUMBER($A217),ISNUMBER(BBG_Data!B217)),BBG_Data!B217,NA())</f>
        <v/>
      </c>
      <c r="C217" s="16">
        <f>IF(AND(ISNUMBER($A217),ISNUMBER(BBG_Data!C217)),BBG_Data!C217,NA())</f>
        <v/>
      </c>
      <c r="D217" s="17">
        <f>IF(AND(ISNUMBER($A217),ISNUMBER(BBG_Data!D217)),BBG_Data!D217,NA())</f>
        <v/>
      </c>
      <c r="E217" s="17">
        <f>IF(AND(ISNUMBER($A217),ISNUMBER(BBG_Data!E217)),BBG_Data!E217,NA())</f>
        <v/>
      </c>
      <c r="F217" s="18">
        <f>IF(AND(ISNUMBER(B217),ISNUMBER(B216)),(B217-B216)*100,"")</f>
        <v/>
      </c>
      <c r="G217" s="18">
        <f>IF(AND(ISNUMBER(C217),ISNUMBER(C216)),(C217-C216)*100,"")</f>
        <v/>
      </c>
      <c r="H217" s="18">
        <f>IF(OR(NOT(ISNUMBER($A217)),ROW()-2&lt;Settings!$B$11),NA(),IF(COUNT(OFFSET(F217,1-Settings!$B$11,0,Settings!$B$11,1))&lt;Settings!$B$11,NA(),STDEV(OFFSET(F217,1-Settings!$B$11,0,Settings!$B$11,1))*SQRT(Settings!$B$13)))</f>
        <v/>
      </c>
      <c r="I217" s="18">
        <f>IF(OR(NOT(ISNUMBER($A217)),ROW()-2&lt;Settings!$B$12),NA(),IF(COUNT(OFFSET(F217,1-Settings!$B$12,0,Settings!$B$12,1))&lt;Settings!$B$12,NA(),STDEV(OFFSET(F217,1-Settings!$B$12,0,Settings!$B$12,1))*SQRT(Settings!$B$13)))</f>
        <v/>
      </c>
      <c r="J217" s="18">
        <f>IF(OR(NOT(ISNUMBER($A217)),ROW()-2&lt;Settings!$B$11),NA(),IF(COUNT(OFFSET(G217,1-Settings!$B$11,0,Settings!$B$11,1))&lt;Settings!$B$11,NA(),STDEV(OFFSET(G217,1-Settings!$B$11,0,Settings!$B$11,1))*SQRT(Settings!$B$13)))</f>
        <v/>
      </c>
      <c r="K217" s="18">
        <f>IF(OR(NOT(ISNUMBER($A217)),ROW()-2&lt;Settings!$B$12),NA(),IF(COUNT(OFFSET(G217,1-Settings!$B$12,0,Settings!$B$12,1))&lt;Settings!$B$12,NA(),STDEV(OFFSET(G217,1-Settings!$B$12,0,Settings!$B$12,1))*SQRT(Settings!$B$13)))</f>
        <v/>
      </c>
      <c r="L217" s="18">
        <f>IF(AND(ISNUMBER(D217),ISNUMBER(H217)),D217-H217,NA())</f>
        <v/>
      </c>
      <c r="M217" s="18">
        <f>IF(AND(ISNUMBER(E217),ISNUMBER(K217)),E217-K217,NA())</f>
        <v/>
      </c>
      <c r="N217" s="18">
        <f>IF(NOT(ISNUMBER($A217)),NA(),IF(COUNT(OFFSET(G217,1,0,Settings!$B$12,1))&lt;Settings!$B$12,NA(),STDEV(OFFSET(G217,1,0,Settings!$B$12,1))*SQRT(Settings!$B$13)))</f>
        <v/>
      </c>
      <c r="O217" s="18">
        <f>IF(AND(ISNUMBER(E217),ISNUMBER(N217)),E217-N217,NA())</f>
        <v/>
      </c>
      <c r="P217" s="17">
        <f>IF(NOT(ISNUMBER($A217)),NA(),IF(OR($A217&lt;MIN(KW_TP!$A$2:$A$2501),$A217&gt;MAX(KW_TP!$A$2:$A$2501)),NA(),INDEX(KW_TP!$C$2:$C$2501,MATCH($A217,KW_TP!$A$2:$A$2501,1))))</f>
        <v/>
      </c>
    </row>
    <row r="218">
      <c r="A218" s="15">
        <f>IF(ISNUMBER(BBG_Data!A218),BBG_Data!A218,"")</f>
        <v/>
      </c>
      <c r="B218" s="16">
        <f>IF(AND(ISNUMBER($A218),ISNUMBER(BBG_Data!B218)),BBG_Data!B218,NA())</f>
        <v/>
      </c>
      <c r="C218" s="16">
        <f>IF(AND(ISNUMBER($A218),ISNUMBER(BBG_Data!C218)),BBG_Data!C218,NA())</f>
        <v/>
      </c>
      <c r="D218" s="17">
        <f>IF(AND(ISNUMBER($A218),ISNUMBER(BBG_Data!D218)),BBG_Data!D218,NA())</f>
        <v/>
      </c>
      <c r="E218" s="17">
        <f>IF(AND(ISNUMBER($A218),ISNUMBER(BBG_Data!E218)),BBG_Data!E218,NA())</f>
        <v/>
      </c>
      <c r="F218" s="18">
        <f>IF(AND(ISNUMBER(B218),ISNUMBER(B217)),(B218-B217)*100,"")</f>
        <v/>
      </c>
      <c r="G218" s="18">
        <f>IF(AND(ISNUMBER(C218),ISNUMBER(C217)),(C218-C217)*100,"")</f>
        <v/>
      </c>
      <c r="H218" s="18">
        <f>IF(OR(NOT(ISNUMBER($A218)),ROW()-2&lt;Settings!$B$11),NA(),IF(COUNT(OFFSET(F218,1-Settings!$B$11,0,Settings!$B$11,1))&lt;Settings!$B$11,NA(),STDEV(OFFSET(F218,1-Settings!$B$11,0,Settings!$B$11,1))*SQRT(Settings!$B$13)))</f>
        <v/>
      </c>
      <c r="I218" s="18">
        <f>IF(OR(NOT(ISNUMBER($A218)),ROW()-2&lt;Settings!$B$12),NA(),IF(COUNT(OFFSET(F218,1-Settings!$B$12,0,Settings!$B$12,1))&lt;Settings!$B$12,NA(),STDEV(OFFSET(F218,1-Settings!$B$12,0,Settings!$B$12,1))*SQRT(Settings!$B$13)))</f>
        <v/>
      </c>
      <c r="J218" s="18">
        <f>IF(OR(NOT(ISNUMBER($A218)),ROW()-2&lt;Settings!$B$11),NA(),IF(COUNT(OFFSET(G218,1-Settings!$B$11,0,Settings!$B$11,1))&lt;Settings!$B$11,NA(),STDEV(OFFSET(G218,1-Settings!$B$11,0,Settings!$B$11,1))*SQRT(Settings!$B$13)))</f>
        <v/>
      </c>
      <c r="K218" s="18">
        <f>IF(OR(NOT(ISNUMBER($A218)),ROW()-2&lt;Settings!$B$12),NA(),IF(COUNT(OFFSET(G218,1-Settings!$B$12,0,Settings!$B$12,1))&lt;Settings!$B$12,NA(),STDEV(OFFSET(G218,1-Settings!$B$12,0,Settings!$B$12,1))*SQRT(Settings!$B$13)))</f>
        <v/>
      </c>
      <c r="L218" s="18">
        <f>IF(AND(ISNUMBER(D218),ISNUMBER(H218)),D218-H218,NA())</f>
        <v/>
      </c>
      <c r="M218" s="18">
        <f>IF(AND(ISNUMBER(E218),ISNUMBER(K218)),E218-K218,NA())</f>
        <v/>
      </c>
      <c r="N218" s="18">
        <f>IF(NOT(ISNUMBER($A218)),NA(),IF(COUNT(OFFSET(G218,1,0,Settings!$B$12,1))&lt;Settings!$B$12,NA(),STDEV(OFFSET(G218,1,0,Settings!$B$12,1))*SQRT(Settings!$B$13)))</f>
        <v/>
      </c>
      <c r="O218" s="18">
        <f>IF(AND(ISNUMBER(E218),ISNUMBER(N218)),E218-N218,NA())</f>
        <v/>
      </c>
      <c r="P218" s="17">
        <f>IF(NOT(ISNUMBER($A218)),NA(),IF(OR($A218&lt;MIN(KW_TP!$A$2:$A$2501),$A218&gt;MAX(KW_TP!$A$2:$A$2501)),NA(),INDEX(KW_TP!$C$2:$C$2501,MATCH($A218,KW_TP!$A$2:$A$2501,1))))</f>
        <v/>
      </c>
    </row>
    <row r="219">
      <c r="A219" s="15">
        <f>IF(ISNUMBER(BBG_Data!A219),BBG_Data!A219,"")</f>
        <v/>
      </c>
      <c r="B219" s="16">
        <f>IF(AND(ISNUMBER($A219),ISNUMBER(BBG_Data!B219)),BBG_Data!B219,NA())</f>
        <v/>
      </c>
      <c r="C219" s="16">
        <f>IF(AND(ISNUMBER($A219),ISNUMBER(BBG_Data!C219)),BBG_Data!C219,NA())</f>
        <v/>
      </c>
      <c r="D219" s="17">
        <f>IF(AND(ISNUMBER($A219),ISNUMBER(BBG_Data!D219)),BBG_Data!D219,NA())</f>
        <v/>
      </c>
      <c r="E219" s="17">
        <f>IF(AND(ISNUMBER($A219),ISNUMBER(BBG_Data!E219)),BBG_Data!E219,NA())</f>
        <v/>
      </c>
      <c r="F219" s="18">
        <f>IF(AND(ISNUMBER(B219),ISNUMBER(B218)),(B219-B218)*100,"")</f>
        <v/>
      </c>
      <c r="G219" s="18">
        <f>IF(AND(ISNUMBER(C219),ISNUMBER(C218)),(C219-C218)*100,"")</f>
        <v/>
      </c>
      <c r="H219" s="18">
        <f>IF(OR(NOT(ISNUMBER($A219)),ROW()-2&lt;Settings!$B$11),NA(),IF(COUNT(OFFSET(F219,1-Settings!$B$11,0,Settings!$B$11,1))&lt;Settings!$B$11,NA(),STDEV(OFFSET(F219,1-Settings!$B$11,0,Settings!$B$11,1))*SQRT(Settings!$B$13)))</f>
        <v/>
      </c>
      <c r="I219" s="18">
        <f>IF(OR(NOT(ISNUMBER($A219)),ROW()-2&lt;Settings!$B$12),NA(),IF(COUNT(OFFSET(F219,1-Settings!$B$12,0,Settings!$B$12,1))&lt;Settings!$B$12,NA(),STDEV(OFFSET(F219,1-Settings!$B$12,0,Settings!$B$12,1))*SQRT(Settings!$B$13)))</f>
        <v/>
      </c>
      <c r="J219" s="18">
        <f>IF(OR(NOT(ISNUMBER($A219)),ROW()-2&lt;Settings!$B$11),NA(),IF(COUNT(OFFSET(G219,1-Settings!$B$11,0,Settings!$B$11,1))&lt;Settings!$B$11,NA(),STDEV(OFFSET(G219,1-Settings!$B$11,0,Settings!$B$11,1))*SQRT(Settings!$B$13)))</f>
        <v/>
      </c>
      <c r="K219" s="18">
        <f>IF(OR(NOT(ISNUMBER($A219)),ROW()-2&lt;Settings!$B$12),NA(),IF(COUNT(OFFSET(G219,1-Settings!$B$12,0,Settings!$B$12,1))&lt;Settings!$B$12,NA(),STDEV(OFFSET(G219,1-Settings!$B$12,0,Settings!$B$12,1))*SQRT(Settings!$B$13)))</f>
        <v/>
      </c>
      <c r="L219" s="18">
        <f>IF(AND(ISNUMBER(D219),ISNUMBER(H219)),D219-H219,NA())</f>
        <v/>
      </c>
      <c r="M219" s="18">
        <f>IF(AND(ISNUMBER(E219),ISNUMBER(K219)),E219-K219,NA())</f>
        <v/>
      </c>
      <c r="N219" s="18">
        <f>IF(NOT(ISNUMBER($A219)),NA(),IF(COUNT(OFFSET(G219,1,0,Settings!$B$12,1))&lt;Settings!$B$12,NA(),STDEV(OFFSET(G219,1,0,Settings!$B$12,1))*SQRT(Settings!$B$13)))</f>
        <v/>
      </c>
      <c r="O219" s="18">
        <f>IF(AND(ISNUMBER(E219),ISNUMBER(N219)),E219-N219,NA())</f>
        <v/>
      </c>
      <c r="P219" s="17">
        <f>IF(NOT(ISNUMBER($A219)),NA(),IF(OR($A219&lt;MIN(KW_TP!$A$2:$A$2501),$A219&gt;MAX(KW_TP!$A$2:$A$2501)),NA(),INDEX(KW_TP!$C$2:$C$2501,MATCH($A219,KW_TP!$A$2:$A$2501,1))))</f>
        <v/>
      </c>
    </row>
    <row r="220">
      <c r="A220" s="15">
        <f>IF(ISNUMBER(BBG_Data!A220),BBG_Data!A220,"")</f>
        <v/>
      </c>
      <c r="B220" s="16">
        <f>IF(AND(ISNUMBER($A220),ISNUMBER(BBG_Data!B220)),BBG_Data!B220,NA())</f>
        <v/>
      </c>
      <c r="C220" s="16">
        <f>IF(AND(ISNUMBER($A220),ISNUMBER(BBG_Data!C220)),BBG_Data!C220,NA())</f>
        <v/>
      </c>
      <c r="D220" s="17">
        <f>IF(AND(ISNUMBER($A220),ISNUMBER(BBG_Data!D220)),BBG_Data!D220,NA())</f>
        <v/>
      </c>
      <c r="E220" s="17">
        <f>IF(AND(ISNUMBER($A220),ISNUMBER(BBG_Data!E220)),BBG_Data!E220,NA())</f>
        <v/>
      </c>
      <c r="F220" s="18">
        <f>IF(AND(ISNUMBER(B220),ISNUMBER(B219)),(B220-B219)*100,"")</f>
        <v/>
      </c>
      <c r="G220" s="18">
        <f>IF(AND(ISNUMBER(C220),ISNUMBER(C219)),(C220-C219)*100,"")</f>
        <v/>
      </c>
      <c r="H220" s="18">
        <f>IF(OR(NOT(ISNUMBER($A220)),ROW()-2&lt;Settings!$B$11),NA(),IF(COUNT(OFFSET(F220,1-Settings!$B$11,0,Settings!$B$11,1))&lt;Settings!$B$11,NA(),STDEV(OFFSET(F220,1-Settings!$B$11,0,Settings!$B$11,1))*SQRT(Settings!$B$13)))</f>
        <v/>
      </c>
      <c r="I220" s="18">
        <f>IF(OR(NOT(ISNUMBER($A220)),ROW()-2&lt;Settings!$B$12),NA(),IF(COUNT(OFFSET(F220,1-Settings!$B$12,0,Settings!$B$12,1))&lt;Settings!$B$12,NA(),STDEV(OFFSET(F220,1-Settings!$B$12,0,Settings!$B$12,1))*SQRT(Settings!$B$13)))</f>
        <v/>
      </c>
      <c r="J220" s="18">
        <f>IF(OR(NOT(ISNUMBER($A220)),ROW()-2&lt;Settings!$B$11),NA(),IF(COUNT(OFFSET(G220,1-Settings!$B$11,0,Settings!$B$11,1))&lt;Settings!$B$11,NA(),STDEV(OFFSET(G220,1-Settings!$B$11,0,Settings!$B$11,1))*SQRT(Settings!$B$13)))</f>
        <v/>
      </c>
      <c r="K220" s="18">
        <f>IF(OR(NOT(ISNUMBER($A220)),ROW()-2&lt;Settings!$B$12),NA(),IF(COUNT(OFFSET(G220,1-Settings!$B$12,0,Settings!$B$12,1))&lt;Settings!$B$12,NA(),STDEV(OFFSET(G220,1-Settings!$B$12,0,Settings!$B$12,1))*SQRT(Settings!$B$13)))</f>
        <v/>
      </c>
      <c r="L220" s="18">
        <f>IF(AND(ISNUMBER(D220),ISNUMBER(H220)),D220-H220,NA())</f>
        <v/>
      </c>
      <c r="M220" s="18">
        <f>IF(AND(ISNUMBER(E220),ISNUMBER(K220)),E220-K220,NA())</f>
        <v/>
      </c>
      <c r="N220" s="18">
        <f>IF(NOT(ISNUMBER($A220)),NA(),IF(COUNT(OFFSET(G220,1,0,Settings!$B$12,1))&lt;Settings!$B$12,NA(),STDEV(OFFSET(G220,1,0,Settings!$B$12,1))*SQRT(Settings!$B$13)))</f>
        <v/>
      </c>
      <c r="O220" s="18">
        <f>IF(AND(ISNUMBER(E220),ISNUMBER(N220)),E220-N220,NA())</f>
        <v/>
      </c>
      <c r="P220" s="17">
        <f>IF(NOT(ISNUMBER($A220)),NA(),IF(OR($A220&lt;MIN(KW_TP!$A$2:$A$2501),$A220&gt;MAX(KW_TP!$A$2:$A$2501)),NA(),INDEX(KW_TP!$C$2:$C$2501,MATCH($A220,KW_TP!$A$2:$A$2501,1))))</f>
        <v/>
      </c>
    </row>
    <row r="221">
      <c r="A221" s="15">
        <f>IF(ISNUMBER(BBG_Data!A221),BBG_Data!A221,"")</f>
        <v/>
      </c>
      <c r="B221" s="16">
        <f>IF(AND(ISNUMBER($A221),ISNUMBER(BBG_Data!B221)),BBG_Data!B221,NA())</f>
        <v/>
      </c>
      <c r="C221" s="16">
        <f>IF(AND(ISNUMBER($A221),ISNUMBER(BBG_Data!C221)),BBG_Data!C221,NA())</f>
        <v/>
      </c>
      <c r="D221" s="17">
        <f>IF(AND(ISNUMBER($A221),ISNUMBER(BBG_Data!D221)),BBG_Data!D221,NA())</f>
        <v/>
      </c>
      <c r="E221" s="17">
        <f>IF(AND(ISNUMBER($A221),ISNUMBER(BBG_Data!E221)),BBG_Data!E221,NA())</f>
        <v/>
      </c>
      <c r="F221" s="18">
        <f>IF(AND(ISNUMBER(B221),ISNUMBER(B220)),(B221-B220)*100,"")</f>
        <v/>
      </c>
      <c r="G221" s="18">
        <f>IF(AND(ISNUMBER(C221),ISNUMBER(C220)),(C221-C220)*100,"")</f>
        <v/>
      </c>
      <c r="H221" s="18">
        <f>IF(OR(NOT(ISNUMBER($A221)),ROW()-2&lt;Settings!$B$11),NA(),IF(COUNT(OFFSET(F221,1-Settings!$B$11,0,Settings!$B$11,1))&lt;Settings!$B$11,NA(),STDEV(OFFSET(F221,1-Settings!$B$11,0,Settings!$B$11,1))*SQRT(Settings!$B$13)))</f>
        <v/>
      </c>
      <c r="I221" s="18">
        <f>IF(OR(NOT(ISNUMBER($A221)),ROW()-2&lt;Settings!$B$12),NA(),IF(COUNT(OFFSET(F221,1-Settings!$B$12,0,Settings!$B$12,1))&lt;Settings!$B$12,NA(),STDEV(OFFSET(F221,1-Settings!$B$12,0,Settings!$B$12,1))*SQRT(Settings!$B$13)))</f>
        <v/>
      </c>
      <c r="J221" s="18">
        <f>IF(OR(NOT(ISNUMBER($A221)),ROW()-2&lt;Settings!$B$11),NA(),IF(COUNT(OFFSET(G221,1-Settings!$B$11,0,Settings!$B$11,1))&lt;Settings!$B$11,NA(),STDEV(OFFSET(G221,1-Settings!$B$11,0,Settings!$B$11,1))*SQRT(Settings!$B$13)))</f>
        <v/>
      </c>
      <c r="K221" s="18">
        <f>IF(OR(NOT(ISNUMBER($A221)),ROW()-2&lt;Settings!$B$12),NA(),IF(COUNT(OFFSET(G221,1-Settings!$B$12,0,Settings!$B$12,1))&lt;Settings!$B$12,NA(),STDEV(OFFSET(G221,1-Settings!$B$12,0,Settings!$B$12,1))*SQRT(Settings!$B$13)))</f>
        <v/>
      </c>
      <c r="L221" s="18">
        <f>IF(AND(ISNUMBER(D221),ISNUMBER(H221)),D221-H221,NA())</f>
        <v/>
      </c>
      <c r="M221" s="18">
        <f>IF(AND(ISNUMBER(E221),ISNUMBER(K221)),E221-K221,NA())</f>
        <v/>
      </c>
      <c r="N221" s="18">
        <f>IF(NOT(ISNUMBER($A221)),NA(),IF(COUNT(OFFSET(G221,1,0,Settings!$B$12,1))&lt;Settings!$B$12,NA(),STDEV(OFFSET(G221,1,0,Settings!$B$12,1))*SQRT(Settings!$B$13)))</f>
        <v/>
      </c>
      <c r="O221" s="18">
        <f>IF(AND(ISNUMBER(E221),ISNUMBER(N221)),E221-N221,NA())</f>
        <v/>
      </c>
      <c r="P221" s="17">
        <f>IF(NOT(ISNUMBER($A221)),NA(),IF(OR($A221&lt;MIN(KW_TP!$A$2:$A$2501),$A221&gt;MAX(KW_TP!$A$2:$A$2501)),NA(),INDEX(KW_TP!$C$2:$C$2501,MATCH($A221,KW_TP!$A$2:$A$2501,1))))</f>
        <v/>
      </c>
    </row>
    <row r="222">
      <c r="A222" s="15">
        <f>IF(ISNUMBER(BBG_Data!A222),BBG_Data!A222,"")</f>
        <v/>
      </c>
      <c r="B222" s="16">
        <f>IF(AND(ISNUMBER($A222),ISNUMBER(BBG_Data!B222)),BBG_Data!B222,NA())</f>
        <v/>
      </c>
      <c r="C222" s="16">
        <f>IF(AND(ISNUMBER($A222),ISNUMBER(BBG_Data!C222)),BBG_Data!C222,NA())</f>
        <v/>
      </c>
      <c r="D222" s="17">
        <f>IF(AND(ISNUMBER($A222),ISNUMBER(BBG_Data!D222)),BBG_Data!D222,NA())</f>
        <v/>
      </c>
      <c r="E222" s="17">
        <f>IF(AND(ISNUMBER($A222),ISNUMBER(BBG_Data!E222)),BBG_Data!E222,NA())</f>
        <v/>
      </c>
      <c r="F222" s="18">
        <f>IF(AND(ISNUMBER(B222),ISNUMBER(B221)),(B222-B221)*100,"")</f>
        <v/>
      </c>
      <c r="G222" s="18">
        <f>IF(AND(ISNUMBER(C222),ISNUMBER(C221)),(C222-C221)*100,"")</f>
        <v/>
      </c>
      <c r="H222" s="18">
        <f>IF(OR(NOT(ISNUMBER($A222)),ROW()-2&lt;Settings!$B$11),NA(),IF(COUNT(OFFSET(F222,1-Settings!$B$11,0,Settings!$B$11,1))&lt;Settings!$B$11,NA(),STDEV(OFFSET(F222,1-Settings!$B$11,0,Settings!$B$11,1))*SQRT(Settings!$B$13)))</f>
        <v/>
      </c>
      <c r="I222" s="18">
        <f>IF(OR(NOT(ISNUMBER($A222)),ROW()-2&lt;Settings!$B$12),NA(),IF(COUNT(OFFSET(F222,1-Settings!$B$12,0,Settings!$B$12,1))&lt;Settings!$B$12,NA(),STDEV(OFFSET(F222,1-Settings!$B$12,0,Settings!$B$12,1))*SQRT(Settings!$B$13)))</f>
        <v/>
      </c>
      <c r="J222" s="18">
        <f>IF(OR(NOT(ISNUMBER($A222)),ROW()-2&lt;Settings!$B$11),NA(),IF(COUNT(OFFSET(G222,1-Settings!$B$11,0,Settings!$B$11,1))&lt;Settings!$B$11,NA(),STDEV(OFFSET(G222,1-Settings!$B$11,0,Settings!$B$11,1))*SQRT(Settings!$B$13)))</f>
        <v/>
      </c>
      <c r="K222" s="18">
        <f>IF(OR(NOT(ISNUMBER($A222)),ROW()-2&lt;Settings!$B$12),NA(),IF(COUNT(OFFSET(G222,1-Settings!$B$12,0,Settings!$B$12,1))&lt;Settings!$B$12,NA(),STDEV(OFFSET(G222,1-Settings!$B$12,0,Settings!$B$12,1))*SQRT(Settings!$B$13)))</f>
        <v/>
      </c>
      <c r="L222" s="18">
        <f>IF(AND(ISNUMBER(D222),ISNUMBER(H222)),D222-H222,NA())</f>
        <v/>
      </c>
      <c r="M222" s="18">
        <f>IF(AND(ISNUMBER(E222),ISNUMBER(K222)),E222-K222,NA())</f>
        <v/>
      </c>
      <c r="N222" s="18">
        <f>IF(NOT(ISNUMBER($A222)),NA(),IF(COUNT(OFFSET(G222,1,0,Settings!$B$12,1))&lt;Settings!$B$12,NA(),STDEV(OFFSET(G222,1,0,Settings!$B$12,1))*SQRT(Settings!$B$13)))</f>
        <v/>
      </c>
      <c r="O222" s="18">
        <f>IF(AND(ISNUMBER(E222),ISNUMBER(N222)),E222-N222,NA())</f>
        <v/>
      </c>
      <c r="P222" s="17">
        <f>IF(NOT(ISNUMBER($A222)),NA(),IF(OR($A222&lt;MIN(KW_TP!$A$2:$A$2501),$A222&gt;MAX(KW_TP!$A$2:$A$2501)),NA(),INDEX(KW_TP!$C$2:$C$2501,MATCH($A222,KW_TP!$A$2:$A$2501,1))))</f>
        <v/>
      </c>
    </row>
    <row r="223">
      <c r="A223" s="15">
        <f>IF(ISNUMBER(BBG_Data!A223),BBG_Data!A223,"")</f>
        <v/>
      </c>
      <c r="B223" s="16">
        <f>IF(AND(ISNUMBER($A223),ISNUMBER(BBG_Data!B223)),BBG_Data!B223,NA())</f>
        <v/>
      </c>
      <c r="C223" s="16">
        <f>IF(AND(ISNUMBER($A223),ISNUMBER(BBG_Data!C223)),BBG_Data!C223,NA())</f>
        <v/>
      </c>
      <c r="D223" s="17">
        <f>IF(AND(ISNUMBER($A223),ISNUMBER(BBG_Data!D223)),BBG_Data!D223,NA())</f>
        <v/>
      </c>
      <c r="E223" s="17">
        <f>IF(AND(ISNUMBER($A223),ISNUMBER(BBG_Data!E223)),BBG_Data!E223,NA())</f>
        <v/>
      </c>
      <c r="F223" s="18">
        <f>IF(AND(ISNUMBER(B223),ISNUMBER(B222)),(B223-B222)*100,"")</f>
        <v/>
      </c>
      <c r="G223" s="18">
        <f>IF(AND(ISNUMBER(C223),ISNUMBER(C222)),(C223-C222)*100,"")</f>
        <v/>
      </c>
      <c r="H223" s="18">
        <f>IF(OR(NOT(ISNUMBER($A223)),ROW()-2&lt;Settings!$B$11),NA(),IF(COUNT(OFFSET(F223,1-Settings!$B$11,0,Settings!$B$11,1))&lt;Settings!$B$11,NA(),STDEV(OFFSET(F223,1-Settings!$B$11,0,Settings!$B$11,1))*SQRT(Settings!$B$13)))</f>
        <v/>
      </c>
      <c r="I223" s="18">
        <f>IF(OR(NOT(ISNUMBER($A223)),ROW()-2&lt;Settings!$B$12),NA(),IF(COUNT(OFFSET(F223,1-Settings!$B$12,0,Settings!$B$12,1))&lt;Settings!$B$12,NA(),STDEV(OFFSET(F223,1-Settings!$B$12,0,Settings!$B$12,1))*SQRT(Settings!$B$13)))</f>
        <v/>
      </c>
      <c r="J223" s="18">
        <f>IF(OR(NOT(ISNUMBER($A223)),ROW()-2&lt;Settings!$B$11),NA(),IF(COUNT(OFFSET(G223,1-Settings!$B$11,0,Settings!$B$11,1))&lt;Settings!$B$11,NA(),STDEV(OFFSET(G223,1-Settings!$B$11,0,Settings!$B$11,1))*SQRT(Settings!$B$13)))</f>
        <v/>
      </c>
      <c r="K223" s="18">
        <f>IF(OR(NOT(ISNUMBER($A223)),ROW()-2&lt;Settings!$B$12),NA(),IF(COUNT(OFFSET(G223,1-Settings!$B$12,0,Settings!$B$12,1))&lt;Settings!$B$12,NA(),STDEV(OFFSET(G223,1-Settings!$B$12,0,Settings!$B$12,1))*SQRT(Settings!$B$13)))</f>
        <v/>
      </c>
      <c r="L223" s="18">
        <f>IF(AND(ISNUMBER(D223),ISNUMBER(H223)),D223-H223,NA())</f>
        <v/>
      </c>
      <c r="M223" s="18">
        <f>IF(AND(ISNUMBER(E223),ISNUMBER(K223)),E223-K223,NA())</f>
        <v/>
      </c>
      <c r="N223" s="18">
        <f>IF(NOT(ISNUMBER($A223)),NA(),IF(COUNT(OFFSET(G223,1,0,Settings!$B$12,1))&lt;Settings!$B$12,NA(),STDEV(OFFSET(G223,1,0,Settings!$B$12,1))*SQRT(Settings!$B$13)))</f>
        <v/>
      </c>
      <c r="O223" s="18">
        <f>IF(AND(ISNUMBER(E223),ISNUMBER(N223)),E223-N223,NA())</f>
        <v/>
      </c>
      <c r="P223" s="17">
        <f>IF(NOT(ISNUMBER($A223)),NA(),IF(OR($A223&lt;MIN(KW_TP!$A$2:$A$2501),$A223&gt;MAX(KW_TP!$A$2:$A$2501)),NA(),INDEX(KW_TP!$C$2:$C$2501,MATCH($A223,KW_TP!$A$2:$A$2501,1))))</f>
        <v/>
      </c>
    </row>
    <row r="224">
      <c r="A224" s="15">
        <f>IF(ISNUMBER(BBG_Data!A224),BBG_Data!A224,"")</f>
        <v/>
      </c>
      <c r="B224" s="16">
        <f>IF(AND(ISNUMBER($A224),ISNUMBER(BBG_Data!B224)),BBG_Data!B224,NA())</f>
        <v/>
      </c>
      <c r="C224" s="16">
        <f>IF(AND(ISNUMBER($A224),ISNUMBER(BBG_Data!C224)),BBG_Data!C224,NA())</f>
        <v/>
      </c>
      <c r="D224" s="17">
        <f>IF(AND(ISNUMBER($A224),ISNUMBER(BBG_Data!D224)),BBG_Data!D224,NA())</f>
        <v/>
      </c>
      <c r="E224" s="17">
        <f>IF(AND(ISNUMBER($A224),ISNUMBER(BBG_Data!E224)),BBG_Data!E224,NA())</f>
        <v/>
      </c>
      <c r="F224" s="18">
        <f>IF(AND(ISNUMBER(B224),ISNUMBER(B223)),(B224-B223)*100,"")</f>
        <v/>
      </c>
      <c r="G224" s="18">
        <f>IF(AND(ISNUMBER(C224),ISNUMBER(C223)),(C224-C223)*100,"")</f>
        <v/>
      </c>
      <c r="H224" s="18">
        <f>IF(OR(NOT(ISNUMBER($A224)),ROW()-2&lt;Settings!$B$11),NA(),IF(COUNT(OFFSET(F224,1-Settings!$B$11,0,Settings!$B$11,1))&lt;Settings!$B$11,NA(),STDEV(OFFSET(F224,1-Settings!$B$11,0,Settings!$B$11,1))*SQRT(Settings!$B$13)))</f>
        <v/>
      </c>
      <c r="I224" s="18">
        <f>IF(OR(NOT(ISNUMBER($A224)),ROW()-2&lt;Settings!$B$12),NA(),IF(COUNT(OFFSET(F224,1-Settings!$B$12,0,Settings!$B$12,1))&lt;Settings!$B$12,NA(),STDEV(OFFSET(F224,1-Settings!$B$12,0,Settings!$B$12,1))*SQRT(Settings!$B$13)))</f>
        <v/>
      </c>
      <c r="J224" s="18">
        <f>IF(OR(NOT(ISNUMBER($A224)),ROW()-2&lt;Settings!$B$11),NA(),IF(COUNT(OFFSET(G224,1-Settings!$B$11,0,Settings!$B$11,1))&lt;Settings!$B$11,NA(),STDEV(OFFSET(G224,1-Settings!$B$11,0,Settings!$B$11,1))*SQRT(Settings!$B$13)))</f>
        <v/>
      </c>
      <c r="K224" s="18">
        <f>IF(OR(NOT(ISNUMBER($A224)),ROW()-2&lt;Settings!$B$12),NA(),IF(COUNT(OFFSET(G224,1-Settings!$B$12,0,Settings!$B$12,1))&lt;Settings!$B$12,NA(),STDEV(OFFSET(G224,1-Settings!$B$12,0,Settings!$B$12,1))*SQRT(Settings!$B$13)))</f>
        <v/>
      </c>
      <c r="L224" s="18">
        <f>IF(AND(ISNUMBER(D224),ISNUMBER(H224)),D224-H224,NA())</f>
        <v/>
      </c>
      <c r="M224" s="18">
        <f>IF(AND(ISNUMBER(E224),ISNUMBER(K224)),E224-K224,NA())</f>
        <v/>
      </c>
      <c r="N224" s="18">
        <f>IF(NOT(ISNUMBER($A224)),NA(),IF(COUNT(OFFSET(G224,1,0,Settings!$B$12,1))&lt;Settings!$B$12,NA(),STDEV(OFFSET(G224,1,0,Settings!$B$12,1))*SQRT(Settings!$B$13)))</f>
        <v/>
      </c>
      <c r="O224" s="18">
        <f>IF(AND(ISNUMBER(E224),ISNUMBER(N224)),E224-N224,NA())</f>
        <v/>
      </c>
      <c r="P224" s="17">
        <f>IF(NOT(ISNUMBER($A224)),NA(),IF(OR($A224&lt;MIN(KW_TP!$A$2:$A$2501),$A224&gt;MAX(KW_TP!$A$2:$A$2501)),NA(),INDEX(KW_TP!$C$2:$C$2501,MATCH($A224,KW_TP!$A$2:$A$2501,1))))</f>
        <v/>
      </c>
    </row>
    <row r="225">
      <c r="A225" s="15">
        <f>IF(ISNUMBER(BBG_Data!A225),BBG_Data!A225,"")</f>
        <v/>
      </c>
      <c r="B225" s="16">
        <f>IF(AND(ISNUMBER($A225),ISNUMBER(BBG_Data!B225)),BBG_Data!B225,NA())</f>
        <v/>
      </c>
      <c r="C225" s="16">
        <f>IF(AND(ISNUMBER($A225),ISNUMBER(BBG_Data!C225)),BBG_Data!C225,NA())</f>
        <v/>
      </c>
      <c r="D225" s="17">
        <f>IF(AND(ISNUMBER($A225),ISNUMBER(BBG_Data!D225)),BBG_Data!D225,NA())</f>
        <v/>
      </c>
      <c r="E225" s="17">
        <f>IF(AND(ISNUMBER($A225),ISNUMBER(BBG_Data!E225)),BBG_Data!E225,NA())</f>
        <v/>
      </c>
      <c r="F225" s="18">
        <f>IF(AND(ISNUMBER(B225),ISNUMBER(B224)),(B225-B224)*100,"")</f>
        <v/>
      </c>
      <c r="G225" s="18">
        <f>IF(AND(ISNUMBER(C225),ISNUMBER(C224)),(C225-C224)*100,"")</f>
        <v/>
      </c>
      <c r="H225" s="18">
        <f>IF(OR(NOT(ISNUMBER($A225)),ROW()-2&lt;Settings!$B$11),NA(),IF(COUNT(OFFSET(F225,1-Settings!$B$11,0,Settings!$B$11,1))&lt;Settings!$B$11,NA(),STDEV(OFFSET(F225,1-Settings!$B$11,0,Settings!$B$11,1))*SQRT(Settings!$B$13)))</f>
        <v/>
      </c>
      <c r="I225" s="18">
        <f>IF(OR(NOT(ISNUMBER($A225)),ROW()-2&lt;Settings!$B$12),NA(),IF(COUNT(OFFSET(F225,1-Settings!$B$12,0,Settings!$B$12,1))&lt;Settings!$B$12,NA(),STDEV(OFFSET(F225,1-Settings!$B$12,0,Settings!$B$12,1))*SQRT(Settings!$B$13)))</f>
        <v/>
      </c>
      <c r="J225" s="18">
        <f>IF(OR(NOT(ISNUMBER($A225)),ROW()-2&lt;Settings!$B$11),NA(),IF(COUNT(OFFSET(G225,1-Settings!$B$11,0,Settings!$B$11,1))&lt;Settings!$B$11,NA(),STDEV(OFFSET(G225,1-Settings!$B$11,0,Settings!$B$11,1))*SQRT(Settings!$B$13)))</f>
        <v/>
      </c>
      <c r="K225" s="18">
        <f>IF(OR(NOT(ISNUMBER($A225)),ROW()-2&lt;Settings!$B$12),NA(),IF(COUNT(OFFSET(G225,1-Settings!$B$12,0,Settings!$B$12,1))&lt;Settings!$B$12,NA(),STDEV(OFFSET(G225,1-Settings!$B$12,0,Settings!$B$12,1))*SQRT(Settings!$B$13)))</f>
        <v/>
      </c>
      <c r="L225" s="18">
        <f>IF(AND(ISNUMBER(D225),ISNUMBER(H225)),D225-H225,NA())</f>
        <v/>
      </c>
      <c r="M225" s="18">
        <f>IF(AND(ISNUMBER(E225),ISNUMBER(K225)),E225-K225,NA())</f>
        <v/>
      </c>
      <c r="N225" s="18">
        <f>IF(NOT(ISNUMBER($A225)),NA(),IF(COUNT(OFFSET(G225,1,0,Settings!$B$12,1))&lt;Settings!$B$12,NA(),STDEV(OFFSET(G225,1,0,Settings!$B$12,1))*SQRT(Settings!$B$13)))</f>
        <v/>
      </c>
      <c r="O225" s="18">
        <f>IF(AND(ISNUMBER(E225),ISNUMBER(N225)),E225-N225,NA())</f>
        <v/>
      </c>
      <c r="P225" s="17">
        <f>IF(NOT(ISNUMBER($A225)),NA(),IF(OR($A225&lt;MIN(KW_TP!$A$2:$A$2501),$A225&gt;MAX(KW_TP!$A$2:$A$2501)),NA(),INDEX(KW_TP!$C$2:$C$2501,MATCH($A225,KW_TP!$A$2:$A$2501,1))))</f>
        <v/>
      </c>
    </row>
    <row r="226">
      <c r="A226" s="15">
        <f>IF(ISNUMBER(BBG_Data!A226),BBG_Data!A226,"")</f>
        <v/>
      </c>
      <c r="B226" s="16">
        <f>IF(AND(ISNUMBER($A226),ISNUMBER(BBG_Data!B226)),BBG_Data!B226,NA())</f>
        <v/>
      </c>
      <c r="C226" s="16">
        <f>IF(AND(ISNUMBER($A226),ISNUMBER(BBG_Data!C226)),BBG_Data!C226,NA())</f>
        <v/>
      </c>
      <c r="D226" s="17">
        <f>IF(AND(ISNUMBER($A226),ISNUMBER(BBG_Data!D226)),BBG_Data!D226,NA())</f>
        <v/>
      </c>
      <c r="E226" s="17">
        <f>IF(AND(ISNUMBER($A226),ISNUMBER(BBG_Data!E226)),BBG_Data!E226,NA())</f>
        <v/>
      </c>
      <c r="F226" s="18">
        <f>IF(AND(ISNUMBER(B226),ISNUMBER(B225)),(B226-B225)*100,"")</f>
        <v/>
      </c>
      <c r="G226" s="18">
        <f>IF(AND(ISNUMBER(C226),ISNUMBER(C225)),(C226-C225)*100,"")</f>
        <v/>
      </c>
      <c r="H226" s="18">
        <f>IF(OR(NOT(ISNUMBER($A226)),ROW()-2&lt;Settings!$B$11),NA(),IF(COUNT(OFFSET(F226,1-Settings!$B$11,0,Settings!$B$11,1))&lt;Settings!$B$11,NA(),STDEV(OFFSET(F226,1-Settings!$B$11,0,Settings!$B$11,1))*SQRT(Settings!$B$13)))</f>
        <v/>
      </c>
      <c r="I226" s="18">
        <f>IF(OR(NOT(ISNUMBER($A226)),ROW()-2&lt;Settings!$B$12),NA(),IF(COUNT(OFFSET(F226,1-Settings!$B$12,0,Settings!$B$12,1))&lt;Settings!$B$12,NA(),STDEV(OFFSET(F226,1-Settings!$B$12,0,Settings!$B$12,1))*SQRT(Settings!$B$13)))</f>
        <v/>
      </c>
      <c r="J226" s="18">
        <f>IF(OR(NOT(ISNUMBER($A226)),ROW()-2&lt;Settings!$B$11),NA(),IF(COUNT(OFFSET(G226,1-Settings!$B$11,0,Settings!$B$11,1))&lt;Settings!$B$11,NA(),STDEV(OFFSET(G226,1-Settings!$B$11,0,Settings!$B$11,1))*SQRT(Settings!$B$13)))</f>
        <v/>
      </c>
      <c r="K226" s="18">
        <f>IF(OR(NOT(ISNUMBER($A226)),ROW()-2&lt;Settings!$B$12),NA(),IF(COUNT(OFFSET(G226,1-Settings!$B$12,0,Settings!$B$12,1))&lt;Settings!$B$12,NA(),STDEV(OFFSET(G226,1-Settings!$B$12,0,Settings!$B$12,1))*SQRT(Settings!$B$13)))</f>
        <v/>
      </c>
      <c r="L226" s="18">
        <f>IF(AND(ISNUMBER(D226),ISNUMBER(H226)),D226-H226,NA())</f>
        <v/>
      </c>
      <c r="M226" s="18">
        <f>IF(AND(ISNUMBER(E226),ISNUMBER(K226)),E226-K226,NA())</f>
        <v/>
      </c>
      <c r="N226" s="18">
        <f>IF(NOT(ISNUMBER($A226)),NA(),IF(COUNT(OFFSET(G226,1,0,Settings!$B$12,1))&lt;Settings!$B$12,NA(),STDEV(OFFSET(G226,1,0,Settings!$B$12,1))*SQRT(Settings!$B$13)))</f>
        <v/>
      </c>
      <c r="O226" s="18">
        <f>IF(AND(ISNUMBER(E226),ISNUMBER(N226)),E226-N226,NA())</f>
        <v/>
      </c>
      <c r="P226" s="17">
        <f>IF(NOT(ISNUMBER($A226)),NA(),IF(OR($A226&lt;MIN(KW_TP!$A$2:$A$2501),$A226&gt;MAX(KW_TP!$A$2:$A$2501)),NA(),INDEX(KW_TP!$C$2:$C$2501,MATCH($A226,KW_TP!$A$2:$A$2501,1))))</f>
        <v/>
      </c>
    </row>
    <row r="227">
      <c r="A227" s="15">
        <f>IF(ISNUMBER(BBG_Data!A227),BBG_Data!A227,"")</f>
        <v/>
      </c>
      <c r="B227" s="16">
        <f>IF(AND(ISNUMBER($A227),ISNUMBER(BBG_Data!B227)),BBG_Data!B227,NA())</f>
        <v/>
      </c>
      <c r="C227" s="16">
        <f>IF(AND(ISNUMBER($A227),ISNUMBER(BBG_Data!C227)),BBG_Data!C227,NA())</f>
        <v/>
      </c>
      <c r="D227" s="17">
        <f>IF(AND(ISNUMBER($A227),ISNUMBER(BBG_Data!D227)),BBG_Data!D227,NA())</f>
        <v/>
      </c>
      <c r="E227" s="17">
        <f>IF(AND(ISNUMBER($A227),ISNUMBER(BBG_Data!E227)),BBG_Data!E227,NA())</f>
        <v/>
      </c>
      <c r="F227" s="18">
        <f>IF(AND(ISNUMBER(B227),ISNUMBER(B226)),(B227-B226)*100,"")</f>
        <v/>
      </c>
      <c r="G227" s="18">
        <f>IF(AND(ISNUMBER(C227),ISNUMBER(C226)),(C227-C226)*100,"")</f>
        <v/>
      </c>
      <c r="H227" s="18">
        <f>IF(OR(NOT(ISNUMBER($A227)),ROW()-2&lt;Settings!$B$11),NA(),IF(COUNT(OFFSET(F227,1-Settings!$B$11,0,Settings!$B$11,1))&lt;Settings!$B$11,NA(),STDEV(OFFSET(F227,1-Settings!$B$11,0,Settings!$B$11,1))*SQRT(Settings!$B$13)))</f>
        <v/>
      </c>
      <c r="I227" s="18">
        <f>IF(OR(NOT(ISNUMBER($A227)),ROW()-2&lt;Settings!$B$12),NA(),IF(COUNT(OFFSET(F227,1-Settings!$B$12,0,Settings!$B$12,1))&lt;Settings!$B$12,NA(),STDEV(OFFSET(F227,1-Settings!$B$12,0,Settings!$B$12,1))*SQRT(Settings!$B$13)))</f>
        <v/>
      </c>
      <c r="J227" s="18">
        <f>IF(OR(NOT(ISNUMBER($A227)),ROW()-2&lt;Settings!$B$11),NA(),IF(COUNT(OFFSET(G227,1-Settings!$B$11,0,Settings!$B$11,1))&lt;Settings!$B$11,NA(),STDEV(OFFSET(G227,1-Settings!$B$11,0,Settings!$B$11,1))*SQRT(Settings!$B$13)))</f>
        <v/>
      </c>
      <c r="K227" s="18">
        <f>IF(OR(NOT(ISNUMBER($A227)),ROW()-2&lt;Settings!$B$12),NA(),IF(COUNT(OFFSET(G227,1-Settings!$B$12,0,Settings!$B$12,1))&lt;Settings!$B$12,NA(),STDEV(OFFSET(G227,1-Settings!$B$12,0,Settings!$B$12,1))*SQRT(Settings!$B$13)))</f>
        <v/>
      </c>
      <c r="L227" s="18">
        <f>IF(AND(ISNUMBER(D227),ISNUMBER(H227)),D227-H227,NA())</f>
        <v/>
      </c>
      <c r="M227" s="18">
        <f>IF(AND(ISNUMBER(E227),ISNUMBER(K227)),E227-K227,NA())</f>
        <v/>
      </c>
      <c r="N227" s="18">
        <f>IF(NOT(ISNUMBER($A227)),NA(),IF(COUNT(OFFSET(G227,1,0,Settings!$B$12,1))&lt;Settings!$B$12,NA(),STDEV(OFFSET(G227,1,0,Settings!$B$12,1))*SQRT(Settings!$B$13)))</f>
        <v/>
      </c>
      <c r="O227" s="18">
        <f>IF(AND(ISNUMBER(E227),ISNUMBER(N227)),E227-N227,NA())</f>
        <v/>
      </c>
      <c r="P227" s="17">
        <f>IF(NOT(ISNUMBER($A227)),NA(),IF(OR($A227&lt;MIN(KW_TP!$A$2:$A$2501),$A227&gt;MAX(KW_TP!$A$2:$A$2501)),NA(),INDEX(KW_TP!$C$2:$C$2501,MATCH($A227,KW_TP!$A$2:$A$2501,1))))</f>
        <v/>
      </c>
    </row>
    <row r="228">
      <c r="A228" s="15">
        <f>IF(ISNUMBER(BBG_Data!A228),BBG_Data!A228,"")</f>
        <v/>
      </c>
      <c r="B228" s="16">
        <f>IF(AND(ISNUMBER($A228),ISNUMBER(BBG_Data!B228)),BBG_Data!B228,NA())</f>
        <v/>
      </c>
      <c r="C228" s="16">
        <f>IF(AND(ISNUMBER($A228),ISNUMBER(BBG_Data!C228)),BBG_Data!C228,NA())</f>
        <v/>
      </c>
      <c r="D228" s="17">
        <f>IF(AND(ISNUMBER($A228),ISNUMBER(BBG_Data!D228)),BBG_Data!D228,NA())</f>
        <v/>
      </c>
      <c r="E228" s="17">
        <f>IF(AND(ISNUMBER($A228),ISNUMBER(BBG_Data!E228)),BBG_Data!E228,NA())</f>
        <v/>
      </c>
      <c r="F228" s="18">
        <f>IF(AND(ISNUMBER(B228),ISNUMBER(B227)),(B228-B227)*100,"")</f>
        <v/>
      </c>
      <c r="G228" s="18">
        <f>IF(AND(ISNUMBER(C228),ISNUMBER(C227)),(C228-C227)*100,"")</f>
        <v/>
      </c>
      <c r="H228" s="18">
        <f>IF(OR(NOT(ISNUMBER($A228)),ROW()-2&lt;Settings!$B$11),NA(),IF(COUNT(OFFSET(F228,1-Settings!$B$11,0,Settings!$B$11,1))&lt;Settings!$B$11,NA(),STDEV(OFFSET(F228,1-Settings!$B$11,0,Settings!$B$11,1))*SQRT(Settings!$B$13)))</f>
        <v/>
      </c>
      <c r="I228" s="18">
        <f>IF(OR(NOT(ISNUMBER($A228)),ROW()-2&lt;Settings!$B$12),NA(),IF(COUNT(OFFSET(F228,1-Settings!$B$12,0,Settings!$B$12,1))&lt;Settings!$B$12,NA(),STDEV(OFFSET(F228,1-Settings!$B$12,0,Settings!$B$12,1))*SQRT(Settings!$B$13)))</f>
        <v/>
      </c>
      <c r="J228" s="18">
        <f>IF(OR(NOT(ISNUMBER($A228)),ROW()-2&lt;Settings!$B$11),NA(),IF(COUNT(OFFSET(G228,1-Settings!$B$11,0,Settings!$B$11,1))&lt;Settings!$B$11,NA(),STDEV(OFFSET(G228,1-Settings!$B$11,0,Settings!$B$11,1))*SQRT(Settings!$B$13)))</f>
        <v/>
      </c>
      <c r="K228" s="18">
        <f>IF(OR(NOT(ISNUMBER($A228)),ROW()-2&lt;Settings!$B$12),NA(),IF(COUNT(OFFSET(G228,1-Settings!$B$12,0,Settings!$B$12,1))&lt;Settings!$B$12,NA(),STDEV(OFFSET(G228,1-Settings!$B$12,0,Settings!$B$12,1))*SQRT(Settings!$B$13)))</f>
        <v/>
      </c>
      <c r="L228" s="18">
        <f>IF(AND(ISNUMBER(D228),ISNUMBER(H228)),D228-H228,NA())</f>
        <v/>
      </c>
      <c r="M228" s="18">
        <f>IF(AND(ISNUMBER(E228),ISNUMBER(K228)),E228-K228,NA())</f>
        <v/>
      </c>
      <c r="N228" s="18">
        <f>IF(NOT(ISNUMBER($A228)),NA(),IF(COUNT(OFFSET(G228,1,0,Settings!$B$12,1))&lt;Settings!$B$12,NA(),STDEV(OFFSET(G228,1,0,Settings!$B$12,1))*SQRT(Settings!$B$13)))</f>
        <v/>
      </c>
      <c r="O228" s="18">
        <f>IF(AND(ISNUMBER(E228),ISNUMBER(N228)),E228-N228,NA())</f>
        <v/>
      </c>
      <c r="P228" s="17">
        <f>IF(NOT(ISNUMBER($A228)),NA(),IF(OR($A228&lt;MIN(KW_TP!$A$2:$A$2501),$A228&gt;MAX(KW_TP!$A$2:$A$2501)),NA(),INDEX(KW_TP!$C$2:$C$2501,MATCH($A228,KW_TP!$A$2:$A$2501,1))))</f>
        <v/>
      </c>
    </row>
    <row r="229">
      <c r="A229" s="15">
        <f>IF(ISNUMBER(BBG_Data!A229),BBG_Data!A229,"")</f>
        <v/>
      </c>
      <c r="B229" s="16">
        <f>IF(AND(ISNUMBER($A229),ISNUMBER(BBG_Data!B229)),BBG_Data!B229,NA())</f>
        <v/>
      </c>
      <c r="C229" s="16">
        <f>IF(AND(ISNUMBER($A229),ISNUMBER(BBG_Data!C229)),BBG_Data!C229,NA())</f>
        <v/>
      </c>
      <c r="D229" s="17">
        <f>IF(AND(ISNUMBER($A229),ISNUMBER(BBG_Data!D229)),BBG_Data!D229,NA())</f>
        <v/>
      </c>
      <c r="E229" s="17">
        <f>IF(AND(ISNUMBER($A229),ISNUMBER(BBG_Data!E229)),BBG_Data!E229,NA())</f>
        <v/>
      </c>
      <c r="F229" s="18">
        <f>IF(AND(ISNUMBER(B229),ISNUMBER(B228)),(B229-B228)*100,"")</f>
        <v/>
      </c>
      <c r="G229" s="18">
        <f>IF(AND(ISNUMBER(C229),ISNUMBER(C228)),(C229-C228)*100,"")</f>
        <v/>
      </c>
      <c r="H229" s="18">
        <f>IF(OR(NOT(ISNUMBER($A229)),ROW()-2&lt;Settings!$B$11),NA(),IF(COUNT(OFFSET(F229,1-Settings!$B$11,0,Settings!$B$11,1))&lt;Settings!$B$11,NA(),STDEV(OFFSET(F229,1-Settings!$B$11,0,Settings!$B$11,1))*SQRT(Settings!$B$13)))</f>
        <v/>
      </c>
      <c r="I229" s="18">
        <f>IF(OR(NOT(ISNUMBER($A229)),ROW()-2&lt;Settings!$B$12),NA(),IF(COUNT(OFFSET(F229,1-Settings!$B$12,0,Settings!$B$12,1))&lt;Settings!$B$12,NA(),STDEV(OFFSET(F229,1-Settings!$B$12,0,Settings!$B$12,1))*SQRT(Settings!$B$13)))</f>
        <v/>
      </c>
      <c r="J229" s="18">
        <f>IF(OR(NOT(ISNUMBER($A229)),ROW()-2&lt;Settings!$B$11),NA(),IF(COUNT(OFFSET(G229,1-Settings!$B$11,0,Settings!$B$11,1))&lt;Settings!$B$11,NA(),STDEV(OFFSET(G229,1-Settings!$B$11,0,Settings!$B$11,1))*SQRT(Settings!$B$13)))</f>
        <v/>
      </c>
      <c r="K229" s="18">
        <f>IF(OR(NOT(ISNUMBER($A229)),ROW()-2&lt;Settings!$B$12),NA(),IF(COUNT(OFFSET(G229,1-Settings!$B$12,0,Settings!$B$12,1))&lt;Settings!$B$12,NA(),STDEV(OFFSET(G229,1-Settings!$B$12,0,Settings!$B$12,1))*SQRT(Settings!$B$13)))</f>
        <v/>
      </c>
      <c r="L229" s="18">
        <f>IF(AND(ISNUMBER(D229),ISNUMBER(H229)),D229-H229,NA())</f>
        <v/>
      </c>
      <c r="M229" s="18">
        <f>IF(AND(ISNUMBER(E229),ISNUMBER(K229)),E229-K229,NA())</f>
        <v/>
      </c>
      <c r="N229" s="18">
        <f>IF(NOT(ISNUMBER($A229)),NA(),IF(COUNT(OFFSET(G229,1,0,Settings!$B$12,1))&lt;Settings!$B$12,NA(),STDEV(OFFSET(G229,1,0,Settings!$B$12,1))*SQRT(Settings!$B$13)))</f>
        <v/>
      </c>
      <c r="O229" s="18">
        <f>IF(AND(ISNUMBER(E229),ISNUMBER(N229)),E229-N229,NA())</f>
        <v/>
      </c>
      <c r="P229" s="17">
        <f>IF(NOT(ISNUMBER($A229)),NA(),IF(OR($A229&lt;MIN(KW_TP!$A$2:$A$2501),$A229&gt;MAX(KW_TP!$A$2:$A$2501)),NA(),INDEX(KW_TP!$C$2:$C$2501,MATCH($A229,KW_TP!$A$2:$A$2501,1))))</f>
        <v/>
      </c>
    </row>
    <row r="230">
      <c r="A230" s="15">
        <f>IF(ISNUMBER(BBG_Data!A230),BBG_Data!A230,"")</f>
        <v/>
      </c>
      <c r="B230" s="16">
        <f>IF(AND(ISNUMBER($A230),ISNUMBER(BBG_Data!B230)),BBG_Data!B230,NA())</f>
        <v/>
      </c>
      <c r="C230" s="16">
        <f>IF(AND(ISNUMBER($A230),ISNUMBER(BBG_Data!C230)),BBG_Data!C230,NA())</f>
        <v/>
      </c>
      <c r="D230" s="17">
        <f>IF(AND(ISNUMBER($A230),ISNUMBER(BBG_Data!D230)),BBG_Data!D230,NA())</f>
        <v/>
      </c>
      <c r="E230" s="17">
        <f>IF(AND(ISNUMBER($A230),ISNUMBER(BBG_Data!E230)),BBG_Data!E230,NA())</f>
        <v/>
      </c>
      <c r="F230" s="18">
        <f>IF(AND(ISNUMBER(B230),ISNUMBER(B229)),(B230-B229)*100,"")</f>
        <v/>
      </c>
      <c r="G230" s="18">
        <f>IF(AND(ISNUMBER(C230),ISNUMBER(C229)),(C230-C229)*100,"")</f>
        <v/>
      </c>
      <c r="H230" s="18">
        <f>IF(OR(NOT(ISNUMBER($A230)),ROW()-2&lt;Settings!$B$11),NA(),IF(COUNT(OFFSET(F230,1-Settings!$B$11,0,Settings!$B$11,1))&lt;Settings!$B$11,NA(),STDEV(OFFSET(F230,1-Settings!$B$11,0,Settings!$B$11,1))*SQRT(Settings!$B$13)))</f>
        <v/>
      </c>
      <c r="I230" s="18">
        <f>IF(OR(NOT(ISNUMBER($A230)),ROW()-2&lt;Settings!$B$12),NA(),IF(COUNT(OFFSET(F230,1-Settings!$B$12,0,Settings!$B$12,1))&lt;Settings!$B$12,NA(),STDEV(OFFSET(F230,1-Settings!$B$12,0,Settings!$B$12,1))*SQRT(Settings!$B$13)))</f>
        <v/>
      </c>
      <c r="J230" s="18">
        <f>IF(OR(NOT(ISNUMBER($A230)),ROW()-2&lt;Settings!$B$11),NA(),IF(COUNT(OFFSET(G230,1-Settings!$B$11,0,Settings!$B$11,1))&lt;Settings!$B$11,NA(),STDEV(OFFSET(G230,1-Settings!$B$11,0,Settings!$B$11,1))*SQRT(Settings!$B$13)))</f>
        <v/>
      </c>
      <c r="K230" s="18">
        <f>IF(OR(NOT(ISNUMBER($A230)),ROW()-2&lt;Settings!$B$12),NA(),IF(COUNT(OFFSET(G230,1-Settings!$B$12,0,Settings!$B$12,1))&lt;Settings!$B$12,NA(),STDEV(OFFSET(G230,1-Settings!$B$12,0,Settings!$B$12,1))*SQRT(Settings!$B$13)))</f>
        <v/>
      </c>
      <c r="L230" s="18">
        <f>IF(AND(ISNUMBER(D230),ISNUMBER(H230)),D230-H230,NA())</f>
        <v/>
      </c>
      <c r="M230" s="18">
        <f>IF(AND(ISNUMBER(E230),ISNUMBER(K230)),E230-K230,NA())</f>
        <v/>
      </c>
      <c r="N230" s="18">
        <f>IF(NOT(ISNUMBER($A230)),NA(),IF(COUNT(OFFSET(G230,1,0,Settings!$B$12,1))&lt;Settings!$B$12,NA(),STDEV(OFFSET(G230,1,0,Settings!$B$12,1))*SQRT(Settings!$B$13)))</f>
        <v/>
      </c>
      <c r="O230" s="18">
        <f>IF(AND(ISNUMBER(E230),ISNUMBER(N230)),E230-N230,NA())</f>
        <v/>
      </c>
      <c r="P230" s="17">
        <f>IF(NOT(ISNUMBER($A230)),NA(),IF(OR($A230&lt;MIN(KW_TP!$A$2:$A$2501),$A230&gt;MAX(KW_TP!$A$2:$A$2501)),NA(),INDEX(KW_TP!$C$2:$C$2501,MATCH($A230,KW_TP!$A$2:$A$2501,1))))</f>
        <v/>
      </c>
    </row>
    <row r="231">
      <c r="A231" s="15">
        <f>IF(ISNUMBER(BBG_Data!A231),BBG_Data!A231,"")</f>
        <v/>
      </c>
      <c r="B231" s="16">
        <f>IF(AND(ISNUMBER($A231),ISNUMBER(BBG_Data!B231)),BBG_Data!B231,NA())</f>
        <v/>
      </c>
      <c r="C231" s="16">
        <f>IF(AND(ISNUMBER($A231),ISNUMBER(BBG_Data!C231)),BBG_Data!C231,NA())</f>
        <v/>
      </c>
      <c r="D231" s="17">
        <f>IF(AND(ISNUMBER($A231),ISNUMBER(BBG_Data!D231)),BBG_Data!D231,NA())</f>
        <v/>
      </c>
      <c r="E231" s="17">
        <f>IF(AND(ISNUMBER($A231),ISNUMBER(BBG_Data!E231)),BBG_Data!E231,NA())</f>
        <v/>
      </c>
      <c r="F231" s="18">
        <f>IF(AND(ISNUMBER(B231),ISNUMBER(B230)),(B231-B230)*100,"")</f>
        <v/>
      </c>
      <c r="G231" s="18">
        <f>IF(AND(ISNUMBER(C231),ISNUMBER(C230)),(C231-C230)*100,"")</f>
        <v/>
      </c>
      <c r="H231" s="18">
        <f>IF(OR(NOT(ISNUMBER($A231)),ROW()-2&lt;Settings!$B$11),NA(),IF(COUNT(OFFSET(F231,1-Settings!$B$11,0,Settings!$B$11,1))&lt;Settings!$B$11,NA(),STDEV(OFFSET(F231,1-Settings!$B$11,0,Settings!$B$11,1))*SQRT(Settings!$B$13)))</f>
        <v/>
      </c>
      <c r="I231" s="18">
        <f>IF(OR(NOT(ISNUMBER($A231)),ROW()-2&lt;Settings!$B$12),NA(),IF(COUNT(OFFSET(F231,1-Settings!$B$12,0,Settings!$B$12,1))&lt;Settings!$B$12,NA(),STDEV(OFFSET(F231,1-Settings!$B$12,0,Settings!$B$12,1))*SQRT(Settings!$B$13)))</f>
        <v/>
      </c>
      <c r="J231" s="18">
        <f>IF(OR(NOT(ISNUMBER($A231)),ROW()-2&lt;Settings!$B$11),NA(),IF(COUNT(OFFSET(G231,1-Settings!$B$11,0,Settings!$B$11,1))&lt;Settings!$B$11,NA(),STDEV(OFFSET(G231,1-Settings!$B$11,0,Settings!$B$11,1))*SQRT(Settings!$B$13)))</f>
        <v/>
      </c>
      <c r="K231" s="18">
        <f>IF(OR(NOT(ISNUMBER($A231)),ROW()-2&lt;Settings!$B$12),NA(),IF(COUNT(OFFSET(G231,1-Settings!$B$12,0,Settings!$B$12,1))&lt;Settings!$B$12,NA(),STDEV(OFFSET(G231,1-Settings!$B$12,0,Settings!$B$12,1))*SQRT(Settings!$B$13)))</f>
        <v/>
      </c>
      <c r="L231" s="18">
        <f>IF(AND(ISNUMBER(D231),ISNUMBER(H231)),D231-H231,NA())</f>
        <v/>
      </c>
      <c r="M231" s="18">
        <f>IF(AND(ISNUMBER(E231),ISNUMBER(K231)),E231-K231,NA())</f>
        <v/>
      </c>
      <c r="N231" s="18">
        <f>IF(NOT(ISNUMBER($A231)),NA(),IF(COUNT(OFFSET(G231,1,0,Settings!$B$12,1))&lt;Settings!$B$12,NA(),STDEV(OFFSET(G231,1,0,Settings!$B$12,1))*SQRT(Settings!$B$13)))</f>
        <v/>
      </c>
      <c r="O231" s="18">
        <f>IF(AND(ISNUMBER(E231),ISNUMBER(N231)),E231-N231,NA())</f>
        <v/>
      </c>
      <c r="P231" s="17">
        <f>IF(NOT(ISNUMBER($A231)),NA(),IF(OR($A231&lt;MIN(KW_TP!$A$2:$A$2501),$A231&gt;MAX(KW_TP!$A$2:$A$2501)),NA(),INDEX(KW_TP!$C$2:$C$2501,MATCH($A231,KW_TP!$A$2:$A$2501,1))))</f>
        <v/>
      </c>
    </row>
    <row r="232">
      <c r="A232" s="15">
        <f>IF(ISNUMBER(BBG_Data!A232),BBG_Data!A232,"")</f>
        <v/>
      </c>
      <c r="B232" s="16">
        <f>IF(AND(ISNUMBER($A232),ISNUMBER(BBG_Data!B232)),BBG_Data!B232,NA())</f>
        <v/>
      </c>
      <c r="C232" s="16">
        <f>IF(AND(ISNUMBER($A232),ISNUMBER(BBG_Data!C232)),BBG_Data!C232,NA())</f>
        <v/>
      </c>
      <c r="D232" s="17">
        <f>IF(AND(ISNUMBER($A232),ISNUMBER(BBG_Data!D232)),BBG_Data!D232,NA())</f>
        <v/>
      </c>
      <c r="E232" s="17">
        <f>IF(AND(ISNUMBER($A232),ISNUMBER(BBG_Data!E232)),BBG_Data!E232,NA())</f>
        <v/>
      </c>
      <c r="F232" s="18">
        <f>IF(AND(ISNUMBER(B232),ISNUMBER(B231)),(B232-B231)*100,"")</f>
        <v/>
      </c>
      <c r="G232" s="18">
        <f>IF(AND(ISNUMBER(C232),ISNUMBER(C231)),(C232-C231)*100,"")</f>
        <v/>
      </c>
      <c r="H232" s="18">
        <f>IF(OR(NOT(ISNUMBER($A232)),ROW()-2&lt;Settings!$B$11),NA(),IF(COUNT(OFFSET(F232,1-Settings!$B$11,0,Settings!$B$11,1))&lt;Settings!$B$11,NA(),STDEV(OFFSET(F232,1-Settings!$B$11,0,Settings!$B$11,1))*SQRT(Settings!$B$13)))</f>
        <v/>
      </c>
      <c r="I232" s="18">
        <f>IF(OR(NOT(ISNUMBER($A232)),ROW()-2&lt;Settings!$B$12),NA(),IF(COUNT(OFFSET(F232,1-Settings!$B$12,0,Settings!$B$12,1))&lt;Settings!$B$12,NA(),STDEV(OFFSET(F232,1-Settings!$B$12,0,Settings!$B$12,1))*SQRT(Settings!$B$13)))</f>
        <v/>
      </c>
      <c r="J232" s="18">
        <f>IF(OR(NOT(ISNUMBER($A232)),ROW()-2&lt;Settings!$B$11),NA(),IF(COUNT(OFFSET(G232,1-Settings!$B$11,0,Settings!$B$11,1))&lt;Settings!$B$11,NA(),STDEV(OFFSET(G232,1-Settings!$B$11,0,Settings!$B$11,1))*SQRT(Settings!$B$13)))</f>
        <v/>
      </c>
      <c r="K232" s="18">
        <f>IF(OR(NOT(ISNUMBER($A232)),ROW()-2&lt;Settings!$B$12),NA(),IF(COUNT(OFFSET(G232,1-Settings!$B$12,0,Settings!$B$12,1))&lt;Settings!$B$12,NA(),STDEV(OFFSET(G232,1-Settings!$B$12,0,Settings!$B$12,1))*SQRT(Settings!$B$13)))</f>
        <v/>
      </c>
      <c r="L232" s="18">
        <f>IF(AND(ISNUMBER(D232),ISNUMBER(H232)),D232-H232,NA())</f>
        <v/>
      </c>
      <c r="M232" s="18">
        <f>IF(AND(ISNUMBER(E232),ISNUMBER(K232)),E232-K232,NA())</f>
        <v/>
      </c>
      <c r="N232" s="18">
        <f>IF(NOT(ISNUMBER($A232)),NA(),IF(COUNT(OFFSET(G232,1,0,Settings!$B$12,1))&lt;Settings!$B$12,NA(),STDEV(OFFSET(G232,1,0,Settings!$B$12,1))*SQRT(Settings!$B$13)))</f>
        <v/>
      </c>
      <c r="O232" s="18">
        <f>IF(AND(ISNUMBER(E232),ISNUMBER(N232)),E232-N232,NA())</f>
        <v/>
      </c>
      <c r="P232" s="17">
        <f>IF(NOT(ISNUMBER($A232)),NA(),IF(OR($A232&lt;MIN(KW_TP!$A$2:$A$2501),$A232&gt;MAX(KW_TP!$A$2:$A$2501)),NA(),INDEX(KW_TP!$C$2:$C$2501,MATCH($A232,KW_TP!$A$2:$A$2501,1))))</f>
        <v/>
      </c>
    </row>
    <row r="233">
      <c r="A233" s="15">
        <f>IF(ISNUMBER(BBG_Data!A233),BBG_Data!A233,"")</f>
        <v/>
      </c>
      <c r="B233" s="16">
        <f>IF(AND(ISNUMBER($A233),ISNUMBER(BBG_Data!B233)),BBG_Data!B233,NA())</f>
        <v/>
      </c>
      <c r="C233" s="16">
        <f>IF(AND(ISNUMBER($A233),ISNUMBER(BBG_Data!C233)),BBG_Data!C233,NA())</f>
        <v/>
      </c>
      <c r="D233" s="17">
        <f>IF(AND(ISNUMBER($A233),ISNUMBER(BBG_Data!D233)),BBG_Data!D233,NA())</f>
        <v/>
      </c>
      <c r="E233" s="17">
        <f>IF(AND(ISNUMBER($A233),ISNUMBER(BBG_Data!E233)),BBG_Data!E233,NA())</f>
        <v/>
      </c>
      <c r="F233" s="18">
        <f>IF(AND(ISNUMBER(B233),ISNUMBER(B232)),(B233-B232)*100,"")</f>
        <v/>
      </c>
      <c r="G233" s="18">
        <f>IF(AND(ISNUMBER(C233),ISNUMBER(C232)),(C233-C232)*100,"")</f>
        <v/>
      </c>
      <c r="H233" s="18">
        <f>IF(OR(NOT(ISNUMBER($A233)),ROW()-2&lt;Settings!$B$11),NA(),IF(COUNT(OFFSET(F233,1-Settings!$B$11,0,Settings!$B$11,1))&lt;Settings!$B$11,NA(),STDEV(OFFSET(F233,1-Settings!$B$11,0,Settings!$B$11,1))*SQRT(Settings!$B$13)))</f>
        <v/>
      </c>
      <c r="I233" s="18">
        <f>IF(OR(NOT(ISNUMBER($A233)),ROW()-2&lt;Settings!$B$12),NA(),IF(COUNT(OFFSET(F233,1-Settings!$B$12,0,Settings!$B$12,1))&lt;Settings!$B$12,NA(),STDEV(OFFSET(F233,1-Settings!$B$12,0,Settings!$B$12,1))*SQRT(Settings!$B$13)))</f>
        <v/>
      </c>
      <c r="J233" s="18">
        <f>IF(OR(NOT(ISNUMBER($A233)),ROW()-2&lt;Settings!$B$11),NA(),IF(COUNT(OFFSET(G233,1-Settings!$B$11,0,Settings!$B$11,1))&lt;Settings!$B$11,NA(),STDEV(OFFSET(G233,1-Settings!$B$11,0,Settings!$B$11,1))*SQRT(Settings!$B$13)))</f>
        <v/>
      </c>
      <c r="K233" s="18">
        <f>IF(OR(NOT(ISNUMBER($A233)),ROW()-2&lt;Settings!$B$12),NA(),IF(COUNT(OFFSET(G233,1-Settings!$B$12,0,Settings!$B$12,1))&lt;Settings!$B$12,NA(),STDEV(OFFSET(G233,1-Settings!$B$12,0,Settings!$B$12,1))*SQRT(Settings!$B$13)))</f>
        <v/>
      </c>
      <c r="L233" s="18">
        <f>IF(AND(ISNUMBER(D233),ISNUMBER(H233)),D233-H233,NA())</f>
        <v/>
      </c>
      <c r="M233" s="18">
        <f>IF(AND(ISNUMBER(E233),ISNUMBER(K233)),E233-K233,NA())</f>
        <v/>
      </c>
      <c r="N233" s="18">
        <f>IF(NOT(ISNUMBER($A233)),NA(),IF(COUNT(OFFSET(G233,1,0,Settings!$B$12,1))&lt;Settings!$B$12,NA(),STDEV(OFFSET(G233,1,0,Settings!$B$12,1))*SQRT(Settings!$B$13)))</f>
        <v/>
      </c>
      <c r="O233" s="18">
        <f>IF(AND(ISNUMBER(E233),ISNUMBER(N233)),E233-N233,NA())</f>
        <v/>
      </c>
      <c r="P233" s="17">
        <f>IF(NOT(ISNUMBER($A233)),NA(),IF(OR($A233&lt;MIN(KW_TP!$A$2:$A$2501),$A233&gt;MAX(KW_TP!$A$2:$A$2501)),NA(),INDEX(KW_TP!$C$2:$C$2501,MATCH($A233,KW_TP!$A$2:$A$2501,1))))</f>
        <v/>
      </c>
    </row>
    <row r="234">
      <c r="A234" s="15">
        <f>IF(ISNUMBER(BBG_Data!A234),BBG_Data!A234,"")</f>
        <v/>
      </c>
      <c r="B234" s="16">
        <f>IF(AND(ISNUMBER($A234),ISNUMBER(BBG_Data!B234)),BBG_Data!B234,NA())</f>
        <v/>
      </c>
      <c r="C234" s="16">
        <f>IF(AND(ISNUMBER($A234),ISNUMBER(BBG_Data!C234)),BBG_Data!C234,NA())</f>
        <v/>
      </c>
      <c r="D234" s="17">
        <f>IF(AND(ISNUMBER($A234),ISNUMBER(BBG_Data!D234)),BBG_Data!D234,NA())</f>
        <v/>
      </c>
      <c r="E234" s="17">
        <f>IF(AND(ISNUMBER($A234),ISNUMBER(BBG_Data!E234)),BBG_Data!E234,NA())</f>
        <v/>
      </c>
      <c r="F234" s="18">
        <f>IF(AND(ISNUMBER(B234),ISNUMBER(B233)),(B234-B233)*100,"")</f>
        <v/>
      </c>
      <c r="G234" s="18">
        <f>IF(AND(ISNUMBER(C234),ISNUMBER(C233)),(C234-C233)*100,"")</f>
        <v/>
      </c>
      <c r="H234" s="18">
        <f>IF(OR(NOT(ISNUMBER($A234)),ROW()-2&lt;Settings!$B$11),NA(),IF(COUNT(OFFSET(F234,1-Settings!$B$11,0,Settings!$B$11,1))&lt;Settings!$B$11,NA(),STDEV(OFFSET(F234,1-Settings!$B$11,0,Settings!$B$11,1))*SQRT(Settings!$B$13)))</f>
        <v/>
      </c>
      <c r="I234" s="18">
        <f>IF(OR(NOT(ISNUMBER($A234)),ROW()-2&lt;Settings!$B$12),NA(),IF(COUNT(OFFSET(F234,1-Settings!$B$12,0,Settings!$B$12,1))&lt;Settings!$B$12,NA(),STDEV(OFFSET(F234,1-Settings!$B$12,0,Settings!$B$12,1))*SQRT(Settings!$B$13)))</f>
        <v/>
      </c>
      <c r="J234" s="18">
        <f>IF(OR(NOT(ISNUMBER($A234)),ROW()-2&lt;Settings!$B$11),NA(),IF(COUNT(OFFSET(G234,1-Settings!$B$11,0,Settings!$B$11,1))&lt;Settings!$B$11,NA(),STDEV(OFFSET(G234,1-Settings!$B$11,0,Settings!$B$11,1))*SQRT(Settings!$B$13)))</f>
        <v/>
      </c>
      <c r="K234" s="18">
        <f>IF(OR(NOT(ISNUMBER($A234)),ROW()-2&lt;Settings!$B$12),NA(),IF(COUNT(OFFSET(G234,1-Settings!$B$12,0,Settings!$B$12,1))&lt;Settings!$B$12,NA(),STDEV(OFFSET(G234,1-Settings!$B$12,0,Settings!$B$12,1))*SQRT(Settings!$B$13)))</f>
        <v/>
      </c>
      <c r="L234" s="18">
        <f>IF(AND(ISNUMBER(D234),ISNUMBER(H234)),D234-H234,NA())</f>
        <v/>
      </c>
      <c r="M234" s="18">
        <f>IF(AND(ISNUMBER(E234),ISNUMBER(K234)),E234-K234,NA())</f>
        <v/>
      </c>
      <c r="N234" s="18">
        <f>IF(NOT(ISNUMBER($A234)),NA(),IF(COUNT(OFFSET(G234,1,0,Settings!$B$12,1))&lt;Settings!$B$12,NA(),STDEV(OFFSET(G234,1,0,Settings!$B$12,1))*SQRT(Settings!$B$13)))</f>
        <v/>
      </c>
      <c r="O234" s="18">
        <f>IF(AND(ISNUMBER(E234),ISNUMBER(N234)),E234-N234,NA())</f>
        <v/>
      </c>
      <c r="P234" s="17">
        <f>IF(NOT(ISNUMBER($A234)),NA(),IF(OR($A234&lt;MIN(KW_TP!$A$2:$A$2501),$A234&gt;MAX(KW_TP!$A$2:$A$2501)),NA(),INDEX(KW_TP!$C$2:$C$2501,MATCH($A234,KW_TP!$A$2:$A$2501,1))))</f>
        <v/>
      </c>
    </row>
    <row r="235">
      <c r="A235" s="15">
        <f>IF(ISNUMBER(BBG_Data!A235),BBG_Data!A235,"")</f>
        <v/>
      </c>
      <c r="B235" s="16">
        <f>IF(AND(ISNUMBER($A235),ISNUMBER(BBG_Data!B235)),BBG_Data!B235,NA())</f>
        <v/>
      </c>
      <c r="C235" s="16">
        <f>IF(AND(ISNUMBER($A235),ISNUMBER(BBG_Data!C235)),BBG_Data!C235,NA())</f>
        <v/>
      </c>
      <c r="D235" s="17">
        <f>IF(AND(ISNUMBER($A235),ISNUMBER(BBG_Data!D235)),BBG_Data!D235,NA())</f>
        <v/>
      </c>
      <c r="E235" s="17">
        <f>IF(AND(ISNUMBER($A235),ISNUMBER(BBG_Data!E235)),BBG_Data!E235,NA())</f>
        <v/>
      </c>
      <c r="F235" s="18">
        <f>IF(AND(ISNUMBER(B235),ISNUMBER(B234)),(B235-B234)*100,"")</f>
        <v/>
      </c>
      <c r="G235" s="18">
        <f>IF(AND(ISNUMBER(C235),ISNUMBER(C234)),(C235-C234)*100,"")</f>
        <v/>
      </c>
      <c r="H235" s="18">
        <f>IF(OR(NOT(ISNUMBER($A235)),ROW()-2&lt;Settings!$B$11),NA(),IF(COUNT(OFFSET(F235,1-Settings!$B$11,0,Settings!$B$11,1))&lt;Settings!$B$11,NA(),STDEV(OFFSET(F235,1-Settings!$B$11,0,Settings!$B$11,1))*SQRT(Settings!$B$13)))</f>
        <v/>
      </c>
      <c r="I235" s="18">
        <f>IF(OR(NOT(ISNUMBER($A235)),ROW()-2&lt;Settings!$B$12),NA(),IF(COUNT(OFFSET(F235,1-Settings!$B$12,0,Settings!$B$12,1))&lt;Settings!$B$12,NA(),STDEV(OFFSET(F235,1-Settings!$B$12,0,Settings!$B$12,1))*SQRT(Settings!$B$13)))</f>
        <v/>
      </c>
      <c r="J235" s="18">
        <f>IF(OR(NOT(ISNUMBER($A235)),ROW()-2&lt;Settings!$B$11),NA(),IF(COUNT(OFFSET(G235,1-Settings!$B$11,0,Settings!$B$11,1))&lt;Settings!$B$11,NA(),STDEV(OFFSET(G235,1-Settings!$B$11,0,Settings!$B$11,1))*SQRT(Settings!$B$13)))</f>
        <v/>
      </c>
      <c r="K235" s="18">
        <f>IF(OR(NOT(ISNUMBER($A235)),ROW()-2&lt;Settings!$B$12),NA(),IF(COUNT(OFFSET(G235,1-Settings!$B$12,0,Settings!$B$12,1))&lt;Settings!$B$12,NA(),STDEV(OFFSET(G235,1-Settings!$B$12,0,Settings!$B$12,1))*SQRT(Settings!$B$13)))</f>
        <v/>
      </c>
      <c r="L235" s="18">
        <f>IF(AND(ISNUMBER(D235),ISNUMBER(H235)),D235-H235,NA())</f>
        <v/>
      </c>
      <c r="M235" s="18">
        <f>IF(AND(ISNUMBER(E235),ISNUMBER(K235)),E235-K235,NA())</f>
        <v/>
      </c>
      <c r="N235" s="18">
        <f>IF(NOT(ISNUMBER($A235)),NA(),IF(COUNT(OFFSET(G235,1,0,Settings!$B$12,1))&lt;Settings!$B$12,NA(),STDEV(OFFSET(G235,1,0,Settings!$B$12,1))*SQRT(Settings!$B$13)))</f>
        <v/>
      </c>
      <c r="O235" s="18">
        <f>IF(AND(ISNUMBER(E235),ISNUMBER(N235)),E235-N235,NA())</f>
        <v/>
      </c>
      <c r="P235" s="17">
        <f>IF(NOT(ISNUMBER($A235)),NA(),IF(OR($A235&lt;MIN(KW_TP!$A$2:$A$2501),$A235&gt;MAX(KW_TP!$A$2:$A$2501)),NA(),INDEX(KW_TP!$C$2:$C$2501,MATCH($A235,KW_TP!$A$2:$A$2501,1))))</f>
        <v/>
      </c>
    </row>
    <row r="236">
      <c r="A236" s="15">
        <f>IF(ISNUMBER(BBG_Data!A236),BBG_Data!A236,"")</f>
        <v/>
      </c>
      <c r="B236" s="16">
        <f>IF(AND(ISNUMBER($A236),ISNUMBER(BBG_Data!B236)),BBG_Data!B236,NA())</f>
        <v/>
      </c>
      <c r="C236" s="16">
        <f>IF(AND(ISNUMBER($A236),ISNUMBER(BBG_Data!C236)),BBG_Data!C236,NA())</f>
        <v/>
      </c>
      <c r="D236" s="17">
        <f>IF(AND(ISNUMBER($A236),ISNUMBER(BBG_Data!D236)),BBG_Data!D236,NA())</f>
        <v/>
      </c>
      <c r="E236" s="17">
        <f>IF(AND(ISNUMBER($A236),ISNUMBER(BBG_Data!E236)),BBG_Data!E236,NA())</f>
        <v/>
      </c>
      <c r="F236" s="18">
        <f>IF(AND(ISNUMBER(B236),ISNUMBER(B235)),(B236-B235)*100,"")</f>
        <v/>
      </c>
      <c r="G236" s="18">
        <f>IF(AND(ISNUMBER(C236),ISNUMBER(C235)),(C236-C235)*100,"")</f>
        <v/>
      </c>
      <c r="H236" s="18">
        <f>IF(OR(NOT(ISNUMBER($A236)),ROW()-2&lt;Settings!$B$11),NA(),IF(COUNT(OFFSET(F236,1-Settings!$B$11,0,Settings!$B$11,1))&lt;Settings!$B$11,NA(),STDEV(OFFSET(F236,1-Settings!$B$11,0,Settings!$B$11,1))*SQRT(Settings!$B$13)))</f>
        <v/>
      </c>
      <c r="I236" s="18">
        <f>IF(OR(NOT(ISNUMBER($A236)),ROW()-2&lt;Settings!$B$12),NA(),IF(COUNT(OFFSET(F236,1-Settings!$B$12,0,Settings!$B$12,1))&lt;Settings!$B$12,NA(),STDEV(OFFSET(F236,1-Settings!$B$12,0,Settings!$B$12,1))*SQRT(Settings!$B$13)))</f>
        <v/>
      </c>
      <c r="J236" s="18">
        <f>IF(OR(NOT(ISNUMBER($A236)),ROW()-2&lt;Settings!$B$11),NA(),IF(COUNT(OFFSET(G236,1-Settings!$B$11,0,Settings!$B$11,1))&lt;Settings!$B$11,NA(),STDEV(OFFSET(G236,1-Settings!$B$11,0,Settings!$B$11,1))*SQRT(Settings!$B$13)))</f>
        <v/>
      </c>
      <c r="K236" s="18">
        <f>IF(OR(NOT(ISNUMBER($A236)),ROW()-2&lt;Settings!$B$12),NA(),IF(COUNT(OFFSET(G236,1-Settings!$B$12,0,Settings!$B$12,1))&lt;Settings!$B$12,NA(),STDEV(OFFSET(G236,1-Settings!$B$12,0,Settings!$B$12,1))*SQRT(Settings!$B$13)))</f>
        <v/>
      </c>
      <c r="L236" s="18">
        <f>IF(AND(ISNUMBER(D236),ISNUMBER(H236)),D236-H236,NA())</f>
        <v/>
      </c>
      <c r="M236" s="18">
        <f>IF(AND(ISNUMBER(E236),ISNUMBER(K236)),E236-K236,NA())</f>
        <v/>
      </c>
      <c r="N236" s="18">
        <f>IF(NOT(ISNUMBER($A236)),NA(),IF(COUNT(OFFSET(G236,1,0,Settings!$B$12,1))&lt;Settings!$B$12,NA(),STDEV(OFFSET(G236,1,0,Settings!$B$12,1))*SQRT(Settings!$B$13)))</f>
        <v/>
      </c>
      <c r="O236" s="18">
        <f>IF(AND(ISNUMBER(E236),ISNUMBER(N236)),E236-N236,NA())</f>
        <v/>
      </c>
      <c r="P236" s="17">
        <f>IF(NOT(ISNUMBER($A236)),NA(),IF(OR($A236&lt;MIN(KW_TP!$A$2:$A$2501),$A236&gt;MAX(KW_TP!$A$2:$A$2501)),NA(),INDEX(KW_TP!$C$2:$C$2501,MATCH($A236,KW_TP!$A$2:$A$2501,1))))</f>
        <v/>
      </c>
    </row>
    <row r="237">
      <c r="A237" s="15">
        <f>IF(ISNUMBER(BBG_Data!A237),BBG_Data!A237,"")</f>
        <v/>
      </c>
      <c r="B237" s="16">
        <f>IF(AND(ISNUMBER($A237),ISNUMBER(BBG_Data!B237)),BBG_Data!B237,NA())</f>
        <v/>
      </c>
      <c r="C237" s="16">
        <f>IF(AND(ISNUMBER($A237),ISNUMBER(BBG_Data!C237)),BBG_Data!C237,NA())</f>
        <v/>
      </c>
      <c r="D237" s="17">
        <f>IF(AND(ISNUMBER($A237),ISNUMBER(BBG_Data!D237)),BBG_Data!D237,NA())</f>
        <v/>
      </c>
      <c r="E237" s="17">
        <f>IF(AND(ISNUMBER($A237),ISNUMBER(BBG_Data!E237)),BBG_Data!E237,NA())</f>
        <v/>
      </c>
      <c r="F237" s="18">
        <f>IF(AND(ISNUMBER(B237),ISNUMBER(B236)),(B237-B236)*100,"")</f>
        <v/>
      </c>
      <c r="G237" s="18">
        <f>IF(AND(ISNUMBER(C237),ISNUMBER(C236)),(C237-C236)*100,"")</f>
        <v/>
      </c>
      <c r="H237" s="18">
        <f>IF(OR(NOT(ISNUMBER($A237)),ROW()-2&lt;Settings!$B$11),NA(),IF(COUNT(OFFSET(F237,1-Settings!$B$11,0,Settings!$B$11,1))&lt;Settings!$B$11,NA(),STDEV(OFFSET(F237,1-Settings!$B$11,0,Settings!$B$11,1))*SQRT(Settings!$B$13)))</f>
        <v/>
      </c>
      <c r="I237" s="18">
        <f>IF(OR(NOT(ISNUMBER($A237)),ROW()-2&lt;Settings!$B$12),NA(),IF(COUNT(OFFSET(F237,1-Settings!$B$12,0,Settings!$B$12,1))&lt;Settings!$B$12,NA(),STDEV(OFFSET(F237,1-Settings!$B$12,0,Settings!$B$12,1))*SQRT(Settings!$B$13)))</f>
        <v/>
      </c>
      <c r="J237" s="18">
        <f>IF(OR(NOT(ISNUMBER($A237)),ROW()-2&lt;Settings!$B$11),NA(),IF(COUNT(OFFSET(G237,1-Settings!$B$11,0,Settings!$B$11,1))&lt;Settings!$B$11,NA(),STDEV(OFFSET(G237,1-Settings!$B$11,0,Settings!$B$11,1))*SQRT(Settings!$B$13)))</f>
        <v/>
      </c>
      <c r="K237" s="18">
        <f>IF(OR(NOT(ISNUMBER($A237)),ROW()-2&lt;Settings!$B$12),NA(),IF(COUNT(OFFSET(G237,1-Settings!$B$12,0,Settings!$B$12,1))&lt;Settings!$B$12,NA(),STDEV(OFFSET(G237,1-Settings!$B$12,0,Settings!$B$12,1))*SQRT(Settings!$B$13)))</f>
        <v/>
      </c>
      <c r="L237" s="18">
        <f>IF(AND(ISNUMBER(D237),ISNUMBER(H237)),D237-H237,NA())</f>
        <v/>
      </c>
      <c r="M237" s="18">
        <f>IF(AND(ISNUMBER(E237),ISNUMBER(K237)),E237-K237,NA())</f>
        <v/>
      </c>
      <c r="N237" s="18">
        <f>IF(NOT(ISNUMBER($A237)),NA(),IF(COUNT(OFFSET(G237,1,0,Settings!$B$12,1))&lt;Settings!$B$12,NA(),STDEV(OFFSET(G237,1,0,Settings!$B$12,1))*SQRT(Settings!$B$13)))</f>
        <v/>
      </c>
      <c r="O237" s="18">
        <f>IF(AND(ISNUMBER(E237),ISNUMBER(N237)),E237-N237,NA())</f>
        <v/>
      </c>
      <c r="P237" s="17">
        <f>IF(NOT(ISNUMBER($A237)),NA(),IF(OR($A237&lt;MIN(KW_TP!$A$2:$A$2501),$A237&gt;MAX(KW_TP!$A$2:$A$2501)),NA(),INDEX(KW_TP!$C$2:$C$2501,MATCH($A237,KW_TP!$A$2:$A$2501,1))))</f>
        <v/>
      </c>
    </row>
    <row r="238">
      <c r="A238" s="15">
        <f>IF(ISNUMBER(BBG_Data!A238),BBG_Data!A238,"")</f>
        <v/>
      </c>
      <c r="B238" s="16">
        <f>IF(AND(ISNUMBER($A238),ISNUMBER(BBG_Data!B238)),BBG_Data!B238,NA())</f>
        <v/>
      </c>
      <c r="C238" s="16">
        <f>IF(AND(ISNUMBER($A238),ISNUMBER(BBG_Data!C238)),BBG_Data!C238,NA())</f>
        <v/>
      </c>
      <c r="D238" s="17">
        <f>IF(AND(ISNUMBER($A238),ISNUMBER(BBG_Data!D238)),BBG_Data!D238,NA())</f>
        <v/>
      </c>
      <c r="E238" s="17">
        <f>IF(AND(ISNUMBER($A238),ISNUMBER(BBG_Data!E238)),BBG_Data!E238,NA())</f>
        <v/>
      </c>
      <c r="F238" s="18">
        <f>IF(AND(ISNUMBER(B238),ISNUMBER(B237)),(B238-B237)*100,"")</f>
        <v/>
      </c>
      <c r="G238" s="18">
        <f>IF(AND(ISNUMBER(C238),ISNUMBER(C237)),(C238-C237)*100,"")</f>
        <v/>
      </c>
      <c r="H238" s="18">
        <f>IF(OR(NOT(ISNUMBER($A238)),ROW()-2&lt;Settings!$B$11),NA(),IF(COUNT(OFFSET(F238,1-Settings!$B$11,0,Settings!$B$11,1))&lt;Settings!$B$11,NA(),STDEV(OFFSET(F238,1-Settings!$B$11,0,Settings!$B$11,1))*SQRT(Settings!$B$13)))</f>
        <v/>
      </c>
      <c r="I238" s="18">
        <f>IF(OR(NOT(ISNUMBER($A238)),ROW()-2&lt;Settings!$B$12),NA(),IF(COUNT(OFFSET(F238,1-Settings!$B$12,0,Settings!$B$12,1))&lt;Settings!$B$12,NA(),STDEV(OFFSET(F238,1-Settings!$B$12,0,Settings!$B$12,1))*SQRT(Settings!$B$13)))</f>
        <v/>
      </c>
      <c r="J238" s="18">
        <f>IF(OR(NOT(ISNUMBER($A238)),ROW()-2&lt;Settings!$B$11),NA(),IF(COUNT(OFFSET(G238,1-Settings!$B$11,0,Settings!$B$11,1))&lt;Settings!$B$11,NA(),STDEV(OFFSET(G238,1-Settings!$B$11,0,Settings!$B$11,1))*SQRT(Settings!$B$13)))</f>
        <v/>
      </c>
      <c r="K238" s="18">
        <f>IF(OR(NOT(ISNUMBER($A238)),ROW()-2&lt;Settings!$B$12),NA(),IF(COUNT(OFFSET(G238,1-Settings!$B$12,0,Settings!$B$12,1))&lt;Settings!$B$12,NA(),STDEV(OFFSET(G238,1-Settings!$B$12,0,Settings!$B$12,1))*SQRT(Settings!$B$13)))</f>
        <v/>
      </c>
      <c r="L238" s="18">
        <f>IF(AND(ISNUMBER(D238),ISNUMBER(H238)),D238-H238,NA())</f>
        <v/>
      </c>
      <c r="M238" s="18">
        <f>IF(AND(ISNUMBER(E238),ISNUMBER(K238)),E238-K238,NA())</f>
        <v/>
      </c>
      <c r="N238" s="18">
        <f>IF(NOT(ISNUMBER($A238)),NA(),IF(COUNT(OFFSET(G238,1,0,Settings!$B$12,1))&lt;Settings!$B$12,NA(),STDEV(OFFSET(G238,1,0,Settings!$B$12,1))*SQRT(Settings!$B$13)))</f>
        <v/>
      </c>
      <c r="O238" s="18">
        <f>IF(AND(ISNUMBER(E238),ISNUMBER(N238)),E238-N238,NA())</f>
        <v/>
      </c>
      <c r="P238" s="17">
        <f>IF(NOT(ISNUMBER($A238)),NA(),IF(OR($A238&lt;MIN(KW_TP!$A$2:$A$2501),$A238&gt;MAX(KW_TP!$A$2:$A$2501)),NA(),INDEX(KW_TP!$C$2:$C$2501,MATCH($A238,KW_TP!$A$2:$A$2501,1))))</f>
        <v/>
      </c>
    </row>
    <row r="239">
      <c r="A239" s="15">
        <f>IF(ISNUMBER(BBG_Data!A239),BBG_Data!A239,"")</f>
        <v/>
      </c>
      <c r="B239" s="16">
        <f>IF(AND(ISNUMBER($A239),ISNUMBER(BBG_Data!B239)),BBG_Data!B239,NA())</f>
        <v/>
      </c>
      <c r="C239" s="16">
        <f>IF(AND(ISNUMBER($A239),ISNUMBER(BBG_Data!C239)),BBG_Data!C239,NA())</f>
        <v/>
      </c>
      <c r="D239" s="17">
        <f>IF(AND(ISNUMBER($A239),ISNUMBER(BBG_Data!D239)),BBG_Data!D239,NA())</f>
        <v/>
      </c>
      <c r="E239" s="17">
        <f>IF(AND(ISNUMBER($A239),ISNUMBER(BBG_Data!E239)),BBG_Data!E239,NA())</f>
        <v/>
      </c>
      <c r="F239" s="18">
        <f>IF(AND(ISNUMBER(B239),ISNUMBER(B238)),(B239-B238)*100,"")</f>
        <v/>
      </c>
      <c r="G239" s="18">
        <f>IF(AND(ISNUMBER(C239),ISNUMBER(C238)),(C239-C238)*100,"")</f>
        <v/>
      </c>
      <c r="H239" s="18">
        <f>IF(OR(NOT(ISNUMBER($A239)),ROW()-2&lt;Settings!$B$11),NA(),IF(COUNT(OFFSET(F239,1-Settings!$B$11,0,Settings!$B$11,1))&lt;Settings!$B$11,NA(),STDEV(OFFSET(F239,1-Settings!$B$11,0,Settings!$B$11,1))*SQRT(Settings!$B$13)))</f>
        <v/>
      </c>
      <c r="I239" s="18">
        <f>IF(OR(NOT(ISNUMBER($A239)),ROW()-2&lt;Settings!$B$12),NA(),IF(COUNT(OFFSET(F239,1-Settings!$B$12,0,Settings!$B$12,1))&lt;Settings!$B$12,NA(),STDEV(OFFSET(F239,1-Settings!$B$12,0,Settings!$B$12,1))*SQRT(Settings!$B$13)))</f>
        <v/>
      </c>
      <c r="J239" s="18">
        <f>IF(OR(NOT(ISNUMBER($A239)),ROW()-2&lt;Settings!$B$11),NA(),IF(COUNT(OFFSET(G239,1-Settings!$B$11,0,Settings!$B$11,1))&lt;Settings!$B$11,NA(),STDEV(OFFSET(G239,1-Settings!$B$11,0,Settings!$B$11,1))*SQRT(Settings!$B$13)))</f>
        <v/>
      </c>
      <c r="K239" s="18">
        <f>IF(OR(NOT(ISNUMBER($A239)),ROW()-2&lt;Settings!$B$12),NA(),IF(COUNT(OFFSET(G239,1-Settings!$B$12,0,Settings!$B$12,1))&lt;Settings!$B$12,NA(),STDEV(OFFSET(G239,1-Settings!$B$12,0,Settings!$B$12,1))*SQRT(Settings!$B$13)))</f>
        <v/>
      </c>
      <c r="L239" s="18">
        <f>IF(AND(ISNUMBER(D239),ISNUMBER(H239)),D239-H239,NA())</f>
        <v/>
      </c>
      <c r="M239" s="18">
        <f>IF(AND(ISNUMBER(E239),ISNUMBER(K239)),E239-K239,NA())</f>
        <v/>
      </c>
      <c r="N239" s="18">
        <f>IF(NOT(ISNUMBER($A239)),NA(),IF(COUNT(OFFSET(G239,1,0,Settings!$B$12,1))&lt;Settings!$B$12,NA(),STDEV(OFFSET(G239,1,0,Settings!$B$12,1))*SQRT(Settings!$B$13)))</f>
        <v/>
      </c>
      <c r="O239" s="18">
        <f>IF(AND(ISNUMBER(E239),ISNUMBER(N239)),E239-N239,NA())</f>
        <v/>
      </c>
      <c r="P239" s="17">
        <f>IF(NOT(ISNUMBER($A239)),NA(),IF(OR($A239&lt;MIN(KW_TP!$A$2:$A$2501),$A239&gt;MAX(KW_TP!$A$2:$A$2501)),NA(),INDEX(KW_TP!$C$2:$C$2501,MATCH($A239,KW_TP!$A$2:$A$2501,1))))</f>
        <v/>
      </c>
    </row>
    <row r="240">
      <c r="A240" s="15">
        <f>IF(ISNUMBER(BBG_Data!A240),BBG_Data!A240,"")</f>
        <v/>
      </c>
      <c r="B240" s="16">
        <f>IF(AND(ISNUMBER($A240),ISNUMBER(BBG_Data!B240)),BBG_Data!B240,NA())</f>
        <v/>
      </c>
      <c r="C240" s="16">
        <f>IF(AND(ISNUMBER($A240),ISNUMBER(BBG_Data!C240)),BBG_Data!C240,NA())</f>
        <v/>
      </c>
      <c r="D240" s="17">
        <f>IF(AND(ISNUMBER($A240),ISNUMBER(BBG_Data!D240)),BBG_Data!D240,NA())</f>
        <v/>
      </c>
      <c r="E240" s="17">
        <f>IF(AND(ISNUMBER($A240),ISNUMBER(BBG_Data!E240)),BBG_Data!E240,NA())</f>
        <v/>
      </c>
      <c r="F240" s="18">
        <f>IF(AND(ISNUMBER(B240),ISNUMBER(B239)),(B240-B239)*100,"")</f>
        <v/>
      </c>
      <c r="G240" s="18">
        <f>IF(AND(ISNUMBER(C240),ISNUMBER(C239)),(C240-C239)*100,"")</f>
        <v/>
      </c>
      <c r="H240" s="18">
        <f>IF(OR(NOT(ISNUMBER($A240)),ROW()-2&lt;Settings!$B$11),NA(),IF(COUNT(OFFSET(F240,1-Settings!$B$11,0,Settings!$B$11,1))&lt;Settings!$B$11,NA(),STDEV(OFFSET(F240,1-Settings!$B$11,0,Settings!$B$11,1))*SQRT(Settings!$B$13)))</f>
        <v/>
      </c>
      <c r="I240" s="18">
        <f>IF(OR(NOT(ISNUMBER($A240)),ROW()-2&lt;Settings!$B$12),NA(),IF(COUNT(OFFSET(F240,1-Settings!$B$12,0,Settings!$B$12,1))&lt;Settings!$B$12,NA(),STDEV(OFFSET(F240,1-Settings!$B$12,0,Settings!$B$12,1))*SQRT(Settings!$B$13)))</f>
        <v/>
      </c>
      <c r="J240" s="18">
        <f>IF(OR(NOT(ISNUMBER($A240)),ROW()-2&lt;Settings!$B$11),NA(),IF(COUNT(OFFSET(G240,1-Settings!$B$11,0,Settings!$B$11,1))&lt;Settings!$B$11,NA(),STDEV(OFFSET(G240,1-Settings!$B$11,0,Settings!$B$11,1))*SQRT(Settings!$B$13)))</f>
        <v/>
      </c>
      <c r="K240" s="18">
        <f>IF(OR(NOT(ISNUMBER($A240)),ROW()-2&lt;Settings!$B$12),NA(),IF(COUNT(OFFSET(G240,1-Settings!$B$12,0,Settings!$B$12,1))&lt;Settings!$B$12,NA(),STDEV(OFFSET(G240,1-Settings!$B$12,0,Settings!$B$12,1))*SQRT(Settings!$B$13)))</f>
        <v/>
      </c>
      <c r="L240" s="18">
        <f>IF(AND(ISNUMBER(D240),ISNUMBER(H240)),D240-H240,NA())</f>
        <v/>
      </c>
      <c r="M240" s="18">
        <f>IF(AND(ISNUMBER(E240),ISNUMBER(K240)),E240-K240,NA())</f>
        <v/>
      </c>
      <c r="N240" s="18">
        <f>IF(NOT(ISNUMBER($A240)),NA(),IF(COUNT(OFFSET(G240,1,0,Settings!$B$12,1))&lt;Settings!$B$12,NA(),STDEV(OFFSET(G240,1,0,Settings!$B$12,1))*SQRT(Settings!$B$13)))</f>
        <v/>
      </c>
      <c r="O240" s="18">
        <f>IF(AND(ISNUMBER(E240),ISNUMBER(N240)),E240-N240,NA())</f>
        <v/>
      </c>
      <c r="P240" s="17">
        <f>IF(NOT(ISNUMBER($A240)),NA(),IF(OR($A240&lt;MIN(KW_TP!$A$2:$A$2501),$A240&gt;MAX(KW_TP!$A$2:$A$2501)),NA(),INDEX(KW_TP!$C$2:$C$2501,MATCH($A240,KW_TP!$A$2:$A$2501,1))))</f>
        <v/>
      </c>
    </row>
    <row r="241">
      <c r="A241" s="15">
        <f>IF(ISNUMBER(BBG_Data!A241),BBG_Data!A241,"")</f>
        <v/>
      </c>
      <c r="B241" s="16">
        <f>IF(AND(ISNUMBER($A241),ISNUMBER(BBG_Data!B241)),BBG_Data!B241,NA())</f>
        <v/>
      </c>
      <c r="C241" s="16">
        <f>IF(AND(ISNUMBER($A241),ISNUMBER(BBG_Data!C241)),BBG_Data!C241,NA())</f>
        <v/>
      </c>
      <c r="D241" s="17">
        <f>IF(AND(ISNUMBER($A241),ISNUMBER(BBG_Data!D241)),BBG_Data!D241,NA())</f>
        <v/>
      </c>
      <c r="E241" s="17">
        <f>IF(AND(ISNUMBER($A241),ISNUMBER(BBG_Data!E241)),BBG_Data!E241,NA())</f>
        <v/>
      </c>
      <c r="F241" s="18">
        <f>IF(AND(ISNUMBER(B241),ISNUMBER(B240)),(B241-B240)*100,"")</f>
        <v/>
      </c>
      <c r="G241" s="18">
        <f>IF(AND(ISNUMBER(C241),ISNUMBER(C240)),(C241-C240)*100,"")</f>
        <v/>
      </c>
      <c r="H241" s="18">
        <f>IF(OR(NOT(ISNUMBER($A241)),ROW()-2&lt;Settings!$B$11),NA(),IF(COUNT(OFFSET(F241,1-Settings!$B$11,0,Settings!$B$11,1))&lt;Settings!$B$11,NA(),STDEV(OFFSET(F241,1-Settings!$B$11,0,Settings!$B$11,1))*SQRT(Settings!$B$13)))</f>
        <v/>
      </c>
      <c r="I241" s="18">
        <f>IF(OR(NOT(ISNUMBER($A241)),ROW()-2&lt;Settings!$B$12),NA(),IF(COUNT(OFFSET(F241,1-Settings!$B$12,0,Settings!$B$12,1))&lt;Settings!$B$12,NA(),STDEV(OFFSET(F241,1-Settings!$B$12,0,Settings!$B$12,1))*SQRT(Settings!$B$13)))</f>
        <v/>
      </c>
      <c r="J241" s="18">
        <f>IF(OR(NOT(ISNUMBER($A241)),ROW()-2&lt;Settings!$B$11),NA(),IF(COUNT(OFFSET(G241,1-Settings!$B$11,0,Settings!$B$11,1))&lt;Settings!$B$11,NA(),STDEV(OFFSET(G241,1-Settings!$B$11,0,Settings!$B$11,1))*SQRT(Settings!$B$13)))</f>
        <v/>
      </c>
      <c r="K241" s="18">
        <f>IF(OR(NOT(ISNUMBER($A241)),ROW()-2&lt;Settings!$B$12),NA(),IF(COUNT(OFFSET(G241,1-Settings!$B$12,0,Settings!$B$12,1))&lt;Settings!$B$12,NA(),STDEV(OFFSET(G241,1-Settings!$B$12,0,Settings!$B$12,1))*SQRT(Settings!$B$13)))</f>
        <v/>
      </c>
      <c r="L241" s="18">
        <f>IF(AND(ISNUMBER(D241),ISNUMBER(H241)),D241-H241,NA())</f>
        <v/>
      </c>
      <c r="M241" s="18">
        <f>IF(AND(ISNUMBER(E241),ISNUMBER(K241)),E241-K241,NA())</f>
        <v/>
      </c>
      <c r="N241" s="18">
        <f>IF(NOT(ISNUMBER($A241)),NA(),IF(COUNT(OFFSET(G241,1,0,Settings!$B$12,1))&lt;Settings!$B$12,NA(),STDEV(OFFSET(G241,1,0,Settings!$B$12,1))*SQRT(Settings!$B$13)))</f>
        <v/>
      </c>
      <c r="O241" s="18">
        <f>IF(AND(ISNUMBER(E241),ISNUMBER(N241)),E241-N241,NA())</f>
        <v/>
      </c>
      <c r="P241" s="17">
        <f>IF(NOT(ISNUMBER($A241)),NA(),IF(OR($A241&lt;MIN(KW_TP!$A$2:$A$2501),$A241&gt;MAX(KW_TP!$A$2:$A$2501)),NA(),INDEX(KW_TP!$C$2:$C$2501,MATCH($A241,KW_TP!$A$2:$A$2501,1))))</f>
        <v/>
      </c>
    </row>
    <row r="242">
      <c r="A242" s="15">
        <f>IF(ISNUMBER(BBG_Data!A242),BBG_Data!A242,"")</f>
        <v/>
      </c>
      <c r="B242" s="16">
        <f>IF(AND(ISNUMBER($A242),ISNUMBER(BBG_Data!B242)),BBG_Data!B242,NA())</f>
        <v/>
      </c>
      <c r="C242" s="16">
        <f>IF(AND(ISNUMBER($A242),ISNUMBER(BBG_Data!C242)),BBG_Data!C242,NA())</f>
        <v/>
      </c>
      <c r="D242" s="17">
        <f>IF(AND(ISNUMBER($A242),ISNUMBER(BBG_Data!D242)),BBG_Data!D242,NA())</f>
        <v/>
      </c>
      <c r="E242" s="17">
        <f>IF(AND(ISNUMBER($A242),ISNUMBER(BBG_Data!E242)),BBG_Data!E242,NA())</f>
        <v/>
      </c>
      <c r="F242" s="18">
        <f>IF(AND(ISNUMBER(B242),ISNUMBER(B241)),(B242-B241)*100,"")</f>
        <v/>
      </c>
      <c r="G242" s="18">
        <f>IF(AND(ISNUMBER(C242),ISNUMBER(C241)),(C242-C241)*100,"")</f>
        <v/>
      </c>
      <c r="H242" s="18">
        <f>IF(OR(NOT(ISNUMBER($A242)),ROW()-2&lt;Settings!$B$11),NA(),IF(COUNT(OFFSET(F242,1-Settings!$B$11,0,Settings!$B$11,1))&lt;Settings!$B$11,NA(),STDEV(OFFSET(F242,1-Settings!$B$11,0,Settings!$B$11,1))*SQRT(Settings!$B$13)))</f>
        <v/>
      </c>
      <c r="I242" s="18">
        <f>IF(OR(NOT(ISNUMBER($A242)),ROW()-2&lt;Settings!$B$12),NA(),IF(COUNT(OFFSET(F242,1-Settings!$B$12,0,Settings!$B$12,1))&lt;Settings!$B$12,NA(),STDEV(OFFSET(F242,1-Settings!$B$12,0,Settings!$B$12,1))*SQRT(Settings!$B$13)))</f>
        <v/>
      </c>
      <c r="J242" s="18">
        <f>IF(OR(NOT(ISNUMBER($A242)),ROW()-2&lt;Settings!$B$11),NA(),IF(COUNT(OFFSET(G242,1-Settings!$B$11,0,Settings!$B$11,1))&lt;Settings!$B$11,NA(),STDEV(OFFSET(G242,1-Settings!$B$11,0,Settings!$B$11,1))*SQRT(Settings!$B$13)))</f>
        <v/>
      </c>
      <c r="K242" s="18">
        <f>IF(OR(NOT(ISNUMBER($A242)),ROW()-2&lt;Settings!$B$12),NA(),IF(COUNT(OFFSET(G242,1-Settings!$B$12,0,Settings!$B$12,1))&lt;Settings!$B$12,NA(),STDEV(OFFSET(G242,1-Settings!$B$12,0,Settings!$B$12,1))*SQRT(Settings!$B$13)))</f>
        <v/>
      </c>
      <c r="L242" s="18">
        <f>IF(AND(ISNUMBER(D242),ISNUMBER(H242)),D242-H242,NA())</f>
        <v/>
      </c>
      <c r="M242" s="18">
        <f>IF(AND(ISNUMBER(E242),ISNUMBER(K242)),E242-K242,NA())</f>
        <v/>
      </c>
      <c r="N242" s="18">
        <f>IF(NOT(ISNUMBER($A242)),NA(),IF(COUNT(OFFSET(G242,1,0,Settings!$B$12,1))&lt;Settings!$B$12,NA(),STDEV(OFFSET(G242,1,0,Settings!$B$12,1))*SQRT(Settings!$B$13)))</f>
        <v/>
      </c>
      <c r="O242" s="18">
        <f>IF(AND(ISNUMBER(E242),ISNUMBER(N242)),E242-N242,NA())</f>
        <v/>
      </c>
      <c r="P242" s="17">
        <f>IF(NOT(ISNUMBER($A242)),NA(),IF(OR($A242&lt;MIN(KW_TP!$A$2:$A$2501),$A242&gt;MAX(KW_TP!$A$2:$A$2501)),NA(),INDEX(KW_TP!$C$2:$C$2501,MATCH($A242,KW_TP!$A$2:$A$2501,1))))</f>
        <v/>
      </c>
    </row>
    <row r="243">
      <c r="A243" s="15">
        <f>IF(ISNUMBER(BBG_Data!A243),BBG_Data!A243,"")</f>
        <v/>
      </c>
      <c r="B243" s="16">
        <f>IF(AND(ISNUMBER($A243),ISNUMBER(BBG_Data!B243)),BBG_Data!B243,NA())</f>
        <v/>
      </c>
      <c r="C243" s="16">
        <f>IF(AND(ISNUMBER($A243),ISNUMBER(BBG_Data!C243)),BBG_Data!C243,NA())</f>
        <v/>
      </c>
      <c r="D243" s="17">
        <f>IF(AND(ISNUMBER($A243),ISNUMBER(BBG_Data!D243)),BBG_Data!D243,NA())</f>
        <v/>
      </c>
      <c r="E243" s="17">
        <f>IF(AND(ISNUMBER($A243),ISNUMBER(BBG_Data!E243)),BBG_Data!E243,NA())</f>
        <v/>
      </c>
      <c r="F243" s="18">
        <f>IF(AND(ISNUMBER(B243),ISNUMBER(B242)),(B243-B242)*100,"")</f>
        <v/>
      </c>
      <c r="G243" s="18">
        <f>IF(AND(ISNUMBER(C243),ISNUMBER(C242)),(C243-C242)*100,"")</f>
        <v/>
      </c>
      <c r="H243" s="18">
        <f>IF(OR(NOT(ISNUMBER($A243)),ROW()-2&lt;Settings!$B$11),NA(),IF(COUNT(OFFSET(F243,1-Settings!$B$11,0,Settings!$B$11,1))&lt;Settings!$B$11,NA(),STDEV(OFFSET(F243,1-Settings!$B$11,0,Settings!$B$11,1))*SQRT(Settings!$B$13)))</f>
        <v/>
      </c>
      <c r="I243" s="18">
        <f>IF(OR(NOT(ISNUMBER($A243)),ROW()-2&lt;Settings!$B$12),NA(),IF(COUNT(OFFSET(F243,1-Settings!$B$12,0,Settings!$B$12,1))&lt;Settings!$B$12,NA(),STDEV(OFFSET(F243,1-Settings!$B$12,0,Settings!$B$12,1))*SQRT(Settings!$B$13)))</f>
        <v/>
      </c>
      <c r="J243" s="18">
        <f>IF(OR(NOT(ISNUMBER($A243)),ROW()-2&lt;Settings!$B$11),NA(),IF(COUNT(OFFSET(G243,1-Settings!$B$11,0,Settings!$B$11,1))&lt;Settings!$B$11,NA(),STDEV(OFFSET(G243,1-Settings!$B$11,0,Settings!$B$11,1))*SQRT(Settings!$B$13)))</f>
        <v/>
      </c>
      <c r="K243" s="18">
        <f>IF(OR(NOT(ISNUMBER($A243)),ROW()-2&lt;Settings!$B$12),NA(),IF(COUNT(OFFSET(G243,1-Settings!$B$12,0,Settings!$B$12,1))&lt;Settings!$B$12,NA(),STDEV(OFFSET(G243,1-Settings!$B$12,0,Settings!$B$12,1))*SQRT(Settings!$B$13)))</f>
        <v/>
      </c>
      <c r="L243" s="18">
        <f>IF(AND(ISNUMBER(D243),ISNUMBER(H243)),D243-H243,NA())</f>
        <v/>
      </c>
      <c r="M243" s="18">
        <f>IF(AND(ISNUMBER(E243),ISNUMBER(K243)),E243-K243,NA())</f>
        <v/>
      </c>
      <c r="N243" s="18">
        <f>IF(NOT(ISNUMBER($A243)),NA(),IF(COUNT(OFFSET(G243,1,0,Settings!$B$12,1))&lt;Settings!$B$12,NA(),STDEV(OFFSET(G243,1,0,Settings!$B$12,1))*SQRT(Settings!$B$13)))</f>
        <v/>
      </c>
      <c r="O243" s="18">
        <f>IF(AND(ISNUMBER(E243),ISNUMBER(N243)),E243-N243,NA())</f>
        <v/>
      </c>
      <c r="P243" s="17">
        <f>IF(NOT(ISNUMBER($A243)),NA(),IF(OR($A243&lt;MIN(KW_TP!$A$2:$A$2501),$A243&gt;MAX(KW_TP!$A$2:$A$2501)),NA(),INDEX(KW_TP!$C$2:$C$2501,MATCH($A243,KW_TP!$A$2:$A$2501,1))))</f>
        <v/>
      </c>
    </row>
    <row r="244">
      <c r="A244" s="15">
        <f>IF(ISNUMBER(BBG_Data!A244),BBG_Data!A244,"")</f>
        <v/>
      </c>
      <c r="B244" s="16">
        <f>IF(AND(ISNUMBER($A244),ISNUMBER(BBG_Data!B244)),BBG_Data!B244,NA())</f>
        <v/>
      </c>
      <c r="C244" s="16">
        <f>IF(AND(ISNUMBER($A244),ISNUMBER(BBG_Data!C244)),BBG_Data!C244,NA())</f>
        <v/>
      </c>
      <c r="D244" s="17">
        <f>IF(AND(ISNUMBER($A244),ISNUMBER(BBG_Data!D244)),BBG_Data!D244,NA())</f>
        <v/>
      </c>
      <c r="E244" s="17">
        <f>IF(AND(ISNUMBER($A244),ISNUMBER(BBG_Data!E244)),BBG_Data!E244,NA())</f>
        <v/>
      </c>
      <c r="F244" s="18">
        <f>IF(AND(ISNUMBER(B244),ISNUMBER(B243)),(B244-B243)*100,"")</f>
        <v/>
      </c>
      <c r="G244" s="18">
        <f>IF(AND(ISNUMBER(C244),ISNUMBER(C243)),(C244-C243)*100,"")</f>
        <v/>
      </c>
      <c r="H244" s="18">
        <f>IF(OR(NOT(ISNUMBER($A244)),ROW()-2&lt;Settings!$B$11),NA(),IF(COUNT(OFFSET(F244,1-Settings!$B$11,0,Settings!$B$11,1))&lt;Settings!$B$11,NA(),STDEV(OFFSET(F244,1-Settings!$B$11,0,Settings!$B$11,1))*SQRT(Settings!$B$13)))</f>
        <v/>
      </c>
      <c r="I244" s="18">
        <f>IF(OR(NOT(ISNUMBER($A244)),ROW()-2&lt;Settings!$B$12),NA(),IF(COUNT(OFFSET(F244,1-Settings!$B$12,0,Settings!$B$12,1))&lt;Settings!$B$12,NA(),STDEV(OFFSET(F244,1-Settings!$B$12,0,Settings!$B$12,1))*SQRT(Settings!$B$13)))</f>
        <v/>
      </c>
      <c r="J244" s="18">
        <f>IF(OR(NOT(ISNUMBER($A244)),ROW()-2&lt;Settings!$B$11),NA(),IF(COUNT(OFFSET(G244,1-Settings!$B$11,0,Settings!$B$11,1))&lt;Settings!$B$11,NA(),STDEV(OFFSET(G244,1-Settings!$B$11,0,Settings!$B$11,1))*SQRT(Settings!$B$13)))</f>
        <v/>
      </c>
      <c r="K244" s="18">
        <f>IF(OR(NOT(ISNUMBER($A244)),ROW()-2&lt;Settings!$B$12),NA(),IF(COUNT(OFFSET(G244,1-Settings!$B$12,0,Settings!$B$12,1))&lt;Settings!$B$12,NA(),STDEV(OFFSET(G244,1-Settings!$B$12,0,Settings!$B$12,1))*SQRT(Settings!$B$13)))</f>
        <v/>
      </c>
      <c r="L244" s="18">
        <f>IF(AND(ISNUMBER(D244),ISNUMBER(H244)),D244-H244,NA())</f>
        <v/>
      </c>
      <c r="M244" s="18">
        <f>IF(AND(ISNUMBER(E244),ISNUMBER(K244)),E244-K244,NA())</f>
        <v/>
      </c>
      <c r="N244" s="18">
        <f>IF(NOT(ISNUMBER($A244)),NA(),IF(COUNT(OFFSET(G244,1,0,Settings!$B$12,1))&lt;Settings!$B$12,NA(),STDEV(OFFSET(G244,1,0,Settings!$B$12,1))*SQRT(Settings!$B$13)))</f>
        <v/>
      </c>
      <c r="O244" s="18">
        <f>IF(AND(ISNUMBER(E244),ISNUMBER(N244)),E244-N244,NA())</f>
        <v/>
      </c>
      <c r="P244" s="17">
        <f>IF(NOT(ISNUMBER($A244)),NA(),IF(OR($A244&lt;MIN(KW_TP!$A$2:$A$2501),$A244&gt;MAX(KW_TP!$A$2:$A$2501)),NA(),INDEX(KW_TP!$C$2:$C$2501,MATCH($A244,KW_TP!$A$2:$A$2501,1))))</f>
        <v/>
      </c>
    </row>
    <row r="245">
      <c r="A245" s="15">
        <f>IF(ISNUMBER(BBG_Data!A245),BBG_Data!A245,"")</f>
        <v/>
      </c>
      <c r="B245" s="16">
        <f>IF(AND(ISNUMBER($A245),ISNUMBER(BBG_Data!B245)),BBG_Data!B245,NA())</f>
        <v/>
      </c>
      <c r="C245" s="16">
        <f>IF(AND(ISNUMBER($A245),ISNUMBER(BBG_Data!C245)),BBG_Data!C245,NA())</f>
        <v/>
      </c>
      <c r="D245" s="17">
        <f>IF(AND(ISNUMBER($A245),ISNUMBER(BBG_Data!D245)),BBG_Data!D245,NA())</f>
        <v/>
      </c>
      <c r="E245" s="17">
        <f>IF(AND(ISNUMBER($A245),ISNUMBER(BBG_Data!E245)),BBG_Data!E245,NA())</f>
        <v/>
      </c>
      <c r="F245" s="18">
        <f>IF(AND(ISNUMBER(B245),ISNUMBER(B244)),(B245-B244)*100,"")</f>
        <v/>
      </c>
      <c r="G245" s="18">
        <f>IF(AND(ISNUMBER(C245),ISNUMBER(C244)),(C245-C244)*100,"")</f>
        <v/>
      </c>
      <c r="H245" s="18">
        <f>IF(OR(NOT(ISNUMBER($A245)),ROW()-2&lt;Settings!$B$11),NA(),IF(COUNT(OFFSET(F245,1-Settings!$B$11,0,Settings!$B$11,1))&lt;Settings!$B$11,NA(),STDEV(OFFSET(F245,1-Settings!$B$11,0,Settings!$B$11,1))*SQRT(Settings!$B$13)))</f>
        <v/>
      </c>
      <c r="I245" s="18">
        <f>IF(OR(NOT(ISNUMBER($A245)),ROW()-2&lt;Settings!$B$12),NA(),IF(COUNT(OFFSET(F245,1-Settings!$B$12,0,Settings!$B$12,1))&lt;Settings!$B$12,NA(),STDEV(OFFSET(F245,1-Settings!$B$12,0,Settings!$B$12,1))*SQRT(Settings!$B$13)))</f>
        <v/>
      </c>
      <c r="J245" s="18">
        <f>IF(OR(NOT(ISNUMBER($A245)),ROW()-2&lt;Settings!$B$11),NA(),IF(COUNT(OFFSET(G245,1-Settings!$B$11,0,Settings!$B$11,1))&lt;Settings!$B$11,NA(),STDEV(OFFSET(G245,1-Settings!$B$11,0,Settings!$B$11,1))*SQRT(Settings!$B$13)))</f>
        <v/>
      </c>
      <c r="K245" s="18">
        <f>IF(OR(NOT(ISNUMBER($A245)),ROW()-2&lt;Settings!$B$12),NA(),IF(COUNT(OFFSET(G245,1-Settings!$B$12,0,Settings!$B$12,1))&lt;Settings!$B$12,NA(),STDEV(OFFSET(G245,1-Settings!$B$12,0,Settings!$B$12,1))*SQRT(Settings!$B$13)))</f>
        <v/>
      </c>
      <c r="L245" s="18">
        <f>IF(AND(ISNUMBER(D245),ISNUMBER(H245)),D245-H245,NA())</f>
        <v/>
      </c>
      <c r="M245" s="18">
        <f>IF(AND(ISNUMBER(E245),ISNUMBER(K245)),E245-K245,NA())</f>
        <v/>
      </c>
      <c r="N245" s="18">
        <f>IF(NOT(ISNUMBER($A245)),NA(),IF(COUNT(OFFSET(G245,1,0,Settings!$B$12,1))&lt;Settings!$B$12,NA(),STDEV(OFFSET(G245,1,0,Settings!$B$12,1))*SQRT(Settings!$B$13)))</f>
        <v/>
      </c>
      <c r="O245" s="18">
        <f>IF(AND(ISNUMBER(E245),ISNUMBER(N245)),E245-N245,NA())</f>
        <v/>
      </c>
      <c r="P245" s="17">
        <f>IF(NOT(ISNUMBER($A245)),NA(),IF(OR($A245&lt;MIN(KW_TP!$A$2:$A$2501),$A245&gt;MAX(KW_TP!$A$2:$A$2501)),NA(),INDEX(KW_TP!$C$2:$C$2501,MATCH($A245,KW_TP!$A$2:$A$2501,1))))</f>
        <v/>
      </c>
    </row>
    <row r="246">
      <c r="A246" s="15">
        <f>IF(ISNUMBER(BBG_Data!A246),BBG_Data!A246,"")</f>
        <v/>
      </c>
      <c r="B246" s="16">
        <f>IF(AND(ISNUMBER($A246),ISNUMBER(BBG_Data!B246)),BBG_Data!B246,NA())</f>
        <v/>
      </c>
      <c r="C246" s="16">
        <f>IF(AND(ISNUMBER($A246),ISNUMBER(BBG_Data!C246)),BBG_Data!C246,NA())</f>
        <v/>
      </c>
      <c r="D246" s="17">
        <f>IF(AND(ISNUMBER($A246),ISNUMBER(BBG_Data!D246)),BBG_Data!D246,NA())</f>
        <v/>
      </c>
      <c r="E246" s="17">
        <f>IF(AND(ISNUMBER($A246),ISNUMBER(BBG_Data!E246)),BBG_Data!E246,NA())</f>
        <v/>
      </c>
      <c r="F246" s="18">
        <f>IF(AND(ISNUMBER(B246),ISNUMBER(B245)),(B246-B245)*100,"")</f>
        <v/>
      </c>
      <c r="G246" s="18">
        <f>IF(AND(ISNUMBER(C246),ISNUMBER(C245)),(C246-C245)*100,"")</f>
        <v/>
      </c>
      <c r="H246" s="18">
        <f>IF(OR(NOT(ISNUMBER($A246)),ROW()-2&lt;Settings!$B$11),NA(),IF(COUNT(OFFSET(F246,1-Settings!$B$11,0,Settings!$B$11,1))&lt;Settings!$B$11,NA(),STDEV(OFFSET(F246,1-Settings!$B$11,0,Settings!$B$11,1))*SQRT(Settings!$B$13)))</f>
        <v/>
      </c>
      <c r="I246" s="18">
        <f>IF(OR(NOT(ISNUMBER($A246)),ROW()-2&lt;Settings!$B$12),NA(),IF(COUNT(OFFSET(F246,1-Settings!$B$12,0,Settings!$B$12,1))&lt;Settings!$B$12,NA(),STDEV(OFFSET(F246,1-Settings!$B$12,0,Settings!$B$12,1))*SQRT(Settings!$B$13)))</f>
        <v/>
      </c>
      <c r="J246" s="18">
        <f>IF(OR(NOT(ISNUMBER($A246)),ROW()-2&lt;Settings!$B$11),NA(),IF(COUNT(OFFSET(G246,1-Settings!$B$11,0,Settings!$B$11,1))&lt;Settings!$B$11,NA(),STDEV(OFFSET(G246,1-Settings!$B$11,0,Settings!$B$11,1))*SQRT(Settings!$B$13)))</f>
        <v/>
      </c>
      <c r="K246" s="18">
        <f>IF(OR(NOT(ISNUMBER($A246)),ROW()-2&lt;Settings!$B$12),NA(),IF(COUNT(OFFSET(G246,1-Settings!$B$12,0,Settings!$B$12,1))&lt;Settings!$B$12,NA(),STDEV(OFFSET(G246,1-Settings!$B$12,0,Settings!$B$12,1))*SQRT(Settings!$B$13)))</f>
        <v/>
      </c>
      <c r="L246" s="18">
        <f>IF(AND(ISNUMBER(D246),ISNUMBER(H246)),D246-H246,NA())</f>
        <v/>
      </c>
      <c r="M246" s="18">
        <f>IF(AND(ISNUMBER(E246),ISNUMBER(K246)),E246-K246,NA())</f>
        <v/>
      </c>
      <c r="N246" s="18">
        <f>IF(NOT(ISNUMBER($A246)),NA(),IF(COUNT(OFFSET(G246,1,0,Settings!$B$12,1))&lt;Settings!$B$12,NA(),STDEV(OFFSET(G246,1,0,Settings!$B$12,1))*SQRT(Settings!$B$13)))</f>
        <v/>
      </c>
      <c r="O246" s="18">
        <f>IF(AND(ISNUMBER(E246),ISNUMBER(N246)),E246-N246,NA())</f>
        <v/>
      </c>
      <c r="P246" s="17">
        <f>IF(NOT(ISNUMBER($A246)),NA(),IF(OR($A246&lt;MIN(KW_TP!$A$2:$A$2501),$A246&gt;MAX(KW_TP!$A$2:$A$2501)),NA(),INDEX(KW_TP!$C$2:$C$2501,MATCH($A246,KW_TP!$A$2:$A$2501,1))))</f>
        <v/>
      </c>
    </row>
    <row r="247">
      <c r="A247" s="15">
        <f>IF(ISNUMBER(BBG_Data!A247),BBG_Data!A247,"")</f>
        <v/>
      </c>
      <c r="B247" s="16">
        <f>IF(AND(ISNUMBER($A247),ISNUMBER(BBG_Data!B247)),BBG_Data!B247,NA())</f>
        <v/>
      </c>
      <c r="C247" s="16">
        <f>IF(AND(ISNUMBER($A247),ISNUMBER(BBG_Data!C247)),BBG_Data!C247,NA())</f>
        <v/>
      </c>
      <c r="D247" s="17">
        <f>IF(AND(ISNUMBER($A247),ISNUMBER(BBG_Data!D247)),BBG_Data!D247,NA())</f>
        <v/>
      </c>
      <c r="E247" s="17">
        <f>IF(AND(ISNUMBER($A247),ISNUMBER(BBG_Data!E247)),BBG_Data!E247,NA())</f>
        <v/>
      </c>
      <c r="F247" s="18">
        <f>IF(AND(ISNUMBER(B247),ISNUMBER(B246)),(B247-B246)*100,"")</f>
        <v/>
      </c>
      <c r="G247" s="18">
        <f>IF(AND(ISNUMBER(C247),ISNUMBER(C246)),(C247-C246)*100,"")</f>
        <v/>
      </c>
      <c r="H247" s="18">
        <f>IF(OR(NOT(ISNUMBER($A247)),ROW()-2&lt;Settings!$B$11),NA(),IF(COUNT(OFFSET(F247,1-Settings!$B$11,0,Settings!$B$11,1))&lt;Settings!$B$11,NA(),STDEV(OFFSET(F247,1-Settings!$B$11,0,Settings!$B$11,1))*SQRT(Settings!$B$13)))</f>
        <v/>
      </c>
      <c r="I247" s="18">
        <f>IF(OR(NOT(ISNUMBER($A247)),ROW()-2&lt;Settings!$B$12),NA(),IF(COUNT(OFFSET(F247,1-Settings!$B$12,0,Settings!$B$12,1))&lt;Settings!$B$12,NA(),STDEV(OFFSET(F247,1-Settings!$B$12,0,Settings!$B$12,1))*SQRT(Settings!$B$13)))</f>
        <v/>
      </c>
      <c r="J247" s="18">
        <f>IF(OR(NOT(ISNUMBER($A247)),ROW()-2&lt;Settings!$B$11),NA(),IF(COUNT(OFFSET(G247,1-Settings!$B$11,0,Settings!$B$11,1))&lt;Settings!$B$11,NA(),STDEV(OFFSET(G247,1-Settings!$B$11,0,Settings!$B$11,1))*SQRT(Settings!$B$13)))</f>
        <v/>
      </c>
      <c r="K247" s="18">
        <f>IF(OR(NOT(ISNUMBER($A247)),ROW()-2&lt;Settings!$B$12),NA(),IF(COUNT(OFFSET(G247,1-Settings!$B$12,0,Settings!$B$12,1))&lt;Settings!$B$12,NA(),STDEV(OFFSET(G247,1-Settings!$B$12,0,Settings!$B$12,1))*SQRT(Settings!$B$13)))</f>
        <v/>
      </c>
      <c r="L247" s="18">
        <f>IF(AND(ISNUMBER(D247),ISNUMBER(H247)),D247-H247,NA())</f>
        <v/>
      </c>
      <c r="M247" s="18">
        <f>IF(AND(ISNUMBER(E247),ISNUMBER(K247)),E247-K247,NA())</f>
        <v/>
      </c>
      <c r="N247" s="18">
        <f>IF(NOT(ISNUMBER($A247)),NA(),IF(COUNT(OFFSET(G247,1,0,Settings!$B$12,1))&lt;Settings!$B$12,NA(),STDEV(OFFSET(G247,1,0,Settings!$B$12,1))*SQRT(Settings!$B$13)))</f>
        <v/>
      </c>
      <c r="O247" s="18">
        <f>IF(AND(ISNUMBER(E247),ISNUMBER(N247)),E247-N247,NA())</f>
        <v/>
      </c>
      <c r="P247" s="17">
        <f>IF(NOT(ISNUMBER($A247)),NA(),IF(OR($A247&lt;MIN(KW_TP!$A$2:$A$2501),$A247&gt;MAX(KW_TP!$A$2:$A$2501)),NA(),INDEX(KW_TP!$C$2:$C$2501,MATCH($A247,KW_TP!$A$2:$A$2501,1))))</f>
        <v/>
      </c>
    </row>
    <row r="248">
      <c r="A248" s="15">
        <f>IF(ISNUMBER(BBG_Data!A248),BBG_Data!A248,"")</f>
        <v/>
      </c>
      <c r="B248" s="16">
        <f>IF(AND(ISNUMBER($A248),ISNUMBER(BBG_Data!B248)),BBG_Data!B248,NA())</f>
        <v/>
      </c>
      <c r="C248" s="16">
        <f>IF(AND(ISNUMBER($A248),ISNUMBER(BBG_Data!C248)),BBG_Data!C248,NA())</f>
        <v/>
      </c>
      <c r="D248" s="17">
        <f>IF(AND(ISNUMBER($A248),ISNUMBER(BBG_Data!D248)),BBG_Data!D248,NA())</f>
        <v/>
      </c>
      <c r="E248" s="17">
        <f>IF(AND(ISNUMBER($A248),ISNUMBER(BBG_Data!E248)),BBG_Data!E248,NA())</f>
        <v/>
      </c>
      <c r="F248" s="18">
        <f>IF(AND(ISNUMBER(B248),ISNUMBER(B247)),(B248-B247)*100,"")</f>
        <v/>
      </c>
      <c r="G248" s="18">
        <f>IF(AND(ISNUMBER(C248),ISNUMBER(C247)),(C248-C247)*100,"")</f>
        <v/>
      </c>
      <c r="H248" s="18">
        <f>IF(OR(NOT(ISNUMBER($A248)),ROW()-2&lt;Settings!$B$11),NA(),IF(COUNT(OFFSET(F248,1-Settings!$B$11,0,Settings!$B$11,1))&lt;Settings!$B$11,NA(),STDEV(OFFSET(F248,1-Settings!$B$11,0,Settings!$B$11,1))*SQRT(Settings!$B$13)))</f>
        <v/>
      </c>
      <c r="I248" s="18">
        <f>IF(OR(NOT(ISNUMBER($A248)),ROW()-2&lt;Settings!$B$12),NA(),IF(COUNT(OFFSET(F248,1-Settings!$B$12,0,Settings!$B$12,1))&lt;Settings!$B$12,NA(),STDEV(OFFSET(F248,1-Settings!$B$12,0,Settings!$B$12,1))*SQRT(Settings!$B$13)))</f>
        <v/>
      </c>
      <c r="J248" s="18">
        <f>IF(OR(NOT(ISNUMBER($A248)),ROW()-2&lt;Settings!$B$11),NA(),IF(COUNT(OFFSET(G248,1-Settings!$B$11,0,Settings!$B$11,1))&lt;Settings!$B$11,NA(),STDEV(OFFSET(G248,1-Settings!$B$11,0,Settings!$B$11,1))*SQRT(Settings!$B$13)))</f>
        <v/>
      </c>
      <c r="K248" s="18">
        <f>IF(OR(NOT(ISNUMBER($A248)),ROW()-2&lt;Settings!$B$12),NA(),IF(COUNT(OFFSET(G248,1-Settings!$B$12,0,Settings!$B$12,1))&lt;Settings!$B$12,NA(),STDEV(OFFSET(G248,1-Settings!$B$12,0,Settings!$B$12,1))*SQRT(Settings!$B$13)))</f>
        <v/>
      </c>
      <c r="L248" s="18">
        <f>IF(AND(ISNUMBER(D248),ISNUMBER(H248)),D248-H248,NA())</f>
        <v/>
      </c>
      <c r="M248" s="18">
        <f>IF(AND(ISNUMBER(E248),ISNUMBER(K248)),E248-K248,NA())</f>
        <v/>
      </c>
      <c r="N248" s="18">
        <f>IF(NOT(ISNUMBER($A248)),NA(),IF(COUNT(OFFSET(G248,1,0,Settings!$B$12,1))&lt;Settings!$B$12,NA(),STDEV(OFFSET(G248,1,0,Settings!$B$12,1))*SQRT(Settings!$B$13)))</f>
        <v/>
      </c>
      <c r="O248" s="18">
        <f>IF(AND(ISNUMBER(E248),ISNUMBER(N248)),E248-N248,NA())</f>
        <v/>
      </c>
      <c r="P248" s="17">
        <f>IF(NOT(ISNUMBER($A248)),NA(),IF(OR($A248&lt;MIN(KW_TP!$A$2:$A$2501),$A248&gt;MAX(KW_TP!$A$2:$A$2501)),NA(),INDEX(KW_TP!$C$2:$C$2501,MATCH($A248,KW_TP!$A$2:$A$2501,1))))</f>
        <v/>
      </c>
    </row>
    <row r="249">
      <c r="A249" s="15">
        <f>IF(ISNUMBER(BBG_Data!A249),BBG_Data!A249,"")</f>
        <v/>
      </c>
      <c r="B249" s="16">
        <f>IF(AND(ISNUMBER($A249),ISNUMBER(BBG_Data!B249)),BBG_Data!B249,NA())</f>
        <v/>
      </c>
      <c r="C249" s="16">
        <f>IF(AND(ISNUMBER($A249),ISNUMBER(BBG_Data!C249)),BBG_Data!C249,NA())</f>
        <v/>
      </c>
      <c r="D249" s="17">
        <f>IF(AND(ISNUMBER($A249),ISNUMBER(BBG_Data!D249)),BBG_Data!D249,NA())</f>
        <v/>
      </c>
      <c r="E249" s="17">
        <f>IF(AND(ISNUMBER($A249),ISNUMBER(BBG_Data!E249)),BBG_Data!E249,NA())</f>
        <v/>
      </c>
      <c r="F249" s="18">
        <f>IF(AND(ISNUMBER(B249),ISNUMBER(B248)),(B249-B248)*100,"")</f>
        <v/>
      </c>
      <c r="G249" s="18">
        <f>IF(AND(ISNUMBER(C249),ISNUMBER(C248)),(C249-C248)*100,"")</f>
        <v/>
      </c>
      <c r="H249" s="18">
        <f>IF(OR(NOT(ISNUMBER($A249)),ROW()-2&lt;Settings!$B$11),NA(),IF(COUNT(OFFSET(F249,1-Settings!$B$11,0,Settings!$B$11,1))&lt;Settings!$B$11,NA(),STDEV(OFFSET(F249,1-Settings!$B$11,0,Settings!$B$11,1))*SQRT(Settings!$B$13)))</f>
        <v/>
      </c>
      <c r="I249" s="18">
        <f>IF(OR(NOT(ISNUMBER($A249)),ROW()-2&lt;Settings!$B$12),NA(),IF(COUNT(OFFSET(F249,1-Settings!$B$12,0,Settings!$B$12,1))&lt;Settings!$B$12,NA(),STDEV(OFFSET(F249,1-Settings!$B$12,0,Settings!$B$12,1))*SQRT(Settings!$B$13)))</f>
        <v/>
      </c>
      <c r="J249" s="18">
        <f>IF(OR(NOT(ISNUMBER($A249)),ROW()-2&lt;Settings!$B$11),NA(),IF(COUNT(OFFSET(G249,1-Settings!$B$11,0,Settings!$B$11,1))&lt;Settings!$B$11,NA(),STDEV(OFFSET(G249,1-Settings!$B$11,0,Settings!$B$11,1))*SQRT(Settings!$B$13)))</f>
        <v/>
      </c>
      <c r="K249" s="18">
        <f>IF(OR(NOT(ISNUMBER($A249)),ROW()-2&lt;Settings!$B$12),NA(),IF(COUNT(OFFSET(G249,1-Settings!$B$12,0,Settings!$B$12,1))&lt;Settings!$B$12,NA(),STDEV(OFFSET(G249,1-Settings!$B$12,0,Settings!$B$12,1))*SQRT(Settings!$B$13)))</f>
        <v/>
      </c>
      <c r="L249" s="18">
        <f>IF(AND(ISNUMBER(D249),ISNUMBER(H249)),D249-H249,NA())</f>
        <v/>
      </c>
      <c r="M249" s="18">
        <f>IF(AND(ISNUMBER(E249),ISNUMBER(K249)),E249-K249,NA())</f>
        <v/>
      </c>
      <c r="N249" s="18">
        <f>IF(NOT(ISNUMBER($A249)),NA(),IF(COUNT(OFFSET(G249,1,0,Settings!$B$12,1))&lt;Settings!$B$12,NA(),STDEV(OFFSET(G249,1,0,Settings!$B$12,1))*SQRT(Settings!$B$13)))</f>
        <v/>
      </c>
      <c r="O249" s="18">
        <f>IF(AND(ISNUMBER(E249),ISNUMBER(N249)),E249-N249,NA())</f>
        <v/>
      </c>
      <c r="P249" s="17">
        <f>IF(NOT(ISNUMBER($A249)),NA(),IF(OR($A249&lt;MIN(KW_TP!$A$2:$A$2501),$A249&gt;MAX(KW_TP!$A$2:$A$2501)),NA(),INDEX(KW_TP!$C$2:$C$2501,MATCH($A249,KW_TP!$A$2:$A$2501,1))))</f>
        <v/>
      </c>
    </row>
    <row r="250">
      <c r="A250" s="15">
        <f>IF(ISNUMBER(BBG_Data!A250),BBG_Data!A250,"")</f>
        <v/>
      </c>
      <c r="B250" s="16">
        <f>IF(AND(ISNUMBER($A250),ISNUMBER(BBG_Data!B250)),BBG_Data!B250,NA())</f>
        <v/>
      </c>
      <c r="C250" s="16">
        <f>IF(AND(ISNUMBER($A250),ISNUMBER(BBG_Data!C250)),BBG_Data!C250,NA())</f>
        <v/>
      </c>
      <c r="D250" s="17">
        <f>IF(AND(ISNUMBER($A250),ISNUMBER(BBG_Data!D250)),BBG_Data!D250,NA())</f>
        <v/>
      </c>
      <c r="E250" s="17">
        <f>IF(AND(ISNUMBER($A250),ISNUMBER(BBG_Data!E250)),BBG_Data!E250,NA())</f>
        <v/>
      </c>
      <c r="F250" s="18">
        <f>IF(AND(ISNUMBER(B250),ISNUMBER(B249)),(B250-B249)*100,"")</f>
        <v/>
      </c>
      <c r="G250" s="18">
        <f>IF(AND(ISNUMBER(C250),ISNUMBER(C249)),(C250-C249)*100,"")</f>
        <v/>
      </c>
      <c r="H250" s="18">
        <f>IF(OR(NOT(ISNUMBER($A250)),ROW()-2&lt;Settings!$B$11),NA(),IF(COUNT(OFFSET(F250,1-Settings!$B$11,0,Settings!$B$11,1))&lt;Settings!$B$11,NA(),STDEV(OFFSET(F250,1-Settings!$B$11,0,Settings!$B$11,1))*SQRT(Settings!$B$13)))</f>
        <v/>
      </c>
      <c r="I250" s="18">
        <f>IF(OR(NOT(ISNUMBER($A250)),ROW()-2&lt;Settings!$B$12),NA(),IF(COUNT(OFFSET(F250,1-Settings!$B$12,0,Settings!$B$12,1))&lt;Settings!$B$12,NA(),STDEV(OFFSET(F250,1-Settings!$B$12,0,Settings!$B$12,1))*SQRT(Settings!$B$13)))</f>
        <v/>
      </c>
      <c r="J250" s="18">
        <f>IF(OR(NOT(ISNUMBER($A250)),ROW()-2&lt;Settings!$B$11),NA(),IF(COUNT(OFFSET(G250,1-Settings!$B$11,0,Settings!$B$11,1))&lt;Settings!$B$11,NA(),STDEV(OFFSET(G250,1-Settings!$B$11,0,Settings!$B$11,1))*SQRT(Settings!$B$13)))</f>
        <v/>
      </c>
      <c r="K250" s="18">
        <f>IF(OR(NOT(ISNUMBER($A250)),ROW()-2&lt;Settings!$B$12),NA(),IF(COUNT(OFFSET(G250,1-Settings!$B$12,0,Settings!$B$12,1))&lt;Settings!$B$12,NA(),STDEV(OFFSET(G250,1-Settings!$B$12,0,Settings!$B$12,1))*SQRT(Settings!$B$13)))</f>
        <v/>
      </c>
      <c r="L250" s="18">
        <f>IF(AND(ISNUMBER(D250),ISNUMBER(H250)),D250-H250,NA())</f>
        <v/>
      </c>
      <c r="M250" s="18">
        <f>IF(AND(ISNUMBER(E250),ISNUMBER(K250)),E250-K250,NA())</f>
        <v/>
      </c>
      <c r="N250" s="18">
        <f>IF(NOT(ISNUMBER($A250)),NA(),IF(COUNT(OFFSET(G250,1,0,Settings!$B$12,1))&lt;Settings!$B$12,NA(),STDEV(OFFSET(G250,1,0,Settings!$B$12,1))*SQRT(Settings!$B$13)))</f>
        <v/>
      </c>
      <c r="O250" s="18">
        <f>IF(AND(ISNUMBER(E250),ISNUMBER(N250)),E250-N250,NA())</f>
        <v/>
      </c>
      <c r="P250" s="17">
        <f>IF(NOT(ISNUMBER($A250)),NA(),IF(OR($A250&lt;MIN(KW_TP!$A$2:$A$2501),$A250&gt;MAX(KW_TP!$A$2:$A$2501)),NA(),INDEX(KW_TP!$C$2:$C$2501,MATCH($A250,KW_TP!$A$2:$A$2501,1))))</f>
        <v/>
      </c>
    </row>
    <row r="251">
      <c r="A251" s="15">
        <f>IF(ISNUMBER(BBG_Data!A251),BBG_Data!A251,"")</f>
        <v/>
      </c>
      <c r="B251" s="16">
        <f>IF(AND(ISNUMBER($A251),ISNUMBER(BBG_Data!B251)),BBG_Data!B251,NA())</f>
        <v/>
      </c>
      <c r="C251" s="16">
        <f>IF(AND(ISNUMBER($A251),ISNUMBER(BBG_Data!C251)),BBG_Data!C251,NA())</f>
        <v/>
      </c>
      <c r="D251" s="17">
        <f>IF(AND(ISNUMBER($A251),ISNUMBER(BBG_Data!D251)),BBG_Data!D251,NA())</f>
        <v/>
      </c>
      <c r="E251" s="17">
        <f>IF(AND(ISNUMBER($A251),ISNUMBER(BBG_Data!E251)),BBG_Data!E251,NA())</f>
        <v/>
      </c>
      <c r="F251" s="18">
        <f>IF(AND(ISNUMBER(B251),ISNUMBER(B250)),(B251-B250)*100,"")</f>
        <v/>
      </c>
      <c r="G251" s="18">
        <f>IF(AND(ISNUMBER(C251),ISNUMBER(C250)),(C251-C250)*100,"")</f>
        <v/>
      </c>
      <c r="H251" s="18">
        <f>IF(OR(NOT(ISNUMBER($A251)),ROW()-2&lt;Settings!$B$11),NA(),IF(COUNT(OFFSET(F251,1-Settings!$B$11,0,Settings!$B$11,1))&lt;Settings!$B$11,NA(),STDEV(OFFSET(F251,1-Settings!$B$11,0,Settings!$B$11,1))*SQRT(Settings!$B$13)))</f>
        <v/>
      </c>
      <c r="I251" s="18">
        <f>IF(OR(NOT(ISNUMBER($A251)),ROW()-2&lt;Settings!$B$12),NA(),IF(COUNT(OFFSET(F251,1-Settings!$B$12,0,Settings!$B$12,1))&lt;Settings!$B$12,NA(),STDEV(OFFSET(F251,1-Settings!$B$12,0,Settings!$B$12,1))*SQRT(Settings!$B$13)))</f>
        <v/>
      </c>
      <c r="J251" s="18">
        <f>IF(OR(NOT(ISNUMBER($A251)),ROW()-2&lt;Settings!$B$11),NA(),IF(COUNT(OFFSET(G251,1-Settings!$B$11,0,Settings!$B$11,1))&lt;Settings!$B$11,NA(),STDEV(OFFSET(G251,1-Settings!$B$11,0,Settings!$B$11,1))*SQRT(Settings!$B$13)))</f>
        <v/>
      </c>
      <c r="K251" s="18">
        <f>IF(OR(NOT(ISNUMBER($A251)),ROW()-2&lt;Settings!$B$12),NA(),IF(COUNT(OFFSET(G251,1-Settings!$B$12,0,Settings!$B$12,1))&lt;Settings!$B$12,NA(),STDEV(OFFSET(G251,1-Settings!$B$12,0,Settings!$B$12,1))*SQRT(Settings!$B$13)))</f>
        <v/>
      </c>
      <c r="L251" s="18">
        <f>IF(AND(ISNUMBER(D251),ISNUMBER(H251)),D251-H251,NA())</f>
        <v/>
      </c>
      <c r="M251" s="18">
        <f>IF(AND(ISNUMBER(E251),ISNUMBER(K251)),E251-K251,NA())</f>
        <v/>
      </c>
      <c r="N251" s="18">
        <f>IF(NOT(ISNUMBER($A251)),NA(),IF(COUNT(OFFSET(G251,1,0,Settings!$B$12,1))&lt;Settings!$B$12,NA(),STDEV(OFFSET(G251,1,0,Settings!$B$12,1))*SQRT(Settings!$B$13)))</f>
        <v/>
      </c>
      <c r="O251" s="18">
        <f>IF(AND(ISNUMBER(E251),ISNUMBER(N251)),E251-N251,NA())</f>
        <v/>
      </c>
      <c r="P251" s="17">
        <f>IF(NOT(ISNUMBER($A251)),NA(),IF(OR($A251&lt;MIN(KW_TP!$A$2:$A$2501),$A251&gt;MAX(KW_TP!$A$2:$A$2501)),NA(),INDEX(KW_TP!$C$2:$C$2501,MATCH($A251,KW_TP!$A$2:$A$2501,1))))</f>
        <v/>
      </c>
    </row>
    <row r="252">
      <c r="A252" s="15">
        <f>IF(ISNUMBER(BBG_Data!A252),BBG_Data!A252,"")</f>
        <v/>
      </c>
      <c r="B252" s="16">
        <f>IF(AND(ISNUMBER($A252),ISNUMBER(BBG_Data!B252)),BBG_Data!B252,NA())</f>
        <v/>
      </c>
      <c r="C252" s="16">
        <f>IF(AND(ISNUMBER($A252),ISNUMBER(BBG_Data!C252)),BBG_Data!C252,NA())</f>
        <v/>
      </c>
      <c r="D252" s="17">
        <f>IF(AND(ISNUMBER($A252),ISNUMBER(BBG_Data!D252)),BBG_Data!D252,NA())</f>
        <v/>
      </c>
      <c r="E252" s="17">
        <f>IF(AND(ISNUMBER($A252),ISNUMBER(BBG_Data!E252)),BBG_Data!E252,NA())</f>
        <v/>
      </c>
      <c r="F252" s="18">
        <f>IF(AND(ISNUMBER(B252),ISNUMBER(B251)),(B252-B251)*100,"")</f>
        <v/>
      </c>
      <c r="G252" s="18">
        <f>IF(AND(ISNUMBER(C252),ISNUMBER(C251)),(C252-C251)*100,"")</f>
        <v/>
      </c>
      <c r="H252" s="18">
        <f>IF(OR(NOT(ISNUMBER($A252)),ROW()-2&lt;Settings!$B$11),NA(),IF(COUNT(OFFSET(F252,1-Settings!$B$11,0,Settings!$B$11,1))&lt;Settings!$B$11,NA(),STDEV(OFFSET(F252,1-Settings!$B$11,0,Settings!$B$11,1))*SQRT(Settings!$B$13)))</f>
        <v/>
      </c>
      <c r="I252" s="18">
        <f>IF(OR(NOT(ISNUMBER($A252)),ROW()-2&lt;Settings!$B$12),NA(),IF(COUNT(OFFSET(F252,1-Settings!$B$12,0,Settings!$B$12,1))&lt;Settings!$B$12,NA(),STDEV(OFFSET(F252,1-Settings!$B$12,0,Settings!$B$12,1))*SQRT(Settings!$B$13)))</f>
        <v/>
      </c>
      <c r="J252" s="18">
        <f>IF(OR(NOT(ISNUMBER($A252)),ROW()-2&lt;Settings!$B$11),NA(),IF(COUNT(OFFSET(G252,1-Settings!$B$11,0,Settings!$B$11,1))&lt;Settings!$B$11,NA(),STDEV(OFFSET(G252,1-Settings!$B$11,0,Settings!$B$11,1))*SQRT(Settings!$B$13)))</f>
        <v/>
      </c>
      <c r="K252" s="18">
        <f>IF(OR(NOT(ISNUMBER($A252)),ROW()-2&lt;Settings!$B$12),NA(),IF(COUNT(OFFSET(G252,1-Settings!$B$12,0,Settings!$B$12,1))&lt;Settings!$B$12,NA(),STDEV(OFFSET(G252,1-Settings!$B$12,0,Settings!$B$12,1))*SQRT(Settings!$B$13)))</f>
        <v/>
      </c>
      <c r="L252" s="18">
        <f>IF(AND(ISNUMBER(D252),ISNUMBER(H252)),D252-H252,NA())</f>
        <v/>
      </c>
      <c r="M252" s="18">
        <f>IF(AND(ISNUMBER(E252),ISNUMBER(K252)),E252-K252,NA())</f>
        <v/>
      </c>
      <c r="N252" s="18">
        <f>IF(NOT(ISNUMBER($A252)),NA(),IF(COUNT(OFFSET(G252,1,0,Settings!$B$12,1))&lt;Settings!$B$12,NA(),STDEV(OFFSET(G252,1,0,Settings!$B$12,1))*SQRT(Settings!$B$13)))</f>
        <v/>
      </c>
      <c r="O252" s="18">
        <f>IF(AND(ISNUMBER(E252),ISNUMBER(N252)),E252-N252,NA())</f>
        <v/>
      </c>
      <c r="P252" s="17">
        <f>IF(NOT(ISNUMBER($A252)),NA(),IF(OR($A252&lt;MIN(KW_TP!$A$2:$A$2501),$A252&gt;MAX(KW_TP!$A$2:$A$2501)),NA(),INDEX(KW_TP!$C$2:$C$2501,MATCH($A252,KW_TP!$A$2:$A$2501,1))))</f>
        <v/>
      </c>
    </row>
    <row r="253">
      <c r="A253" s="15">
        <f>IF(ISNUMBER(BBG_Data!A253),BBG_Data!A253,"")</f>
        <v/>
      </c>
      <c r="B253" s="16">
        <f>IF(AND(ISNUMBER($A253),ISNUMBER(BBG_Data!B253)),BBG_Data!B253,NA())</f>
        <v/>
      </c>
      <c r="C253" s="16">
        <f>IF(AND(ISNUMBER($A253),ISNUMBER(BBG_Data!C253)),BBG_Data!C253,NA())</f>
        <v/>
      </c>
      <c r="D253" s="17">
        <f>IF(AND(ISNUMBER($A253),ISNUMBER(BBG_Data!D253)),BBG_Data!D253,NA())</f>
        <v/>
      </c>
      <c r="E253" s="17">
        <f>IF(AND(ISNUMBER($A253),ISNUMBER(BBG_Data!E253)),BBG_Data!E253,NA())</f>
        <v/>
      </c>
      <c r="F253" s="18">
        <f>IF(AND(ISNUMBER(B253),ISNUMBER(B252)),(B253-B252)*100,"")</f>
        <v/>
      </c>
      <c r="G253" s="18">
        <f>IF(AND(ISNUMBER(C253),ISNUMBER(C252)),(C253-C252)*100,"")</f>
        <v/>
      </c>
      <c r="H253" s="18">
        <f>IF(OR(NOT(ISNUMBER($A253)),ROW()-2&lt;Settings!$B$11),NA(),IF(COUNT(OFFSET(F253,1-Settings!$B$11,0,Settings!$B$11,1))&lt;Settings!$B$11,NA(),STDEV(OFFSET(F253,1-Settings!$B$11,0,Settings!$B$11,1))*SQRT(Settings!$B$13)))</f>
        <v/>
      </c>
      <c r="I253" s="18">
        <f>IF(OR(NOT(ISNUMBER($A253)),ROW()-2&lt;Settings!$B$12),NA(),IF(COUNT(OFFSET(F253,1-Settings!$B$12,0,Settings!$B$12,1))&lt;Settings!$B$12,NA(),STDEV(OFFSET(F253,1-Settings!$B$12,0,Settings!$B$12,1))*SQRT(Settings!$B$13)))</f>
        <v/>
      </c>
      <c r="J253" s="18">
        <f>IF(OR(NOT(ISNUMBER($A253)),ROW()-2&lt;Settings!$B$11),NA(),IF(COUNT(OFFSET(G253,1-Settings!$B$11,0,Settings!$B$11,1))&lt;Settings!$B$11,NA(),STDEV(OFFSET(G253,1-Settings!$B$11,0,Settings!$B$11,1))*SQRT(Settings!$B$13)))</f>
        <v/>
      </c>
      <c r="K253" s="18">
        <f>IF(OR(NOT(ISNUMBER($A253)),ROW()-2&lt;Settings!$B$12),NA(),IF(COUNT(OFFSET(G253,1-Settings!$B$12,0,Settings!$B$12,1))&lt;Settings!$B$12,NA(),STDEV(OFFSET(G253,1-Settings!$B$12,0,Settings!$B$12,1))*SQRT(Settings!$B$13)))</f>
        <v/>
      </c>
      <c r="L253" s="18">
        <f>IF(AND(ISNUMBER(D253),ISNUMBER(H253)),D253-H253,NA())</f>
        <v/>
      </c>
      <c r="M253" s="18">
        <f>IF(AND(ISNUMBER(E253),ISNUMBER(K253)),E253-K253,NA())</f>
        <v/>
      </c>
      <c r="N253" s="18">
        <f>IF(NOT(ISNUMBER($A253)),NA(),IF(COUNT(OFFSET(G253,1,0,Settings!$B$12,1))&lt;Settings!$B$12,NA(),STDEV(OFFSET(G253,1,0,Settings!$B$12,1))*SQRT(Settings!$B$13)))</f>
        <v/>
      </c>
      <c r="O253" s="18">
        <f>IF(AND(ISNUMBER(E253),ISNUMBER(N253)),E253-N253,NA())</f>
        <v/>
      </c>
      <c r="P253" s="17">
        <f>IF(NOT(ISNUMBER($A253)),NA(),IF(OR($A253&lt;MIN(KW_TP!$A$2:$A$2501),$A253&gt;MAX(KW_TP!$A$2:$A$2501)),NA(),INDEX(KW_TP!$C$2:$C$2501,MATCH($A253,KW_TP!$A$2:$A$2501,1))))</f>
        <v/>
      </c>
    </row>
    <row r="254">
      <c r="A254" s="15">
        <f>IF(ISNUMBER(BBG_Data!A254),BBG_Data!A254,"")</f>
        <v/>
      </c>
      <c r="B254" s="16">
        <f>IF(AND(ISNUMBER($A254),ISNUMBER(BBG_Data!B254)),BBG_Data!B254,NA())</f>
        <v/>
      </c>
      <c r="C254" s="16">
        <f>IF(AND(ISNUMBER($A254),ISNUMBER(BBG_Data!C254)),BBG_Data!C254,NA())</f>
        <v/>
      </c>
      <c r="D254" s="17">
        <f>IF(AND(ISNUMBER($A254),ISNUMBER(BBG_Data!D254)),BBG_Data!D254,NA())</f>
        <v/>
      </c>
      <c r="E254" s="17">
        <f>IF(AND(ISNUMBER($A254),ISNUMBER(BBG_Data!E254)),BBG_Data!E254,NA())</f>
        <v/>
      </c>
      <c r="F254" s="18">
        <f>IF(AND(ISNUMBER(B254),ISNUMBER(B253)),(B254-B253)*100,"")</f>
        <v/>
      </c>
      <c r="G254" s="18">
        <f>IF(AND(ISNUMBER(C254),ISNUMBER(C253)),(C254-C253)*100,"")</f>
        <v/>
      </c>
      <c r="H254" s="18">
        <f>IF(OR(NOT(ISNUMBER($A254)),ROW()-2&lt;Settings!$B$11),NA(),IF(COUNT(OFFSET(F254,1-Settings!$B$11,0,Settings!$B$11,1))&lt;Settings!$B$11,NA(),STDEV(OFFSET(F254,1-Settings!$B$11,0,Settings!$B$11,1))*SQRT(Settings!$B$13)))</f>
        <v/>
      </c>
      <c r="I254" s="18">
        <f>IF(OR(NOT(ISNUMBER($A254)),ROW()-2&lt;Settings!$B$12),NA(),IF(COUNT(OFFSET(F254,1-Settings!$B$12,0,Settings!$B$12,1))&lt;Settings!$B$12,NA(),STDEV(OFFSET(F254,1-Settings!$B$12,0,Settings!$B$12,1))*SQRT(Settings!$B$13)))</f>
        <v/>
      </c>
      <c r="J254" s="18">
        <f>IF(OR(NOT(ISNUMBER($A254)),ROW()-2&lt;Settings!$B$11),NA(),IF(COUNT(OFFSET(G254,1-Settings!$B$11,0,Settings!$B$11,1))&lt;Settings!$B$11,NA(),STDEV(OFFSET(G254,1-Settings!$B$11,0,Settings!$B$11,1))*SQRT(Settings!$B$13)))</f>
        <v/>
      </c>
      <c r="K254" s="18">
        <f>IF(OR(NOT(ISNUMBER($A254)),ROW()-2&lt;Settings!$B$12),NA(),IF(COUNT(OFFSET(G254,1-Settings!$B$12,0,Settings!$B$12,1))&lt;Settings!$B$12,NA(),STDEV(OFFSET(G254,1-Settings!$B$12,0,Settings!$B$12,1))*SQRT(Settings!$B$13)))</f>
        <v/>
      </c>
      <c r="L254" s="18">
        <f>IF(AND(ISNUMBER(D254),ISNUMBER(H254)),D254-H254,NA())</f>
        <v/>
      </c>
      <c r="M254" s="18">
        <f>IF(AND(ISNUMBER(E254),ISNUMBER(K254)),E254-K254,NA())</f>
        <v/>
      </c>
      <c r="N254" s="18">
        <f>IF(NOT(ISNUMBER($A254)),NA(),IF(COUNT(OFFSET(G254,1,0,Settings!$B$12,1))&lt;Settings!$B$12,NA(),STDEV(OFFSET(G254,1,0,Settings!$B$12,1))*SQRT(Settings!$B$13)))</f>
        <v/>
      </c>
      <c r="O254" s="18">
        <f>IF(AND(ISNUMBER(E254),ISNUMBER(N254)),E254-N254,NA())</f>
        <v/>
      </c>
      <c r="P254" s="17">
        <f>IF(NOT(ISNUMBER($A254)),NA(),IF(OR($A254&lt;MIN(KW_TP!$A$2:$A$2501),$A254&gt;MAX(KW_TP!$A$2:$A$2501)),NA(),INDEX(KW_TP!$C$2:$C$2501,MATCH($A254,KW_TP!$A$2:$A$2501,1))))</f>
        <v/>
      </c>
    </row>
    <row r="255">
      <c r="A255" s="15">
        <f>IF(ISNUMBER(BBG_Data!A255),BBG_Data!A255,"")</f>
        <v/>
      </c>
      <c r="B255" s="16">
        <f>IF(AND(ISNUMBER($A255),ISNUMBER(BBG_Data!B255)),BBG_Data!B255,NA())</f>
        <v/>
      </c>
      <c r="C255" s="16">
        <f>IF(AND(ISNUMBER($A255),ISNUMBER(BBG_Data!C255)),BBG_Data!C255,NA())</f>
        <v/>
      </c>
      <c r="D255" s="17">
        <f>IF(AND(ISNUMBER($A255),ISNUMBER(BBG_Data!D255)),BBG_Data!D255,NA())</f>
        <v/>
      </c>
      <c r="E255" s="17">
        <f>IF(AND(ISNUMBER($A255),ISNUMBER(BBG_Data!E255)),BBG_Data!E255,NA())</f>
        <v/>
      </c>
      <c r="F255" s="18">
        <f>IF(AND(ISNUMBER(B255),ISNUMBER(B254)),(B255-B254)*100,"")</f>
        <v/>
      </c>
      <c r="G255" s="18">
        <f>IF(AND(ISNUMBER(C255),ISNUMBER(C254)),(C255-C254)*100,"")</f>
        <v/>
      </c>
      <c r="H255" s="18">
        <f>IF(OR(NOT(ISNUMBER($A255)),ROW()-2&lt;Settings!$B$11),NA(),IF(COUNT(OFFSET(F255,1-Settings!$B$11,0,Settings!$B$11,1))&lt;Settings!$B$11,NA(),STDEV(OFFSET(F255,1-Settings!$B$11,0,Settings!$B$11,1))*SQRT(Settings!$B$13)))</f>
        <v/>
      </c>
      <c r="I255" s="18">
        <f>IF(OR(NOT(ISNUMBER($A255)),ROW()-2&lt;Settings!$B$12),NA(),IF(COUNT(OFFSET(F255,1-Settings!$B$12,0,Settings!$B$12,1))&lt;Settings!$B$12,NA(),STDEV(OFFSET(F255,1-Settings!$B$12,0,Settings!$B$12,1))*SQRT(Settings!$B$13)))</f>
        <v/>
      </c>
      <c r="J255" s="18">
        <f>IF(OR(NOT(ISNUMBER($A255)),ROW()-2&lt;Settings!$B$11),NA(),IF(COUNT(OFFSET(G255,1-Settings!$B$11,0,Settings!$B$11,1))&lt;Settings!$B$11,NA(),STDEV(OFFSET(G255,1-Settings!$B$11,0,Settings!$B$11,1))*SQRT(Settings!$B$13)))</f>
        <v/>
      </c>
      <c r="K255" s="18">
        <f>IF(OR(NOT(ISNUMBER($A255)),ROW()-2&lt;Settings!$B$12),NA(),IF(COUNT(OFFSET(G255,1-Settings!$B$12,0,Settings!$B$12,1))&lt;Settings!$B$12,NA(),STDEV(OFFSET(G255,1-Settings!$B$12,0,Settings!$B$12,1))*SQRT(Settings!$B$13)))</f>
        <v/>
      </c>
      <c r="L255" s="18">
        <f>IF(AND(ISNUMBER(D255),ISNUMBER(H255)),D255-H255,NA())</f>
        <v/>
      </c>
      <c r="M255" s="18">
        <f>IF(AND(ISNUMBER(E255),ISNUMBER(K255)),E255-K255,NA())</f>
        <v/>
      </c>
      <c r="N255" s="18">
        <f>IF(NOT(ISNUMBER($A255)),NA(),IF(COUNT(OFFSET(G255,1,0,Settings!$B$12,1))&lt;Settings!$B$12,NA(),STDEV(OFFSET(G255,1,0,Settings!$B$12,1))*SQRT(Settings!$B$13)))</f>
        <v/>
      </c>
      <c r="O255" s="18">
        <f>IF(AND(ISNUMBER(E255),ISNUMBER(N255)),E255-N255,NA())</f>
        <v/>
      </c>
      <c r="P255" s="17">
        <f>IF(NOT(ISNUMBER($A255)),NA(),IF(OR($A255&lt;MIN(KW_TP!$A$2:$A$2501),$A255&gt;MAX(KW_TP!$A$2:$A$2501)),NA(),INDEX(KW_TP!$C$2:$C$2501,MATCH($A255,KW_TP!$A$2:$A$2501,1))))</f>
        <v/>
      </c>
    </row>
    <row r="256">
      <c r="A256" s="15">
        <f>IF(ISNUMBER(BBG_Data!A256),BBG_Data!A256,"")</f>
        <v/>
      </c>
      <c r="B256" s="16">
        <f>IF(AND(ISNUMBER($A256),ISNUMBER(BBG_Data!B256)),BBG_Data!B256,NA())</f>
        <v/>
      </c>
      <c r="C256" s="16">
        <f>IF(AND(ISNUMBER($A256),ISNUMBER(BBG_Data!C256)),BBG_Data!C256,NA())</f>
        <v/>
      </c>
      <c r="D256" s="17">
        <f>IF(AND(ISNUMBER($A256),ISNUMBER(BBG_Data!D256)),BBG_Data!D256,NA())</f>
        <v/>
      </c>
      <c r="E256" s="17">
        <f>IF(AND(ISNUMBER($A256),ISNUMBER(BBG_Data!E256)),BBG_Data!E256,NA())</f>
        <v/>
      </c>
      <c r="F256" s="18">
        <f>IF(AND(ISNUMBER(B256),ISNUMBER(B255)),(B256-B255)*100,"")</f>
        <v/>
      </c>
      <c r="G256" s="18">
        <f>IF(AND(ISNUMBER(C256),ISNUMBER(C255)),(C256-C255)*100,"")</f>
        <v/>
      </c>
      <c r="H256" s="18">
        <f>IF(OR(NOT(ISNUMBER($A256)),ROW()-2&lt;Settings!$B$11),NA(),IF(COUNT(OFFSET(F256,1-Settings!$B$11,0,Settings!$B$11,1))&lt;Settings!$B$11,NA(),STDEV(OFFSET(F256,1-Settings!$B$11,0,Settings!$B$11,1))*SQRT(Settings!$B$13)))</f>
        <v/>
      </c>
      <c r="I256" s="18">
        <f>IF(OR(NOT(ISNUMBER($A256)),ROW()-2&lt;Settings!$B$12),NA(),IF(COUNT(OFFSET(F256,1-Settings!$B$12,0,Settings!$B$12,1))&lt;Settings!$B$12,NA(),STDEV(OFFSET(F256,1-Settings!$B$12,0,Settings!$B$12,1))*SQRT(Settings!$B$13)))</f>
        <v/>
      </c>
      <c r="J256" s="18">
        <f>IF(OR(NOT(ISNUMBER($A256)),ROW()-2&lt;Settings!$B$11),NA(),IF(COUNT(OFFSET(G256,1-Settings!$B$11,0,Settings!$B$11,1))&lt;Settings!$B$11,NA(),STDEV(OFFSET(G256,1-Settings!$B$11,0,Settings!$B$11,1))*SQRT(Settings!$B$13)))</f>
        <v/>
      </c>
      <c r="K256" s="18">
        <f>IF(OR(NOT(ISNUMBER($A256)),ROW()-2&lt;Settings!$B$12),NA(),IF(COUNT(OFFSET(G256,1-Settings!$B$12,0,Settings!$B$12,1))&lt;Settings!$B$12,NA(),STDEV(OFFSET(G256,1-Settings!$B$12,0,Settings!$B$12,1))*SQRT(Settings!$B$13)))</f>
        <v/>
      </c>
      <c r="L256" s="18">
        <f>IF(AND(ISNUMBER(D256),ISNUMBER(H256)),D256-H256,NA())</f>
        <v/>
      </c>
      <c r="M256" s="18">
        <f>IF(AND(ISNUMBER(E256),ISNUMBER(K256)),E256-K256,NA())</f>
        <v/>
      </c>
      <c r="N256" s="18">
        <f>IF(NOT(ISNUMBER($A256)),NA(),IF(COUNT(OFFSET(G256,1,0,Settings!$B$12,1))&lt;Settings!$B$12,NA(),STDEV(OFFSET(G256,1,0,Settings!$B$12,1))*SQRT(Settings!$B$13)))</f>
        <v/>
      </c>
      <c r="O256" s="18">
        <f>IF(AND(ISNUMBER(E256),ISNUMBER(N256)),E256-N256,NA())</f>
        <v/>
      </c>
      <c r="P256" s="17">
        <f>IF(NOT(ISNUMBER($A256)),NA(),IF(OR($A256&lt;MIN(KW_TP!$A$2:$A$2501),$A256&gt;MAX(KW_TP!$A$2:$A$2501)),NA(),INDEX(KW_TP!$C$2:$C$2501,MATCH($A256,KW_TP!$A$2:$A$2501,1))))</f>
        <v/>
      </c>
    </row>
    <row r="257">
      <c r="A257" s="15">
        <f>IF(ISNUMBER(BBG_Data!A257),BBG_Data!A257,"")</f>
        <v/>
      </c>
      <c r="B257" s="16">
        <f>IF(AND(ISNUMBER($A257),ISNUMBER(BBG_Data!B257)),BBG_Data!B257,NA())</f>
        <v/>
      </c>
      <c r="C257" s="16">
        <f>IF(AND(ISNUMBER($A257),ISNUMBER(BBG_Data!C257)),BBG_Data!C257,NA())</f>
        <v/>
      </c>
      <c r="D257" s="17">
        <f>IF(AND(ISNUMBER($A257),ISNUMBER(BBG_Data!D257)),BBG_Data!D257,NA())</f>
        <v/>
      </c>
      <c r="E257" s="17">
        <f>IF(AND(ISNUMBER($A257),ISNUMBER(BBG_Data!E257)),BBG_Data!E257,NA())</f>
        <v/>
      </c>
      <c r="F257" s="18">
        <f>IF(AND(ISNUMBER(B257),ISNUMBER(B256)),(B257-B256)*100,"")</f>
        <v/>
      </c>
      <c r="G257" s="18">
        <f>IF(AND(ISNUMBER(C257),ISNUMBER(C256)),(C257-C256)*100,"")</f>
        <v/>
      </c>
      <c r="H257" s="18">
        <f>IF(OR(NOT(ISNUMBER($A257)),ROW()-2&lt;Settings!$B$11),NA(),IF(COUNT(OFFSET(F257,1-Settings!$B$11,0,Settings!$B$11,1))&lt;Settings!$B$11,NA(),STDEV(OFFSET(F257,1-Settings!$B$11,0,Settings!$B$11,1))*SQRT(Settings!$B$13)))</f>
        <v/>
      </c>
      <c r="I257" s="18">
        <f>IF(OR(NOT(ISNUMBER($A257)),ROW()-2&lt;Settings!$B$12),NA(),IF(COUNT(OFFSET(F257,1-Settings!$B$12,0,Settings!$B$12,1))&lt;Settings!$B$12,NA(),STDEV(OFFSET(F257,1-Settings!$B$12,0,Settings!$B$12,1))*SQRT(Settings!$B$13)))</f>
        <v/>
      </c>
      <c r="J257" s="18">
        <f>IF(OR(NOT(ISNUMBER($A257)),ROW()-2&lt;Settings!$B$11),NA(),IF(COUNT(OFFSET(G257,1-Settings!$B$11,0,Settings!$B$11,1))&lt;Settings!$B$11,NA(),STDEV(OFFSET(G257,1-Settings!$B$11,0,Settings!$B$11,1))*SQRT(Settings!$B$13)))</f>
        <v/>
      </c>
      <c r="K257" s="18">
        <f>IF(OR(NOT(ISNUMBER($A257)),ROW()-2&lt;Settings!$B$12),NA(),IF(COUNT(OFFSET(G257,1-Settings!$B$12,0,Settings!$B$12,1))&lt;Settings!$B$12,NA(),STDEV(OFFSET(G257,1-Settings!$B$12,0,Settings!$B$12,1))*SQRT(Settings!$B$13)))</f>
        <v/>
      </c>
      <c r="L257" s="18">
        <f>IF(AND(ISNUMBER(D257),ISNUMBER(H257)),D257-H257,NA())</f>
        <v/>
      </c>
      <c r="M257" s="18">
        <f>IF(AND(ISNUMBER(E257),ISNUMBER(K257)),E257-K257,NA())</f>
        <v/>
      </c>
      <c r="N257" s="18">
        <f>IF(NOT(ISNUMBER($A257)),NA(),IF(COUNT(OFFSET(G257,1,0,Settings!$B$12,1))&lt;Settings!$B$12,NA(),STDEV(OFFSET(G257,1,0,Settings!$B$12,1))*SQRT(Settings!$B$13)))</f>
        <v/>
      </c>
      <c r="O257" s="18">
        <f>IF(AND(ISNUMBER(E257),ISNUMBER(N257)),E257-N257,NA())</f>
        <v/>
      </c>
      <c r="P257" s="17">
        <f>IF(NOT(ISNUMBER($A257)),NA(),IF(OR($A257&lt;MIN(KW_TP!$A$2:$A$2501),$A257&gt;MAX(KW_TP!$A$2:$A$2501)),NA(),INDEX(KW_TP!$C$2:$C$2501,MATCH($A257,KW_TP!$A$2:$A$2501,1))))</f>
        <v/>
      </c>
    </row>
    <row r="258">
      <c r="A258" s="15">
        <f>IF(ISNUMBER(BBG_Data!A258),BBG_Data!A258,"")</f>
        <v/>
      </c>
      <c r="B258" s="16">
        <f>IF(AND(ISNUMBER($A258),ISNUMBER(BBG_Data!B258)),BBG_Data!B258,NA())</f>
        <v/>
      </c>
      <c r="C258" s="16">
        <f>IF(AND(ISNUMBER($A258),ISNUMBER(BBG_Data!C258)),BBG_Data!C258,NA())</f>
        <v/>
      </c>
      <c r="D258" s="17">
        <f>IF(AND(ISNUMBER($A258),ISNUMBER(BBG_Data!D258)),BBG_Data!D258,NA())</f>
        <v/>
      </c>
      <c r="E258" s="17">
        <f>IF(AND(ISNUMBER($A258),ISNUMBER(BBG_Data!E258)),BBG_Data!E258,NA())</f>
        <v/>
      </c>
      <c r="F258" s="18">
        <f>IF(AND(ISNUMBER(B258),ISNUMBER(B257)),(B258-B257)*100,"")</f>
        <v/>
      </c>
      <c r="G258" s="18">
        <f>IF(AND(ISNUMBER(C258),ISNUMBER(C257)),(C258-C257)*100,"")</f>
        <v/>
      </c>
      <c r="H258" s="18">
        <f>IF(OR(NOT(ISNUMBER($A258)),ROW()-2&lt;Settings!$B$11),NA(),IF(COUNT(OFFSET(F258,1-Settings!$B$11,0,Settings!$B$11,1))&lt;Settings!$B$11,NA(),STDEV(OFFSET(F258,1-Settings!$B$11,0,Settings!$B$11,1))*SQRT(Settings!$B$13)))</f>
        <v/>
      </c>
      <c r="I258" s="18">
        <f>IF(OR(NOT(ISNUMBER($A258)),ROW()-2&lt;Settings!$B$12),NA(),IF(COUNT(OFFSET(F258,1-Settings!$B$12,0,Settings!$B$12,1))&lt;Settings!$B$12,NA(),STDEV(OFFSET(F258,1-Settings!$B$12,0,Settings!$B$12,1))*SQRT(Settings!$B$13)))</f>
        <v/>
      </c>
      <c r="J258" s="18">
        <f>IF(OR(NOT(ISNUMBER($A258)),ROW()-2&lt;Settings!$B$11),NA(),IF(COUNT(OFFSET(G258,1-Settings!$B$11,0,Settings!$B$11,1))&lt;Settings!$B$11,NA(),STDEV(OFFSET(G258,1-Settings!$B$11,0,Settings!$B$11,1))*SQRT(Settings!$B$13)))</f>
        <v/>
      </c>
      <c r="K258" s="18">
        <f>IF(OR(NOT(ISNUMBER($A258)),ROW()-2&lt;Settings!$B$12),NA(),IF(COUNT(OFFSET(G258,1-Settings!$B$12,0,Settings!$B$12,1))&lt;Settings!$B$12,NA(),STDEV(OFFSET(G258,1-Settings!$B$12,0,Settings!$B$12,1))*SQRT(Settings!$B$13)))</f>
        <v/>
      </c>
      <c r="L258" s="18">
        <f>IF(AND(ISNUMBER(D258),ISNUMBER(H258)),D258-H258,NA())</f>
        <v/>
      </c>
      <c r="M258" s="18">
        <f>IF(AND(ISNUMBER(E258),ISNUMBER(K258)),E258-K258,NA())</f>
        <v/>
      </c>
      <c r="N258" s="18">
        <f>IF(NOT(ISNUMBER($A258)),NA(),IF(COUNT(OFFSET(G258,1,0,Settings!$B$12,1))&lt;Settings!$B$12,NA(),STDEV(OFFSET(G258,1,0,Settings!$B$12,1))*SQRT(Settings!$B$13)))</f>
        <v/>
      </c>
      <c r="O258" s="18">
        <f>IF(AND(ISNUMBER(E258),ISNUMBER(N258)),E258-N258,NA())</f>
        <v/>
      </c>
      <c r="P258" s="17">
        <f>IF(NOT(ISNUMBER($A258)),NA(),IF(OR($A258&lt;MIN(KW_TP!$A$2:$A$2501),$A258&gt;MAX(KW_TP!$A$2:$A$2501)),NA(),INDEX(KW_TP!$C$2:$C$2501,MATCH($A258,KW_TP!$A$2:$A$2501,1))))</f>
        <v/>
      </c>
    </row>
    <row r="259">
      <c r="A259" s="15">
        <f>IF(ISNUMBER(BBG_Data!A259),BBG_Data!A259,"")</f>
        <v/>
      </c>
      <c r="B259" s="16">
        <f>IF(AND(ISNUMBER($A259),ISNUMBER(BBG_Data!B259)),BBG_Data!B259,NA())</f>
        <v/>
      </c>
      <c r="C259" s="16">
        <f>IF(AND(ISNUMBER($A259),ISNUMBER(BBG_Data!C259)),BBG_Data!C259,NA())</f>
        <v/>
      </c>
      <c r="D259" s="17">
        <f>IF(AND(ISNUMBER($A259),ISNUMBER(BBG_Data!D259)),BBG_Data!D259,NA())</f>
        <v/>
      </c>
      <c r="E259" s="17">
        <f>IF(AND(ISNUMBER($A259),ISNUMBER(BBG_Data!E259)),BBG_Data!E259,NA())</f>
        <v/>
      </c>
      <c r="F259" s="18">
        <f>IF(AND(ISNUMBER(B259),ISNUMBER(B258)),(B259-B258)*100,"")</f>
        <v/>
      </c>
      <c r="G259" s="18">
        <f>IF(AND(ISNUMBER(C259),ISNUMBER(C258)),(C259-C258)*100,"")</f>
        <v/>
      </c>
      <c r="H259" s="18">
        <f>IF(OR(NOT(ISNUMBER($A259)),ROW()-2&lt;Settings!$B$11),NA(),IF(COUNT(OFFSET(F259,1-Settings!$B$11,0,Settings!$B$11,1))&lt;Settings!$B$11,NA(),STDEV(OFFSET(F259,1-Settings!$B$11,0,Settings!$B$11,1))*SQRT(Settings!$B$13)))</f>
        <v/>
      </c>
      <c r="I259" s="18">
        <f>IF(OR(NOT(ISNUMBER($A259)),ROW()-2&lt;Settings!$B$12),NA(),IF(COUNT(OFFSET(F259,1-Settings!$B$12,0,Settings!$B$12,1))&lt;Settings!$B$12,NA(),STDEV(OFFSET(F259,1-Settings!$B$12,0,Settings!$B$12,1))*SQRT(Settings!$B$13)))</f>
        <v/>
      </c>
      <c r="J259" s="18">
        <f>IF(OR(NOT(ISNUMBER($A259)),ROW()-2&lt;Settings!$B$11),NA(),IF(COUNT(OFFSET(G259,1-Settings!$B$11,0,Settings!$B$11,1))&lt;Settings!$B$11,NA(),STDEV(OFFSET(G259,1-Settings!$B$11,0,Settings!$B$11,1))*SQRT(Settings!$B$13)))</f>
        <v/>
      </c>
      <c r="K259" s="18">
        <f>IF(OR(NOT(ISNUMBER($A259)),ROW()-2&lt;Settings!$B$12),NA(),IF(COUNT(OFFSET(G259,1-Settings!$B$12,0,Settings!$B$12,1))&lt;Settings!$B$12,NA(),STDEV(OFFSET(G259,1-Settings!$B$12,0,Settings!$B$12,1))*SQRT(Settings!$B$13)))</f>
        <v/>
      </c>
      <c r="L259" s="18">
        <f>IF(AND(ISNUMBER(D259),ISNUMBER(H259)),D259-H259,NA())</f>
        <v/>
      </c>
      <c r="M259" s="18">
        <f>IF(AND(ISNUMBER(E259),ISNUMBER(K259)),E259-K259,NA())</f>
        <v/>
      </c>
      <c r="N259" s="18">
        <f>IF(NOT(ISNUMBER($A259)),NA(),IF(COUNT(OFFSET(G259,1,0,Settings!$B$12,1))&lt;Settings!$B$12,NA(),STDEV(OFFSET(G259,1,0,Settings!$B$12,1))*SQRT(Settings!$B$13)))</f>
        <v/>
      </c>
      <c r="O259" s="18">
        <f>IF(AND(ISNUMBER(E259),ISNUMBER(N259)),E259-N259,NA())</f>
        <v/>
      </c>
      <c r="P259" s="17">
        <f>IF(NOT(ISNUMBER($A259)),NA(),IF(OR($A259&lt;MIN(KW_TP!$A$2:$A$2501),$A259&gt;MAX(KW_TP!$A$2:$A$2501)),NA(),INDEX(KW_TP!$C$2:$C$2501,MATCH($A259,KW_TP!$A$2:$A$2501,1))))</f>
        <v/>
      </c>
    </row>
    <row r="260">
      <c r="A260" s="15">
        <f>IF(ISNUMBER(BBG_Data!A260),BBG_Data!A260,"")</f>
        <v/>
      </c>
      <c r="B260" s="16">
        <f>IF(AND(ISNUMBER($A260),ISNUMBER(BBG_Data!B260)),BBG_Data!B260,NA())</f>
        <v/>
      </c>
      <c r="C260" s="16">
        <f>IF(AND(ISNUMBER($A260),ISNUMBER(BBG_Data!C260)),BBG_Data!C260,NA())</f>
        <v/>
      </c>
      <c r="D260" s="17">
        <f>IF(AND(ISNUMBER($A260),ISNUMBER(BBG_Data!D260)),BBG_Data!D260,NA())</f>
        <v/>
      </c>
      <c r="E260" s="17">
        <f>IF(AND(ISNUMBER($A260),ISNUMBER(BBG_Data!E260)),BBG_Data!E260,NA())</f>
        <v/>
      </c>
      <c r="F260" s="18">
        <f>IF(AND(ISNUMBER(B260),ISNUMBER(B259)),(B260-B259)*100,"")</f>
        <v/>
      </c>
      <c r="G260" s="18">
        <f>IF(AND(ISNUMBER(C260),ISNUMBER(C259)),(C260-C259)*100,"")</f>
        <v/>
      </c>
      <c r="H260" s="18">
        <f>IF(OR(NOT(ISNUMBER($A260)),ROW()-2&lt;Settings!$B$11),NA(),IF(COUNT(OFFSET(F260,1-Settings!$B$11,0,Settings!$B$11,1))&lt;Settings!$B$11,NA(),STDEV(OFFSET(F260,1-Settings!$B$11,0,Settings!$B$11,1))*SQRT(Settings!$B$13)))</f>
        <v/>
      </c>
      <c r="I260" s="18">
        <f>IF(OR(NOT(ISNUMBER($A260)),ROW()-2&lt;Settings!$B$12),NA(),IF(COUNT(OFFSET(F260,1-Settings!$B$12,0,Settings!$B$12,1))&lt;Settings!$B$12,NA(),STDEV(OFFSET(F260,1-Settings!$B$12,0,Settings!$B$12,1))*SQRT(Settings!$B$13)))</f>
        <v/>
      </c>
      <c r="J260" s="18">
        <f>IF(OR(NOT(ISNUMBER($A260)),ROW()-2&lt;Settings!$B$11),NA(),IF(COUNT(OFFSET(G260,1-Settings!$B$11,0,Settings!$B$11,1))&lt;Settings!$B$11,NA(),STDEV(OFFSET(G260,1-Settings!$B$11,0,Settings!$B$11,1))*SQRT(Settings!$B$13)))</f>
        <v/>
      </c>
      <c r="K260" s="18">
        <f>IF(OR(NOT(ISNUMBER($A260)),ROW()-2&lt;Settings!$B$12),NA(),IF(COUNT(OFFSET(G260,1-Settings!$B$12,0,Settings!$B$12,1))&lt;Settings!$B$12,NA(),STDEV(OFFSET(G260,1-Settings!$B$12,0,Settings!$B$12,1))*SQRT(Settings!$B$13)))</f>
        <v/>
      </c>
      <c r="L260" s="18">
        <f>IF(AND(ISNUMBER(D260),ISNUMBER(H260)),D260-H260,NA())</f>
        <v/>
      </c>
      <c r="M260" s="18">
        <f>IF(AND(ISNUMBER(E260),ISNUMBER(K260)),E260-K260,NA())</f>
        <v/>
      </c>
      <c r="N260" s="18">
        <f>IF(NOT(ISNUMBER($A260)),NA(),IF(COUNT(OFFSET(G260,1,0,Settings!$B$12,1))&lt;Settings!$B$12,NA(),STDEV(OFFSET(G260,1,0,Settings!$B$12,1))*SQRT(Settings!$B$13)))</f>
        <v/>
      </c>
      <c r="O260" s="18">
        <f>IF(AND(ISNUMBER(E260),ISNUMBER(N260)),E260-N260,NA())</f>
        <v/>
      </c>
      <c r="P260" s="17">
        <f>IF(NOT(ISNUMBER($A260)),NA(),IF(OR($A260&lt;MIN(KW_TP!$A$2:$A$2501),$A260&gt;MAX(KW_TP!$A$2:$A$2501)),NA(),INDEX(KW_TP!$C$2:$C$2501,MATCH($A260,KW_TP!$A$2:$A$2501,1))))</f>
        <v/>
      </c>
    </row>
    <row r="261">
      <c r="A261" s="15">
        <f>IF(ISNUMBER(BBG_Data!A261),BBG_Data!A261,"")</f>
        <v/>
      </c>
      <c r="B261" s="16">
        <f>IF(AND(ISNUMBER($A261),ISNUMBER(BBG_Data!B261)),BBG_Data!B261,NA())</f>
        <v/>
      </c>
      <c r="C261" s="16">
        <f>IF(AND(ISNUMBER($A261),ISNUMBER(BBG_Data!C261)),BBG_Data!C261,NA())</f>
        <v/>
      </c>
      <c r="D261" s="17">
        <f>IF(AND(ISNUMBER($A261),ISNUMBER(BBG_Data!D261)),BBG_Data!D261,NA())</f>
        <v/>
      </c>
      <c r="E261" s="17">
        <f>IF(AND(ISNUMBER($A261),ISNUMBER(BBG_Data!E261)),BBG_Data!E261,NA())</f>
        <v/>
      </c>
      <c r="F261" s="18">
        <f>IF(AND(ISNUMBER(B261),ISNUMBER(B260)),(B261-B260)*100,"")</f>
        <v/>
      </c>
      <c r="G261" s="18">
        <f>IF(AND(ISNUMBER(C261),ISNUMBER(C260)),(C261-C260)*100,"")</f>
        <v/>
      </c>
      <c r="H261" s="18">
        <f>IF(OR(NOT(ISNUMBER($A261)),ROW()-2&lt;Settings!$B$11),NA(),IF(COUNT(OFFSET(F261,1-Settings!$B$11,0,Settings!$B$11,1))&lt;Settings!$B$11,NA(),STDEV(OFFSET(F261,1-Settings!$B$11,0,Settings!$B$11,1))*SQRT(Settings!$B$13)))</f>
        <v/>
      </c>
      <c r="I261" s="18">
        <f>IF(OR(NOT(ISNUMBER($A261)),ROW()-2&lt;Settings!$B$12),NA(),IF(COUNT(OFFSET(F261,1-Settings!$B$12,0,Settings!$B$12,1))&lt;Settings!$B$12,NA(),STDEV(OFFSET(F261,1-Settings!$B$12,0,Settings!$B$12,1))*SQRT(Settings!$B$13)))</f>
        <v/>
      </c>
      <c r="J261" s="18">
        <f>IF(OR(NOT(ISNUMBER($A261)),ROW()-2&lt;Settings!$B$11),NA(),IF(COUNT(OFFSET(G261,1-Settings!$B$11,0,Settings!$B$11,1))&lt;Settings!$B$11,NA(),STDEV(OFFSET(G261,1-Settings!$B$11,0,Settings!$B$11,1))*SQRT(Settings!$B$13)))</f>
        <v/>
      </c>
      <c r="K261" s="18">
        <f>IF(OR(NOT(ISNUMBER($A261)),ROW()-2&lt;Settings!$B$12),NA(),IF(COUNT(OFFSET(G261,1-Settings!$B$12,0,Settings!$B$12,1))&lt;Settings!$B$12,NA(),STDEV(OFFSET(G261,1-Settings!$B$12,0,Settings!$B$12,1))*SQRT(Settings!$B$13)))</f>
        <v/>
      </c>
      <c r="L261" s="18">
        <f>IF(AND(ISNUMBER(D261),ISNUMBER(H261)),D261-H261,NA())</f>
        <v/>
      </c>
      <c r="M261" s="18">
        <f>IF(AND(ISNUMBER(E261),ISNUMBER(K261)),E261-K261,NA())</f>
        <v/>
      </c>
      <c r="N261" s="18">
        <f>IF(NOT(ISNUMBER($A261)),NA(),IF(COUNT(OFFSET(G261,1,0,Settings!$B$12,1))&lt;Settings!$B$12,NA(),STDEV(OFFSET(G261,1,0,Settings!$B$12,1))*SQRT(Settings!$B$13)))</f>
        <v/>
      </c>
      <c r="O261" s="18">
        <f>IF(AND(ISNUMBER(E261),ISNUMBER(N261)),E261-N261,NA())</f>
        <v/>
      </c>
      <c r="P261" s="17">
        <f>IF(NOT(ISNUMBER($A261)),NA(),IF(OR($A261&lt;MIN(KW_TP!$A$2:$A$2501),$A261&gt;MAX(KW_TP!$A$2:$A$2501)),NA(),INDEX(KW_TP!$C$2:$C$2501,MATCH($A261,KW_TP!$A$2:$A$2501,1))))</f>
        <v/>
      </c>
    </row>
    <row r="262">
      <c r="A262" s="15">
        <f>IF(ISNUMBER(BBG_Data!A262),BBG_Data!A262,"")</f>
        <v/>
      </c>
      <c r="B262" s="16">
        <f>IF(AND(ISNUMBER($A262),ISNUMBER(BBG_Data!B262)),BBG_Data!B262,NA())</f>
        <v/>
      </c>
      <c r="C262" s="16">
        <f>IF(AND(ISNUMBER($A262),ISNUMBER(BBG_Data!C262)),BBG_Data!C262,NA())</f>
        <v/>
      </c>
      <c r="D262" s="17">
        <f>IF(AND(ISNUMBER($A262),ISNUMBER(BBG_Data!D262)),BBG_Data!D262,NA())</f>
        <v/>
      </c>
      <c r="E262" s="17">
        <f>IF(AND(ISNUMBER($A262),ISNUMBER(BBG_Data!E262)),BBG_Data!E262,NA())</f>
        <v/>
      </c>
      <c r="F262" s="18">
        <f>IF(AND(ISNUMBER(B262),ISNUMBER(B261)),(B262-B261)*100,"")</f>
        <v/>
      </c>
      <c r="G262" s="18">
        <f>IF(AND(ISNUMBER(C262),ISNUMBER(C261)),(C262-C261)*100,"")</f>
        <v/>
      </c>
      <c r="H262" s="18">
        <f>IF(OR(NOT(ISNUMBER($A262)),ROW()-2&lt;Settings!$B$11),NA(),IF(COUNT(OFFSET(F262,1-Settings!$B$11,0,Settings!$B$11,1))&lt;Settings!$B$11,NA(),STDEV(OFFSET(F262,1-Settings!$B$11,0,Settings!$B$11,1))*SQRT(Settings!$B$13)))</f>
        <v/>
      </c>
      <c r="I262" s="18">
        <f>IF(OR(NOT(ISNUMBER($A262)),ROW()-2&lt;Settings!$B$12),NA(),IF(COUNT(OFFSET(F262,1-Settings!$B$12,0,Settings!$B$12,1))&lt;Settings!$B$12,NA(),STDEV(OFFSET(F262,1-Settings!$B$12,0,Settings!$B$12,1))*SQRT(Settings!$B$13)))</f>
        <v/>
      </c>
      <c r="J262" s="18">
        <f>IF(OR(NOT(ISNUMBER($A262)),ROW()-2&lt;Settings!$B$11),NA(),IF(COUNT(OFFSET(G262,1-Settings!$B$11,0,Settings!$B$11,1))&lt;Settings!$B$11,NA(),STDEV(OFFSET(G262,1-Settings!$B$11,0,Settings!$B$11,1))*SQRT(Settings!$B$13)))</f>
        <v/>
      </c>
      <c r="K262" s="18">
        <f>IF(OR(NOT(ISNUMBER($A262)),ROW()-2&lt;Settings!$B$12),NA(),IF(COUNT(OFFSET(G262,1-Settings!$B$12,0,Settings!$B$12,1))&lt;Settings!$B$12,NA(),STDEV(OFFSET(G262,1-Settings!$B$12,0,Settings!$B$12,1))*SQRT(Settings!$B$13)))</f>
        <v/>
      </c>
      <c r="L262" s="18">
        <f>IF(AND(ISNUMBER(D262),ISNUMBER(H262)),D262-H262,NA())</f>
        <v/>
      </c>
      <c r="M262" s="18">
        <f>IF(AND(ISNUMBER(E262),ISNUMBER(K262)),E262-K262,NA())</f>
        <v/>
      </c>
      <c r="N262" s="18">
        <f>IF(NOT(ISNUMBER($A262)),NA(),IF(COUNT(OFFSET(G262,1,0,Settings!$B$12,1))&lt;Settings!$B$12,NA(),STDEV(OFFSET(G262,1,0,Settings!$B$12,1))*SQRT(Settings!$B$13)))</f>
        <v/>
      </c>
      <c r="O262" s="18">
        <f>IF(AND(ISNUMBER(E262),ISNUMBER(N262)),E262-N262,NA())</f>
        <v/>
      </c>
      <c r="P262" s="17">
        <f>IF(NOT(ISNUMBER($A262)),NA(),IF(OR($A262&lt;MIN(KW_TP!$A$2:$A$2501),$A262&gt;MAX(KW_TP!$A$2:$A$2501)),NA(),INDEX(KW_TP!$C$2:$C$2501,MATCH($A262,KW_TP!$A$2:$A$2501,1))))</f>
        <v/>
      </c>
    </row>
    <row r="263">
      <c r="A263" s="15">
        <f>IF(ISNUMBER(BBG_Data!A263),BBG_Data!A263,"")</f>
        <v/>
      </c>
      <c r="B263" s="16">
        <f>IF(AND(ISNUMBER($A263),ISNUMBER(BBG_Data!B263)),BBG_Data!B263,NA())</f>
        <v/>
      </c>
      <c r="C263" s="16">
        <f>IF(AND(ISNUMBER($A263),ISNUMBER(BBG_Data!C263)),BBG_Data!C263,NA())</f>
        <v/>
      </c>
      <c r="D263" s="17">
        <f>IF(AND(ISNUMBER($A263),ISNUMBER(BBG_Data!D263)),BBG_Data!D263,NA())</f>
        <v/>
      </c>
      <c r="E263" s="17">
        <f>IF(AND(ISNUMBER($A263),ISNUMBER(BBG_Data!E263)),BBG_Data!E263,NA())</f>
        <v/>
      </c>
      <c r="F263" s="18">
        <f>IF(AND(ISNUMBER(B263),ISNUMBER(B262)),(B263-B262)*100,"")</f>
        <v/>
      </c>
      <c r="G263" s="18">
        <f>IF(AND(ISNUMBER(C263),ISNUMBER(C262)),(C263-C262)*100,"")</f>
        <v/>
      </c>
      <c r="H263" s="18">
        <f>IF(OR(NOT(ISNUMBER($A263)),ROW()-2&lt;Settings!$B$11),NA(),IF(COUNT(OFFSET(F263,1-Settings!$B$11,0,Settings!$B$11,1))&lt;Settings!$B$11,NA(),STDEV(OFFSET(F263,1-Settings!$B$11,0,Settings!$B$11,1))*SQRT(Settings!$B$13)))</f>
        <v/>
      </c>
      <c r="I263" s="18">
        <f>IF(OR(NOT(ISNUMBER($A263)),ROW()-2&lt;Settings!$B$12),NA(),IF(COUNT(OFFSET(F263,1-Settings!$B$12,0,Settings!$B$12,1))&lt;Settings!$B$12,NA(),STDEV(OFFSET(F263,1-Settings!$B$12,0,Settings!$B$12,1))*SQRT(Settings!$B$13)))</f>
        <v/>
      </c>
      <c r="J263" s="18">
        <f>IF(OR(NOT(ISNUMBER($A263)),ROW()-2&lt;Settings!$B$11),NA(),IF(COUNT(OFFSET(G263,1-Settings!$B$11,0,Settings!$B$11,1))&lt;Settings!$B$11,NA(),STDEV(OFFSET(G263,1-Settings!$B$11,0,Settings!$B$11,1))*SQRT(Settings!$B$13)))</f>
        <v/>
      </c>
      <c r="K263" s="18">
        <f>IF(OR(NOT(ISNUMBER($A263)),ROW()-2&lt;Settings!$B$12),NA(),IF(COUNT(OFFSET(G263,1-Settings!$B$12,0,Settings!$B$12,1))&lt;Settings!$B$12,NA(),STDEV(OFFSET(G263,1-Settings!$B$12,0,Settings!$B$12,1))*SQRT(Settings!$B$13)))</f>
        <v/>
      </c>
      <c r="L263" s="18">
        <f>IF(AND(ISNUMBER(D263),ISNUMBER(H263)),D263-H263,NA())</f>
        <v/>
      </c>
      <c r="M263" s="18">
        <f>IF(AND(ISNUMBER(E263),ISNUMBER(K263)),E263-K263,NA())</f>
        <v/>
      </c>
      <c r="N263" s="18">
        <f>IF(NOT(ISNUMBER($A263)),NA(),IF(COUNT(OFFSET(G263,1,0,Settings!$B$12,1))&lt;Settings!$B$12,NA(),STDEV(OFFSET(G263,1,0,Settings!$B$12,1))*SQRT(Settings!$B$13)))</f>
        <v/>
      </c>
      <c r="O263" s="18">
        <f>IF(AND(ISNUMBER(E263),ISNUMBER(N263)),E263-N263,NA())</f>
        <v/>
      </c>
      <c r="P263" s="17">
        <f>IF(NOT(ISNUMBER($A263)),NA(),IF(OR($A263&lt;MIN(KW_TP!$A$2:$A$2501),$A263&gt;MAX(KW_TP!$A$2:$A$2501)),NA(),INDEX(KW_TP!$C$2:$C$2501,MATCH($A263,KW_TP!$A$2:$A$2501,1))))</f>
        <v/>
      </c>
    </row>
    <row r="264">
      <c r="A264" s="15">
        <f>IF(ISNUMBER(BBG_Data!A264),BBG_Data!A264,"")</f>
        <v/>
      </c>
      <c r="B264" s="16">
        <f>IF(AND(ISNUMBER($A264),ISNUMBER(BBG_Data!B264)),BBG_Data!B264,NA())</f>
        <v/>
      </c>
      <c r="C264" s="16">
        <f>IF(AND(ISNUMBER($A264),ISNUMBER(BBG_Data!C264)),BBG_Data!C264,NA())</f>
        <v/>
      </c>
      <c r="D264" s="17">
        <f>IF(AND(ISNUMBER($A264),ISNUMBER(BBG_Data!D264)),BBG_Data!D264,NA())</f>
        <v/>
      </c>
      <c r="E264" s="17">
        <f>IF(AND(ISNUMBER($A264),ISNUMBER(BBG_Data!E264)),BBG_Data!E264,NA())</f>
        <v/>
      </c>
      <c r="F264" s="18">
        <f>IF(AND(ISNUMBER(B264),ISNUMBER(B263)),(B264-B263)*100,"")</f>
        <v/>
      </c>
      <c r="G264" s="18">
        <f>IF(AND(ISNUMBER(C264),ISNUMBER(C263)),(C264-C263)*100,"")</f>
        <v/>
      </c>
      <c r="H264" s="18">
        <f>IF(OR(NOT(ISNUMBER($A264)),ROW()-2&lt;Settings!$B$11),NA(),IF(COUNT(OFFSET(F264,1-Settings!$B$11,0,Settings!$B$11,1))&lt;Settings!$B$11,NA(),STDEV(OFFSET(F264,1-Settings!$B$11,0,Settings!$B$11,1))*SQRT(Settings!$B$13)))</f>
        <v/>
      </c>
      <c r="I264" s="18">
        <f>IF(OR(NOT(ISNUMBER($A264)),ROW()-2&lt;Settings!$B$12),NA(),IF(COUNT(OFFSET(F264,1-Settings!$B$12,0,Settings!$B$12,1))&lt;Settings!$B$12,NA(),STDEV(OFFSET(F264,1-Settings!$B$12,0,Settings!$B$12,1))*SQRT(Settings!$B$13)))</f>
        <v/>
      </c>
      <c r="J264" s="18">
        <f>IF(OR(NOT(ISNUMBER($A264)),ROW()-2&lt;Settings!$B$11),NA(),IF(COUNT(OFFSET(G264,1-Settings!$B$11,0,Settings!$B$11,1))&lt;Settings!$B$11,NA(),STDEV(OFFSET(G264,1-Settings!$B$11,0,Settings!$B$11,1))*SQRT(Settings!$B$13)))</f>
        <v/>
      </c>
      <c r="K264" s="18">
        <f>IF(OR(NOT(ISNUMBER($A264)),ROW()-2&lt;Settings!$B$12),NA(),IF(COUNT(OFFSET(G264,1-Settings!$B$12,0,Settings!$B$12,1))&lt;Settings!$B$12,NA(),STDEV(OFFSET(G264,1-Settings!$B$12,0,Settings!$B$12,1))*SQRT(Settings!$B$13)))</f>
        <v/>
      </c>
      <c r="L264" s="18">
        <f>IF(AND(ISNUMBER(D264),ISNUMBER(H264)),D264-H264,NA())</f>
        <v/>
      </c>
      <c r="M264" s="18">
        <f>IF(AND(ISNUMBER(E264),ISNUMBER(K264)),E264-K264,NA())</f>
        <v/>
      </c>
      <c r="N264" s="18">
        <f>IF(NOT(ISNUMBER($A264)),NA(),IF(COUNT(OFFSET(G264,1,0,Settings!$B$12,1))&lt;Settings!$B$12,NA(),STDEV(OFFSET(G264,1,0,Settings!$B$12,1))*SQRT(Settings!$B$13)))</f>
        <v/>
      </c>
      <c r="O264" s="18">
        <f>IF(AND(ISNUMBER(E264),ISNUMBER(N264)),E264-N264,NA())</f>
        <v/>
      </c>
      <c r="P264" s="17">
        <f>IF(NOT(ISNUMBER($A264)),NA(),IF(OR($A264&lt;MIN(KW_TP!$A$2:$A$2501),$A264&gt;MAX(KW_TP!$A$2:$A$2501)),NA(),INDEX(KW_TP!$C$2:$C$2501,MATCH($A264,KW_TP!$A$2:$A$2501,1))))</f>
        <v/>
      </c>
    </row>
    <row r="265">
      <c r="A265" s="15">
        <f>IF(ISNUMBER(BBG_Data!A265),BBG_Data!A265,"")</f>
        <v/>
      </c>
      <c r="B265" s="16">
        <f>IF(AND(ISNUMBER($A265),ISNUMBER(BBG_Data!B265)),BBG_Data!B265,NA())</f>
        <v/>
      </c>
      <c r="C265" s="16">
        <f>IF(AND(ISNUMBER($A265),ISNUMBER(BBG_Data!C265)),BBG_Data!C265,NA())</f>
        <v/>
      </c>
      <c r="D265" s="17">
        <f>IF(AND(ISNUMBER($A265),ISNUMBER(BBG_Data!D265)),BBG_Data!D265,NA())</f>
        <v/>
      </c>
      <c r="E265" s="17">
        <f>IF(AND(ISNUMBER($A265),ISNUMBER(BBG_Data!E265)),BBG_Data!E265,NA())</f>
        <v/>
      </c>
      <c r="F265" s="18">
        <f>IF(AND(ISNUMBER(B265),ISNUMBER(B264)),(B265-B264)*100,"")</f>
        <v/>
      </c>
      <c r="G265" s="18">
        <f>IF(AND(ISNUMBER(C265),ISNUMBER(C264)),(C265-C264)*100,"")</f>
        <v/>
      </c>
      <c r="H265" s="18">
        <f>IF(OR(NOT(ISNUMBER($A265)),ROW()-2&lt;Settings!$B$11),NA(),IF(COUNT(OFFSET(F265,1-Settings!$B$11,0,Settings!$B$11,1))&lt;Settings!$B$11,NA(),STDEV(OFFSET(F265,1-Settings!$B$11,0,Settings!$B$11,1))*SQRT(Settings!$B$13)))</f>
        <v/>
      </c>
      <c r="I265" s="18">
        <f>IF(OR(NOT(ISNUMBER($A265)),ROW()-2&lt;Settings!$B$12),NA(),IF(COUNT(OFFSET(F265,1-Settings!$B$12,0,Settings!$B$12,1))&lt;Settings!$B$12,NA(),STDEV(OFFSET(F265,1-Settings!$B$12,0,Settings!$B$12,1))*SQRT(Settings!$B$13)))</f>
        <v/>
      </c>
      <c r="J265" s="18">
        <f>IF(OR(NOT(ISNUMBER($A265)),ROW()-2&lt;Settings!$B$11),NA(),IF(COUNT(OFFSET(G265,1-Settings!$B$11,0,Settings!$B$11,1))&lt;Settings!$B$11,NA(),STDEV(OFFSET(G265,1-Settings!$B$11,0,Settings!$B$11,1))*SQRT(Settings!$B$13)))</f>
        <v/>
      </c>
      <c r="K265" s="18">
        <f>IF(OR(NOT(ISNUMBER($A265)),ROW()-2&lt;Settings!$B$12),NA(),IF(COUNT(OFFSET(G265,1-Settings!$B$12,0,Settings!$B$12,1))&lt;Settings!$B$12,NA(),STDEV(OFFSET(G265,1-Settings!$B$12,0,Settings!$B$12,1))*SQRT(Settings!$B$13)))</f>
        <v/>
      </c>
      <c r="L265" s="18">
        <f>IF(AND(ISNUMBER(D265),ISNUMBER(H265)),D265-H265,NA())</f>
        <v/>
      </c>
      <c r="M265" s="18">
        <f>IF(AND(ISNUMBER(E265),ISNUMBER(K265)),E265-K265,NA())</f>
        <v/>
      </c>
      <c r="N265" s="18">
        <f>IF(NOT(ISNUMBER($A265)),NA(),IF(COUNT(OFFSET(G265,1,0,Settings!$B$12,1))&lt;Settings!$B$12,NA(),STDEV(OFFSET(G265,1,0,Settings!$B$12,1))*SQRT(Settings!$B$13)))</f>
        <v/>
      </c>
      <c r="O265" s="18">
        <f>IF(AND(ISNUMBER(E265),ISNUMBER(N265)),E265-N265,NA())</f>
        <v/>
      </c>
      <c r="P265" s="17">
        <f>IF(NOT(ISNUMBER($A265)),NA(),IF(OR($A265&lt;MIN(KW_TP!$A$2:$A$2501),$A265&gt;MAX(KW_TP!$A$2:$A$2501)),NA(),INDEX(KW_TP!$C$2:$C$2501,MATCH($A265,KW_TP!$A$2:$A$2501,1))))</f>
        <v/>
      </c>
    </row>
    <row r="266">
      <c r="A266" s="15">
        <f>IF(ISNUMBER(BBG_Data!A266),BBG_Data!A266,"")</f>
        <v/>
      </c>
      <c r="B266" s="16">
        <f>IF(AND(ISNUMBER($A266),ISNUMBER(BBG_Data!B266)),BBG_Data!B266,NA())</f>
        <v/>
      </c>
      <c r="C266" s="16">
        <f>IF(AND(ISNUMBER($A266),ISNUMBER(BBG_Data!C266)),BBG_Data!C266,NA())</f>
        <v/>
      </c>
      <c r="D266" s="17">
        <f>IF(AND(ISNUMBER($A266),ISNUMBER(BBG_Data!D266)),BBG_Data!D266,NA())</f>
        <v/>
      </c>
      <c r="E266" s="17">
        <f>IF(AND(ISNUMBER($A266),ISNUMBER(BBG_Data!E266)),BBG_Data!E266,NA())</f>
        <v/>
      </c>
      <c r="F266" s="18">
        <f>IF(AND(ISNUMBER(B266),ISNUMBER(B265)),(B266-B265)*100,"")</f>
        <v/>
      </c>
      <c r="G266" s="18">
        <f>IF(AND(ISNUMBER(C266),ISNUMBER(C265)),(C266-C265)*100,"")</f>
        <v/>
      </c>
      <c r="H266" s="18">
        <f>IF(OR(NOT(ISNUMBER($A266)),ROW()-2&lt;Settings!$B$11),NA(),IF(COUNT(OFFSET(F266,1-Settings!$B$11,0,Settings!$B$11,1))&lt;Settings!$B$11,NA(),STDEV(OFFSET(F266,1-Settings!$B$11,0,Settings!$B$11,1))*SQRT(Settings!$B$13)))</f>
        <v/>
      </c>
      <c r="I266" s="18">
        <f>IF(OR(NOT(ISNUMBER($A266)),ROW()-2&lt;Settings!$B$12),NA(),IF(COUNT(OFFSET(F266,1-Settings!$B$12,0,Settings!$B$12,1))&lt;Settings!$B$12,NA(),STDEV(OFFSET(F266,1-Settings!$B$12,0,Settings!$B$12,1))*SQRT(Settings!$B$13)))</f>
        <v/>
      </c>
      <c r="J266" s="18">
        <f>IF(OR(NOT(ISNUMBER($A266)),ROW()-2&lt;Settings!$B$11),NA(),IF(COUNT(OFFSET(G266,1-Settings!$B$11,0,Settings!$B$11,1))&lt;Settings!$B$11,NA(),STDEV(OFFSET(G266,1-Settings!$B$11,0,Settings!$B$11,1))*SQRT(Settings!$B$13)))</f>
        <v/>
      </c>
      <c r="K266" s="18">
        <f>IF(OR(NOT(ISNUMBER($A266)),ROW()-2&lt;Settings!$B$12),NA(),IF(COUNT(OFFSET(G266,1-Settings!$B$12,0,Settings!$B$12,1))&lt;Settings!$B$12,NA(),STDEV(OFFSET(G266,1-Settings!$B$12,0,Settings!$B$12,1))*SQRT(Settings!$B$13)))</f>
        <v/>
      </c>
      <c r="L266" s="18">
        <f>IF(AND(ISNUMBER(D266),ISNUMBER(H266)),D266-H266,NA())</f>
        <v/>
      </c>
      <c r="M266" s="18">
        <f>IF(AND(ISNUMBER(E266),ISNUMBER(K266)),E266-K266,NA())</f>
        <v/>
      </c>
      <c r="N266" s="18">
        <f>IF(NOT(ISNUMBER($A266)),NA(),IF(COUNT(OFFSET(G266,1,0,Settings!$B$12,1))&lt;Settings!$B$12,NA(),STDEV(OFFSET(G266,1,0,Settings!$B$12,1))*SQRT(Settings!$B$13)))</f>
        <v/>
      </c>
      <c r="O266" s="18">
        <f>IF(AND(ISNUMBER(E266),ISNUMBER(N266)),E266-N266,NA())</f>
        <v/>
      </c>
      <c r="P266" s="17">
        <f>IF(NOT(ISNUMBER($A266)),NA(),IF(OR($A266&lt;MIN(KW_TP!$A$2:$A$2501),$A266&gt;MAX(KW_TP!$A$2:$A$2501)),NA(),INDEX(KW_TP!$C$2:$C$2501,MATCH($A266,KW_TP!$A$2:$A$2501,1))))</f>
        <v/>
      </c>
    </row>
    <row r="267">
      <c r="A267" s="15">
        <f>IF(ISNUMBER(BBG_Data!A267),BBG_Data!A267,"")</f>
        <v/>
      </c>
      <c r="B267" s="16">
        <f>IF(AND(ISNUMBER($A267),ISNUMBER(BBG_Data!B267)),BBG_Data!B267,NA())</f>
        <v/>
      </c>
      <c r="C267" s="16">
        <f>IF(AND(ISNUMBER($A267),ISNUMBER(BBG_Data!C267)),BBG_Data!C267,NA())</f>
        <v/>
      </c>
      <c r="D267" s="17">
        <f>IF(AND(ISNUMBER($A267),ISNUMBER(BBG_Data!D267)),BBG_Data!D267,NA())</f>
        <v/>
      </c>
      <c r="E267" s="17">
        <f>IF(AND(ISNUMBER($A267),ISNUMBER(BBG_Data!E267)),BBG_Data!E267,NA())</f>
        <v/>
      </c>
      <c r="F267" s="18">
        <f>IF(AND(ISNUMBER(B267),ISNUMBER(B266)),(B267-B266)*100,"")</f>
        <v/>
      </c>
      <c r="G267" s="18">
        <f>IF(AND(ISNUMBER(C267),ISNUMBER(C266)),(C267-C266)*100,"")</f>
        <v/>
      </c>
      <c r="H267" s="18">
        <f>IF(OR(NOT(ISNUMBER($A267)),ROW()-2&lt;Settings!$B$11),NA(),IF(COUNT(OFFSET(F267,1-Settings!$B$11,0,Settings!$B$11,1))&lt;Settings!$B$11,NA(),STDEV(OFFSET(F267,1-Settings!$B$11,0,Settings!$B$11,1))*SQRT(Settings!$B$13)))</f>
        <v/>
      </c>
      <c r="I267" s="18">
        <f>IF(OR(NOT(ISNUMBER($A267)),ROW()-2&lt;Settings!$B$12),NA(),IF(COUNT(OFFSET(F267,1-Settings!$B$12,0,Settings!$B$12,1))&lt;Settings!$B$12,NA(),STDEV(OFFSET(F267,1-Settings!$B$12,0,Settings!$B$12,1))*SQRT(Settings!$B$13)))</f>
        <v/>
      </c>
      <c r="J267" s="18">
        <f>IF(OR(NOT(ISNUMBER($A267)),ROW()-2&lt;Settings!$B$11),NA(),IF(COUNT(OFFSET(G267,1-Settings!$B$11,0,Settings!$B$11,1))&lt;Settings!$B$11,NA(),STDEV(OFFSET(G267,1-Settings!$B$11,0,Settings!$B$11,1))*SQRT(Settings!$B$13)))</f>
        <v/>
      </c>
      <c r="K267" s="18">
        <f>IF(OR(NOT(ISNUMBER($A267)),ROW()-2&lt;Settings!$B$12),NA(),IF(COUNT(OFFSET(G267,1-Settings!$B$12,0,Settings!$B$12,1))&lt;Settings!$B$12,NA(),STDEV(OFFSET(G267,1-Settings!$B$12,0,Settings!$B$12,1))*SQRT(Settings!$B$13)))</f>
        <v/>
      </c>
      <c r="L267" s="18">
        <f>IF(AND(ISNUMBER(D267),ISNUMBER(H267)),D267-H267,NA())</f>
        <v/>
      </c>
      <c r="M267" s="18">
        <f>IF(AND(ISNUMBER(E267),ISNUMBER(K267)),E267-K267,NA())</f>
        <v/>
      </c>
      <c r="N267" s="18">
        <f>IF(NOT(ISNUMBER($A267)),NA(),IF(COUNT(OFFSET(G267,1,0,Settings!$B$12,1))&lt;Settings!$B$12,NA(),STDEV(OFFSET(G267,1,0,Settings!$B$12,1))*SQRT(Settings!$B$13)))</f>
        <v/>
      </c>
      <c r="O267" s="18">
        <f>IF(AND(ISNUMBER(E267),ISNUMBER(N267)),E267-N267,NA())</f>
        <v/>
      </c>
      <c r="P267" s="17">
        <f>IF(NOT(ISNUMBER($A267)),NA(),IF(OR($A267&lt;MIN(KW_TP!$A$2:$A$2501),$A267&gt;MAX(KW_TP!$A$2:$A$2501)),NA(),INDEX(KW_TP!$C$2:$C$2501,MATCH($A267,KW_TP!$A$2:$A$2501,1))))</f>
        <v/>
      </c>
    </row>
    <row r="268">
      <c r="A268" s="15">
        <f>IF(ISNUMBER(BBG_Data!A268),BBG_Data!A268,"")</f>
        <v/>
      </c>
      <c r="B268" s="16">
        <f>IF(AND(ISNUMBER($A268),ISNUMBER(BBG_Data!B268)),BBG_Data!B268,NA())</f>
        <v/>
      </c>
      <c r="C268" s="16">
        <f>IF(AND(ISNUMBER($A268),ISNUMBER(BBG_Data!C268)),BBG_Data!C268,NA())</f>
        <v/>
      </c>
      <c r="D268" s="17">
        <f>IF(AND(ISNUMBER($A268),ISNUMBER(BBG_Data!D268)),BBG_Data!D268,NA())</f>
        <v/>
      </c>
      <c r="E268" s="17">
        <f>IF(AND(ISNUMBER($A268),ISNUMBER(BBG_Data!E268)),BBG_Data!E268,NA())</f>
        <v/>
      </c>
      <c r="F268" s="18">
        <f>IF(AND(ISNUMBER(B268),ISNUMBER(B267)),(B268-B267)*100,"")</f>
        <v/>
      </c>
      <c r="G268" s="18">
        <f>IF(AND(ISNUMBER(C268),ISNUMBER(C267)),(C268-C267)*100,"")</f>
        <v/>
      </c>
      <c r="H268" s="18">
        <f>IF(OR(NOT(ISNUMBER($A268)),ROW()-2&lt;Settings!$B$11),NA(),IF(COUNT(OFFSET(F268,1-Settings!$B$11,0,Settings!$B$11,1))&lt;Settings!$B$11,NA(),STDEV(OFFSET(F268,1-Settings!$B$11,0,Settings!$B$11,1))*SQRT(Settings!$B$13)))</f>
        <v/>
      </c>
      <c r="I268" s="18">
        <f>IF(OR(NOT(ISNUMBER($A268)),ROW()-2&lt;Settings!$B$12),NA(),IF(COUNT(OFFSET(F268,1-Settings!$B$12,0,Settings!$B$12,1))&lt;Settings!$B$12,NA(),STDEV(OFFSET(F268,1-Settings!$B$12,0,Settings!$B$12,1))*SQRT(Settings!$B$13)))</f>
        <v/>
      </c>
      <c r="J268" s="18">
        <f>IF(OR(NOT(ISNUMBER($A268)),ROW()-2&lt;Settings!$B$11),NA(),IF(COUNT(OFFSET(G268,1-Settings!$B$11,0,Settings!$B$11,1))&lt;Settings!$B$11,NA(),STDEV(OFFSET(G268,1-Settings!$B$11,0,Settings!$B$11,1))*SQRT(Settings!$B$13)))</f>
        <v/>
      </c>
      <c r="K268" s="18">
        <f>IF(OR(NOT(ISNUMBER($A268)),ROW()-2&lt;Settings!$B$12),NA(),IF(COUNT(OFFSET(G268,1-Settings!$B$12,0,Settings!$B$12,1))&lt;Settings!$B$12,NA(),STDEV(OFFSET(G268,1-Settings!$B$12,0,Settings!$B$12,1))*SQRT(Settings!$B$13)))</f>
        <v/>
      </c>
      <c r="L268" s="18">
        <f>IF(AND(ISNUMBER(D268),ISNUMBER(H268)),D268-H268,NA())</f>
        <v/>
      </c>
      <c r="M268" s="18">
        <f>IF(AND(ISNUMBER(E268),ISNUMBER(K268)),E268-K268,NA())</f>
        <v/>
      </c>
      <c r="N268" s="18">
        <f>IF(NOT(ISNUMBER($A268)),NA(),IF(COUNT(OFFSET(G268,1,0,Settings!$B$12,1))&lt;Settings!$B$12,NA(),STDEV(OFFSET(G268,1,0,Settings!$B$12,1))*SQRT(Settings!$B$13)))</f>
        <v/>
      </c>
      <c r="O268" s="18">
        <f>IF(AND(ISNUMBER(E268),ISNUMBER(N268)),E268-N268,NA())</f>
        <v/>
      </c>
      <c r="P268" s="17">
        <f>IF(NOT(ISNUMBER($A268)),NA(),IF(OR($A268&lt;MIN(KW_TP!$A$2:$A$2501),$A268&gt;MAX(KW_TP!$A$2:$A$2501)),NA(),INDEX(KW_TP!$C$2:$C$2501,MATCH($A268,KW_TP!$A$2:$A$2501,1))))</f>
        <v/>
      </c>
    </row>
    <row r="269">
      <c r="A269" s="15">
        <f>IF(ISNUMBER(BBG_Data!A269),BBG_Data!A269,"")</f>
        <v/>
      </c>
      <c r="B269" s="16">
        <f>IF(AND(ISNUMBER($A269),ISNUMBER(BBG_Data!B269)),BBG_Data!B269,NA())</f>
        <v/>
      </c>
      <c r="C269" s="16">
        <f>IF(AND(ISNUMBER($A269),ISNUMBER(BBG_Data!C269)),BBG_Data!C269,NA())</f>
        <v/>
      </c>
      <c r="D269" s="17">
        <f>IF(AND(ISNUMBER($A269),ISNUMBER(BBG_Data!D269)),BBG_Data!D269,NA())</f>
        <v/>
      </c>
      <c r="E269" s="17">
        <f>IF(AND(ISNUMBER($A269),ISNUMBER(BBG_Data!E269)),BBG_Data!E269,NA())</f>
        <v/>
      </c>
      <c r="F269" s="18">
        <f>IF(AND(ISNUMBER(B269),ISNUMBER(B268)),(B269-B268)*100,"")</f>
        <v/>
      </c>
      <c r="G269" s="18">
        <f>IF(AND(ISNUMBER(C269),ISNUMBER(C268)),(C269-C268)*100,"")</f>
        <v/>
      </c>
      <c r="H269" s="18">
        <f>IF(OR(NOT(ISNUMBER($A269)),ROW()-2&lt;Settings!$B$11),NA(),IF(COUNT(OFFSET(F269,1-Settings!$B$11,0,Settings!$B$11,1))&lt;Settings!$B$11,NA(),STDEV(OFFSET(F269,1-Settings!$B$11,0,Settings!$B$11,1))*SQRT(Settings!$B$13)))</f>
        <v/>
      </c>
      <c r="I269" s="18">
        <f>IF(OR(NOT(ISNUMBER($A269)),ROW()-2&lt;Settings!$B$12),NA(),IF(COUNT(OFFSET(F269,1-Settings!$B$12,0,Settings!$B$12,1))&lt;Settings!$B$12,NA(),STDEV(OFFSET(F269,1-Settings!$B$12,0,Settings!$B$12,1))*SQRT(Settings!$B$13)))</f>
        <v/>
      </c>
      <c r="J269" s="18">
        <f>IF(OR(NOT(ISNUMBER($A269)),ROW()-2&lt;Settings!$B$11),NA(),IF(COUNT(OFFSET(G269,1-Settings!$B$11,0,Settings!$B$11,1))&lt;Settings!$B$11,NA(),STDEV(OFFSET(G269,1-Settings!$B$11,0,Settings!$B$11,1))*SQRT(Settings!$B$13)))</f>
        <v/>
      </c>
      <c r="K269" s="18">
        <f>IF(OR(NOT(ISNUMBER($A269)),ROW()-2&lt;Settings!$B$12),NA(),IF(COUNT(OFFSET(G269,1-Settings!$B$12,0,Settings!$B$12,1))&lt;Settings!$B$12,NA(),STDEV(OFFSET(G269,1-Settings!$B$12,0,Settings!$B$12,1))*SQRT(Settings!$B$13)))</f>
        <v/>
      </c>
      <c r="L269" s="18">
        <f>IF(AND(ISNUMBER(D269),ISNUMBER(H269)),D269-H269,NA())</f>
        <v/>
      </c>
      <c r="M269" s="18">
        <f>IF(AND(ISNUMBER(E269),ISNUMBER(K269)),E269-K269,NA())</f>
        <v/>
      </c>
      <c r="N269" s="18">
        <f>IF(NOT(ISNUMBER($A269)),NA(),IF(COUNT(OFFSET(G269,1,0,Settings!$B$12,1))&lt;Settings!$B$12,NA(),STDEV(OFFSET(G269,1,0,Settings!$B$12,1))*SQRT(Settings!$B$13)))</f>
        <v/>
      </c>
      <c r="O269" s="18">
        <f>IF(AND(ISNUMBER(E269),ISNUMBER(N269)),E269-N269,NA())</f>
        <v/>
      </c>
      <c r="P269" s="17">
        <f>IF(NOT(ISNUMBER($A269)),NA(),IF(OR($A269&lt;MIN(KW_TP!$A$2:$A$2501),$A269&gt;MAX(KW_TP!$A$2:$A$2501)),NA(),INDEX(KW_TP!$C$2:$C$2501,MATCH($A269,KW_TP!$A$2:$A$2501,1))))</f>
        <v/>
      </c>
    </row>
    <row r="270">
      <c r="A270" s="15">
        <f>IF(ISNUMBER(BBG_Data!A270),BBG_Data!A270,"")</f>
        <v/>
      </c>
      <c r="B270" s="16">
        <f>IF(AND(ISNUMBER($A270),ISNUMBER(BBG_Data!B270)),BBG_Data!B270,NA())</f>
        <v/>
      </c>
      <c r="C270" s="16">
        <f>IF(AND(ISNUMBER($A270),ISNUMBER(BBG_Data!C270)),BBG_Data!C270,NA())</f>
        <v/>
      </c>
      <c r="D270" s="17">
        <f>IF(AND(ISNUMBER($A270),ISNUMBER(BBG_Data!D270)),BBG_Data!D270,NA())</f>
        <v/>
      </c>
      <c r="E270" s="17">
        <f>IF(AND(ISNUMBER($A270),ISNUMBER(BBG_Data!E270)),BBG_Data!E270,NA())</f>
        <v/>
      </c>
      <c r="F270" s="18">
        <f>IF(AND(ISNUMBER(B270),ISNUMBER(B269)),(B270-B269)*100,"")</f>
        <v/>
      </c>
      <c r="G270" s="18">
        <f>IF(AND(ISNUMBER(C270),ISNUMBER(C269)),(C270-C269)*100,"")</f>
        <v/>
      </c>
      <c r="H270" s="18">
        <f>IF(OR(NOT(ISNUMBER($A270)),ROW()-2&lt;Settings!$B$11),NA(),IF(COUNT(OFFSET(F270,1-Settings!$B$11,0,Settings!$B$11,1))&lt;Settings!$B$11,NA(),STDEV(OFFSET(F270,1-Settings!$B$11,0,Settings!$B$11,1))*SQRT(Settings!$B$13)))</f>
        <v/>
      </c>
      <c r="I270" s="18">
        <f>IF(OR(NOT(ISNUMBER($A270)),ROW()-2&lt;Settings!$B$12),NA(),IF(COUNT(OFFSET(F270,1-Settings!$B$12,0,Settings!$B$12,1))&lt;Settings!$B$12,NA(),STDEV(OFFSET(F270,1-Settings!$B$12,0,Settings!$B$12,1))*SQRT(Settings!$B$13)))</f>
        <v/>
      </c>
      <c r="J270" s="18">
        <f>IF(OR(NOT(ISNUMBER($A270)),ROW()-2&lt;Settings!$B$11),NA(),IF(COUNT(OFFSET(G270,1-Settings!$B$11,0,Settings!$B$11,1))&lt;Settings!$B$11,NA(),STDEV(OFFSET(G270,1-Settings!$B$11,0,Settings!$B$11,1))*SQRT(Settings!$B$13)))</f>
        <v/>
      </c>
      <c r="K270" s="18">
        <f>IF(OR(NOT(ISNUMBER($A270)),ROW()-2&lt;Settings!$B$12),NA(),IF(COUNT(OFFSET(G270,1-Settings!$B$12,0,Settings!$B$12,1))&lt;Settings!$B$12,NA(),STDEV(OFFSET(G270,1-Settings!$B$12,0,Settings!$B$12,1))*SQRT(Settings!$B$13)))</f>
        <v/>
      </c>
      <c r="L270" s="18">
        <f>IF(AND(ISNUMBER(D270),ISNUMBER(H270)),D270-H270,NA())</f>
        <v/>
      </c>
      <c r="M270" s="18">
        <f>IF(AND(ISNUMBER(E270),ISNUMBER(K270)),E270-K270,NA())</f>
        <v/>
      </c>
      <c r="N270" s="18">
        <f>IF(NOT(ISNUMBER($A270)),NA(),IF(COUNT(OFFSET(G270,1,0,Settings!$B$12,1))&lt;Settings!$B$12,NA(),STDEV(OFFSET(G270,1,0,Settings!$B$12,1))*SQRT(Settings!$B$13)))</f>
        <v/>
      </c>
      <c r="O270" s="18">
        <f>IF(AND(ISNUMBER(E270),ISNUMBER(N270)),E270-N270,NA())</f>
        <v/>
      </c>
      <c r="P270" s="17">
        <f>IF(NOT(ISNUMBER($A270)),NA(),IF(OR($A270&lt;MIN(KW_TP!$A$2:$A$2501),$A270&gt;MAX(KW_TP!$A$2:$A$2501)),NA(),INDEX(KW_TP!$C$2:$C$2501,MATCH($A270,KW_TP!$A$2:$A$2501,1))))</f>
        <v/>
      </c>
    </row>
    <row r="271">
      <c r="A271" s="15">
        <f>IF(ISNUMBER(BBG_Data!A271),BBG_Data!A271,"")</f>
        <v/>
      </c>
      <c r="B271" s="16">
        <f>IF(AND(ISNUMBER($A271),ISNUMBER(BBG_Data!B271)),BBG_Data!B271,NA())</f>
        <v/>
      </c>
      <c r="C271" s="16">
        <f>IF(AND(ISNUMBER($A271),ISNUMBER(BBG_Data!C271)),BBG_Data!C271,NA())</f>
        <v/>
      </c>
      <c r="D271" s="17">
        <f>IF(AND(ISNUMBER($A271),ISNUMBER(BBG_Data!D271)),BBG_Data!D271,NA())</f>
        <v/>
      </c>
      <c r="E271" s="17">
        <f>IF(AND(ISNUMBER($A271),ISNUMBER(BBG_Data!E271)),BBG_Data!E271,NA())</f>
        <v/>
      </c>
      <c r="F271" s="18">
        <f>IF(AND(ISNUMBER(B271),ISNUMBER(B270)),(B271-B270)*100,"")</f>
        <v/>
      </c>
      <c r="G271" s="18">
        <f>IF(AND(ISNUMBER(C271),ISNUMBER(C270)),(C271-C270)*100,"")</f>
        <v/>
      </c>
      <c r="H271" s="18">
        <f>IF(OR(NOT(ISNUMBER($A271)),ROW()-2&lt;Settings!$B$11),NA(),IF(COUNT(OFFSET(F271,1-Settings!$B$11,0,Settings!$B$11,1))&lt;Settings!$B$11,NA(),STDEV(OFFSET(F271,1-Settings!$B$11,0,Settings!$B$11,1))*SQRT(Settings!$B$13)))</f>
        <v/>
      </c>
      <c r="I271" s="18">
        <f>IF(OR(NOT(ISNUMBER($A271)),ROW()-2&lt;Settings!$B$12),NA(),IF(COUNT(OFFSET(F271,1-Settings!$B$12,0,Settings!$B$12,1))&lt;Settings!$B$12,NA(),STDEV(OFFSET(F271,1-Settings!$B$12,0,Settings!$B$12,1))*SQRT(Settings!$B$13)))</f>
        <v/>
      </c>
      <c r="J271" s="18">
        <f>IF(OR(NOT(ISNUMBER($A271)),ROW()-2&lt;Settings!$B$11),NA(),IF(COUNT(OFFSET(G271,1-Settings!$B$11,0,Settings!$B$11,1))&lt;Settings!$B$11,NA(),STDEV(OFFSET(G271,1-Settings!$B$11,0,Settings!$B$11,1))*SQRT(Settings!$B$13)))</f>
        <v/>
      </c>
      <c r="K271" s="18">
        <f>IF(OR(NOT(ISNUMBER($A271)),ROW()-2&lt;Settings!$B$12),NA(),IF(COUNT(OFFSET(G271,1-Settings!$B$12,0,Settings!$B$12,1))&lt;Settings!$B$12,NA(),STDEV(OFFSET(G271,1-Settings!$B$12,0,Settings!$B$12,1))*SQRT(Settings!$B$13)))</f>
        <v/>
      </c>
      <c r="L271" s="18">
        <f>IF(AND(ISNUMBER(D271),ISNUMBER(H271)),D271-H271,NA())</f>
        <v/>
      </c>
      <c r="M271" s="18">
        <f>IF(AND(ISNUMBER(E271),ISNUMBER(K271)),E271-K271,NA())</f>
        <v/>
      </c>
      <c r="N271" s="18">
        <f>IF(NOT(ISNUMBER($A271)),NA(),IF(COUNT(OFFSET(G271,1,0,Settings!$B$12,1))&lt;Settings!$B$12,NA(),STDEV(OFFSET(G271,1,0,Settings!$B$12,1))*SQRT(Settings!$B$13)))</f>
        <v/>
      </c>
      <c r="O271" s="18">
        <f>IF(AND(ISNUMBER(E271),ISNUMBER(N271)),E271-N271,NA())</f>
        <v/>
      </c>
      <c r="P271" s="17">
        <f>IF(NOT(ISNUMBER($A271)),NA(),IF(OR($A271&lt;MIN(KW_TP!$A$2:$A$2501),$A271&gt;MAX(KW_TP!$A$2:$A$2501)),NA(),INDEX(KW_TP!$C$2:$C$2501,MATCH($A271,KW_TP!$A$2:$A$2501,1))))</f>
        <v/>
      </c>
    </row>
    <row r="272">
      <c r="A272" s="15">
        <f>IF(ISNUMBER(BBG_Data!A272),BBG_Data!A272,"")</f>
        <v/>
      </c>
      <c r="B272" s="16">
        <f>IF(AND(ISNUMBER($A272),ISNUMBER(BBG_Data!B272)),BBG_Data!B272,NA())</f>
        <v/>
      </c>
      <c r="C272" s="16">
        <f>IF(AND(ISNUMBER($A272),ISNUMBER(BBG_Data!C272)),BBG_Data!C272,NA())</f>
        <v/>
      </c>
      <c r="D272" s="17">
        <f>IF(AND(ISNUMBER($A272),ISNUMBER(BBG_Data!D272)),BBG_Data!D272,NA())</f>
        <v/>
      </c>
      <c r="E272" s="17">
        <f>IF(AND(ISNUMBER($A272),ISNUMBER(BBG_Data!E272)),BBG_Data!E272,NA())</f>
        <v/>
      </c>
      <c r="F272" s="18">
        <f>IF(AND(ISNUMBER(B272),ISNUMBER(B271)),(B272-B271)*100,"")</f>
        <v/>
      </c>
      <c r="G272" s="18">
        <f>IF(AND(ISNUMBER(C272),ISNUMBER(C271)),(C272-C271)*100,"")</f>
        <v/>
      </c>
      <c r="H272" s="18">
        <f>IF(OR(NOT(ISNUMBER($A272)),ROW()-2&lt;Settings!$B$11),NA(),IF(COUNT(OFFSET(F272,1-Settings!$B$11,0,Settings!$B$11,1))&lt;Settings!$B$11,NA(),STDEV(OFFSET(F272,1-Settings!$B$11,0,Settings!$B$11,1))*SQRT(Settings!$B$13)))</f>
        <v/>
      </c>
      <c r="I272" s="18">
        <f>IF(OR(NOT(ISNUMBER($A272)),ROW()-2&lt;Settings!$B$12),NA(),IF(COUNT(OFFSET(F272,1-Settings!$B$12,0,Settings!$B$12,1))&lt;Settings!$B$12,NA(),STDEV(OFFSET(F272,1-Settings!$B$12,0,Settings!$B$12,1))*SQRT(Settings!$B$13)))</f>
        <v/>
      </c>
      <c r="J272" s="18">
        <f>IF(OR(NOT(ISNUMBER($A272)),ROW()-2&lt;Settings!$B$11),NA(),IF(COUNT(OFFSET(G272,1-Settings!$B$11,0,Settings!$B$11,1))&lt;Settings!$B$11,NA(),STDEV(OFFSET(G272,1-Settings!$B$11,0,Settings!$B$11,1))*SQRT(Settings!$B$13)))</f>
        <v/>
      </c>
      <c r="K272" s="18">
        <f>IF(OR(NOT(ISNUMBER($A272)),ROW()-2&lt;Settings!$B$12),NA(),IF(COUNT(OFFSET(G272,1-Settings!$B$12,0,Settings!$B$12,1))&lt;Settings!$B$12,NA(),STDEV(OFFSET(G272,1-Settings!$B$12,0,Settings!$B$12,1))*SQRT(Settings!$B$13)))</f>
        <v/>
      </c>
      <c r="L272" s="18">
        <f>IF(AND(ISNUMBER(D272),ISNUMBER(H272)),D272-H272,NA())</f>
        <v/>
      </c>
      <c r="M272" s="18">
        <f>IF(AND(ISNUMBER(E272),ISNUMBER(K272)),E272-K272,NA())</f>
        <v/>
      </c>
      <c r="N272" s="18">
        <f>IF(NOT(ISNUMBER($A272)),NA(),IF(COUNT(OFFSET(G272,1,0,Settings!$B$12,1))&lt;Settings!$B$12,NA(),STDEV(OFFSET(G272,1,0,Settings!$B$12,1))*SQRT(Settings!$B$13)))</f>
        <v/>
      </c>
      <c r="O272" s="18">
        <f>IF(AND(ISNUMBER(E272),ISNUMBER(N272)),E272-N272,NA())</f>
        <v/>
      </c>
      <c r="P272" s="17">
        <f>IF(NOT(ISNUMBER($A272)),NA(),IF(OR($A272&lt;MIN(KW_TP!$A$2:$A$2501),$A272&gt;MAX(KW_TP!$A$2:$A$2501)),NA(),INDEX(KW_TP!$C$2:$C$2501,MATCH($A272,KW_TP!$A$2:$A$2501,1))))</f>
        <v/>
      </c>
    </row>
    <row r="273">
      <c r="A273" s="15">
        <f>IF(ISNUMBER(BBG_Data!A273),BBG_Data!A273,"")</f>
        <v/>
      </c>
      <c r="B273" s="16">
        <f>IF(AND(ISNUMBER($A273),ISNUMBER(BBG_Data!B273)),BBG_Data!B273,NA())</f>
        <v/>
      </c>
      <c r="C273" s="16">
        <f>IF(AND(ISNUMBER($A273),ISNUMBER(BBG_Data!C273)),BBG_Data!C273,NA())</f>
        <v/>
      </c>
      <c r="D273" s="17">
        <f>IF(AND(ISNUMBER($A273),ISNUMBER(BBG_Data!D273)),BBG_Data!D273,NA())</f>
        <v/>
      </c>
      <c r="E273" s="17">
        <f>IF(AND(ISNUMBER($A273),ISNUMBER(BBG_Data!E273)),BBG_Data!E273,NA())</f>
        <v/>
      </c>
      <c r="F273" s="18">
        <f>IF(AND(ISNUMBER(B273),ISNUMBER(B272)),(B273-B272)*100,"")</f>
        <v/>
      </c>
      <c r="G273" s="18">
        <f>IF(AND(ISNUMBER(C273),ISNUMBER(C272)),(C273-C272)*100,"")</f>
        <v/>
      </c>
      <c r="H273" s="18">
        <f>IF(OR(NOT(ISNUMBER($A273)),ROW()-2&lt;Settings!$B$11),NA(),IF(COUNT(OFFSET(F273,1-Settings!$B$11,0,Settings!$B$11,1))&lt;Settings!$B$11,NA(),STDEV(OFFSET(F273,1-Settings!$B$11,0,Settings!$B$11,1))*SQRT(Settings!$B$13)))</f>
        <v/>
      </c>
      <c r="I273" s="18">
        <f>IF(OR(NOT(ISNUMBER($A273)),ROW()-2&lt;Settings!$B$12),NA(),IF(COUNT(OFFSET(F273,1-Settings!$B$12,0,Settings!$B$12,1))&lt;Settings!$B$12,NA(),STDEV(OFFSET(F273,1-Settings!$B$12,0,Settings!$B$12,1))*SQRT(Settings!$B$13)))</f>
        <v/>
      </c>
      <c r="J273" s="18">
        <f>IF(OR(NOT(ISNUMBER($A273)),ROW()-2&lt;Settings!$B$11),NA(),IF(COUNT(OFFSET(G273,1-Settings!$B$11,0,Settings!$B$11,1))&lt;Settings!$B$11,NA(),STDEV(OFFSET(G273,1-Settings!$B$11,0,Settings!$B$11,1))*SQRT(Settings!$B$13)))</f>
        <v/>
      </c>
      <c r="K273" s="18">
        <f>IF(OR(NOT(ISNUMBER($A273)),ROW()-2&lt;Settings!$B$12),NA(),IF(COUNT(OFFSET(G273,1-Settings!$B$12,0,Settings!$B$12,1))&lt;Settings!$B$12,NA(),STDEV(OFFSET(G273,1-Settings!$B$12,0,Settings!$B$12,1))*SQRT(Settings!$B$13)))</f>
        <v/>
      </c>
      <c r="L273" s="18">
        <f>IF(AND(ISNUMBER(D273),ISNUMBER(H273)),D273-H273,NA())</f>
        <v/>
      </c>
      <c r="M273" s="18">
        <f>IF(AND(ISNUMBER(E273),ISNUMBER(K273)),E273-K273,NA())</f>
        <v/>
      </c>
      <c r="N273" s="18">
        <f>IF(NOT(ISNUMBER($A273)),NA(),IF(COUNT(OFFSET(G273,1,0,Settings!$B$12,1))&lt;Settings!$B$12,NA(),STDEV(OFFSET(G273,1,0,Settings!$B$12,1))*SQRT(Settings!$B$13)))</f>
        <v/>
      </c>
      <c r="O273" s="18">
        <f>IF(AND(ISNUMBER(E273),ISNUMBER(N273)),E273-N273,NA())</f>
        <v/>
      </c>
      <c r="P273" s="17">
        <f>IF(NOT(ISNUMBER($A273)),NA(),IF(OR($A273&lt;MIN(KW_TP!$A$2:$A$2501),$A273&gt;MAX(KW_TP!$A$2:$A$2501)),NA(),INDEX(KW_TP!$C$2:$C$2501,MATCH($A273,KW_TP!$A$2:$A$2501,1))))</f>
        <v/>
      </c>
    </row>
    <row r="274">
      <c r="A274" s="15">
        <f>IF(ISNUMBER(BBG_Data!A274),BBG_Data!A274,"")</f>
        <v/>
      </c>
      <c r="B274" s="16">
        <f>IF(AND(ISNUMBER($A274),ISNUMBER(BBG_Data!B274)),BBG_Data!B274,NA())</f>
        <v/>
      </c>
      <c r="C274" s="16">
        <f>IF(AND(ISNUMBER($A274),ISNUMBER(BBG_Data!C274)),BBG_Data!C274,NA())</f>
        <v/>
      </c>
      <c r="D274" s="17">
        <f>IF(AND(ISNUMBER($A274),ISNUMBER(BBG_Data!D274)),BBG_Data!D274,NA())</f>
        <v/>
      </c>
      <c r="E274" s="17">
        <f>IF(AND(ISNUMBER($A274),ISNUMBER(BBG_Data!E274)),BBG_Data!E274,NA())</f>
        <v/>
      </c>
      <c r="F274" s="18">
        <f>IF(AND(ISNUMBER(B274),ISNUMBER(B273)),(B274-B273)*100,"")</f>
        <v/>
      </c>
      <c r="G274" s="18">
        <f>IF(AND(ISNUMBER(C274),ISNUMBER(C273)),(C274-C273)*100,"")</f>
        <v/>
      </c>
      <c r="H274" s="18">
        <f>IF(OR(NOT(ISNUMBER($A274)),ROW()-2&lt;Settings!$B$11),NA(),IF(COUNT(OFFSET(F274,1-Settings!$B$11,0,Settings!$B$11,1))&lt;Settings!$B$11,NA(),STDEV(OFFSET(F274,1-Settings!$B$11,0,Settings!$B$11,1))*SQRT(Settings!$B$13)))</f>
        <v/>
      </c>
      <c r="I274" s="18">
        <f>IF(OR(NOT(ISNUMBER($A274)),ROW()-2&lt;Settings!$B$12),NA(),IF(COUNT(OFFSET(F274,1-Settings!$B$12,0,Settings!$B$12,1))&lt;Settings!$B$12,NA(),STDEV(OFFSET(F274,1-Settings!$B$12,0,Settings!$B$12,1))*SQRT(Settings!$B$13)))</f>
        <v/>
      </c>
      <c r="J274" s="18">
        <f>IF(OR(NOT(ISNUMBER($A274)),ROW()-2&lt;Settings!$B$11),NA(),IF(COUNT(OFFSET(G274,1-Settings!$B$11,0,Settings!$B$11,1))&lt;Settings!$B$11,NA(),STDEV(OFFSET(G274,1-Settings!$B$11,0,Settings!$B$11,1))*SQRT(Settings!$B$13)))</f>
        <v/>
      </c>
      <c r="K274" s="18">
        <f>IF(OR(NOT(ISNUMBER($A274)),ROW()-2&lt;Settings!$B$12),NA(),IF(COUNT(OFFSET(G274,1-Settings!$B$12,0,Settings!$B$12,1))&lt;Settings!$B$12,NA(),STDEV(OFFSET(G274,1-Settings!$B$12,0,Settings!$B$12,1))*SQRT(Settings!$B$13)))</f>
        <v/>
      </c>
      <c r="L274" s="18">
        <f>IF(AND(ISNUMBER(D274),ISNUMBER(H274)),D274-H274,NA())</f>
        <v/>
      </c>
      <c r="M274" s="18">
        <f>IF(AND(ISNUMBER(E274),ISNUMBER(K274)),E274-K274,NA())</f>
        <v/>
      </c>
      <c r="N274" s="18">
        <f>IF(NOT(ISNUMBER($A274)),NA(),IF(COUNT(OFFSET(G274,1,0,Settings!$B$12,1))&lt;Settings!$B$12,NA(),STDEV(OFFSET(G274,1,0,Settings!$B$12,1))*SQRT(Settings!$B$13)))</f>
        <v/>
      </c>
      <c r="O274" s="18">
        <f>IF(AND(ISNUMBER(E274),ISNUMBER(N274)),E274-N274,NA())</f>
        <v/>
      </c>
      <c r="P274" s="17">
        <f>IF(NOT(ISNUMBER($A274)),NA(),IF(OR($A274&lt;MIN(KW_TP!$A$2:$A$2501),$A274&gt;MAX(KW_TP!$A$2:$A$2501)),NA(),INDEX(KW_TP!$C$2:$C$2501,MATCH($A274,KW_TP!$A$2:$A$2501,1))))</f>
        <v/>
      </c>
    </row>
    <row r="275">
      <c r="A275" s="15">
        <f>IF(ISNUMBER(BBG_Data!A275),BBG_Data!A275,"")</f>
        <v/>
      </c>
      <c r="B275" s="16">
        <f>IF(AND(ISNUMBER($A275),ISNUMBER(BBG_Data!B275)),BBG_Data!B275,NA())</f>
        <v/>
      </c>
      <c r="C275" s="16">
        <f>IF(AND(ISNUMBER($A275),ISNUMBER(BBG_Data!C275)),BBG_Data!C275,NA())</f>
        <v/>
      </c>
      <c r="D275" s="17">
        <f>IF(AND(ISNUMBER($A275),ISNUMBER(BBG_Data!D275)),BBG_Data!D275,NA())</f>
        <v/>
      </c>
      <c r="E275" s="17">
        <f>IF(AND(ISNUMBER($A275),ISNUMBER(BBG_Data!E275)),BBG_Data!E275,NA())</f>
        <v/>
      </c>
      <c r="F275" s="18">
        <f>IF(AND(ISNUMBER(B275),ISNUMBER(B274)),(B275-B274)*100,"")</f>
        <v/>
      </c>
      <c r="G275" s="18">
        <f>IF(AND(ISNUMBER(C275),ISNUMBER(C274)),(C275-C274)*100,"")</f>
        <v/>
      </c>
      <c r="H275" s="18">
        <f>IF(OR(NOT(ISNUMBER($A275)),ROW()-2&lt;Settings!$B$11),NA(),IF(COUNT(OFFSET(F275,1-Settings!$B$11,0,Settings!$B$11,1))&lt;Settings!$B$11,NA(),STDEV(OFFSET(F275,1-Settings!$B$11,0,Settings!$B$11,1))*SQRT(Settings!$B$13)))</f>
        <v/>
      </c>
      <c r="I275" s="18">
        <f>IF(OR(NOT(ISNUMBER($A275)),ROW()-2&lt;Settings!$B$12),NA(),IF(COUNT(OFFSET(F275,1-Settings!$B$12,0,Settings!$B$12,1))&lt;Settings!$B$12,NA(),STDEV(OFFSET(F275,1-Settings!$B$12,0,Settings!$B$12,1))*SQRT(Settings!$B$13)))</f>
        <v/>
      </c>
      <c r="J275" s="18">
        <f>IF(OR(NOT(ISNUMBER($A275)),ROW()-2&lt;Settings!$B$11),NA(),IF(COUNT(OFFSET(G275,1-Settings!$B$11,0,Settings!$B$11,1))&lt;Settings!$B$11,NA(),STDEV(OFFSET(G275,1-Settings!$B$11,0,Settings!$B$11,1))*SQRT(Settings!$B$13)))</f>
        <v/>
      </c>
      <c r="K275" s="18">
        <f>IF(OR(NOT(ISNUMBER($A275)),ROW()-2&lt;Settings!$B$12),NA(),IF(COUNT(OFFSET(G275,1-Settings!$B$12,0,Settings!$B$12,1))&lt;Settings!$B$12,NA(),STDEV(OFFSET(G275,1-Settings!$B$12,0,Settings!$B$12,1))*SQRT(Settings!$B$13)))</f>
        <v/>
      </c>
      <c r="L275" s="18">
        <f>IF(AND(ISNUMBER(D275),ISNUMBER(H275)),D275-H275,NA())</f>
        <v/>
      </c>
      <c r="M275" s="18">
        <f>IF(AND(ISNUMBER(E275),ISNUMBER(K275)),E275-K275,NA())</f>
        <v/>
      </c>
      <c r="N275" s="18">
        <f>IF(NOT(ISNUMBER($A275)),NA(),IF(COUNT(OFFSET(G275,1,0,Settings!$B$12,1))&lt;Settings!$B$12,NA(),STDEV(OFFSET(G275,1,0,Settings!$B$12,1))*SQRT(Settings!$B$13)))</f>
        <v/>
      </c>
      <c r="O275" s="18">
        <f>IF(AND(ISNUMBER(E275),ISNUMBER(N275)),E275-N275,NA())</f>
        <v/>
      </c>
      <c r="P275" s="17">
        <f>IF(NOT(ISNUMBER($A275)),NA(),IF(OR($A275&lt;MIN(KW_TP!$A$2:$A$2501),$A275&gt;MAX(KW_TP!$A$2:$A$2501)),NA(),INDEX(KW_TP!$C$2:$C$2501,MATCH($A275,KW_TP!$A$2:$A$2501,1))))</f>
        <v/>
      </c>
    </row>
    <row r="276">
      <c r="A276" s="15">
        <f>IF(ISNUMBER(BBG_Data!A276),BBG_Data!A276,"")</f>
        <v/>
      </c>
      <c r="B276" s="16">
        <f>IF(AND(ISNUMBER($A276),ISNUMBER(BBG_Data!B276)),BBG_Data!B276,NA())</f>
        <v/>
      </c>
      <c r="C276" s="16">
        <f>IF(AND(ISNUMBER($A276),ISNUMBER(BBG_Data!C276)),BBG_Data!C276,NA())</f>
        <v/>
      </c>
      <c r="D276" s="17">
        <f>IF(AND(ISNUMBER($A276),ISNUMBER(BBG_Data!D276)),BBG_Data!D276,NA())</f>
        <v/>
      </c>
      <c r="E276" s="17">
        <f>IF(AND(ISNUMBER($A276),ISNUMBER(BBG_Data!E276)),BBG_Data!E276,NA())</f>
        <v/>
      </c>
      <c r="F276" s="18">
        <f>IF(AND(ISNUMBER(B276),ISNUMBER(B275)),(B276-B275)*100,"")</f>
        <v/>
      </c>
      <c r="G276" s="18">
        <f>IF(AND(ISNUMBER(C276),ISNUMBER(C275)),(C276-C275)*100,"")</f>
        <v/>
      </c>
      <c r="H276" s="18">
        <f>IF(OR(NOT(ISNUMBER($A276)),ROW()-2&lt;Settings!$B$11),NA(),IF(COUNT(OFFSET(F276,1-Settings!$B$11,0,Settings!$B$11,1))&lt;Settings!$B$11,NA(),STDEV(OFFSET(F276,1-Settings!$B$11,0,Settings!$B$11,1))*SQRT(Settings!$B$13)))</f>
        <v/>
      </c>
      <c r="I276" s="18">
        <f>IF(OR(NOT(ISNUMBER($A276)),ROW()-2&lt;Settings!$B$12),NA(),IF(COUNT(OFFSET(F276,1-Settings!$B$12,0,Settings!$B$12,1))&lt;Settings!$B$12,NA(),STDEV(OFFSET(F276,1-Settings!$B$12,0,Settings!$B$12,1))*SQRT(Settings!$B$13)))</f>
        <v/>
      </c>
      <c r="J276" s="18">
        <f>IF(OR(NOT(ISNUMBER($A276)),ROW()-2&lt;Settings!$B$11),NA(),IF(COUNT(OFFSET(G276,1-Settings!$B$11,0,Settings!$B$11,1))&lt;Settings!$B$11,NA(),STDEV(OFFSET(G276,1-Settings!$B$11,0,Settings!$B$11,1))*SQRT(Settings!$B$13)))</f>
        <v/>
      </c>
      <c r="K276" s="18">
        <f>IF(OR(NOT(ISNUMBER($A276)),ROW()-2&lt;Settings!$B$12),NA(),IF(COUNT(OFFSET(G276,1-Settings!$B$12,0,Settings!$B$12,1))&lt;Settings!$B$12,NA(),STDEV(OFFSET(G276,1-Settings!$B$12,0,Settings!$B$12,1))*SQRT(Settings!$B$13)))</f>
        <v/>
      </c>
      <c r="L276" s="18">
        <f>IF(AND(ISNUMBER(D276),ISNUMBER(H276)),D276-H276,NA())</f>
        <v/>
      </c>
      <c r="M276" s="18">
        <f>IF(AND(ISNUMBER(E276),ISNUMBER(K276)),E276-K276,NA())</f>
        <v/>
      </c>
      <c r="N276" s="18">
        <f>IF(NOT(ISNUMBER($A276)),NA(),IF(COUNT(OFFSET(G276,1,0,Settings!$B$12,1))&lt;Settings!$B$12,NA(),STDEV(OFFSET(G276,1,0,Settings!$B$12,1))*SQRT(Settings!$B$13)))</f>
        <v/>
      </c>
      <c r="O276" s="18">
        <f>IF(AND(ISNUMBER(E276),ISNUMBER(N276)),E276-N276,NA())</f>
        <v/>
      </c>
      <c r="P276" s="17">
        <f>IF(NOT(ISNUMBER($A276)),NA(),IF(OR($A276&lt;MIN(KW_TP!$A$2:$A$2501),$A276&gt;MAX(KW_TP!$A$2:$A$2501)),NA(),INDEX(KW_TP!$C$2:$C$2501,MATCH($A276,KW_TP!$A$2:$A$2501,1))))</f>
        <v/>
      </c>
    </row>
    <row r="277">
      <c r="A277" s="15">
        <f>IF(ISNUMBER(BBG_Data!A277),BBG_Data!A277,"")</f>
        <v/>
      </c>
      <c r="B277" s="16">
        <f>IF(AND(ISNUMBER($A277),ISNUMBER(BBG_Data!B277)),BBG_Data!B277,NA())</f>
        <v/>
      </c>
      <c r="C277" s="16">
        <f>IF(AND(ISNUMBER($A277),ISNUMBER(BBG_Data!C277)),BBG_Data!C277,NA())</f>
        <v/>
      </c>
      <c r="D277" s="17">
        <f>IF(AND(ISNUMBER($A277),ISNUMBER(BBG_Data!D277)),BBG_Data!D277,NA())</f>
        <v/>
      </c>
      <c r="E277" s="17">
        <f>IF(AND(ISNUMBER($A277),ISNUMBER(BBG_Data!E277)),BBG_Data!E277,NA())</f>
        <v/>
      </c>
      <c r="F277" s="18">
        <f>IF(AND(ISNUMBER(B277),ISNUMBER(B276)),(B277-B276)*100,"")</f>
        <v/>
      </c>
      <c r="G277" s="18">
        <f>IF(AND(ISNUMBER(C277),ISNUMBER(C276)),(C277-C276)*100,"")</f>
        <v/>
      </c>
      <c r="H277" s="18">
        <f>IF(OR(NOT(ISNUMBER($A277)),ROW()-2&lt;Settings!$B$11),NA(),IF(COUNT(OFFSET(F277,1-Settings!$B$11,0,Settings!$B$11,1))&lt;Settings!$B$11,NA(),STDEV(OFFSET(F277,1-Settings!$B$11,0,Settings!$B$11,1))*SQRT(Settings!$B$13)))</f>
        <v/>
      </c>
      <c r="I277" s="18">
        <f>IF(OR(NOT(ISNUMBER($A277)),ROW()-2&lt;Settings!$B$12),NA(),IF(COUNT(OFFSET(F277,1-Settings!$B$12,0,Settings!$B$12,1))&lt;Settings!$B$12,NA(),STDEV(OFFSET(F277,1-Settings!$B$12,0,Settings!$B$12,1))*SQRT(Settings!$B$13)))</f>
        <v/>
      </c>
      <c r="J277" s="18">
        <f>IF(OR(NOT(ISNUMBER($A277)),ROW()-2&lt;Settings!$B$11),NA(),IF(COUNT(OFFSET(G277,1-Settings!$B$11,0,Settings!$B$11,1))&lt;Settings!$B$11,NA(),STDEV(OFFSET(G277,1-Settings!$B$11,0,Settings!$B$11,1))*SQRT(Settings!$B$13)))</f>
        <v/>
      </c>
      <c r="K277" s="18">
        <f>IF(OR(NOT(ISNUMBER($A277)),ROW()-2&lt;Settings!$B$12),NA(),IF(COUNT(OFFSET(G277,1-Settings!$B$12,0,Settings!$B$12,1))&lt;Settings!$B$12,NA(),STDEV(OFFSET(G277,1-Settings!$B$12,0,Settings!$B$12,1))*SQRT(Settings!$B$13)))</f>
        <v/>
      </c>
      <c r="L277" s="18">
        <f>IF(AND(ISNUMBER(D277),ISNUMBER(H277)),D277-H277,NA())</f>
        <v/>
      </c>
      <c r="M277" s="18">
        <f>IF(AND(ISNUMBER(E277),ISNUMBER(K277)),E277-K277,NA())</f>
        <v/>
      </c>
      <c r="N277" s="18">
        <f>IF(NOT(ISNUMBER($A277)),NA(),IF(COUNT(OFFSET(G277,1,0,Settings!$B$12,1))&lt;Settings!$B$12,NA(),STDEV(OFFSET(G277,1,0,Settings!$B$12,1))*SQRT(Settings!$B$13)))</f>
        <v/>
      </c>
      <c r="O277" s="18">
        <f>IF(AND(ISNUMBER(E277),ISNUMBER(N277)),E277-N277,NA())</f>
        <v/>
      </c>
      <c r="P277" s="17">
        <f>IF(NOT(ISNUMBER($A277)),NA(),IF(OR($A277&lt;MIN(KW_TP!$A$2:$A$2501),$A277&gt;MAX(KW_TP!$A$2:$A$2501)),NA(),INDEX(KW_TP!$C$2:$C$2501,MATCH($A277,KW_TP!$A$2:$A$2501,1))))</f>
        <v/>
      </c>
    </row>
    <row r="278">
      <c r="A278" s="15">
        <f>IF(ISNUMBER(BBG_Data!A278),BBG_Data!A278,"")</f>
        <v/>
      </c>
      <c r="B278" s="16">
        <f>IF(AND(ISNUMBER($A278),ISNUMBER(BBG_Data!B278)),BBG_Data!B278,NA())</f>
        <v/>
      </c>
      <c r="C278" s="16">
        <f>IF(AND(ISNUMBER($A278),ISNUMBER(BBG_Data!C278)),BBG_Data!C278,NA())</f>
        <v/>
      </c>
      <c r="D278" s="17">
        <f>IF(AND(ISNUMBER($A278),ISNUMBER(BBG_Data!D278)),BBG_Data!D278,NA())</f>
        <v/>
      </c>
      <c r="E278" s="17">
        <f>IF(AND(ISNUMBER($A278),ISNUMBER(BBG_Data!E278)),BBG_Data!E278,NA())</f>
        <v/>
      </c>
      <c r="F278" s="18">
        <f>IF(AND(ISNUMBER(B278),ISNUMBER(B277)),(B278-B277)*100,"")</f>
        <v/>
      </c>
      <c r="G278" s="18">
        <f>IF(AND(ISNUMBER(C278),ISNUMBER(C277)),(C278-C277)*100,"")</f>
        <v/>
      </c>
      <c r="H278" s="18">
        <f>IF(OR(NOT(ISNUMBER($A278)),ROW()-2&lt;Settings!$B$11),NA(),IF(COUNT(OFFSET(F278,1-Settings!$B$11,0,Settings!$B$11,1))&lt;Settings!$B$11,NA(),STDEV(OFFSET(F278,1-Settings!$B$11,0,Settings!$B$11,1))*SQRT(Settings!$B$13)))</f>
        <v/>
      </c>
      <c r="I278" s="18">
        <f>IF(OR(NOT(ISNUMBER($A278)),ROW()-2&lt;Settings!$B$12),NA(),IF(COUNT(OFFSET(F278,1-Settings!$B$12,0,Settings!$B$12,1))&lt;Settings!$B$12,NA(),STDEV(OFFSET(F278,1-Settings!$B$12,0,Settings!$B$12,1))*SQRT(Settings!$B$13)))</f>
        <v/>
      </c>
      <c r="J278" s="18">
        <f>IF(OR(NOT(ISNUMBER($A278)),ROW()-2&lt;Settings!$B$11),NA(),IF(COUNT(OFFSET(G278,1-Settings!$B$11,0,Settings!$B$11,1))&lt;Settings!$B$11,NA(),STDEV(OFFSET(G278,1-Settings!$B$11,0,Settings!$B$11,1))*SQRT(Settings!$B$13)))</f>
        <v/>
      </c>
      <c r="K278" s="18">
        <f>IF(OR(NOT(ISNUMBER($A278)),ROW()-2&lt;Settings!$B$12),NA(),IF(COUNT(OFFSET(G278,1-Settings!$B$12,0,Settings!$B$12,1))&lt;Settings!$B$12,NA(),STDEV(OFFSET(G278,1-Settings!$B$12,0,Settings!$B$12,1))*SQRT(Settings!$B$13)))</f>
        <v/>
      </c>
      <c r="L278" s="18">
        <f>IF(AND(ISNUMBER(D278),ISNUMBER(H278)),D278-H278,NA())</f>
        <v/>
      </c>
      <c r="M278" s="18">
        <f>IF(AND(ISNUMBER(E278),ISNUMBER(K278)),E278-K278,NA())</f>
        <v/>
      </c>
      <c r="N278" s="18">
        <f>IF(NOT(ISNUMBER($A278)),NA(),IF(COUNT(OFFSET(G278,1,0,Settings!$B$12,1))&lt;Settings!$B$12,NA(),STDEV(OFFSET(G278,1,0,Settings!$B$12,1))*SQRT(Settings!$B$13)))</f>
        <v/>
      </c>
      <c r="O278" s="18">
        <f>IF(AND(ISNUMBER(E278),ISNUMBER(N278)),E278-N278,NA())</f>
        <v/>
      </c>
      <c r="P278" s="17">
        <f>IF(NOT(ISNUMBER($A278)),NA(),IF(OR($A278&lt;MIN(KW_TP!$A$2:$A$2501),$A278&gt;MAX(KW_TP!$A$2:$A$2501)),NA(),INDEX(KW_TP!$C$2:$C$2501,MATCH($A278,KW_TP!$A$2:$A$2501,1))))</f>
        <v/>
      </c>
    </row>
    <row r="279">
      <c r="A279" s="15">
        <f>IF(ISNUMBER(BBG_Data!A279),BBG_Data!A279,"")</f>
        <v/>
      </c>
      <c r="B279" s="16">
        <f>IF(AND(ISNUMBER($A279),ISNUMBER(BBG_Data!B279)),BBG_Data!B279,NA())</f>
        <v/>
      </c>
      <c r="C279" s="16">
        <f>IF(AND(ISNUMBER($A279),ISNUMBER(BBG_Data!C279)),BBG_Data!C279,NA())</f>
        <v/>
      </c>
      <c r="D279" s="17">
        <f>IF(AND(ISNUMBER($A279),ISNUMBER(BBG_Data!D279)),BBG_Data!D279,NA())</f>
        <v/>
      </c>
      <c r="E279" s="17">
        <f>IF(AND(ISNUMBER($A279),ISNUMBER(BBG_Data!E279)),BBG_Data!E279,NA())</f>
        <v/>
      </c>
      <c r="F279" s="18">
        <f>IF(AND(ISNUMBER(B279),ISNUMBER(B278)),(B279-B278)*100,"")</f>
        <v/>
      </c>
      <c r="G279" s="18">
        <f>IF(AND(ISNUMBER(C279),ISNUMBER(C278)),(C279-C278)*100,"")</f>
        <v/>
      </c>
      <c r="H279" s="18">
        <f>IF(OR(NOT(ISNUMBER($A279)),ROW()-2&lt;Settings!$B$11),NA(),IF(COUNT(OFFSET(F279,1-Settings!$B$11,0,Settings!$B$11,1))&lt;Settings!$B$11,NA(),STDEV(OFFSET(F279,1-Settings!$B$11,0,Settings!$B$11,1))*SQRT(Settings!$B$13)))</f>
        <v/>
      </c>
      <c r="I279" s="18">
        <f>IF(OR(NOT(ISNUMBER($A279)),ROW()-2&lt;Settings!$B$12),NA(),IF(COUNT(OFFSET(F279,1-Settings!$B$12,0,Settings!$B$12,1))&lt;Settings!$B$12,NA(),STDEV(OFFSET(F279,1-Settings!$B$12,0,Settings!$B$12,1))*SQRT(Settings!$B$13)))</f>
        <v/>
      </c>
      <c r="J279" s="18">
        <f>IF(OR(NOT(ISNUMBER($A279)),ROW()-2&lt;Settings!$B$11),NA(),IF(COUNT(OFFSET(G279,1-Settings!$B$11,0,Settings!$B$11,1))&lt;Settings!$B$11,NA(),STDEV(OFFSET(G279,1-Settings!$B$11,0,Settings!$B$11,1))*SQRT(Settings!$B$13)))</f>
        <v/>
      </c>
      <c r="K279" s="18">
        <f>IF(OR(NOT(ISNUMBER($A279)),ROW()-2&lt;Settings!$B$12),NA(),IF(COUNT(OFFSET(G279,1-Settings!$B$12,0,Settings!$B$12,1))&lt;Settings!$B$12,NA(),STDEV(OFFSET(G279,1-Settings!$B$12,0,Settings!$B$12,1))*SQRT(Settings!$B$13)))</f>
        <v/>
      </c>
      <c r="L279" s="18">
        <f>IF(AND(ISNUMBER(D279),ISNUMBER(H279)),D279-H279,NA())</f>
        <v/>
      </c>
      <c r="M279" s="18">
        <f>IF(AND(ISNUMBER(E279),ISNUMBER(K279)),E279-K279,NA())</f>
        <v/>
      </c>
      <c r="N279" s="18">
        <f>IF(NOT(ISNUMBER($A279)),NA(),IF(COUNT(OFFSET(G279,1,0,Settings!$B$12,1))&lt;Settings!$B$12,NA(),STDEV(OFFSET(G279,1,0,Settings!$B$12,1))*SQRT(Settings!$B$13)))</f>
        <v/>
      </c>
      <c r="O279" s="18">
        <f>IF(AND(ISNUMBER(E279),ISNUMBER(N279)),E279-N279,NA())</f>
        <v/>
      </c>
      <c r="P279" s="17">
        <f>IF(NOT(ISNUMBER($A279)),NA(),IF(OR($A279&lt;MIN(KW_TP!$A$2:$A$2501),$A279&gt;MAX(KW_TP!$A$2:$A$2501)),NA(),INDEX(KW_TP!$C$2:$C$2501,MATCH($A279,KW_TP!$A$2:$A$2501,1))))</f>
        <v/>
      </c>
    </row>
    <row r="280">
      <c r="A280" s="15">
        <f>IF(ISNUMBER(BBG_Data!A280),BBG_Data!A280,"")</f>
        <v/>
      </c>
      <c r="B280" s="16">
        <f>IF(AND(ISNUMBER($A280),ISNUMBER(BBG_Data!B280)),BBG_Data!B280,NA())</f>
        <v/>
      </c>
      <c r="C280" s="16">
        <f>IF(AND(ISNUMBER($A280),ISNUMBER(BBG_Data!C280)),BBG_Data!C280,NA())</f>
        <v/>
      </c>
      <c r="D280" s="17">
        <f>IF(AND(ISNUMBER($A280),ISNUMBER(BBG_Data!D280)),BBG_Data!D280,NA())</f>
        <v/>
      </c>
      <c r="E280" s="17">
        <f>IF(AND(ISNUMBER($A280),ISNUMBER(BBG_Data!E280)),BBG_Data!E280,NA())</f>
        <v/>
      </c>
      <c r="F280" s="18">
        <f>IF(AND(ISNUMBER(B280),ISNUMBER(B279)),(B280-B279)*100,"")</f>
        <v/>
      </c>
      <c r="G280" s="18">
        <f>IF(AND(ISNUMBER(C280),ISNUMBER(C279)),(C280-C279)*100,"")</f>
        <v/>
      </c>
      <c r="H280" s="18">
        <f>IF(OR(NOT(ISNUMBER($A280)),ROW()-2&lt;Settings!$B$11),NA(),IF(COUNT(OFFSET(F280,1-Settings!$B$11,0,Settings!$B$11,1))&lt;Settings!$B$11,NA(),STDEV(OFFSET(F280,1-Settings!$B$11,0,Settings!$B$11,1))*SQRT(Settings!$B$13)))</f>
        <v/>
      </c>
      <c r="I280" s="18">
        <f>IF(OR(NOT(ISNUMBER($A280)),ROW()-2&lt;Settings!$B$12),NA(),IF(COUNT(OFFSET(F280,1-Settings!$B$12,0,Settings!$B$12,1))&lt;Settings!$B$12,NA(),STDEV(OFFSET(F280,1-Settings!$B$12,0,Settings!$B$12,1))*SQRT(Settings!$B$13)))</f>
        <v/>
      </c>
      <c r="J280" s="18">
        <f>IF(OR(NOT(ISNUMBER($A280)),ROW()-2&lt;Settings!$B$11),NA(),IF(COUNT(OFFSET(G280,1-Settings!$B$11,0,Settings!$B$11,1))&lt;Settings!$B$11,NA(),STDEV(OFFSET(G280,1-Settings!$B$11,0,Settings!$B$11,1))*SQRT(Settings!$B$13)))</f>
        <v/>
      </c>
      <c r="K280" s="18">
        <f>IF(OR(NOT(ISNUMBER($A280)),ROW()-2&lt;Settings!$B$12),NA(),IF(COUNT(OFFSET(G280,1-Settings!$B$12,0,Settings!$B$12,1))&lt;Settings!$B$12,NA(),STDEV(OFFSET(G280,1-Settings!$B$12,0,Settings!$B$12,1))*SQRT(Settings!$B$13)))</f>
        <v/>
      </c>
      <c r="L280" s="18">
        <f>IF(AND(ISNUMBER(D280),ISNUMBER(H280)),D280-H280,NA())</f>
        <v/>
      </c>
      <c r="M280" s="18">
        <f>IF(AND(ISNUMBER(E280),ISNUMBER(K280)),E280-K280,NA())</f>
        <v/>
      </c>
      <c r="N280" s="18">
        <f>IF(NOT(ISNUMBER($A280)),NA(),IF(COUNT(OFFSET(G280,1,0,Settings!$B$12,1))&lt;Settings!$B$12,NA(),STDEV(OFFSET(G280,1,0,Settings!$B$12,1))*SQRT(Settings!$B$13)))</f>
        <v/>
      </c>
      <c r="O280" s="18">
        <f>IF(AND(ISNUMBER(E280),ISNUMBER(N280)),E280-N280,NA())</f>
        <v/>
      </c>
      <c r="P280" s="17">
        <f>IF(NOT(ISNUMBER($A280)),NA(),IF(OR($A280&lt;MIN(KW_TP!$A$2:$A$2501),$A280&gt;MAX(KW_TP!$A$2:$A$2501)),NA(),INDEX(KW_TP!$C$2:$C$2501,MATCH($A280,KW_TP!$A$2:$A$2501,1))))</f>
        <v/>
      </c>
    </row>
    <row r="281">
      <c r="A281" s="15">
        <f>IF(ISNUMBER(BBG_Data!A281),BBG_Data!A281,"")</f>
        <v/>
      </c>
      <c r="B281" s="16">
        <f>IF(AND(ISNUMBER($A281),ISNUMBER(BBG_Data!B281)),BBG_Data!B281,NA())</f>
        <v/>
      </c>
      <c r="C281" s="16">
        <f>IF(AND(ISNUMBER($A281),ISNUMBER(BBG_Data!C281)),BBG_Data!C281,NA())</f>
        <v/>
      </c>
      <c r="D281" s="17">
        <f>IF(AND(ISNUMBER($A281),ISNUMBER(BBG_Data!D281)),BBG_Data!D281,NA())</f>
        <v/>
      </c>
      <c r="E281" s="17">
        <f>IF(AND(ISNUMBER($A281),ISNUMBER(BBG_Data!E281)),BBG_Data!E281,NA())</f>
        <v/>
      </c>
      <c r="F281" s="18">
        <f>IF(AND(ISNUMBER(B281),ISNUMBER(B280)),(B281-B280)*100,"")</f>
        <v/>
      </c>
      <c r="G281" s="18">
        <f>IF(AND(ISNUMBER(C281),ISNUMBER(C280)),(C281-C280)*100,"")</f>
        <v/>
      </c>
      <c r="H281" s="18">
        <f>IF(OR(NOT(ISNUMBER($A281)),ROW()-2&lt;Settings!$B$11),NA(),IF(COUNT(OFFSET(F281,1-Settings!$B$11,0,Settings!$B$11,1))&lt;Settings!$B$11,NA(),STDEV(OFFSET(F281,1-Settings!$B$11,0,Settings!$B$11,1))*SQRT(Settings!$B$13)))</f>
        <v/>
      </c>
      <c r="I281" s="18">
        <f>IF(OR(NOT(ISNUMBER($A281)),ROW()-2&lt;Settings!$B$12),NA(),IF(COUNT(OFFSET(F281,1-Settings!$B$12,0,Settings!$B$12,1))&lt;Settings!$B$12,NA(),STDEV(OFFSET(F281,1-Settings!$B$12,0,Settings!$B$12,1))*SQRT(Settings!$B$13)))</f>
        <v/>
      </c>
      <c r="J281" s="18">
        <f>IF(OR(NOT(ISNUMBER($A281)),ROW()-2&lt;Settings!$B$11),NA(),IF(COUNT(OFFSET(G281,1-Settings!$B$11,0,Settings!$B$11,1))&lt;Settings!$B$11,NA(),STDEV(OFFSET(G281,1-Settings!$B$11,0,Settings!$B$11,1))*SQRT(Settings!$B$13)))</f>
        <v/>
      </c>
      <c r="K281" s="18">
        <f>IF(OR(NOT(ISNUMBER($A281)),ROW()-2&lt;Settings!$B$12),NA(),IF(COUNT(OFFSET(G281,1-Settings!$B$12,0,Settings!$B$12,1))&lt;Settings!$B$12,NA(),STDEV(OFFSET(G281,1-Settings!$B$12,0,Settings!$B$12,1))*SQRT(Settings!$B$13)))</f>
        <v/>
      </c>
      <c r="L281" s="18">
        <f>IF(AND(ISNUMBER(D281),ISNUMBER(H281)),D281-H281,NA())</f>
        <v/>
      </c>
      <c r="M281" s="18">
        <f>IF(AND(ISNUMBER(E281),ISNUMBER(K281)),E281-K281,NA())</f>
        <v/>
      </c>
      <c r="N281" s="18">
        <f>IF(NOT(ISNUMBER($A281)),NA(),IF(COUNT(OFFSET(G281,1,0,Settings!$B$12,1))&lt;Settings!$B$12,NA(),STDEV(OFFSET(G281,1,0,Settings!$B$12,1))*SQRT(Settings!$B$13)))</f>
        <v/>
      </c>
      <c r="O281" s="18">
        <f>IF(AND(ISNUMBER(E281),ISNUMBER(N281)),E281-N281,NA())</f>
        <v/>
      </c>
      <c r="P281" s="17">
        <f>IF(NOT(ISNUMBER($A281)),NA(),IF(OR($A281&lt;MIN(KW_TP!$A$2:$A$2501),$A281&gt;MAX(KW_TP!$A$2:$A$2501)),NA(),INDEX(KW_TP!$C$2:$C$2501,MATCH($A281,KW_TP!$A$2:$A$2501,1))))</f>
        <v/>
      </c>
    </row>
    <row r="282">
      <c r="A282" s="15">
        <f>IF(ISNUMBER(BBG_Data!A282),BBG_Data!A282,"")</f>
        <v/>
      </c>
      <c r="B282" s="16">
        <f>IF(AND(ISNUMBER($A282),ISNUMBER(BBG_Data!B282)),BBG_Data!B282,NA())</f>
        <v/>
      </c>
      <c r="C282" s="16">
        <f>IF(AND(ISNUMBER($A282),ISNUMBER(BBG_Data!C282)),BBG_Data!C282,NA())</f>
        <v/>
      </c>
      <c r="D282" s="17">
        <f>IF(AND(ISNUMBER($A282),ISNUMBER(BBG_Data!D282)),BBG_Data!D282,NA())</f>
        <v/>
      </c>
      <c r="E282" s="17">
        <f>IF(AND(ISNUMBER($A282),ISNUMBER(BBG_Data!E282)),BBG_Data!E282,NA())</f>
        <v/>
      </c>
      <c r="F282" s="18">
        <f>IF(AND(ISNUMBER(B282),ISNUMBER(B281)),(B282-B281)*100,"")</f>
        <v/>
      </c>
      <c r="G282" s="18">
        <f>IF(AND(ISNUMBER(C282),ISNUMBER(C281)),(C282-C281)*100,"")</f>
        <v/>
      </c>
      <c r="H282" s="18">
        <f>IF(OR(NOT(ISNUMBER($A282)),ROW()-2&lt;Settings!$B$11),NA(),IF(COUNT(OFFSET(F282,1-Settings!$B$11,0,Settings!$B$11,1))&lt;Settings!$B$11,NA(),STDEV(OFFSET(F282,1-Settings!$B$11,0,Settings!$B$11,1))*SQRT(Settings!$B$13)))</f>
        <v/>
      </c>
      <c r="I282" s="18">
        <f>IF(OR(NOT(ISNUMBER($A282)),ROW()-2&lt;Settings!$B$12),NA(),IF(COUNT(OFFSET(F282,1-Settings!$B$12,0,Settings!$B$12,1))&lt;Settings!$B$12,NA(),STDEV(OFFSET(F282,1-Settings!$B$12,0,Settings!$B$12,1))*SQRT(Settings!$B$13)))</f>
        <v/>
      </c>
      <c r="J282" s="18">
        <f>IF(OR(NOT(ISNUMBER($A282)),ROW()-2&lt;Settings!$B$11),NA(),IF(COUNT(OFFSET(G282,1-Settings!$B$11,0,Settings!$B$11,1))&lt;Settings!$B$11,NA(),STDEV(OFFSET(G282,1-Settings!$B$11,0,Settings!$B$11,1))*SQRT(Settings!$B$13)))</f>
        <v/>
      </c>
      <c r="K282" s="18">
        <f>IF(OR(NOT(ISNUMBER($A282)),ROW()-2&lt;Settings!$B$12),NA(),IF(COUNT(OFFSET(G282,1-Settings!$B$12,0,Settings!$B$12,1))&lt;Settings!$B$12,NA(),STDEV(OFFSET(G282,1-Settings!$B$12,0,Settings!$B$12,1))*SQRT(Settings!$B$13)))</f>
        <v/>
      </c>
      <c r="L282" s="18">
        <f>IF(AND(ISNUMBER(D282),ISNUMBER(H282)),D282-H282,NA())</f>
        <v/>
      </c>
      <c r="M282" s="18">
        <f>IF(AND(ISNUMBER(E282),ISNUMBER(K282)),E282-K282,NA())</f>
        <v/>
      </c>
      <c r="N282" s="18">
        <f>IF(NOT(ISNUMBER($A282)),NA(),IF(COUNT(OFFSET(G282,1,0,Settings!$B$12,1))&lt;Settings!$B$12,NA(),STDEV(OFFSET(G282,1,0,Settings!$B$12,1))*SQRT(Settings!$B$13)))</f>
        <v/>
      </c>
      <c r="O282" s="18">
        <f>IF(AND(ISNUMBER(E282),ISNUMBER(N282)),E282-N282,NA())</f>
        <v/>
      </c>
      <c r="P282" s="17">
        <f>IF(NOT(ISNUMBER($A282)),NA(),IF(OR($A282&lt;MIN(KW_TP!$A$2:$A$2501),$A282&gt;MAX(KW_TP!$A$2:$A$2501)),NA(),INDEX(KW_TP!$C$2:$C$2501,MATCH($A282,KW_TP!$A$2:$A$2501,1))))</f>
        <v/>
      </c>
    </row>
    <row r="283">
      <c r="A283" s="15">
        <f>IF(ISNUMBER(BBG_Data!A283),BBG_Data!A283,"")</f>
        <v/>
      </c>
      <c r="B283" s="16">
        <f>IF(AND(ISNUMBER($A283),ISNUMBER(BBG_Data!B283)),BBG_Data!B283,NA())</f>
        <v/>
      </c>
      <c r="C283" s="16">
        <f>IF(AND(ISNUMBER($A283),ISNUMBER(BBG_Data!C283)),BBG_Data!C283,NA())</f>
        <v/>
      </c>
      <c r="D283" s="17">
        <f>IF(AND(ISNUMBER($A283),ISNUMBER(BBG_Data!D283)),BBG_Data!D283,NA())</f>
        <v/>
      </c>
      <c r="E283" s="17">
        <f>IF(AND(ISNUMBER($A283),ISNUMBER(BBG_Data!E283)),BBG_Data!E283,NA())</f>
        <v/>
      </c>
      <c r="F283" s="18">
        <f>IF(AND(ISNUMBER(B283),ISNUMBER(B282)),(B283-B282)*100,"")</f>
        <v/>
      </c>
      <c r="G283" s="18">
        <f>IF(AND(ISNUMBER(C283),ISNUMBER(C282)),(C283-C282)*100,"")</f>
        <v/>
      </c>
      <c r="H283" s="18">
        <f>IF(OR(NOT(ISNUMBER($A283)),ROW()-2&lt;Settings!$B$11),NA(),IF(COUNT(OFFSET(F283,1-Settings!$B$11,0,Settings!$B$11,1))&lt;Settings!$B$11,NA(),STDEV(OFFSET(F283,1-Settings!$B$11,0,Settings!$B$11,1))*SQRT(Settings!$B$13)))</f>
        <v/>
      </c>
      <c r="I283" s="18">
        <f>IF(OR(NOT(ISNUMBER($A283)),ROW()-2&lt;Settings!$B$12),NA(),IF(COUNT(OFFSET(F283,1-Settings!$B$12,0,Settings!$B$12,1))&lt;Settings!$B$12,NA(),STDEV(OFFSET(F283,1-Settings!$B$12,0,Settings!$B$12,1))*SQRT(Settings!$B$13)))</f>
        <v/>
      </c>
      <c r="J283" s="18">
        <f>IF(OR(NOT(ISNUMBER($A283)),ROW()-2&lt;Settings!$B$11),NA(),IF(COUNT(OFFSET(G283,1-Settings!$B$11,0,Settings!$B$11,1))&lt;Settings!$B$11,NA(),STDEV(OFFSET(G283,1-Settings!$B$11,0,Settings!$B$11,1))*SQRT(Settings!$B$13)))</f>
        <v/>
      </c>
      <c r="K283" s="18">
        <f>IF(OR(NOT(ISNUMBER($A283)),ROW()-2&lt;Settings!$B$12),NA(),IF(COUNT(OFFSET(G283,1-Settings!$B$12,0,Settings!$B$12,1))&lt;Settings!$B$12,NA(),STDEV(OFFSET(G283,1-Settings!$B$12,0,Settings!$B$12,1))*SQRT(Settings!$B$13)))</f>
        <v/>
      </c>
      <c r="L283" s="18">
        <f>IF(AND(ISNUMBER(D283),ISNUMBER(H283)),D283-H283,NA())</f>
        <v/>
      </c>
      <c r="M283" s="18">
        <f>IF(AND(ISNUMBER(E283),ISNUMBER(K283)),E283-K283,NA())</f>
        <v/>
      </c>
      <c r="N283" s="18">
        <f>IF(NOT(ISNUMBER($A283)),NA(),IF(COUNT(OFFSET(G283,1,0,Settings!$B$12,1))&lt;Settings!$B$12,NA(),STDEV(OFFSET(G283,1,0,Settings!$B$12,1))*SQRT(Settings!$B$13)))</f>
        <v/>
      </c>
      <c r="O283" s="18">
        <f>IF(AND(ISNUMBER(E283),ISNUMBER(N283)),E283-N283,NA())</f>
        <v/>
      </c>
      <c r="P283" s="17">
        <f>IF(NOT(ISNUMBER($A283)),NA(),IF(OR($A283&lt;MIN(KW_TP!$A$2:$A$2501),$A283&gt;MAX(KW_TP!$A$2:$A$2501)),NA(),INDEX(KW_TP!$C$2:$C$2501,MATCH($A283,KW_TP!$A$2:$A$2501,1))))</f>
        <v/>
      </c>
    </row>
    <row r="284">
      <c r="A284" s="15">
        <f>IF(ISNUMBER(BBG_Data!A284),BBG_Data!A284,"")</f>
        <v/>
      </c>
      <c r="B284" s="16">
        <f>IF(AND(ISNUMBER($A284),ISNUMBER(BBG_Data!B284)),BBG_Data!B284,NA())</f>
        <v/>
      </c>
      <c r="C284" s="16">
        <f>IF(AND(ISNUMBER($A284),ISNUMBER(BBG_Data!C284)),BBG_Data!C284,NA())</f>
        <v/>
      </c>
      <c r="D284" s="17">
        <f>IF(AND(ISNUMBER($A284),ISNUMBER(BBG_Data!D284)),BBG_Data!D284,NA())</f>
        <v/>
      </c>
      <c r="E284" s="17">
        <f>IF(AND(ISNUMBER($A284),ISNUMBER(BBG_Data!E284)),BBG_Data!E284,NA())</f>
        <v/>
      </c>
      <c r="F284" s="18">
        <f>IF(AND(ISNUMBER(B284),ISNUMBER(B283)),(B284-B283)*100,"")</f>
        <v/>
      </c>
      <c r="G284" s="18">
        <f>IF(AND(ISNUMBER(C284),ISNUMBER(C283)),(C284-C283)*100,"")</f>
        <v/>
      </c>
      <c r="H284" s="18">
        <f>IF(OR(NOT(ISNUMBER($A284)),ROW()-2&lt;Settings!$B$11),NA(),IF(COUNT(OFFSET(F284,1-Settings!$B$11,0,Settings!$B$11,1))&lt;Settings!$B$11,NA(),STDEV(OFFSET(F284,1-Settings!$B$11,0,Settings!$B$11,1))*SQRT(Settings!$B$13)))</f>
        <v/>
      </c>
      <c r="I284" s="18">
        <f>IF(OR(NOT(ISNUMBER($A284)),ROW()-2&lt;Settings!$B$12),NA(),IF(COUNT(OFFSET(F284,1-Settings!$B$12,0,Settings!$B$12,1))&lt;Settings!$B$12,NA(),STDEV(OFFSET(F284,1-Settings!$B$12,0,Settings!$B$12,1))*SQRT(Settings!$B$13)))</f>
        <v/>
      </c>
      <c r="J284" s="18">
        <f>IF(OR(NOT(ISNUMBER($A284)),ROW()-2&lt;Settings!$B$11),NA(),IF(COUNT(OFFSET(G284,1-Settings!$B$11,0,Settings!$B$11,1))&lt;Settings!$B$11,NA(),STDEV(OFFSET(G284,1-Settings!$B$11,0,Settings!$B$11,1))*SQRT(Settings!$B$13)))</f>
        <v/>
      </c>
      <c r="K284" s="18">
        <f>IF(OR(NOT(ISNUMBER($A284)),ROW()-2&lt;Settings!$B$12),NA(),IF(COUNT(OFFSET(G284,1-Settings!$B$12,0,Settings!$B$12,1))&lt;Settings!$B$12,NA(),STDEV(OFFSET(G284,1-Settings!$B$12,0,Settings!$B$12,1))*SQRT(Settings!$B$13)))</f>
        <v/>
      </c>
      <c r="L284" s="18">
        <f>IF(AND(ISNUMBER(D284),ISNUMBER(H284)),D284-H284,NA())</f>
        <v/>
      </c>
      <c r="M284" s="18">
        <f>IF(AND(ISNUMBER(E284),ISNUMBER(K284)),E284-K284,NA())</f>
        <v/>
      </c>
      <c r="N284" s="18">
        <f>IF(NOT(ISNUMBER($A284)),NA(),IF(COUNT(OFFSET(G284,1,0,Settings!$B$12,1))&lt;Settings!$B$12,NA(),STDEV(OFFSET(G284,1,0,Settings!$B$12,1))*SQRT(Settings!$B$13)))</f>
        <v/>
      </c>
      <c r="O284" s="18">
        <f>IF(AND(ISNUMBER(E284),ISNUMBER(N284)),E284-N284,NA())</f>
        <v/>
      </c>
      <c r="P284" s="17">
        <f>IF(NOT(ISNUMBER($A284)),NA(),IF(OR($A284&lt;MIN(KW_TP!$A$2:$A$2501),$A284&gt;MAX(KW_TP!$A$2:$A$2501)),NA(),INDEX(KW_TP!$C$2:$C$2501,MATCH($A284,KW_TP!$A$2:$A$2501,1))))</f>
        <v/>
      </c>
    </row>
    <row r="285">
      <c r="A285" s="15">
        <f>IF(ISNUMBER(BBG_Data!A285),BBG_Data!A285,"")</f>
        <v/>
      </c>
      <c r="B285" s="16">
        <f>IF(AND(ISNUMBER($A285),ISNUMBER(BBG_Data!B285)),BBG_Data!B285,NA())</f>
        <v/>
      </c>
      <c r="C285" s="16">
        <f>IF(AND(ISNUMBER($A285),ISNUMBER(BBG_Data!C285)),BBG_Data!C285,NA())</f>
        <v/>
      </c>
      <c r="D285" s="17">
        <f>IF(AND(ISNUMBER($A285),ISNUMBER(BBG_Data!D285)),BBG_Data!D285,NA())</f>
        <v/>
      </c>
      <c r="E285" s="17">
        <f>IF(AND(ISNUMBER($A285),ISNUMBER(BBG_Data!E285)),BBG_Data!E285,NA())</f>
        <v/>
      </c>
      <c r="F285" s="18">
        <f>IF(AND(ISNUMBER(B285),ISNUMBER(B284)),(B285-B284)*100,"")</f>
        <v/>
      </c>
      <c r="G285" s="18">
        <f>IF(AND(ISNUMBER(C285),ISNUMBER(C284)),(C285-C284)*100,"")</f>
        <v/>
      </c>
      <c r="H285" s="18">
        <f>IF(OR(NOT(ISNUMBER($A285)),ROW()-2&lt;Settings!$B$11),NA(),IF(COUNT(OFFSET(F285,1-Settings!$B$11,0,Settings!$B$11,1))&lt;Settings!$B$11,NA(),STDEV(OFFSET(F285,1-Settings!$B$11,0,Settings!$B$11,1))*SQRT(Settings!$B$13)))</f>
        <v/>
      </c>
      <c r="I285" s="18">
        <f>IF(OR(NOT(ISNUMBER($A285)),ROW()-2&lt;Settings!$B$12),NA(),IF(COUNT(OFFSET(F285,1-Settings!$B$12,0,Settings!$B$12,1))&lt;Settings!$B$12,NA(),STDEV(OFFSET(F285,1-Settings!$B$12,0,Settings!$B$12,1))*SQRT(Settings!$B$13)))</f>
        <v/>
      </c>
      <c r="J285" s="18">
        <f>IF(OR(NOT(ISNUMBER($A285)),ROW()-2&lt;Settings!$B$11),NA(),IF(COUNT(OFFSET(G285,1-Settings!$B$11,0,Settings!$B$11,1))&lt;Settings!$B$11,NA(),STDEV(OFFSET(G285,1-Settings!$B$11,0,Settings!$B$11,1))*SQRT(Settings!$B$13)))</f>
        <v/>
      </c>
      <c r="K285" s="18">
        <f>IF(OR(NOT(ISNUMBER($A285)),ROW()-2&lt;Settings!$B$12),NA(),IF(COUNT(OFFSET(G285,1-Settings!$B$12,0,Settings!$B$12,1))&lt;Settings!$B$12,NA(),STDEV(OFFSET(G285,1-Settings!$B$12,0,Settings!$B$12,1))*SQRT(Settings!$B$13)))</f>
        <v/>
      </c>
      <c r="L285" s="18">
        <f>IF(AND(ISNUMBER(D285),ISNUMBER(H285)),D285-H285,NA())</f>
        <v/>
      </c>
      <c r="M285" s="18">
        <f>IF(AND(ISNUMBER(E285),ISNUMBER(K285)),E285-K285,NA())</f>
        <v/>
      </c>
      <c r="N285" s="18">
        <f>IF(NOT(ISNUMBER($A285)),NA(),IF(COUNT(OFFSET(G285,1,0,Settings!$B$12,1))&lt;Settings!$B$12,NA(),STDEV(OFFSET(G285,1,0,Settings!$B$12,1))*SQRT(Settings!$B$13)))</f>
        <v/>
      </c>
      <c r="O285" s="18">
        <f>IF(AND(ISNUMBER(E285),ISNUMBER(N285)),E285-N285,NA())</f>
        <v/>
      </c>
      <c r="P285" s="17">
        <f>IF(NOT(ISNUMBER($A285)),NA(),IF(OR($A285&lt;MIN(KW_TP!$A$2:$A$2501),$A285&gt;MAX(KW_TP!$A$2:$A$2501)),NA(),INDEX(KW_TP!$C$2:$C$2501,MATCH($A285,KW_TP!$A$2:$A$2501,1))))</f>
        <v/>
      </c>
    </row>
    <row r="286">
      <c r="A286" s="15">
        <f>IF(ISNUMBER(BBG_Data!A286),BBG_Data!A286,"")</f>
        <v/>
      </c>
      <c r="B286" s="16">
        <f>IF(AND(ISNUMBER($A286),ISNUMBER(BBG_Data!B286)),BBG_Data!B286,NA())</f>
        <v/>
      </c>
      <c r="C286" s="16">
        <f>IF(AND(ISNUMBER($A286),ISNUMBER(BBG_Data!C286)),BBG_Data!C286,NA())</f>
        <v/>
      </c>
      <c r="D286" s="17">
        <f>IF(AND(ISNUMBER($A286),ISNUMBER(BBG_Data!D286)),BBG_Data!D286,NA())</f>
        <v/>
      </c>
      <c r="E286" s="17">
        <f>IF(AND(ISNUMBER($A286),ISNUMBER(BBG_Data!E286)),BBG_Data!E286,NA())</f>
        <v/>
      </c>
      <c r="F286" s="18">
        <f>IF(AND(ISNUMBER(B286),ISNUMBER(B285)),(B286-B285)*100,"")</f>
        <v/>
      </c>
      <c r="G286" s="18">
        <f>IF(AND(ISNUMBER(C286),ISNUMBER(C285)),(C286-C285)*100,"")</f>
        <v/>
      </c>
      <c r="H286" s="18">
        <f>IF(OR(NOT(ISNUMBER($A286)),ROW()-2&lt;Settings!$B$11),NA(),IF(COUNT(OFFSET(F286,1-Settings!$B$11,0,Settings!$B$11,1))&lt;Settings!$B$11,NA(),STDEV(OFFSET(F286,1-Settings!$B$11,0,Settings!$B$11,1))*SQRT(Settings!$B$13)))</f>
        <v/>
      </c>
      <c r="I286" s="18">
        <f>IF(OR(NOT(ISNUMBER($A286)),ROW()-2&lt;Settings!$B$12),NA(),IF(COUNT(OFFSET(F286,1-Settings!$B$12,0,Settings!$B$12,1))&lt;Settings!$B$12,NA(),STDEV(OFFSET(F286,1-Settings!$B$12,0,Settings!$B$12,1))*SQRT(Settings!$B$13)))</f>
        <v/>
      </c>
      <c r="J286" s="18">
        <f>IF(OR(NOT(ISNUMBER($A286)),ROW()-2&lt;Settings!$B$11),NA(),IF(COUNT(OFFSET(G286,1-Settings!$B$11,0,Settings!$B$11,1))&lt;Settings!$B$11,NA(),STDEV(OFFSET(G286,1-Settings!$B$11,0,Settings!$B$11,1))*SQRT(Settings!$B$13)))</f>
        <v/>
      </c>
      <c r="K286" s="18">
        <f>IF(OR(NOT(ISNUMBER($A286)),ROW()-2&lt;Settings!$B$12),NA(),IF(COUNT(OFFSET(G286,1-Settings!$B$12,0,Settings!$B$12,1))&lt;Settings!$B$12,NA(),STDEV(OFFSET(G286,1-Settings!$B$12,0,Settings!$B$12,1))*SQRT(Settings!$B$13)))</f>
        <v/>
      </c>
      <c r="L286" s="18">
        <f>IF(AND(ISNUMBER(D286),ISNUMBER(H286)),D286-H286,NA())</f>
        <v/>
      </c>
      <c r="M286" s="18">
        <f>IF(AND(ISNUMBER(E286),ISNUMBER(K286)),E286-K286,NA())</f>
        <v/>
      </c>
      <c r="N286" s="18">
        <f>IF(NOT(ISNUMBER($A286)),NA(),IF(COUNT(OFFSET(G286,1,0,Settings!$B$12,1))&lt;Settings!$B$12,NA(),STDEV(OFFSET(G286,1,0,Settings!$B$12,1))*SQRT(Settings!$B$13)))</f>
        <v/>
      </c>
      <c r="O286" s="18">
        <f>IF(AND(ISNUMBER(E286),ISNUMBER(N286)),E286-N286,NA())</f>
        <v/>
      </c>
      <c r="P286" s="17">
        <f>IF(NOT(ISNUMBER($A286)),NA(),IF(OR($A286&lt;MIN(KW_TP!$A$2:$A$2501),$A286&gt;MAX(KW_TP!$A$2:$A$2501)),NA(),INDEX(KW_TP!$C$2:$C$2501,MATCH($A286,KW_TP!$A$2:$A$2501,1))))</f>
        <v/>
      </c>
    </row>
    <row r="287">
      <c r="A287" s="15">
        <f>IF(ISNUMBER(BBG_Data!A287),BBG_Data!A287,"")</f>
        <v/>
      </c>
      <c r="B287" s="16">
        <f>IF(AND(ISNUMBER($A287),ISNUMBER(BBG_Data!B287)),BBG_Data!B287,NA())</f>
        <v/>
      </c>
      <c r="C287" s="16">
        <f>IF(AND(ISNUMBER($A287),ISNUMBER(BBG_Data!C287)),BBG_Data!C287,NA())</f>
        <v/>
      </c>
      <c r="D287" s="17">
        <f>IF(AND(ISNUMBER($A287),ISNUMBER(BBG_Data!D287)),BBG_Data!D287,NA())</f>
        <v/>
      </c>
      <c r="E287" s="17">
        <f>IF(AND(ISNUMBER($A287),ISNUMBER(BBG_Data!E287)),BBG_Data!E287,NA())</f>
        <v/>
      </c>
      <c r="F287" s="18">
        <f>IF(AND(ISNUMBER(B287),ISNUMBER(B286)),(B287-B286)*100,"")</f>
        <v/>
      </c>
      <c r="G287" s="18">
        <f>IF(AND(ISNUMBER(C287),ISNUMBER(C286)),(C287-C286)*100,"")</f>
        <v/>
      </c>
      <c r="H287" s="18">
        <f>IF(OR(NOT(ISNUMBER($A287)),ROW()-2&lt;Settings!$B$11),NA(),IF(COUNT(OFFSET(F287,1-Settings!$B$11,0,Settings!$B$11,1))&lt;Settings!$B$11,NA(),STDEV(OFFSET(F287,1-Settings!$B$11,0,Settings!$B$11,1))*SQRT(Settings!$B$13)))</f>
        <v/>
      </c>
      <c r="I287" s="18">
        <f>IF(OR(NOT(ISNUMBER($A287)),ROW()-2&lt;Settings!$B$12),NA(),IF(COUNT(OFFSET(F287,1-Settings!$B$12,0,Settings!$B$12,1))&lt;Settings!$B$12,NA(),STDEV(OFFSET(F287,1-Settings!$B$12,0,Settings!$B$12,1))*SQRT(Settings!$B$13)))</f>
        <v/>
      </c>
      <c r="J287" s="18">
        <f>IF(OR(NOT(ISNUMBER($A287)),ROW()-2&lt;Settings!$B$11),NA(),IF(COUNT(OFFSET(G287,1-Settings!$B$11,0,Settings!$B$11,1))&lt;Settings!$B$11,NA(),STDEV(OFFSET(G287,1-Settings!$B$11,0,Settings!$B$11,1))*SQRT(Settings!$B$13)))</f>
        <v/>
      </c>
      <c r="K287" s="18">
        <f>IF(OR(NOT(ISNUMBER($A287)),ROW()-2&lt;Settings!$B$12),NA(),IF(COUNT(OFFSET(G287,1-Settings!$B$12,0,Settings!$B$12,1))&lt;Settings!$B$12,NA(),STDEV(OFFSET(G287,1-Settings!$B$12,0,Settings!$B$12,1))*SQRT(Settings!$B$13)))</f>
        <v/>
      </c>
      <c r="L287" s="18">
        <f>IF(AND(ISNUMBER(D287),ISNUMBER(H287)),D287-H287,NA())</f>
        <v/>
      </c>
      <c r="M287" s="18">
        <f>IF(AND(ISNUMBER(E287),ISNUMBER(K287)),E287-K287,NA())</f>
        <v/>
      </c>
      <c r="N287" s="18">
        <f>IF(NOT(ISNUMBER($A287)),NA(),IF(COUNT(OFFSET(G287,1,0,Settings!$B$12,1))&lt;Settings!$B$12,NA(),STDEV(OFFSET(G287,1,0,Settings!$B$12,1))*SQRT(Settings!$B$13)))</f>
        <v/>
      </c>
      <c r="O287" s="18">
        <f>IF(AND(ISNUMBER(E287),ISNUMBER(N287)),E287-N287,NA())</f>
        <v/>
      </c>
      <c r="P287" s="17">
        <f>IF(NOT(ISNUMBER($A287)),NA(),IF(OR($A287&lt;MIN(KW_TP!$A$2:$A$2501),$A287&gt;MAX(KW_TP!$A$2:$A$2501)),NA(),INDEX(KW_TP!$C$2:$C$2501,MATCH($A287,KW_TP!$A$2:$A$2501,1))))</f>
        <v/>
      </c>
    </row>
    <row r="288">
      <c r="A288" s="15">
        <f>IF(ISNUMBER(BBG_Data!A288),BBG_Data!A288,"")</f>
        <v/>
      </c>
      <c r="B288" s="16">
        <f>IF(AND(ISNUMBER($A288),ISNUMBER(BBG_Data!B288)),BBG_Data!B288,NA())</f>
        <v/>
      </c>
      <c r="C288" s="16">
        <f>IF(AND(ISNUMBER($A288),ISNUMBER(BBG_Data!C288)),BBG_Data!C288,NA())</f>
        <v/>
      </c>
      <c r="D288" s="17">
        <f>IF(AND(ISNUMBER($A288),ISNUMBER(BBG_Data!D288)),BBG_Data!D288,NA())</f>
        <v/>
      </c>
      <c r="E288" s="17">
        <f>IF(AND(ISNUMBER($A288),ISNUMBER(BBG_Data!E288)),BBG_Data!E288,NA())</f>
        <v/>
      </c>
      <c r="F288" s="18">
        <f>IF(AND(ISNUMBER(B288),ISNUMBER(B287)),(B288-B287)*100,"")</f>
        <v/>
      </c>
      <c r="G288" s="18">
        <f>IF(AND(ISNUMBER(C288),ISNUMBER(C287)),(C288-C287)*100,"")</f>
        <v/>
      </c>
      <c r="H288" s="18">
        <f>IF(OR(NOT(ISNUMBER($A288)),ROW()-2&lt;Settings!$B$11),NA(),IF(COUNT(OFFSET(F288,1-Settings!$B$11,0,Settings!$B$11,1))&lt;Settings!$B$11,NA(),STDEV(OFFSET(F288,1-Settings!$B$11,0,Settings!$B$11,1))*SQRT(Settings!$B$13)))</f>
        <v/>
      </c>
      <c r="I288" s="18">
        <f>IF(OR(NOT(ISNUMBER($A288)),ROW()-2&lt;Settings!$B$12),NA(),IF(COUNT(OFFSET(F288,1-Settings!$B$12,0,Settings!$B$12,1))&lt;Settings!$B$12,NA(),STDEV(OFFSET(F288,1-Settings!$B$12,0,Settings!$B$12,1))*SQRT(Settings!$B$13)))</f>
        <v/>
      </c>
      <c r="J288" s="18">
        <f>IF(OR(NOT(ISNUMBER($A288)),ROW()-2&lt;Settings!$B$11),NA(),IF(COUNT(OFFSET(G288,1-Settings!$B$11,0,Settings!$B$11,1))&lt;Settings!$B$11,NA(),STDEV(OFFSET(G288,1-Settings!$B$11,0,Settings!$B$11,1))*SQRT(Settings!$B$13)))</f>
        <v/>
      </c>
      <c r="K288" s="18">
        <f>IF(OR(NOT(ISNUMBER($A288)),ROW()-2&lt;Settings!$B$12),NA(),IF(COUNT(OFFSET(G288,1-Settings!$B$12,0,Settings!$B$12,1))&lt;Settings!$B$12,NA(),STDEV(OFFSET(G288,1-Settings!$B$12,0,Settings!$B$12,1))*SQRT(Settings!$B$13)))</f>
        <v/>
      </c>
      <c r="L288" s="18">
        <f>IF(AND(ISNUMBER(D288),ISNUMBER(H288)),D288-H288,NA())</f>
        <v/>
      </c>
      <c r="M288" s="18">
        <f>IF(AND(ISNUMBER(E288),ISNUMBER(K288)),E288-K288,NA())</f>
        <v/>
      </c>
      <c r="N288" s="18">
        <f>IF(NOT(ISNUMBER($A288)),NA(),IF(COUNT(OFFSET(G288,1,0,Settings!$B$12,1))&lt;Settings!$B$12,NA(),STDEV(OFFSET(G288,1,0,Settings!$B$12,1))*SQRT(Settings!$B$13)))</f>
        <v/>
      </c>
      <c r="O288" s="18">
        <f>IF(AND(ISNUMBER(E288),ISNUMBER(N288)),E288-N288,NA())</f>
        <v/>
      </c>
      <c r="P288" s="17">
        <f>IF(NOT(ISNUMBER($A288)),NA(),IF(OR($A288&lt;MIN(KW_TP!$A$2:$A$2501),$A288&gt;MAX(KW_TP!$A$2:$A$2501)),NA(),INDEX(KW_TP!$C$2:$C$2501,MATCH($A288,KW_TP!$A$2:$A$2501,1))))</f>
        <v/>
      </c>
    </row>
    <row r="289">
      <c r="A289" s="15">
        <f>IF(ISNUMBER(BBG_Data!A289),BBG_Data!A289,"")</f>
        <v/>
      </c>
      <c r="B289" s="16">
        <f>IF(AND(ISNUMBER($A289),ISNUMBER(BBG_Data!B289)),BBG_Data!B289,NA())</f>
        <v/>
      </c>
      <c r="C289" s="16">
        <f>IF(AND(ISNUMBER($A289),ISNUMBER(BBG_Data!C289)),BBG_Data!C289,NA())</f>
        <v/>
      </c>
      <c r="D289" s="17">
        <f>IF(AND(ISNUMBER($A289),ISNUMBER(BBG_Data!D289)),BBG_Data!D289,NA())</f>
        <v/>
      </c>
      <c r="E289" s="17">
        <f>IF(AND(ISNUMBER($A289),ISNUMBER(BBG_Data!E289)),BBG_Data!E289,NA())</f>
        <v/>
      </c>
      <c r="F289" s="18">
        <f>IF(AND(ISNUMBER(B289),ISNUMBER(B288)),(B289-B288)*100,"")</f>
        <v/>
      </c>
      <c r="G289" s="18">
        <f>IF(AND(ISNUMBER(C289),ISNUMBER(C288)),(C289-C288)*100,"")</f>
        <v/>
      </c>
      <c r="H289" s="18">
        <f>IF(OR(NOT(ISNUMBER($A289)),ROW()-2&lt;Settings!$B$11),NA(),IF(COUNT(OFFSET(F289,1-Settings!$B$11,0,Settings!$B$11,1))&lt;Settings!$B$11,NA(),STDEV(OFFSET(F289,1-Settings!$B$11,0,Settings!$B$11,1))*SQRT(Settings!$B$13)))</f>
        <v/>
      </c>
      <c r="I289" s="18">
        <f>IF(OR(NOT(ISNUMBER($A289)),ROW()-2&lt;Settings!$B$12),NA(),IF(COUNT(OFFSET(F289,1-Settings!$B$12,0,Settings!$B$12,1))&lt;Settings!$B$12,NA(),STDEV(OFFSET(F289,1-Settings!$B$12,0,Settings!$B$12,1))*SQRT(Settings!$B$13)))</f>
        <v/>
      </c>
      <c r="J289" s="18">
        <f>IF(OR(NOT(ISNUMBER($A289)),ROW()-2&lt;Settings!$B$11),NA(),IF(COUNT(OFFSET(G289,1-Settings!$B$11,0,Settings!$B$11,1))&lt;Settings!$B$11,NA(),STDEV(OFFSET(G289,1-Settings!$B$11,0,Settings!$B$11,1))*SQRT(Settings!$B$13)))</f>
        <v/>
      </c>
      <c r="K289" s="18">
        <f>IF(OR(NOT(ISNUMBER($A289)),ROW()-2&lt;Settings!$B$12),NA(),IF(COUNT(OFFSET(G289,1-Settings!$B$12,0,Settings!$B$12,1))&lt;Settings!$B$12,NA(),STDEV(OFFSET(G289,1-Settings!$B$12,0,Settings!$B$12,1))*SQRT(Settings!$B$13)))</f>
        <v/>
      </c>
      <c r="L289" s="18">
        <f>IF(AND(ISNUMBER(D289),ISNUMBER(H289)),D289-H289,NA())</f>
        <v/>
      </c>
      <c r="M289" s="18">
        <f>IF(AND(ISNUMBER(E289),ISNUMBER(K289)),E289-K289,NA())</f>
        <v/>
      </c>
      <c r="N289" s="18">
        <f>IF(NOT(ISNUMBER($A289)),NA(),IF(COUNT(OFFSET(G289,1,0,Settings!$B$12,1))&lt;Settings!$B$12,NA(),STDEV(OFFSET(G289,1,0,Settings!$B$12,1))*SQRT(Settings!$B$13)))</f>
        <v/>
      </c>
      <c r="O289" s="18">
        <f>IF(AND(ISNUMBER(E289),ISNUMBER(N289)),E289-N289,NA())</f>
        <v/>
      </c>
      <c r="P289" s="17">
        <f>IF(NOT(ISNUMBER($A289)),NA(),IF(OR($A289&lt;MIN(KW_TP!$A$2:$A$2501),$A289&gt;MAX(KW_TP!$A$2:$A$2501)),NA(),INDEX(KW_TP!$C$2:$C$2501,MATCH($A289,KW_TP!$A$2:$A$2501,1))))</f>
        <v/>
      </c>
    </row>
    <row r="290">
      <c r="A290" s="15">
        <f>IF(ISNUMBER(BBG_Data!A290),BBG_Data!A290,"")</f>
        <v/>
      </c>
      <c r="B290" s="16">
        <f>IF(AND(ISNUMBER($A290),ISNUMBER(BBG_Data!B290)),BBG_Data!B290,NA())</f>
        <v/>
      </c>
      <c r="C290" s="16">
        <f>IF(AND(ISNUMBER($A290),ISNUMBER(BBG_Data!C290)),BBG_Data!C290,NA())</f>
        <v/>
      </c>
      <c r="D290" s="17">
        <f>IF(AND(ISNUMBER($A290),ISNUMBER(BBG_Data!D290)),BBG_Data!D290,NA())</f>
        <v/>
      </c>
      <c r="E290" s="17">
        <f>IF(AND(ISNUMBER($A290),ISNUMBER(BBG_Data!E290)),BBG_Data!E290,NA())</f>
        <v/>
      </c>
      <c r="F290" s="18">
        <f>IF(AND(ISNUMBER(B290),ISNUMBER(B289)),(B290-B289)*100,"")</f>
        <v/>
      </c>
      <c r="G290" s="18">
        <f>IF(AND(ISNUMBER(C290),ISNUMBER(C289)),(C290-C289)*100,"")</f>
        <v/>
      </c>
      <c r="H290" s="18">
        <f>IF(OR(NOT(ISNUMBER($A290)),ROW()-2&lt;Settings!$B$11),NA(),IF(COUNT(OFFSET(F290,1-Settings!$B$11,0,Settings!$B$11,1))&lt;Settings!$B$11,NA(),STDEV(OFFSET(F290,1-Settings!$B$11,0,Settings!$B$11,1))*SQRT(Settings!$B$13)))</f>
        <v/>
      </c>
      <c r="I290" s="18">
        <f>IF(OR(NOT(ISNUMBER($A290)),ROW()-2&lt;Settings!$B$12),NA(),IF(COUNT(OFFSET(F290,1-Settings!$B$12,0,Settings!$B$12,1))&lt;Settings!$B$12,NA(),STDEV(OFFSET(F290,1-Settings!$B$12,0,Settings!$B$12,1))*SQRT(Settings!$B$13)))</f>
        <v/>
      </c>
      <c r="J290" s="18">
        <f>IF(OR(NOT(ISNUMBER($A290)),ROW()-2&lt;Settings!$B$11),NA(),IF(COUNT(OFFSET(G290,1-Settings!$B$11,0,Settings!$B$11,1))&lt;Settings!$B$11,NA(),STDEV(OFFSET(G290,1-Settings!$B$11,0,Settings!$B$11,1))*SQRT(Settings!$B$13)))</f>
        <v/>
      </c>
      <c r="K290" s="18">
        <f>IF(OR(NOT(ISNUMBER($A290)),ROW()-2&lt;Settings!$B$12),NA(),IF(COUNT(OFFSET(G290,1-Settings!$B$12,0,Settings!$B$12,1))&lt;Settings!$B$12,NA(),STDEV(OFFSET(G290,1-Settings!$B$12,0,Settings!$B$12,1))*SQRT(Settings!$B$13)))</f>
        <v/>
      </c>
      <c r="L290" s="18">
        <f>IF(AND(ISNUMBER(D290),ISNUMBER(H290)),D290-H290,NA())</f>
        <v/>
      </c>
      <c r="M290" s="18">
        <f>IF(AND(ISNUMBER(E290),ISNUMBER(K290)),E290-K290,NA())</f>
        <v/>
      </c>
      <c r="N290" s="18">
        <f>IF(NOT(ISNUMBER($A290)),NA(),IF(COUNT(OFFSET(G290,1,0,Settings!$B$12,1))&lt;Settings!$B$12,NA(),STDEV(OFFSET(G290,1,0,Settings!$B$12,1))*SQRT(Settings!$B$13)))</f>
        <v/>
      </c>
      <c r="O290" s="18">
        <f>IF(AND(ISNUMBER(E290),ISNUMBER(N290)),E290-N290,NA())</f>
        <v/>
      </c>
      <c r="P290" s="17">
        <f>IF(NOT(ISNUMBER($A290)),NA(),IF(OR($A290&lt;MIN(KW_TP!$A$2:$A$2501),$A290&gt;MAX(KW_TP!$A$2:$A$2501)),NA(),INDEX(KW_TP!$C$2:$C$2501,MATCH($A290,KW_TP!$A$2:$A$2501,1))))</f>
        <v/>
      </c>
    </row>
    <row r="291">
      <c r="A291" s="15">
        <f>IF(ISNUMBER(BBG_Data!A291),BBG_Data!A291,"")</f>
        <v/>
      </c>
      <c r="B291" s="16">
        <f>IF(AND(ISNUMBER($A291),ISNUMBER(BBG_Data!B291)),BBG_Data!B291,NA())</f>
        <v/>
      </c>
      <c r="C291" s="16">
        <f>IF(AND(ISNUMBER($A291),ISNUMBER(BBG_Data!C291)),BBG_Data!C291,NA())</f>
        <v/>
      </c>
      <c r="D291" s="17">
        <f>IF(AND(ISNUMBER($A291),ISNUMBER(BBG_Data!D291)),BBG_Data!D291,NA())</f>
        <v/>
      </c>
      <c r="E291" s="17">
        <f>IF(AND(ISNUMBER($A291),ISNUMBER(BBG_Data!E291)),BBG_Data!E291,NA())</f>
        <v/>
      </c>
      <c r="F291" s="18">
        <f>IF(AND(ISNUMBER(B291),ISNUMBER(B290)),(B291-B290)*100,"")</f>
        <v/>
      </c>
      <c r="G291" s="18">
        <f>IF(AND(ISNUMBER(C291),ISNUMBER(C290)),(C291-C290)*100,"")</f>
        <v/>
      </c>
      <c r="H291" s="18">
        <f>IF(OR(NOT(ISNUMBER($A291)),ROW()-2&lt;Settings!$B$11),NA(),IF(COUNT(OFFSET(F291,1-Settings!$B$11,0,Settings!$B$11,1))&lt;Settings!$B$11,NA(),STDEV(OFFSET(F291,1-Settings!$B$11,0,Settings!$B$11,1))*SQRT(Settings!$B$13)))</f>
        <v/>
      </c>
      <c r="I291" s="18">
        <f>IF(OR(NOT(ISNUMBER($A291)),ROW()-2&lt;Settings!$B$12),NA(),IF(COUNT(OFFSET(F291,1-Settings!$B$12,0,Settings!$B$12,1))&lt;Settings!$B$12,NA(),STDEV(OFFSET(F291,1-Settings!$B$12,0,Settings!$B$12,1))*SQRT(Settings!$B$13)))</f>
        <v/>
      </c>
      <c r="J291" s="18">
        <f>IF(OR(NOT(ISNUMBER($A291)),ROW()-2&lt;Settings!$B$11),NA(),IF(COUNT(OFFSET(G291,1-Settings!$B$11,0,Settings!$B$11,1))&lt;Settings!$B$11,NA(),STDEV(OFFSET(G291,1-Settings!$B$11,0,Settings!$B$11,1))*SQRT(Settings!$B$13)))</f>
        <v/>
      </c>
      <c r="K291" s="18">
        <f>IF(OR(NOT(ISNUMBER($A291)),ROW()-2&lt;Settings!$B$12),NA(),IF(COUNT(OFFSET(G291,1-Settings!$B$12,0,Settings!$B$12,1))&lt;Settings!$B$12,NA(),STDEV(OFFSET(G291,1-Settings!$B$12,0,Settings!$B$12,1))*SQRT(Settings!$B$13)))</f>
        <v/>
      </c>
      <c r="L291" s="18">
        <f>IF(AND(ISNUMBER(D291),ISNUMBER(H291)),D291-H291,NA())</f>
        <v/>
      </c>
      <c r="M291" s="18">
        <f>IF(AND(ISNUMBER(E291),ISNUMBER(K291)),E291-K291,NA())</f>
        <v/>
      </c>
      <c r="N291" s="18">
        <f>IF(NOT(ISNUMBER($A291)),NA(),IF(COUNT(OFFSET(G291,1,0,Settings!$B$12,1))&lt;Settings!$B$12,NA(),STDEV(OFFSET(G291,1,0,Settings!$B$12,1))*SQRT(Settings!$B$13)))</f>
        <v/>
      </c>
      <c r="O291" s="18">
        <f>IF(AND(ISNUMBER(E291),ISNUMBER(N291)),E291-N291,NA())</f>
        <v/>
      </c>
      <c r="P291" s="17">
        <f>IF(NOT(ISNUMBER($A291)),NA(),IF(OR($A291&lt;MIN(KW_TP!$A$2:$A$2501),$A291&gt;MAX(KW_TP!$A$2:$A$2501)),NA(),INDEX(KW_TP!$C$2:$C$2501,MATCH($A291,KW_TP!$A$2:$A$2501,1))))</f>
        <v/>
      </c>
    </row>
    <row r="292">
      <c r="A292" s="15">
        <f>IF(ISNUMBER(BBG_Data!A292),BBG_Data!A292,"")</f>
        <v/>
      </c>
      <c r="B292" s="16">
        <f>IF(AND(ISNUMBER($A292),ISNUMBER(BBG_Data!B292)),BBG_Data!B292,NA())</f>
        <v/>
      </c>
      <c r="C292" s="16">
        <f>IF(AND(ISNUMBER($A292),ISNUMBER(BBG_Data!C292)),BBG_Data!C292,NA())</f>
        <v/>
      </c>
      <c r="D292" s="17">
        <f>IF(AND(ISNUMBER($A292),ISNUMBER(BBG_Data!D292)),BBG_Data!D292,NA())</f>
        <v/>
      </c>
      <c r="E292" s="17">
        <f>IF(AND(ISNUMBER($A292),ISNUMBER(BBG_Data!E292)),BBG_Data!E292,NA())</f>
        <v/>
      </c>
      <c r="F292" s="18">
        <f>IF(AND(ISNUMBER(B292),ISNUMBER(B291)),(B292-B291)*100,"")</f>
        <v/>
      </c>
      <c r="G292" s="18">
        <f>IF(AND(ISNUMBER(C292),ISNUMBER(C291)),(C292-C291)*100,"")</f>
        <v/>
      </c>
      <c r="H292" s="18">
        <f>IF(OR(NOT(ISNUMBER($A292)),ROW()-2&lt;Settings!$B$11),NA(),IF(COUNT(OFFSET(F292,1-Settings!$B$11,0,Settings!$B$11,1))&lt;Settings!$B$11,NA(),STDEV(OFFSET(F292,1-Settings!$B$11,0,Settings!$B$11,1))*SQRT(Settings!$B$13)))</f>
        <v/>
      </c>
      <c r="I292" s="18">
        <f>IF(OR(NOT(ISNUMBER($A292)),ROW()-2&lt;Settings!$B$12),NA(),IF(COUNT(OFFSET(F292,1-Settings!$B$12,0,Settings!$B$12,1))&lt;Settings!$B$12,NA(),STDEV(OFFSET(F292,1-Settings!$B$12,0,Settings!$B$12,1))*SQRT(Settings!$B$13)))</f>
        <v/>
      </c>
      <c r="J292" s="18">
        <f>IF(OR(NOT(ISNUMBER($A292)),ROW()-2&lt;Settings!$B$11),NA(),IF(COUNT(OFFSET(G292,1-Settings!$B$11,0,Settings!$B$11,1))&lt;Settings!$B$11,NA(),STDEV(OFFSET(G292,1-Settings!$B$11,0,Settings!$B$11,1))*SQRT(Settings!$B$13)))</f>
        <v/>
      </c>
      <c r="K292" s="18">
        <f>IF(OR(NOT(ISNUMBER($A292)),ROW()-2&lt;Settings!$B$12),NA(),IF(COUNT(OFFSET(G292,1-Settings!$B$12,0,Settings!$B$12,1))&lt;Settings!$B$12,NA(),STDEV(OFFSET(G292,1-Settings!$B$12,0,Settings!$B$12,1))*SQRT(Settings!$B$13)))</f>
        <v/>
      </c>
      <c r="L292" s="18">
        <f>IF(AND(ISNUMBER(D292),ISNUMBER(H292)),D292-H292,NA())</f>
        <v/>
      </c>
      <c r="M292" s="18">
        <f>IF(AND(ISNUMBER(E292),ISNUMBER(K292)),E292-K292,NA())</f>
        <v/>
      </c>
      <c r="N292" s="18">
        <f>IF(NOT(ISNUMBER($A292)),NA(),IF(COUNT(OFFSET(G292,1,0,Settings!$B$12,1))&lt;Settings!$B$12,NA(),STDEV(OFFSET(G292,1,0,Settings!$B$12,1))*SQRT(Settings!$B$13)))</f>
        <v/>
      </c>
      <c r="O292" s="18">
        <f>IF(AND(ISNUMBER(E292),ISNUMBER(N292)),E292-N292,NA())</f>
        <v/>
      </c>
      <c r="P292" s="17">
        <f>IF(NOT(ISNUMBER($A292)),NA(),IF(OR($A292&lt;MIN(KW_TP!$A$2:$A$2501),$A292&gt;MAX(KW_TP!$A$2:$A$2501)),NA(),INDEX(KW_TP!$C$2:$C$2501,MATCH($A292,KW_TP!$A$2:$A$2501,1))))</f>
        <v/>
      </c>
    </row>
    <row r="293">
      <c r="A293" s="15">
        <f>IF(ISNUMBER(BBG_Data!A293),BBG_Data!A293,"")</f>
        <v/>
      </c>
      <c r="B293" s="16">
        <f>IF(AND(ISNUMBER($A293),ISNUMBER(BBG_Data!B293)),BBG_Data!B293,NA())</f>
        <v/>
      </c>
      <c r="C293" s="16">
        <f>IF(AND(ISNUMBER($A293),ISNUMBER(BBG_Data!C293)),BBG_Data!C293,NA())</f>
        <v/>
      </c>
      <c r="D293" s="17">
        <f>IF(AND(ISNUMBER($A293),ISNUMBER(BBG_Data!D293)),BBG_Data!D293,NA())</f>
        <v/>
      </c>
      <c r="E293" s="17">
        <f>IF(AND(ISNUMBER($A293),ISNUMBER(BBG_Data!E293)),BBG_Data!E293,NA())</f>
        <v/>
      </c>
      <c r="F293" s="18">
        <f>IF(AND(ISNUMBER(B293),ISNUMBER(B292)),(B293-B292)*100,"")</f>
        <v/>
      </c>
      <c r="G293" s="18">
        <f>IF(AND(ISNUMBER(C293),ISNUMBER(C292)),(C293-C292)*100,"")</f>
        <v/>
      </c>
      <c r="H293" s="18">
        <f>IF(OR(NOT(ISNUMBER($A293)),ROW()-2&lt;Settings!$B$11),NA(),IF(COUNT(OFFSET(F293,1-Settings!$B$11,0,Settings!$B$11,1))&lt;Settings!$B$11,NA(),STDEV(OFFSET(F293,1-Settings!$B$11,0,Settings!$B$11,1))*SQRT(Settings!$B$13)))</f>
        <v/>
      </c>
      <c r="I293" s="18">
        <f>IF(OR(NOT(ISNUMBER($A293)),ROW()-2&lt;Settings!$B$12),NA(),IF(COUNT(OFFSET(F293,1-Settings!$B$12,0,Settings!$B$12,1))&lt;Settings!$B$12,NA(),STDEV(OFFSET(F293,1-Settings!$B$12,0,Settings!$B$12,1))*SQRT(Settings!$B$13)))</f>
        <v/>
      </c>
      <c r="J293" s="18">
        <f>IF(OR(NOT(ISNUMBER($A293)),ROW()-2&lt;Settings!$B$11),NA(),IF(COUNT(OFFSET(G293,1-Settings!$B$11,0,Settings!$B$11,1))&lt;Settings!$B$11,NA(),STDEV(OFFSET(G293,1-Settings!$B$11,0,Settings!$B$11,1))*SQRT(Settings!$B$13)))</f>
        <v/>
      </c>
      <c r="K293" s="18">
        <f>IF(OR(NOT(ISNUMBER($A293)),ROW()-2&lt;Settings!$B$12),NA(),IF(COUNT(OFFSET(G293,1-Settings!$B$12,0,Settings!$B$12,1))&lt;Settings!$B$12,NA(),STDEV(OFFSET(G293,1-Settings!$B$12,0,Settings!$B$12,1))*SQRT(Settings!$B$13)))</f>
        <v/>
      </c>
      <c r="L293" s="18">
        <f>IF(AND(ISNUMBER(D293),ISNUMBER(H293)),D293-H293,NA())</f>
        <v/>
      </c>
      <c r="M293" s="18">
        <f>IF(AND(ISNUMBER(E293),ISNUMBER(K293)),E293-K293,NA())</f>
        <v/>
      </c>
      <c r="N293" s="18">
        <f>IF(NOT(ISNUMBER($A293)),NA(),IF(COUNT(OFFSET(G293,1,0,Settings!$B$12,1))&lt;Settings!$B$12,NA(),STDEV(OFFSET(G293,1,0,Settings!$B$12,1))*SQRT(Settings!$B$13)))</f>
        <v/>
      </c>
      <c r="O293" s="18">
        <f>IF(AND(ISNUMBER(E293),ISNUMBER(N293)),E293-N293,NA())</f>
        <v/>
      </c>
      <c r="P293" s="17">
        <f>IF(NOT(ISNUMBER($A293)),NA(),IF(OR($A293&lt;MIN(KW_TP!$A$2:$A$2501),$A293&gt;MAX(KW_TP!$A$2:$A$2501)),NA(),INDEX(KW_TP!$C$2:$C$2501,MATCH($A293,KW_TP!$A$2:$A$2501,1))))</f>
        <v/>
      </c>
    </row>
    <row r="294">
      <c r="A294" s="15">
        <f>IF(ISNUMBER(BBG_Data!A294),BBG_Data!A294,"")</f>
        <v/>
      </c>
      <c r="B294" s="16">
        <f>IF(AND(ISNUMBER($A294),ISNUMBER(BBG_Data!B294)),BBG_Data!B294,NA())</f>
        <v/>
      </c>
      <c r="C294" s="16">
        <f>IF(AND(ISNUMBER($A294),ISNUMBER(BBG_Data!C294)),BBG_Data!C294,NA())</f>
        <v/>
      </c>
      <c r="D294" s="17">
        <f>IF(AND(ISNUMBER($A294),ISNUMBER(BBG_Data!D294)),BBG_Data!D294,NA())</f>
        <v/>
      </c>
      <c r="E294" s="17">
        <f>IF(AND(ISNUMBER($A294),ISNUMBER(BBG_Data!E294)),BBG_Data!E294,NA())</f>
        <v/>
      </c>
      <c r="F294" s="18">
        <f>IF(AND(ISNUMBER(B294),ISNUMBER(B293)),(B294-B293)*100,"")</f>
        <v/>
      </c>
      <c r="G294" s="18">
        <f>IF(AND(ISNUMBER(C294),ISNUMBER(C293)),(C294-C293)*100,"")</f>
        <v/>
      </c>
      <c r="H294" s="18">
        <f>IF(OR(NOT(ISNUMBER($A294)),ROW()-2&lt;Settings!$B$11),NA(),IF(COUNT(OFFSET(F294,1-Settings!$B$11,0,Settings!$B$11,1))&lt;Settings!$B$11,NA(),STDEV(OFFSET(F294,1-Settings!$B$11,0,Settings!$B$11,1))*SQRT(Settings!$B$13)))</f>
        <v/>
      </c>
      <c r="I294" s="18">
        <f>IF(OR(NOT(ISNUMBER($A294)),ROW()-2&lt;Settings!$B$12),NA(),IF(COUNT(OFFSET(F294,1-Settings!$B$12,0,Settings!$B$12,1))&lt;Settings!$B$12,NA(),STDEV(OFFSET(F294,1-Settings!$B$12,0,Settings!$B$12,1))*SQRT(Settings!$B$13)))</f>
        <v/>
      </c>
      <c r="J294" s="18">
        <f>IF(OR(NOT(ISNUMBER($A294)),ROW()-2&lt;Settings!$B$11),NA(),IF(COUNT(OFFSET(G294,1-Settings!$B$11,0,Settings!$B$11,1))&lt;Settings!$B$11,NA(),STDEV(OFFSET(G294,1-Settings!$B$11,0,Settings!$B$11,1))*SQRT(Settings!$B$13)))</f>
        <v/>
      </c>
      <c r="K294" s="18">
        <f>IF(OR(NOT(ISNUMBER($A294)),ROW()-2&lt;Settings!$B$12),NA(),IF(COUNT(OFFSET(G294,1-Settings!$B$12,0,Settings!$B$12,1))&lt;Settings!$B$12,NA(),STDEV(OFFSET(G294,1-Settings!$B$12,0,Settings!$B$12,1))*SQRT(Settings!$B$13)))</f>
        <v/>
      </c>
      <c r="L294" s="18">
        <f>IF(AND(ISNUMBER(D294),ISNUMBER(H294)),D294-H294,NA())</f>
        <v/>
      </c>
      <c r="M294" s="18">
        <f>IF(AND(ISNUMBER(E294),ISNUMBER(K294)),E294-K294,NA())</f>
        <v/>
      </c>
      <c r="N294" s="18">
        <f>IF(NOT(ISNUMBER($A294)),NA(),IF(COUNT(OFFSET(G294,1,0,Settings!$B$12,1))&lt;Settings!$B$12,NA(),STDEV(OFFSET(G294,1,0,Settings!$B$12,1))*SQRT(Settings!$B$13)))</f>
        <v/>
      </c>
      <c r="O294" s="18">
        <f>IF(AND(ISNUMBER(E294),ISNUMBER(N294)),E294-N294,NA())</f>
        <v/>
      </c>
      <c r="P294" s="17">
        <f>IF(NOT(ISNUMBER($A294)),NA(),IF(OR($A294&lt;MIN(KW_TP!$A$2:$A$2501),$A294&gt;MAX(KW_TP!$A$2:$A$2501)),NA(),INDEX(KW_TP!$C$2:$C$2501,MATCH($A294,KW_TP!$A$2:$A$2501,1))))</f>
        <v/>
      </c>
    </row>
    <row r="295">
      <c r="A295" s="15">
        <f>IF(ISNUMBER(BBG_Data!A295),BBG_Data!A295,"")</f>
        <v/>
      </c>
      <c r="B295" s="16">
        <f>IF(AND(ISNUMBER($A295),ISNUMBER(BBG_Data!B295)),BBG_Data!B295,NA())</f>
        <v/>
      </c>
      <c r="C295" s="16">
        <f>IF(AND(ISNUMBER($A295),ISNUMBER(BBG_Data!C295)),BBG_Data!C295,NA())</f>
        <v/>
      </c>
      <c r="D295" s="17">
        <f>IF(AND(ISNUMBER($A295),ISNUMBER(BBG_Data!D295)),BBG_Data!D295,NA())</f>
        <v/>
      </c>
      <c r="E295" s="17">
        <f>IF(AND(ISNUMBER($A295),ISNUMBER(BBG_Data!E295)),BBG_Data!E295,NA())</f>
        <v/>
      </c>
      <c r="F295" s="18">
        <f>IF(AND(ISNUMBER(B295),ISNUMBER(B294)),(B295-B294)*100,"")</f>
        <v/>
      </c>
      <c r="G295" s="18">
        <f>IF(AND(ISNUMBER(C295),ISNUMBER(C294)),(C295-C294)*100,"")</f>
        <v/>
      </c>
      <c r="H295" s="18">
        <f>IF(OR(NOT(ISNUMBER($A295)),ROW()-2&lt;Settings!$B$11),NA(),IF(COUNT(OFFSET(F295,1-Settings!$B$11,0,Settings!$B$11,1))&lt;Settings!$B$11,NA(),STDEV(OFFSET(F295,1-Settings!$B$11,0,Settings!$B$11,1))*SQRT(Settings!$B$13)))</f>
        <v/>
      </c>
      <c r="I295" s="18">
        <f>IF(OR(NOT(ISNUMBER($A295)),ROW()-2&lt;Settings!$B$12),NA(),IF(COUNT(OFFSET(F295,1-Settings!$B$12,0,Settings!$B$12,1))&lt;Settings!$B$12,NA(),STDEV(OFFSET(F295,1-Settings!$B$12,0,Settings!$B$12,1))*SQRT(Settings!$B$13)))</f>
        <v/>
      </c>
      <c r="J295" s="18">
        <f>IF(OR(NOT(ISNUMBER($A295)),ROW()-2&lt;Settings!$B$11),NA(),IF(COUNT(OFFSET(G295,1-Settings!$B$11,0,Settings!$B$11,1))&lt;Settings!$B$11,NA(),STDEV(OFFSET(G295,1-Settings!$B$11,0,Settings!$B$11,1))*SQRT(Settings!$B$13)))</f>
        <v/>
      </c>
      <c r="K295" s="18">
        <f>IF(OR(NOT(ISNUMBER($A295)),ROW()-2&lt;Settings!$B$12),NA(),IF(COUNT(OFFSET(G295,1-Settings!$B$12,0,Settings!$B$12,1))&lt;Settings!$B$12,NA(),STDEV(OFFSET(G295,1-Settings!$B$12,0,Settings!$B$12,1))*SQRT(Settings!$B$13)))</f>
        <v/>
      </c>
      <c r="L295" s="18">
        <f>IF(AND(ISNUMBER(D295),ISNUMBER(H295)),D295-H295,NA())</f>
        <v/>
      </c>
      <c r="M295" s="18">
        <f>IF(AND(ISNUMBER(E295),ISNUMBER(K295)),E295-K295,NA())</f>
        <v/>
      </c>
      <c r="N295" s="18">
        <f>IF(NOT(ISNUMBER($A295)),NA(),IF(COUNT(OFFSET(G295,1,0,Settings!$B$12,1))&lt;Settings!$B$12,NA(),STDEV(OFFSET(G295,1,0,Settings!$B$12,1))*SQRT(Settings!$B$13)))</f>
        <v/>
      </c>
      <c r="O295" s="18">
        <f>IF(AND(ISNUMBER(E295),ISNUMBER(N295)),E295-N295,NA())</f>
        <v/>
      </c>
      <c r="P295" s="17">
        <f>IF(NOT(ISNUMBER($A295)),NA(),IF(OR($A295&lt;MIN(KW_TP!$A$2:$A$2501),$A295&gt;MAX(KW_TP!$A$2:$A$2501)),NA(),INDEX(KW_TP!$C$2:$C$2501,MATCH($A295,KW_TP!$A$2:$A$2501,1))))</f>
        <v/>
      </c>
    </row>
    <row r="296">
      <c r="A296" s="15">
        <f>IF(ISNUMBER(BBG_Data!A296),BBG_Data!A296,"")</f>
        <v/>
      </c>
      <c r="B296" s="16">
        <f>IF(AND(ISNUMBER($A296),ISNUMBER(BBG_Data!B296)),BBG_Data!B296,NA())</f>
        <v/>
      </c>
      <c r="C296" s="16">
        <f>IF(AND(ISNUMBER($A296),ISNUMBER(BBG_Data!C296)),BBG_Data!C296,NA())</f>
        <v/>
      </c>
      <c r="D296" s="17">
        <f>IF(AND(ISNUMBER($A296),ISNUMBER(BBG_Data!D296)),BBG_Data!D296,NA())</f>
        <v/>
      </c>
      <c r="E296" s="17">
        <f>IF(AND(ISNUMBER($A296),ISNUMBER(BBG_Data!E296)),BBG_Data!E296,NA())</f>
        <v/>
      </c>
      <c r="F296" s="18">
        <f>IF(AND(ISNUMBER(B296),ISNUMBER(B295)),(B296-B295)*100,"")</f>
        <v/>
      </c>
      <c r="G296" s="18">
        <f>IF(AND(ISNUMBER(C296),ISNUMBER(C295)),(C296-C295)*100,"")</f>
        <v/>
      </c>
      <c r="H296" s="18">
        <f>IF(OR(NOT(ISNUMBER($A296)),ROW()-2&lt;Settings!$B$11),NA(),IF(COUNT(OFFSET(F296,1-Settings!$B$11,0,Settings!$B$11,1))&lt;Settings!$B$11,NA(),STDEV(OFFSET(F296,1-Settings!$B$11,0,Settings!$B$11,1))*SQRT(Settings!$B$13)))</f>
        <v/>
      </c>
      <c r="I296" s="18">
        <f>IF(OR(NOT(ISNUMBER($A296)),ROW()-2&lt;Settings!$B$12),NA(),IF(COUNT(OFFSET(F296,1-Settings!$B$12,0,Settings!$B$12,1))&lt;Settings!$B$12,NA(),STDEV(OFFSET(F296,1-Settings!$B$12,0,Settings!$B$12,1))*SQRT(Settings!$B$13)))</f>
        <v/>
      </c>
      <c r="J296" s="18">
        <f>IF(OR(NOT(ISNUMBER($A296)),ROW()-2&lt;Settings!$B$11),NA(),IF(COUNT(OFFSET(G296,1-Settings!$B$11,0,Settings!$B$11,1))&lt;Settings!$B$11,NA(),STDEV(OFFSET(G296,1-Settings!$B$11,0,Settings!$B$11,1))*SQRT(Settings!$B$13)))</f>
        <v/>
      </c>
      <c r="K296" s="18">
        <f>IF(OR(NOT(ISNUMBER($A296)),ROW()-2&lt;Settings!$B$12),NA(),IF(COUNT(OFFSET(G296,1-Settings!$B$12,0,Settings!$B$12,1))&lt;Settings!$B$12,NA(),STDEV(OFFSET(G296,1-Settings!$B$12,0,Settings!$B$12,1))*SQRT(Settings!$B$13)))</f>
        <v/>
      </c>
      <c r="L296" s="18">
        <f>IF(AND(ISNUMBER(D296),ISNUMBER(H296)),D296-H296,NA())</f>
        <v/>
      </c>
      <c r="M296" s="18">
        <f>IF(AND(ISNUMBER(E296),ISNUMBER(K296)),E296-K296,NA())</f>
        <v/>
      </c>
      <c r="N296" s="18">
        <f>IF(NOT(ISNUMBER($A296)),NA(),IF(COUNT(OFFSET(G296,1,0,Settings!$B$12,1))&lt;Settings!$B$12,NA(),STDEV(OFFSET(G296,1,0,Settings!$B$12,1))*SQRT(Settings!$B$13)))</f>
        <v/>
      </c>
      <c r="O296" s="18">
        <f>IF(AND(ISNUMBER(E296),ISNUMBER(N296)),E296-N296,NA())</f>
        <v/>
      </c>
      <c r="P296" s="17">
        <f>IF(NOT(ISNUMBER($A296)),NA(),IF(OR($A296&lt;MIN(KW_TP!$A$2:$A$2501),$A296&gt;MAX(KW_TP!$A$2:$A$2501)),NA(),INDEX(KW_TP!$C$2:$C$2501,MATCH($A296,KW_TP!$A$2:$A$2501,1))))</f>
        <v/>
      </c>
    </row>
    <row r="297">
      <c r="A297" s="15">
        <f>IF(ISNUMBER(BBG_Data!A297),BBG_Data!A297,"")</f>
        <v/>
      </c>
      <c r="B297" s="16">
        <f>IF(AND(ISNUMBER($A297),ISNUMBER(BBG_Data!B297)),BBG_Data!B297,NA())</f>
        <v/>
      </c>
      <c r="C297" s="16">
        <f>IF(AND(ISNUMBER($A297),ISNUMBER(BBG_Data!C297)),BBG_Data!C297,NA())</f>
        <v/>
      </c>
      <c r="D297" s="17">
        <f>IF(AND(ISNUMBER($A297),ISNUMBER(BBG_Data!D297)),BBG_Data!D297,NA())</f>
        <v/>
      </c>
      <c r="E297" s="17">
        <f>IF(AND(ISNUMBER($A297),ISNUMBER(BBG_Data!E297)),BBG_Data!E297,NA())</f>
        <v/>
      </c>
      <c r="F297" s="18">
        <f>IF(AND(ISNUMBER(B297),ISNUMBER(B296)),(B297-B296)*100,"")</f>
        <v/>
      </c>
      <c r="G297" s="18">
        <f>IF(AND(ISNUMBER(C297),ISNUMBER(C296)),(C297-C296)*100,"")</f>
        <v/>
      </c>
      <c r="H297" s="18">
        <f>IF(OR(NOT(ISNUMBER($A297)),ROW()-2&lt;Settings!$B$11),NA(),IF(COUNT(OFFSET(F297,1-Settings!$B$11,0,Settings!$B$11,1))&lt;Settings!$B$11,NA(),STDEV(OFFSET(F297,1-Settings!$B$11,0,Settings!$B$11,1))*SQRT(Settings!$B$13)))</f>
        <v/>
      </c>
      <c r="I297" s="18">
        <f>IF(OR(NOT(ISNUMBER($A297)),ROW()-2&lt;Settings!$B$12),NA(),IF(COUNT(OFFSET(F297,1-Settings!$B$12,0,Settings!$B$12,1))&lt;Settings!$B$12,NA(),STDEV(OFFSET(F297,1-Settings!$B$12,0,Settings!$B$12,1))*SQRT(Settings!$B$13)))</f>
        <v/>
      </c>
      <c r="J297" s="18">
        <f>IF(OR(NOT(ISNUMBER($A297)),ROW()-2&lt;Settings!$B$11),NA(),IF(COUNT(OFFSET(G297,1-Settings!$B$11,0,Settings!$B$11,1))&lt;Settings!$B$11,NA(),STDEV(OFFSET(G297,1-Settings!$B$11,0,Settings!$B$11,1))*SQRT(Settings!$B$13)))</f>
        <v/>
      </c>
      <c r="K297" s="18">
        <f>IF(OR(NOT(ISNUMBER($A297)),ROW()-2&lt;Settings!$B$12),NA(),IF(COUNT(OFFSET(G297,1-Settings!$B$12,0,Settings!$B$12,1))&lt;Settings!$B$12,NA(),STDEV(OFFSET(G297,1-Settings!$B$12,0,Settings!$B$12,1))*SQRT(Settings!$B$13)))</f>
        <v/>
      </c>
      <c r="L297" s="18">
        <f>IF(AND(ISNUMBER(D297),ISNUMBER(H297)),D297-H297,NA())</f>
        <v/>
      </c>
      <c r="M297" s="18">
        <f>IF(AND(ISNUMBER(E297),ISNUMBER(K297)),E297-K297,NA())</f>
        <v/>
      </c>
      <c r="N297" s="18">
        <f>IF(NOT(ISNUMBER($A297)),NA(),IF(COUNT(OFFSET(G297,1,0,Settings!$B$12,1))&lt;Settings!$B$12,NA(),STDEV(OFFSET(G297,1,0,Settings!$B$12,1))*SQRT(Settings!$B$13)))</f>
        <v/>
      </c>
      <c r="O297" s="18">
        <f>IF(AND(ISNUMBER(E297),ISNUMBER(N297)),E297-N297,NA())</f>
        <v/>
      </c>
      <c r="P297" s="17">
        <f>IF(NOT(ISNUMBER($A297)),NA(),IF(OR($A297&lt;MIN(KW_TP!$A$2:$A$2501),$A297&gt;MAX(KW_TP!$A$2:$A$2501)),NA(),INDEX(KW_TP!$C$2:$C$2501,MATCH($A297,KW_TP!$A$2:$A$2501,1))))</f>
        <v/>
      </c>
    </row>
    <row r="298">
      <c r="A298" s="15">
        <f>IF(ISNUMBER(BBG_Data!A298),BBG_Data!A298,"")</f>
        <v/>
      </c>
      <c r="B298" s="16">
        <f>IF(AND(ISNUMBER($A298),ISNUMBER(BBG_Data!B298)),BBG_Data!B298,NA())</f>
        <v/>
      </c>
      <c r="C298" s="16">
        <f>IF(AND(ISNUMBER($A298),ISNUMBER(BBG_Data!C298)),BBG_Data!C298,NA())</f>
        <v/>
      </c>
      <c r="D298" s="17">
        <f>IF(AND(ISNUMBER($A298),ISNUMBER(BBG_Data!D298)),BBG_Data!D298,NA())</f>
        <v/>
      </c>
      <c r="E298" s="17">
        <f>IF(AND(ISNUMBER($A298),ISNUMBER(BBG_Data!E298)),BBG_Data!E298,NA())</f>
        <v/>
      </c>
      <c r="F298" s="18">
        <f>IF(AND(ISNUMBER(B298),ISNUMBER(B297)),(B298-B297)*100,"")</f>
        <v/>
      </c>
      <c r="G298" s="18">
        <f>IF(AND(ISNUMBER(C298),ISNUMBER(C297)),(C298-C297)*100,"")</f>
        <v/>
      </c>
      <c r="H298" s="18">
        <f>IF(OR(NOT(ISNUMBER($A298)),ROW()-2&lt;Settings!$B$11),NA(),IF(COUNT(OFFSET(F298,1-Settings!$B$11,0,Settings!$B$11,1))&lt;Settings!$B$11,NA(),STDEV(OFFSET(F298,1-Settings!$B$11,0,Settings!$B$11,1))*SQRT(Settings!$B$13)))</f>
        <v/>
      </c>
      <c r="I298" s="18">
        <f>IF(OR(NOT(ISNUMBER($A298)),ROW()-2&lt;Settings!$B$12),NA(),IF(COUNT(OFFSET(F298,1-Settings!$B$12,0,Settings!$B$12,1))&lt;Settings!$B$12,NA(),STDEV(OFFSET(F298,1-Settings!$B$12,0,Settings!$B$12,1))*SQRT(Settings!$B$13)))</f>
        <v/>
      </c>
      <c r="J298" s="18">
        <f>IF(OR(NOT(ISNUMBER($A298)),ROW()-2&lt;Settings!$B$11),NA(),IF(COUNT(OFFSET(G298,1-Settings!$B$11,0,Settings!$B$11,1))&lt;Settings!$B$11,NA(),STDEV(OFFSET(G298,1-Settings!$B$11,0,Settings!$B$11,1))*SQRT(Settings!$B$13)))</f>
        <v/>
      </c>
      <c r="K298" s="18">
        <f>IF(OR(NOT(ISNUMBER($A298)),ROW()-2&lt;Settings!$B$12),NA(),IF(COUNT(OFFSET(G298,1-Settings!$B$12,0,Settings!$B$12,1))&lt;Settings!$B$12,NA(),STDEV(OFFSET(G298,1-Settings!$B$12,0,Settings!$B$12,1))*SQRT(Settings!$B$13)))</f>
        <v/>
      </c>
      <c r="L298" s="18">
        <f>IF(AND(ISNUMBER(D298),ISNUMBER(H298)),D298-H298,NA())</f>
        <v/>
      </c>
      <c r="M298" s="18">
        <f>IF(AND(ISNUMBER(E298),ISNUMBER(K298)),E298-K298,NA())</f>
        <v/>
      </c>
      <c r="N298" s="18">
        <f>IF(NOT(ISNUMBER($A298)),NA(),IF(COUNT(OFFSET(G298,1,0,Settings!$B$12,1))&lt;Settings!$B$12,NA(),STDEV(OFFSET(G298,1,0,Settings!$B$12,1))*SQRT(Settings!$B$13)))</f>
        <v/>
      </c>
      <c r="O298" s="18">
        <f>IF(AND(ISNUMBER(E298),ISNUMBER(N298)),E298-N298,NA())</f>
        <v/>
      </c>
      <c r="P298" s="17">
        <f>IF(NOT(ISNUMBER($A298)),NA(),IF(OR($A298&lt;MIN(KW_TP!$A$2:$A$2501),$A298&gt;MAX(KW_TP!$A$2:$A$2501)),NA(),INDEX(KW_TP!$C$2:$C$2501,MATCH($A298,KW_TP!$A$2:$A$2501,1))))</f>
        <v/>
      </c>
    </row>
    <row r="299">
      <c r="A299" s="15">
        <f>IF(ISNUMBER(BBG_Data!A299),BBG_Data!A299,"")</f>
        <v/>
      </c>
      <c r="B299" s="16">
        <f>IF(AND(ISNUMBER($A299),ISNUMBER(BBG_Data!B299)),BBG_Data!B299,NA())</f>
        <v/>
      </c>
      <c r="C299" s="16">
        <f>IF(AND(ISNUMBER($A299),ISNUMBER(BBG_Data!C299)),BBG_Data!C299,NA())</f>
        <v/>
      </c>
      <c r="D299" s="17">
        <f>IF(AND(ISNUMBER($A299),ISNUMBER(BBG_Data!D299)),BBG_Data!D299,NA())</f>
        <v/>
      </c>
      <c r="E299" s="17">
        <f>IF(AND(ISNUMBER($A299),ISNUMBER(BBG_Data!E299)),BBG_Data!E299,NA())</f>
        <v/>
      </c>
      <c r="F299" s="18">
        <f>IF(AND(ISNUMBER(B299),ISNUMBER(B298)),(B299-B298)*100,"")</f>
        <v/>
      </c>
      <c r="G299" s="18">
        <f>IF(AND(ISNUMBER(C299),ISNUMBER(C298)),(C299-C298)*100,"")</f>
        <v/>
      </c>
      <c r="H299" s="18">
        <f>IF(OR(NOT(ISNUMBER($A299)),ROW()-2&lt;Settings!$B$11),NA(),IF(COUNT(OFFSET(F299,1-Settings!$B$11,0,Settings!$B$11,1))&lt;Settings!$B$11,NA(),STDEV(OFFSET(F299,1-Settings!$B$11,0,Settings!$B$11,1))*SQRT(Settings!$B$13)))</f>
        <v/>
      </c>
      <c r="I299" s="18">
        <f>IF(OR(NOT(ISNUMBER($A299)),ROW()-2&lt;Settings!$B$12),NA(),IF(COUNT(OFFSET(F299,1-Settings!$B$12,0,Settings!$B$12,1))&lt;Settings!$B$12,NA(),STDEV(OFFSET(F299,1-Settings!$B$12,0,Settings!$B$12,1))*SQRT(Settings!$B$13)))</f>
        <v/>
      </c>
      <c r="J299" s="18">
        <f>IF(OR(NOT(ISNUMBER($A299)),ROW()-2&lt;Settings!$B$11),NA(),IF(COUNT(OFFSET(G299,1-Settings!$B$11,0,Settings!$B$11,1))&lt;Settings!$B$11,NA(),STDEV(OFFSET(G299,1-Settings!$B$11,0,Settings!$B$11,1))*SQRT(Settings!$B$13)))</f>
        <v/>
      </c>
      <c r="K299" s="18">
        <f>IF(OR(NOT(ISNUMBER($A299)),ROW()-2&lt;Settings!$B$12),NA(),IF(COUNT(OFFSET(G299,1-Settings!$B$12,0,Settings!$B$12,1))&lt;Settings!$B$12,NA(),STDEV(OFFSET(G299,1-Settings!$B$12,0,Settings!$B$12,1))*SQRT(Settings!$B$13)))</f>
        <v/>
      </c>
      <c r="L299" s="18">
        <f>IF(AND(ISNUMBER(D299),ISNUMBER(H299)),D299-H299,NA())</f>
        <v/>
      </c>
      <c r="M299" s="18">
        <f>IF(AND(ISNUMBER(E299),ISNUMBER(K299)),E299-K299,NA())</f>
        <v/>
      </c>
      <c r="N299" s="18">
        <f>IF(NOT(ISNUMBER($A299)),NA(),IF(COUNT(OFFSET(G299,1,0,Settings!$B$12,1))&lt;Settings!$B$12,NA(),STDEV(OFFSET(G299,1,0,Settings!$B$12,1))*SQRT(Settings!$B$13)))</f>
        <v/>
      </c>
      <c r="O299" s="18">
        <f>IF(AND(ISNUMBER(E299),ISNUMBER(N299)),E299-N299,NA())</f>
        <v/>
      </c>
      <c r="P299" s="17">
        <f>IF(NOT(ISNUMBER($A299)),NA(),IF(OR($A299&lt;MIN(KW_TP!$A$2:$A$2501),$A299&gt;MAX(KW_TP!$A$2:$A$2501)),NA(),INDEX(KW_TP!$C$2:$C$2501,MATCH($A299,KW_TP!$A$2:$A$2501,1))))</f>
        <v/>
      </c>
    </row>
    <row r="300">
      <c r="A300" s="15">
        <f>IF(ISNUMBER(BBG_Data!A300),BBG_Data!A300,"")</f>
        <v/>
      </c>
      <c r="B300" s="16">
        <f>IF(AND(ISNUMBER($A300),ISNUMBER(BBG_Data!B300)),BBG_Data!B300,NA())</f>
        <v/>
      </c>
      <c r="C300" s="16">
        <f>IF(AND(ISNUMBER($A300),ISNUMBER(BBG_Data!C300)),BBG_Data!C300,NA())</f>
        <v/>
      </c>
      <c r="D300" s="17">
        <f>IF(AND(ISNUMBER($A300),ISNUMBER(BBG_Data!D300)),BBG_Data!D300,NA())</f>
        <v/>
      </c>
      <c r="E300" s="17">
        <f>IF(AND(ISNUMBER($A300),ISNUMBER(BBG_Data!E300)),BBG_Data!E300,NA())</f>
        <v/>
      </c>
      <c r="F300" s="18">
        <f>IF(AND(ISNUMBER(B300),ISNUMBER(B299)),(B300-B299)*100,"")</f>
        <v/>
      </c>
      <c r="G300" s="18">
        <f>IF(AND(ISNUMBER(C300),ISNUMBER(C299)),(C300-C299)*100,"")</f>
        <v/>
      </c>
      <c r="H300" s="18">
        <f>IF(OR(NOT(ISNUMBER($A300)),ROW()-2&lt;Settings!$B$11),NA(),IF(COUNT(OFFSET(F300,1-Settings!$B$11,0,Settings!$B$11,1))&lt;Settings!$B$11,NA(),STDEV(OFFSET(F300,1-Settings!$B$11,0,Settings!$B$11,1))*SQRT(Settings!$B$13)))</f>
        <v/>
      </c>
      <c r="I300" s="18">
        <f>IF(OR(NOT(ISNUMBER($A300)),ROW()-2&lt;Settings!$B$12),NA(),IF(COUNT(OFFSET(F300,1-Settings!$B$12,0,Settings!$B$12,1))&lt;Settings!$B$12,NA(),STDEV(OFFSET(F300,1-Settings!$B$12,0,Settings!$B$12,1))*SQRT(Settings!$B$13)))</f>
        <v/>
      </c>
      <c r="J300" s="18">
        <f>IF(OR(NOT(ISNUMBER($A300)),ROW()-2&lt;Settings!$B$11),NA(),IF(COUNT(OFFSET(G300,1-Settings!$B$11,0,Settings!$B$11,1))&lt;Settings!$B$11,NA(),STDEV(OFFSET(G300,1-Settings!$B$11,0,Settings!$B$11,1))*SQRT(Settings!$B$13)))</f>
        <v/>
      </c>
      <c r="K300" s="18">
        <f>IF(OR(NOT(ISNUMBER($A300)),ROW()-2&lt;Settings!$B$12),NA(),IF(COUNT(OFFSET(G300,1-Settings!$B$12,0,Settings!$B$12,1))&lt;Settings!$B$12,NA(),STDEV(OFFSET(G300,1-Settings!$B$12,0,Settings!$B$12,1))*SQRT(Settings!$B$13)))</f>
        <v/>
      </c>
      <c r="L300" s="18">
        <f>IF(AND(ISNUMBER(D300),ISNUMBER(H300)),D300-H300,NA())</f>
        <v/>
      </c>
      <c r="M300" s="18">
        <f>IF(AND(ISNUMBER(E300),ISNUMBER(K300)),E300-K300,NA())</f>
        <v/>
      </c>
      <c r="N300" s="18">
        <f>IF(NOT(ISNUMBER($A300)),NA(),IF(COUNT(OFFSET(G300,1,0,Settings!$B$12,1))&lt;Settings!$B$12,NA(),STDEV(OFFSET(G300,1,0,Settings!$B$12,1))*SQRT(Settings!$B$13)))</f>
        <v/>
      </c>
      <c r="O300" s="18">
        <f>IF(AND(ISNUMBER(E300),ISNUMBER(N300)),E300-N300,NA())</f>
        <v/>
      </c>
      <c r="P300" s="17">
        <f>IF(NOT(ISNUMBER($A300)),NA(),IF(OR($A300&lt;MIN(KW_TP!$A$2:$A$2501),$A300&gt;MAX(KW_TP!$A$2:$A$2501)),NA(),INDEX(KW_TP!$C$2:$C$2501,MATCH($A300,KW_TP!$A$2:$A$2501,1))))</f>
        <v/>
      </c>
    </row>
    <row r="301">
      <c r="A301" s="15">
        <f>IF(ISNUMBER(BBG_Data!A301),BBG_Data!A301,"")</f>
        <v/>
      </c>
      <c r="B301" s="16">
        <f>IF(AND(ISNUMBER($A301),ISNUMBER(BBG_Data!B301)),BBG_Data!B301,NA())</f>
        <v/>
      </c>
      <c r="C301" s="16">
        <f>IF(AND(ISNUMBER($A301),ISNUMBER(BBG_Data!C301)),BBG_Data!C301,NA())</f>
        <v/>
      </c>
      <c r="D301" s="17">
        <f>IF(AND(ISNUMBER($A301),ISNUMBER(BBG_Data!D301)),BBG_Data!D301,NA())</f>
        <v/>
      </c>
      <c r="E301" s="17">
        <f>IF(AND(ISNUMBER($A301),ISNUMBER(BBG_Data!E301)),BBG_Data!E301,NA())</f>
        <v/>
      </c>
      <c r="F301" s="18">
        <f>IF(AND(ISNUMBER(B301),ISNUMBER(B300)),(B301-B300)*100,"")</f>
        <v/>
      </c>
      <c r="G301" s="18">
        <f>IF(AND(ISNUMBER(C301),ISNUMBER(C300)),(C301-C300)*100,"")</f>
        <v/>
      </c>
      <c r="H301" s="18">
        <f>IF(OR(NOT(ISNUMBER($A301)),ROW()-2&lt;Settings!$B$11),NA(),IF(COUNT(OFFSET(F301,1-Settings!$B$11,0,Settings!$B$11,1))&lt;Settings!$B$11,NA(),STDEV(OFFSET(F301,1-Settings!$B$11,0,Settings!$B$11,1))*SQRT(Settings!$B$13)))</f>
        <v/>
      </c>
      <c r="I301" s="18">
        <f>IF(OR(NOT(ISNUMBER($A301)),ROW()-2&lt;Settings!$B$12),NA(),IF(COUNT(OFFSET(F301,1-Settings!$B$12,0,Settings!$B$12,1))&lt;Settings!$B$12,NA(),STDEV(OFFSET(F301,1-Settings!$B$12,0,Settings!$B$12,1))*SQRT(Settings!$B$13)))</f>
        <v/>
      </c>
      <c r="J301" s="18">
        <f>IF(OR(NOT(ISNUMBER($A301)),ROW()-2&lt;Settings!$B$11),NA(),IF(COUNT(OFFSET(G301,1-Settings!$B$11,0,Settings!$B$11,1))&lt;Settings!$B$11,NA(),STDEV(OFFSET(G301,1-Settings!$B$11,0,Settings!$B$11,1))*SQRT(Settings!$B$13)))</f>
        <v/>
      </c>
      <c r="K301" s="18">
        <f>IF(OR(NOT(ISNUMBER($A301)),ROW()-2&lt;Settings!$B$12),NA(),IF(COUNT(OFFSET(G301,1-Settings!$B$12,0,Settings!$B$12,1))&lt;Settings!$B$12,NA(),STDEV(OFFSET(G301,1-Settings!$B$12,0,Settings!$B$12,1))*SQRT(Settings!$B$13)))</f>
        <v/>
      </c>
      <c r="L301" s="18">
        <f>IF(AND(ISNUMBER(D301),ISNUMBER(H301)),D301-H301,NA())</f>
        <v/>
      </c>
      <c r="M301" s="18">
        <f>IF(AND(ISNUMBER(E301),ISNUMBER(K301)),E301-K301,NA())</f>
        <v/>
      </c>
      <c r="N301" s="18">
        <f>IF(NOT(ISNUMBER($A301)),NA(),IF(COUNT(OFFSET(G301,1,0,Settings!$B$12,1))&lt;Settings!$B$12,NA(),STDEV(OFFSET(G301,1,0,Settings!$B$12,1))*SQRT(Settings!$B$13)))</f>
        <v/>
      </c>
      <c r="O301" s="18">
        <f>IF(AND(ISNUMBER(E301),ISNUMBER(N301)),E301-N301,NA())</f>
        <v/>
      </c>
      <c r="P301" s="17">
        <f>IF(NOT(ISNUMBER($A301)),NA(),IF(OR($A301&lt;MIN(KW_TP!$A$2:$A$2501),$A301&gt;MAX(KW_TP!$A$2:$A$2501)),NA(),INDEX(KW_TP!$C$2:$C$2501,MATCH($A301,KW_TP!$A$2:$A$2501,1))))</f>
        <v/>
      </c>
    </row>
    <row r="302">
      <c r="A302" s="15">
        <f>IF(ISNUMBER(BBG_Data!A302),BBG_Data!A302,"")</f>
        <v/>
      </c>
      <c r="B302" s="16">
        <f>IF(AND(ISNUMBER($A302),ISNUMBER(BBG_Data!B302)),BBG_Data!B302,NA())</f>
        <v/>
      </c>
      <c r="C302" s="16">
        <f>IF(AND(ISNUMBER($A302),ISNUMBER(BBG_Data!C302)),BBG_Data!C302,NA())</f>
        <v/>
      </c>
      <c r="D302" s="17">
        <f>IF(AND(ISNUMBER($A302),ISNUMBER(BBG_Data!D302)),BBG_Data!D302,NA())</f>
        <v/>
      </c>
      <c r="E302" s="17">
        <f>IF(AND(ISNUMBER($A302),ISNUMBER(BBG_Data!E302)),BBG_Data!E302,NA())</f>
        <v/>
      </c>
      <c r="F302" s="18">
        <f>IF(AND(ISNUMBER(B302),ISNUMBER(B301)),(B302-B301)*100,"")</f>
        <v/>
      </c>
      <c r="G302" s="18">
        <f>IF(AND(ISNUMBER(C302),ISNUMBER(C301)),(C302-C301)*100,"")</f>
        <v/>
      </c>
      <c r="H302" s="18">
        <f>IF(OR(NOT(ISNUMBER($A302)),ROW()-2&lt;Settings!$B$11),NA(),IF(COUNT(OFFSET(F302,1-Settings!$B$11,0,Settings!$B$11,1))&lt;Settings!$B$11,NA(),STDEV(OFFSET(F302,1-Settings!$B$11,0,Settings!$B$11,1))*SQRT(Settings!$B$13)))</f>
        <v/>
      </c>
      <c r="I302" s="18">
        <f>IF(OR(NOT(ISNUMBER($A302)),ROW()-2&lt;Settings!$B$12),NA(),IF(COUNT(OFFSET(F302,1-Settings!$B$12,0,Settings!$B$12,1))&lt;Settings!$B$12,NA(),STDEV(OFFSET(F302,1-Settings!$B$12,0,Settings!$B$12,1))*SQRT(Settings!$B$13)))</f>
        <v/>
      </c>
      <c r="J302" s="18">
        <f>IF(OR(NOT(ISNUMBER($A302)),ROW()-2&lt;Settings!$B$11),NA(),IF(COUNT(OFFSET(G302,1-Settings!$B$11,0,Settings!$B$11,1))&lt;Settings!$B$11,NA(),STDEV(OFFSET(G302,1-Settings!$B$11,0,Settings!$B$11,1))*SQRT(Settings!$B$13)))</f>
        <v/>
      </c>
      <c r="K302" s="18">
        <f>IF(OR(NOT(ISNUMBER($A302)),ROW()-2&lt;Settings!$B$12),NA(),IF(COUNT(OFFSET(G302,1-Settings!$B$12,0,Settings!$B$12,1))&lt;Settings!$B$12,NA(),STDEV(OFFSET(G302,1-Settings!$B$12,0,Settings!$B$12,1))*SQRT(Settings!$B$13)))</f>
        <v/>
      </c>
      <c r="L302" s="18">
        <f>IF(AND(ISNUMBER(D302),ISNUMBER(H302)),D302-H302,NA())</f>
        <v/>
      </c>
      <c r="M302" s="18">
        <f>IF(AND(ISNUMBER(E302),ISNUMBER(K302)),E302-K302,NA())</f>
        <v/>
      </c>
      <c r="N302" s="18">
        <f>IF(NOT(ISNUMBER($A302)),NA(),IF(COUNT(OFFSET(G302,1,0,Settings!$B$12,1))&lt;Settings!$B$12,NA(),STDEV(OFFSET(G302,1,0,Settings!$B$12,1))*SQRT(Settings!$B$13)))</f>
        <v/>
      </c>
      <c r="O302" s="18">
        <f>IF(AND(ISNUMBER(E302),ISNUMBER(N302)),E302-N302,NA())</f>
        <v/>
      </c>
      <c r="P302" s="17">
        <f>IF(NOT(ISNUMBER($A302)),NA(),IF(OR($A302&lt;MIN(KW_TP!$A$2:$A$2501),$A302&gt;MAX(KW_TP!$A$2:$A$2501)),NA(),INDEX(KW_TP!$C$2:$C$2501,MATCH($A302,KW_TP!$A$2:$A$2501,1))))</f>
        <v/>
      </c>
    </row>
    <row r="303">
      <c r="A303" s="15">
        <f>IF(ISNUMBER(BBG_Data!A303),BBG_Data!A303,"")</f>
        <v/>
      </c>
      <c r="B303" s="16">
        <f>IF(AND(ISNUMBER($A303),ISNUMBER(BBG_Data!B303)),BBG_Data!B303,NA())</f>
        <v/>
      </c>
      <c r="C303" s="16">
        <f>IF(AND(ISNUMBER($A303),ISNUMBER(BBG_Data!C303)),BBG_Data!C303,NA())</f>
        <v/>
      </c>
      <c r="D303" s="17">
        <f>IF(AND(ISNUMBER($A303),ISNUMBER(BBG_Data!D303)),BBG_Data!D303,NA())</f>
        <v/>
      </c>
      <c r="E303" s="17">
        <f>IF(AND(ISNUMBER($A303),ISNUMBER(BBG_Data!E303)),BBG_Data!E303,NA())</f>
        <v/>
      </c>
      <c r="F303" s="18">
        <f>IF(AND(ISNUMBER(B303),ISNUMBER(B302)),(B303-B302)*100,"")</f>
        <v/>
      </c>
      <c r="G303" s="18">
        <f>IF(AND(ISNUMBER(C303),ISNUMBER(C302)),(C303-C302)*100,"")</f>
        <v/>
      </c>
      <c r="H303" s="18">
        <f>IF(OR(NOT(ISNUMBER($A303)),ROW()-2&lt;Settings!$B$11),NA(),IF(COUNT(OFFSET(F303,1-Settings!$B$11,0,Settings!$B$11,1))&lt;Settings!$B$11,NA(),STDEV(OFFSET(F303,1-Settings!$B$11,0,Settings!$B$11,1))*SQRT(Settings!$B$13)))</f>
        <v/>
      </c>
      <c r="I303" s="18">
        <f>IF(OR(NOT(ISNUMBER($A303)),ROW()-2&lt;Settings!$B$12),NA(),IF(COUNT(OFFSET(F303,1-Settings!$B$12,0,Settings!$B$12,1))&lt;Settings!$B$12,NA(),STDEV(OFFSET(F303,1-Settings!$B$12,0,Settings!$B$12,1))*SQRT(Settings!$B$13)))</f>
        <v/>
      </c>
      <c r="J303" s="18">
        <f>IF(OR(NOT(ISNUMBER($A303)),ROW()-2&lt;Settings!$B$11),NA(),IF(COUNT(OFFSET(G303,1-Settings!$B$11,0,Settings!$B$11,1))&lt;Settings!$B$11,NA(),STDEV(OFFSET(G303,1-Settings!$B$11,0,Settings!$B$11,1))*SQRT(Settings!$B$13)))</f>
        <v/>
      </c>
      <c r="K303" s="18">
        <f>IF(OR(NOT(ISNUMBER($A303)),ROW()-2&lt;Settings!$B$12),NA(),IF(COUNT(OFFSET(G303,1-Settings!$B$12,0,Settings!$B$12,1))&lt;Settings!$B$12,NA(),STDEV(OFFSET(G303,1-Settings!$B$12,0,Settings!$B$12,1))*SQRT(Settings!$B$13)))</f>
        <v/>
      </c>
      <c r="L303" s="18">
        <f>IF(AND(ISNUMBER(D303),ISNUMBER(H303)),D303-H303,NA())</f>
        <v/>
      </c>
      <c r="M303" s="18">
        <f>IF(AND(ISNUMBER(E303),ISNUMBER(K303)),E303-K303,NA())</f>
        <v/>
      </c>
      <c r="N303" s="18">
        <f>IF(NOT(ISNUMBER($A303)),NA(),IF(COUNT(OFFSET(G303,1,0,Settings!$B$12,1))&lt;Settings!$B$12,NA(),STDEV(OFFSET(G303,1,0,Settings!$B$12,1))*SQRT(Settings!$B$13)))</f>
        <v/>
      </c>
      <c r="O303" s="18">
        <f>IF(AND(ISNUMBER(E303),ISNUMBER(N303)),E303-N303,NA())</f>
        <v/>
      </c>
      <c r="P303" s="17">
        <f>IF(NOT(ISNUMBER($A303)),NA(),IF(OR($A303&lt;MIN(KW_TP!$A$2:$A$2501),$A303&gt;MAX(KW_TP!$A$2:$A$2501)),NA(),INDEX(KW_TP!$C$2:$C$2501,MATCH($A303,KW_TP!$A$2:$A$2501,1))))</f>
        <v/>
      </c>
    </row>
    <row r="304">
      <c r="A304" s="15">
        <f>IF(ISNUMBER(BBG_Data!A304),BBG_Data!A304,"")</f>
        <v/>
      </c>
      <c r="B304" s="16">
        <f>IF(AND(ISNUMBER($A304),ISNUMBER(BBG_Data!B304)),BBG_Data!B304,NA())</f>
        <v/>
      </c>
      <c r="C304" s="16">
        <f>IF(AND(ISNUMBER($A304),ISNUMBER(BBG_Data!C304)),BBG_Data!C304,NA())</f>
        <v/>
      </c>
      <c r="D304" s="17">
        <f>IF(AND(ISNUMBER($A304),ISNUMBER(BBG_Data!D304)),BBG_Data!D304,NA())</f>
        <v/>
      </c>
      <c r="E304" s="17">
        <f>IF(AND(ISNUMBER($A304),ISNUMBER(BBG_Data!E304)),BBG_Data!E304,NA())</f>
        <v/>
      </c>
      <c r="F304" s="18">
        <f>IF(AND(ISNUMBER(B304),ISNUMBER(B303)),(B304-B303)*100,"")</f>
        <v/>
      </c>
      <c r="G304" s="18">
        <f>IF(AND(ISNUMBER(C304),ISNUMBER(C303)),(C304-C303)*100,"")</f>
        <v/>
      </c>
      <c r="H304" s="18">
        <f>IF(OR(NOT(ISNUMBER($A304)),ROW()-2&lt;Settings!$B$11),NA(),IF(COUNT(OFFSET(F304,1-Settings!$B$11,0,Settings!$B$11,1))&lt;Settings!$B$11,NA(),STDEV(OFFSET(F304,1-Settings!$B$11,0,Settings!$B$11,1))*SQRT(Settings!$B$13)))</f>
        <v/>
      </c>
      <c r="I304" s="18">
        <f>IF(OR(NOT(ISNUMBER($A304)),ROW()-2&lt;Settings!$B$12),NA(),IF(COUNT(OFFSET(F304,1-Settings!$B$12,0,Settings!$B$12,1))&lt;Settings!$B$12,NA(),STDEV(OFFSET(F304,1-Settings!$B$12,0,Settings!$B$12,1))*SQRT(Settings!$B$13)))</f>
        <v/>
      </c>
      <c r="J304" s="18">
        <f>IF(OR(NOT(ISNUMBER($A304)),ROW()-2&lt;Settings!$B$11),NA(),IF(COUNT(OFFSET(G304,1-Settings!$B$11,0,Settings!$B$11,1))&lt;Settings!$B$11,NA(),STDEV(OFFSET(G304,1-Settings!$B$11,0,Settings!$B$11,1))*SQRT(Settings!$B$13)))</f>
        <v/>
      </c>
      <c r="K304" s="18">
        <f>IF(OR(NOT(ISNUMBER($A304)),ROW()-2&lt;Settings!$B$12),NA(),IF(COUNT(OFFSET(G304,1-Settings!$B$12,0,Settings!$B$12,1))&lt;Settings!$B$12,NA(),STDEV(OFFSET(G304,1-Settings!$B$12,0,Settings!$B$12,1))*SQRT(Settings!$B$13)))</f>
        <v/>
      </c>
      <c r="L304" s="18">
        <f>IF(AND(ISNUMBER(D304),ISNUMBER(H304)),D304-H304,NA())</f>
        <v/>
      </c>
      <c r="M304" s="18">
        <f>IF(AND(ISNUMBER(E304),ISNUMBER(K304)),E304-K304,NA())</f>
        <v/>
      </c>
      <c r="N304" s="18">
        <f>IF(NOT(ISNUMBER($A304)),NA(),IF(COUNT(OFFSET(G304,1,0,Settings!$B$12,1))&lt;Settings!$B$12,NA(),STDEV(OFFSET(G304,1,0,Settings!$B$12,1))*SQRT(Settings!$B$13)))</f>
        <v/>
      </c>
      <c r="O304" s="18">
        <f>IF(AND(ISNUMBER(E304),ISNUMBER(N304)),E304-N304,NA())</f>
        <v/>
      </c>
      <c r="P304" s="17">
        <f>IF(NOT(ISNUMBER($A304)),NA(),IF(OR($A304&lt;MIN(KW_TP!$A$2:$A$2501),$A304&gt;MAX(KW_TP!$A$2:$A$2501)),NA(),INDEX(KW_TP!$C$2:$C$2501,MATCH($A304,KW_TP!$A$2:$A$2501,1))))</f>
        <v/>
      </c>
    </row>
    <row r="305">
      <c r="A305" s="15">
        <f>IF(ISNUMBER(BBG_Data!A305),BBG_Data!A305,"")</f>
        <v/>
      </c>
      <c r="B305" s="16">
        <f>IF(AND(ISNUMBER($A305),ISNUMBER(BBG_Data!B305)),BBG_Data!B305,NA())</f>
        <v/>
      </c>
      <c r="C305" s="16">
        <f>IF(AND(ISNUMBER($A305),ISNUMBER(BBG_Data!C305)),BBG_Data!C305,NA())</f>
        <v/>
      </c>
      <c r="D305" s="17">
        <f>IF(AND(ISNUMBER($A305),ISNUMBER(BBG_Data!D305)),BBG_Data!D305,NA())</f>
        <v/>
      </c>
      <c r="E305" s="17">
        <f>IF(AND(ISNUMBER($A305),ISNUMBER(BBG_Data!E305)),BBG_Data!E305,NA())</f>
        <v/>
      </c>
      <c r="F305" s="18">
        <f>IF(AND(ISNUMBER(B305),ISNUMBER(B304)),(B305-B304)*100,"")</f>
        <v/>
      </c>
      <c r="G305" s="18">
        <f>IF(AND(ISNUMBER(C305),ISNUMBER(C304)),(C305-C304)*100,"")</f>
        <v/>
      </c>
      <c r="H305" s="18">
        <f>IF(OR(NOT(ISNUMBER($A305)),ROW()-2&lt;Settings!$B$11),NA(),IF(COUNT(OFFSET(F305,1-Settings!$B$11,0,Settings!$B$11,1))&lt;Settings!$B$11,NA(),STDEV(OFFSET(F305,1-Settings!$B$11,0,Settings!$B$11,1))*SQRT(Settings!$B$13)))</f>
        <v/>
      </c>
      <c r="I305" s="18">
        <f>IF(OR(NOT(ISNUMBER($A305)),ROW()-2&lt;Settings!$B$12),NA(),IF(COUNT(OFFSET(F305,1-Settings!$B$12,0,Settings!$B$12,1))&lt;Settings!$B$12,NA(),STDEV(OFFSET(F305,1-Settings!$B$12,0,Settings!$B$12,1))*SQRT(Settings!$B$13)))</f>
        <v/>
      </c>
      <c r="J305" s="18">
        <f>IF(OR(NOT(ISNUMBER($A305)),ROW()-2&lt;Settings!$B$11),NA(),IF(COUNT(OFFSET(G305,1-Settings!$B$11,0,Settings!$B$11,1))&lt;Settings!$B$11,NA(),STDEV(OFFSET(G305,1-Settings!$B$11,0,Settings!$B$11,1))*SQRT(Settings!$B$13)))</f>
        <v/>
      </c>
      <c r="K305" s="18">
        <f>IF(OR(NOT(ISNUMBER($A305)),ROW()-2&lt;Settings!$B$12),NA(),IF(COUNT(OFFSET(G305,1-Settings!$B$12,0,Settings!$B$12,1))&lt;Settings!$B$12,NA(),STDEV(OFFSET(G305,1-Settings!$B$12,0,Settings!$B$12,1))*SQRT(Settings!$B$13)))</f>
        <v/>
      </c>
      <c r="L305" s="18">
        <f>IF(AND(ISNUMBER(D305),ISNUMBER(H305)),D305-H305,NA())</f>
        <v/>
      </c>
      <c r="M305" s="18">
        <f>IF(AND(ISNUMBER(E305),ISNUMBER(K305)),E305-K305,NA())</f>
        <v/>
      </c>
      <c r="N305" s="18">
        <f>IF(NOT(ISNUMBER($A305)),NA(),IF(COUNT(OFFSET(G305,1,0,Settings!$B$12,1))&lt;Settings!$B$12,NA(),STDEV(OFFSET(G305,1,0,Settings!$B$12,1))*SQRT(Settings!$B$13)))</f>
        <v/>
      </c>
      <c r="O305" s="18">
        <f>IF(AND(ISNUMBER(E305),ISNUMBER(N305)),E305-N305,NA())</f>
        <v/>
      </c>
      <c r="P305" s="17">
        <f>IF(NOT(ISNUMBER($A305)),NA(),IF(OR($A305&lt;MIN(KW_TP!$A$2:$A$2501),$A305&gt;MAX(KW_TP!$A$2:$A$2501)),NA(),INDEX(KW_TP!$C$2:$C$2501,MATCH($A305,KW_TP!$A$2:$A$2501,1))))</f>
        <v/>
      </c>
    </row>
    <row r="306">
      <c r="A306" s="15">
        <f>IF(ISNUMBER(BBG_Data!A306),BBG_Data!A306,"")</f>
        <v/>
      </c>
      <c r="B306" s="16">
        <f>IF(AND(ISNUMBER($A306),ISNUMBER(BBG_Data!B306)),BBG_Data!B306,NA())</f>
        <v/>
      </c>
      <c r="C306" s="16">
        <f>IF(AND(ISNUMBER($A306),ISNUMBER(BBG_Data!C306)),BBG_Data!C306,NA())</f>
        <v/>
      </c>
      <c r="D306" s="17">
        <f>IF(AND(ISNUMBER($A306),ISNUMBER(BBG_Data!D306)),BBG_Data!D306,NA())</f>
        <v/>
      </c>
      <c r="E306" s="17">
        <f>IF(AND(ISNUMBER($A306),ISNUMBER(BBG_Data!E306)),BBG_Data!E306,NA())</f>
        <v/>
      </c>
      <c r="F306" s="18">
        <f>IF(AND(ISNUMBER(B306),ISNUMBER(B305)),(B306-B305)*100,"")</f>
        <v/>
      </c>
      <c r="G306" s="18">
        <f>IF(AND(ISNUMBER(C306),ISNUMBER(C305)),(C306-C305)*100,"")</f>
        <v/>
      </c>
      <c r="H306" s="18">
        <f>IF(OR(NOT(ISNUMBER($A306)),ROW()-2&lt;Settings!$B$11),NA(),IF(COUNT(OFFSET(F306,1-Settings!$B$11,0,Settings!$B$11,1))&lt;Settings!$B$11,NA(),STDEV(OFFSET(F306,1-Settings!$B$11,0,Settings!$B$11,1))*SQRT(Settings!$B$13)))</f>
        <v/>
      </c>
      <c r="I306" s="18">
        <f>IF(OR(NOT(ISNUMBER($A306)),ROW()-2&lt;Settings!$B$12),NA(),IF(COUNT(OFFSET(F306,1-Settings!$B$12,0,Settings!$B$12,1))&lt;Settings!$B$12,NA(),STDEV(OFFSET(F306,1-Settings!$B$12,0,Settings!$B$12,1))*SQRT(Settings!$B$13)))</f>
        <v/>
      </c>
      <c r="J306" s="18">
        <f>IF(OR(NOT(ISNUMBER($A306)),ROW()-2&lt;Settings!$B$11),NA(),IF(COUNT(OFFSET(G306,1-Settings!$B$11,0,Settings!$B$11,1))&lt;Settings!$B$11,NA(),STDEV(OFFSET(G306,1-Settings!$B$11,0,Settings!$B$11,1))*SQRT(Settings!$B$13)))</f>
        <v/>
      </c>
      <c r="K306" s="18">
        <f>IF(OR(NOT(ISNUMBER($A306)),ROW()-2&lt;Settings!$B$12),NA(),IF(COUNT(OFFSET(G306,1-Settings!$B$12,0,Settings!$B$12,1))&lt;Settings!$B$12,NA(),STDEV(OFFSET(G306,1-Settings!$B$12,0,Settings!$B$12,1))*SQRT(Settings!$B$13)))</f>
        <v/>
      </c>
      <c r="L306" s="18">
        <f>IF(AND(ISNUMBER(D306),ISNUMBER(H306)),D306-H306,NA())</f>
        <v/>
      </c>
      <c r="M306" s="18">
        <f>IF(AND(ISNUMBER(E306),ISNUMBER(K306)),E306-K306,NA())</f>
        <v/>
      </c>
      <c r="N306" s="18">
        <f>IF(NOT(ISNUMBER($A306)),NA(),IF(COUNT(OFFSET(G306,1,0,Settings!$B$12,1))&lt;Settings!$B$12,NA(),STDEV(OFFSET(G306,1,0,Settings!$B$12,1))*SQRT(Settings!$B$13)))</f>
        <v/>
      </c>
      <c r="O306" s="18">
        <f>IF(AND(ISNUMBER(E306),ISNUMBER(N306)),E306-N306,NA())</f>
        <v/>
      </c>
      <c r="P306" s="17">
        <f>IF(NOT(ISNUMBER($A306)),NA(),IF(OR($A306&lt;MIN(KW_TP!$A$2:$A$2501),$A306&gt;MAX(KW_TP!$A$2:$A$2501)),NA(),INDEX(KW_TP!$C$2:$C$2501,MATCH($A306,KW_TP!$A$2:$A$2501,1))))</f>
        <v/>
      </c>
    </row>
    <row r="307">
      <c r="A307" s="15">
        <f>IF(ISNUMBER(BBG_Data!A307),BBG_Data!A307,"")</f>
        <v/>
      </c>
      <c r="B307" s="16">
        <f>IF(AND(ISNUMBER($A307),ISNUMBER(BBG_Data!B307)),BBG_Data!B307,NA())</f>
        <v/>
      </c>
      <c r="C307" s="16">
        <f>IF(AND(ISNUMBER($A307),ISNUMBER(BBG_Data!C307)),BBG_Data!C307,NA())</f>
        <v/>
      </c>
      <c r="D307" s="17">
        <f>IF(AND(ISNUMBER($A307),ISNUMBER(BBG_Data!D307)),BBG_Data!D307,NA())</f>
        <v/>
      </c>
      <c r="E307" s="17">
        <f>IF(AND(ISNUMBER($A307),ISNUMBER(BBG_Data!E307)),BBG_Data!E307,NA())</f>
        <v/>
      </c>
      <c r="F307" s="18">
        <f>IF(AND(ISNUMBER(B307),ISNUMBER(B306)),(B307-B306)*100,"")</f>
        <v/>
      </c>
      <c r="G307" s="18">
        <f>IF(AND(ISNUMBER(C307),ISNUMBER(C306)),(C307-C306)*100,"")</f>
        <v/>
      </c>
      <c r="H307" s="18">
        <f>IF(OR(NOT(ISNUMBER($A307)),ROW()-2&lt;Settings!$B$11),NA(),IF(COUNT(OFFSET(F307,1-Settings!$B$11,0,Settings!$B$11,1))&lt;Settings!$B$11,NA(),STDEV(OFFSET(F307,1-Settings!$B$11,0,Settings!$B$11,1))*SQRT(Settings!$B$13)))</f>
        <v/>
      </c>
      <c r="I307" s="18">
        <f>IF(OR(NOT(ISNUMBER($A307)),ROW()-2&lt;Settings!$B$12),NA(),IF(COUNT(OFFSET(F307,1-Settings!$B$12,0,Settings!$B$12,1))&lt;Settings!$B$12,NA(),STDEV(OFFSET(F307,1-Settings!$B$12,0,Settings!$B$12,1))*SQRT(Settings!$B$13)))</f>
        <v/>
      </c>
      <c r="J307" s="18">
        <f>IF(OR(NOT(ISNUMBER($A307)),ROW()-2&lt;Settings!$B$11),NA(),IF(COUNT(OFFSET(G307,1-Settings!$B$11,0,Settings!$B$11,1))&lt;Settings!$B$11,NA(),STDEV(OFFSET(G307,1-Settings!$B$11,0,Settings!$B$11,1))*SQRT(Settings!$B$13)))</f>
        <v/>
      </c>
      <c r="K307" s="18">
        <f>IF(OR(NOT(ISNUMBER($A307)),ROW()-2&lt;Settings!$B$12),NA(),IF(COUNT(OFFSET(G307,1-Settings!$B$12,0,Settings!$B$12,1))&lt;Settings!$B$12,NA(),STDEV(OFFSET(G307,1-Settings!$B$12,0,Settings!$B$12,1))*SQRT(Settings!$B$13)))</f>
        <v/>
      </c>
      <c r="L307" s="18">
        <f>IF(AND(ISNUMBER(D307),ISNUMBER(H307)),D307-H307,NA())</f>
        <v/>
      </c>
      <c r="M307" s="18">
        <f>IF(AND(ISNUMBER(E307),ISNUMBER(K307)),E307-K307,NA())</f>
        <v/>
      </c>
      <c r="N307" s="18">
        <f>IF(NOT(ISNUMBER($A307)),NA(),IF(COUNT(OFFSET(G307,1,0,Settings!$B$12,1))&lt;Settings!$B$12,NA(),STDEV(OFFSET(G307,1,0,Settings!$B$12,1))*SQRT(Settings!$B$13)))</f>
        <v/>
      </c>
      <c r="O307" s="18">
        <f>IF(AND(ISNUMBER(E307),ISNUMBER(N307)),E307-N307,NA())</f>
        <v/>
      </c>
      <c r="P307" s="17">
        <f>IF(NOT(ISNUMBER($A307)),NA(),IF(OR($A307&lt;MIN(KW_TP!$A$2:$A$2501),$A307&gt;MAX(KW_TP!$A$2:$A$2501)),NA(),INDEX(KW_TP!$C$2:$C$2501,MATCH($A307,KW_TP!$A$2:$A$2501,1))))</f>
        <v/>
      </c>
    </row>
    <row r="308">
      <c r="A308" s="15">
        <f>IF(ISNUMBER(BBG_Data!A308),BBG_Data!A308,"")</f>
        <v/>
      </c>
      <c r="B308" s="16">
        <f>IF(AND(ISNUMBER($A308),ISNUMBER(BBG_Data!B308)),BBG_Data!B308,NA())</f>
        <v/>
      </c>
      <c r="C308" s="16">
        <f>IF(AND(ISNUMBER($A308),ISNUMBER(BBG_Data!C308)),BBG_Data!C308,NA())</f>
        <v/>
      </c>
      <c r="D308" s="17">
        <f>IF(AND(ISNUMBER($A308),ISNUMBER(BBG_Data!D308)),BBG_Data!D308,NA())</f>
        <v/>
      </c>
      <c r="E308" s="17">
        <f>IF(AND(ISNUMBER($A308),ISNUMBER(BBG_Data!E308)),BBG_Data!E308,NA())</f>
        <v/>
      </c>
      <c r="F308" s="18">
        <f>IF(AND(ISNUMBER(B308),ISNUMBER(B307)),(B308-B307)*100,"")</f>
        <v/>
      </c>
      <c r="G308" s="18">
        <f>IF(AND(ISNUMBER(C308),ISNUMBER(C307)),(C308-C307)*100,"")</f>
        <v/>
      </c>
      <c r="H308" s="18">
        <f>IF(OR(NOT(ISNUMBER($A308)),ROW()-2&lt;Settings!$B$11),NA(),IF(COUNT(OFFSET(F308,1-Settings!$B$11,0,Settings!$B$11,1))&lt;Settings!$B$11,NA(),STDEV(OFFSET(F308,1-Settings!$B$11,0,Settings!$B$11,1))*SQRT(Settings!$B$13)))</f>
        <v/>
      </c>
      <c r="I308" s="18">
        <f>IF(OR(NOT(ISNUMBER($A308)),ROW()-2&lt;Settings!$B$12),NA(),IF(COUNT(OFFSET(F308,1-Settings!$B$12,0,Settings!$B$12,1))&lt;Settings!$B$12,NA(),STDEV(OFFSET(F308,1-Settings!$B$12,0,Settings!$B$12,1))*SQRT(Settings!$B$13)))</f>
        <v/>
      </c>
      <c r="J308" s="18">
        <f>IF(OR(NOT(ISNUMBER($A308)),ROW()-2&lt;Settings!$B$11),NA(),IF(COUNT(OFFSET(G308,1-Settings!$B$11,0,Settings!$B$11,1))&lt;Settings!$B$11,NA(),STDEV(OFFSET(G308,1-Settings!$B$11,0,Settings!$B$11,1))*SQRT(Settings!$B$13)))</f>
        <v/>
      </c>
      <c r="K308" s="18">
        <f>IF(OR(NOT(ISNUMBER($A308)),ROW()-2&lt;Settings!$B$12),NA(),IF(COUNT(OFFSET(G308,1-Settings!$B$12,0,Settings!$B$12,1))&lt;Settings!$B$12,NA(),STDEV(OFFSET(G308,1-Settings!$B$12,0,Settings!$B$12,1))*SQRT(Settings!$B$13)))</f>
        <v/>
      </c>
      <c r="L308" s="18">
        <f>IF(AND(ISNUMBER(D308),ISNUMBER(H308)),D308-H308,NA())</f>
        <v/>
      </c>
      <c r="M308" s="18">
        <f>IF(AND(ISNUMBER(E308),ISNUMBER(K308)),E308-K308,NA())</f>
        <v/>
      </c>
      <c r="N308" s="18">
        <f>IF(NOT(ISNUMBER($A308)),NA(),IF(COUNT(OFFSET(G308,1,0,Settings!$B$12,1))&lt;Settings!$B$12,NA(),STDEV(OFFSET(G308,1,0,Settings!$B$12,1))*SQRT(Settings!$B$13)))</f>
        <v/>
      </c>
      <c r="O308" s="18">
        <f>IF(AND(ISNUMBER(E308),ISNUMBER(N308)),E308-N308,NA())</f>
        <v/>
      </c>
      <c r="P308" s="17">
        <f>IF(NOT(ISNUMBER($A308)),NA(),IF(OR($A308&lt;MIN(KW_TP!$A$2:$A$2501),$A308&gt;MAX(KW_TP!$A$2:$A$2501)),NA(),INDEX(KW_TP!$C$2:$C$2501,MATCH($A308,KW_TP!$A$2:$A$2501,1))))</f>
        <v/>
      </c>
    </row>
    <row r="309">
      <c r="A309" s="15">
        <f>IF(ISNUMBER(BBG_Data!A309),BBG_Data!A309,"")</f>
        <v/>
      </c>
      <c r="B309" s="16">
        <f>IF(AND(ISNUMBER($A309),ISNUMBER(BBG_Data!B309)),BBG_Data!B309,NA())</f>
        <v/>
      </c>
      <c r="C309" s="16">
        <f>IF(AND(ISNUMBER($A309),ISNUMBER(BBG_Data!C309)),BBG_Data!C309,NA())</f>
        <v/>
      </c>
      <c r="D309" s="17">
        <f>IF(AND(ISNUMBER($A309),ISNUMBER(BBG_Data!D309)),BBG_Data!D309,NA())</f>
        <v/>
      </c>
      <c r="E309" s="17">
        <f>IF(AND(ISNUMBER($A309),ISNUMBER(BBG_Data!E309)),BBG_Data!E309,NA())</f>
        <v/>
      </c>
      <c r="F309" s="18">
        <f>IF(AND(ISNUMBER(B309),ISNUMBER(B308)),(B309-B308)*100,"")</f>
        <v/>
      </c>
      <c r="G309" s="18">
        <f>IF(AND(ISNUMBER(C309),ISNUMBER(C308)),(C309-C308)*100,"")</f>
        <v/>
      </c>
      <c r="H309" s="18">
        <f>IF(OR(NOT(ISNUMBER($A309)),ROW()-2&lt;Settings!$B$11),NA(),IF(COUNT(OFFSET(F309,1-Settings!$B$11,0,Settings!$B$11,1))&lt;Settings!$B$11,NA(),STDEV(OFFSET(F309,1-Settings!$B$11,0,Settings!$B$11,1))*SQRT(Settings!$B$13)))</f>
        <v/>
      </c>
      <c r="I309" s="18">
        <f>IF(OR(NOT(ISNUMBER($A309)),ROW()-2&lt;Settings!$B$12),NA(),IF(COUNT(OFFSET(F309,1-Settings!$B$12,0,Settings!$B$12,1))&lt;Settings!$B$12,NA(),STDEV(OFFSET(F309,1-Settings!$B$12,0,Settings!$B$12,1))*SQRT(Settings!$B$13)))</f>
        <v/>
      </c>
      <c r="J309" s="18">
        <f>IF(OR(NOT(ISNUMBER($A309)),ROW()-2&lt;Settings!$B$11),NA(),IF(COUNT(OFFSET(G309,1-Settings!$B$11,0,Settings!$B$11,1))&lt;Settings!$B$11,NA(),STDEV(OFFSET(G309,1-Settings!$B$11,0,Settings!$B$11,1))*SQRT(Settings!$B$13)))</f>
        <v/>
      </c>
      <c r="K309" s="18">
        <f>IF(OR(NOT(ISNUMBER($A309)),ROW()-2&lt;Settings!$B$12),NA(),IF(COUNT(OFFSET(G309,1-Settings!$B$12,0,Settings!$B$12,1))&lt;Settings!$B$12,NA(),STDEV(OFFSET(G309,1-Settings!$B$12,0,Settings!$B$12,1))*SQRT(Settings!$B$13)))</f>
        <v/>
      </c>
      <c r="L309" s="18">
        <f>IF(AND(ISNUMBER(D309),ISNUMBER(H309)),D309-H309,NA())</f>
        <v/>
      </c>
      <c r="M309" s="18">
        <f>IF(AND(ISNUMBER(E309),ISNUMBER(K309)),E309-K309,NA())</f>
        <v/>
      </c>
      <c r="N309" s="18">
        <f>IF(NOT(ISNUMBER($A309)),NA(),IF(COUNT(OFFSET(G309,1,0,Settings!$B$12,1))&lt;Settings!$B$12,NA(),STDEV(OFFSET(G309,1,0,Settings!$B$12,1))*SQRT(Settings!$B$13)))</f>
        <v/>
      </c>
      <c r="O309" s="18">
        <f>IF(AND(ISNUMBER(E309),ISNUMBER(N309)),E309-N309,NA())</f>
        <v/>
      </c>
      <c r="P309" s="17">
        <f>IF(NOT(ISNUMBER($A309)),NA(),IF(OR($A309&lt;MIN(KW_TP!$A$2:$A$2501),$A309&gt;MAX(KW_TP!$A$2:$A$2501)),NA(),INDEX(KW_TP!$C$2:$C$2501,MATCH($A309,KW_TP!$A$2:$A$2501,1))))</f>
        <v/>
      </c>
    </row>
    <row r="310">
      <c r="A310" s="15">
        <f>IF(ISNUMBER(BBG_Data!A310),BBG_Data!A310,"")</f>
        <v/>
      </c>
      <c r="B310" s="16">
        <f>IF(AND(ISNUMBER($A310),ISNUMBER(BBG_Data!B310)),BBG_Data!B310,NA())</f>
        <v/>
      </c>
      <c r="C310" s="16">
        <f>IF(AND(ISNUMBER($A310),ISNUMBER(BBG_Data!C310)),BBG_Data!C310,NA())</f>
        <v/>
      </c>
      <c r="D310" s="17">
        <f>IF(AND(ISNUMBER($A310),ISNUMBER(BBG_Data!D310)),BBG_Data!D310,NA())</f>
        <v/>
      </c>
      <c r="E310" s="17">
        <f>IF(AND(ISNUMBER($A310),ISNUMBER(BBG_Data!E310)),BBG_Data!E310,NA())</f>
        <v/>
      </c>
      <c r="F310" s="18">
        <f>IF(AND(ISNUMBER(B310),ISNUMBER(B309)),(B310-B309)*100,"")</f>
        <v/>
      </c>
      <c r="G310" s="18">
        <f>IF(AND(ISNUMBER(C310),ISNUMBER(C309)),(C310-C309)*100,"")</f>
        <v/>
      </c>
      <c r="H310" s="18">
        <f>IF(OR(NOT(ISNUMBER($A310)),ROW()-2&lt;Settings!$B$11),NA(),IF(COUNT(OFFSET(F310,1-Settings!$B$11,0,Settings!$B$11,1))&lt;Settings!$B$11,NA(),STDEV(OFFSET(F310,1-Settings!$B$11,0,Settings!$B$11,1))*SQRT(Settings!$B$13)))</f>
        <v/>
      </c>
      <c r="I310" s="18">
        <f>IF(OR(NOT(ISNUMBER($A310)),ROW()-2&lt;Settings!$B$12),NA(),IF(COUNT(OFFSET(F310,1-Settings!$B$12,0,Settings!$B$12,1))&lt;Settings!$B$12,NA(),STDEV(OFFSET(F310,1-Settings!$B$12,0,Settings!$B$12,1))*SQRT(Settings!$B$13)))</f>
        <v/>
      </c>
      <c r="J310" s="18">
        <f>IF(OR(NOT(ISNUMBER($A310)),ROW()-2&lt;Settings!$B$11),NA(),IF(COUNT(OFFSET(G310,1-Settings!$B$11,0,Settings!$B$11,1))&lt;Settings!$B$11,NA(),STDEV(OFFSET(G310,1-Settings!$B$11,0,Settings!$B$11,1))*SQRT(Settings!$B$13)))</f>
        <v/>
      </c>
      <c r="K310" s="18">
        <f>IF(OR(NOT(ISNUMBER($A310)),ROW()-2&lt;Settings!$B$12),NA(),IF(COUNT(OFFSET(G310,1-Settings!$B$12,0,Settings!$B$12,1))&lt;Settings!$B$12,NA(),STDEV(OFFSET(G310,1-Settings!$B$12,0,Settings!$B$12,1))*SQRT(Settings!$B$13)))</f>
        <v/>
      </c>
      <c r="L310" s="18">
        <f>IF(AND(ISNUMBER(D310),ISNUMBER(H310)),D310-H310,NA())</f>
        <v/>
      </c>
      <c r="M310" s="18">
        <f>IF(AND(ISNUMBER(E310),ISNUMBER(K310)),E310-K310,NA())</f>
        <v/>
      </c>
      <c r="N310" s="18">
        <f>IF(NOT(ISNUMBER($A310)),NA(),IF(COUNT(OFFSET(G310,1,0,Settings!$B$12,1))&lt;Settings!$B$12,NA(),STDEV(OFFSET(G310,1,0,Settings!$B$12,1))*SQRT(Settings!$B$13)))</f>
        <v/>
      </c>
      <c r="O310" s="18">
        <f>IF(AND(ISNUMBER(E310),ISNUMBER(N310)),E310-N310,NA())</f>
        <v/>
      </c>
      <c r="P310" s="17">
        <f>IF(NOT(ISNUMBER($A310)),NA(),IF(OR($A310&lt;MIN(KW_TP!$A$2:$A$2501),$A310&gt;MAX(KW_TP!$A$2:$A$2501)),NA(),INDEX(KW_TP!$C$2:$C$2501,MATCH($A310,KW_TP!$A$2:$A$2501,1))))</f>
        <v/>
      </c>
    </row>
    <row r="311">
      <c r="A311" s="15">
        <f>IF(ISNUMBER(BBG_Data!A311),BBG_Data!A311,"")</f>
        <v/>
      </c>
      <c r="B311" s="16">
        <f>IF(AND(ISNUMBER($A311),ISNUMBER(BBG_Data!B311)),BBG_Data!B311,NA())</f>
        <v/>
      </c>
      <c r="C311" s="16">
        <f>IF(AND(ISNUMBER($A311),ISNUMBER(BBG_Data!C311)),BBG_Data!C311,NA())</f>
        <v/>
      </c>
      <c r="D311" s="17">
        <f>IF(AND(ISNUMBER($A311),ISNUMBER(BBG_Data!D311)),BBG_Data!D311,NA())</f>
        <v/>
      </c>
      <c r="E311" s="17">
        <f>IF(AND(ISNUMBER($A311),ISNUMBER(BBG_Data!E311)),BBG_Data!E311,NA())</f>
        <v/>
      </c>
      <c r="F311" s="18">
        <f>IF(AND(ISNUMBER(B311),ISNUMBER(B310)),(B311-B310)*100,"")</f>
        <v/>
      </c>
      <c r="G311" s="18">
        <f>IF(AND(ISNUMBER(C311),ISNUMBER(C310)),(C311-C310)*100,"")</f>
        <v/>
      </c>
      <c r="H311" s="18">
        <f>IF(OR(NOT(ISNUMBER($A311)),ROW()-2&lt;Settings!$B$11),NA(),IF(COUNT(OFFSET(F311,1-Settings!$B$11,0,Settings!$B$11,1))&lt;Settings!$B$11,NA(),STDEV(OFFSET(F311,1-Settings!$B$11,0,Settings!$B$11,1))*SQRT(Settings!$B$13)))</f>
        <v/>
      </c>
      <c r="I311" s="18">
        <f>IF(OR(NOT(ISNUMBER($A311)),ROW()-2&lt;Settings!$B$12),NA(),IF(COUNT(OFFSET(F311,1-Settings!$B$12,0,Settings!$B$12,1))&lt;Settings!$B$12,NA(),STDEV(OFFSET(F311,1-Settings!$B$12,0,Settings!$B$12,1))*SQRT(Settings!$B$13)))</f>
        <v/>
      </c>
      <c r="J311" s="18">
        <f>IF(OR(NOT(ISNUMBER($A311)),ROW()-2&lt;Settings!$B$11),NA(),IF(COUNT(OFFSET(G311,1-Settings!$B$11,0,Settings!$B$11,1))&lt;Settings!$B$11,NA(),STDEV(OFFSET(G311,1-Settings!$B$11,0,Settings!$B$11,1))*SQRT(Settings!$B$13)))</f>
        <v/>
      </c>
      <c r="K311" s="18">
        <f>IF(OR(NOT(ISNUMBER($A311)),ROW()-2&lt;Settings!$B$12),NA(),IF(COUNT(OFFSET(G311,1-Settings!$B$12,0,Settings!$B$12,1))&lt;Settings!$B$12,NA(),STDEV(OFFSET(G311,1-Settings!$B$12,0,Settings!$B$12,1))*SQRT(Settings!$B$13)))</f>
        <v/>
      </c>
      <c r="L311" s="18">
        <f>IF(AND(ISNUMBER(D311),ISNUMBER(H311)),D311-H311,NA())</f>
        <v/>
      </c>
      <c r="M311" s="18">
        <f>IF(AND(ISNUMBER(E311),ISNUMBER(K311)),E311-K311,NA())</f>
        <v/>
      </c>
      <c r="N311" s="18">
        <f>IF(NOT(ISNUMBER($A311)),NA(),IF(COUNT(OFFSET(G311,1,0,Settings!$B$12,1))&lt;Settings!$B$12,NA(),STDEV(OFFSET(G311,1,0,Settings!$B$12,1))*SQRT(Settings!$B$13)))</f>
        <v/>
      </c>
      <c r="O311" s="18">
        <f>IF(AND(ISNUMBER(E311),ISNUMBER(N311)),E311-N311,NA())</f>
        <v/>
      </c>
      <c r="P311" s="17">
        <f>IF(NOT(ISNUMBER($A311)),NA(),IF(OR($A311&lt;MIN(KW_TP!$A$2:$A$2501),$A311&gt;MAX(KW_TP!$A$2:$A$2501)),NA(),INDEX(KW_TP!$C$2:$C$2501,MATCH($A311,KW_TP!$A$2:$A$2501,1))))</f>
        <v/>
      </c>
    </row>
    <row r="312">
      <c r="A312" s="15">
        <f>IF(ISNUMBER(BBG_Data!A312),BBG_Data!A312,"")</f>
        <v/>
      </c>
      <c r="B312" s="16">
        <f>IF(AND(ISNUMBER($A312),ISNUMBER(BBG_Data!B312)),BBG_Data!B312,NA())</f>
        <v/>
      </c>
      <c r="C312" s="16">
        <f>IF(AND(ISNUMBER($A312),ISNUMBER(BBG_Data!C312)),BBG_Data!C312,NA())</f>
        <v/>
      </c>
      <c r="D312" s="17">
        <f>IF(AND(ISNUMBER($A312),ISNUMBER(BBG_Data!D312)),BBG_Data!D312,NA())</f>
        <v/>
      </c>
      <c r="E312" s="17">
        <f>IF(AND(ISNUMBER($A312),ISNUMBER(BBG_Data!E312)),BBG_Data!E312,NA())</f>
        <v/>
      </c>
      <c r="F312" s="18">
        <f>IF(AND(ISNUMBER(B312),ISNUMBER(B311)),(B312-B311)*100,"")</f>
        <v/>
      </c>
      <c r="G312" s="18">
        <f>IF(AND(ISNUMBER(C312),ISNUMBER(C311)),(C312-C311)*100,"")</f>
        <v/>
      </c>
      <c r="H312" s="18">
        <f>IF(OR(NOT(ISNUMBER($A312)),ROW()-2&lt;Settings!$B$11),NA(),IF(COUNT(OFFSET(F312,1-Settings!$B$11,0,Settings!$B$11,1))&lt;Settings!$B$11,NA(),STDEV(OFFSET(F312,1-Settings!$B$11,0,Settings!$B$11,1))*SQRT(Settings!$B$13)))</f>
        <v/>
      </c>
      <c r="I312" s="18">
        <f>IF(OR(NOT(ISNUMBER($A312)),ROW()-2&lt;Settings!$B$12),NA(),IF(COUNT(OFFSET(F312,1-Settings!$B$12,0,Settings!$B$12,1))&lt;Settings!$B$12,NA(),STDEV(OFFSET(F312,1-Settings!$B$12,0,Settings!$B$12,1))*SQRT(Settings!$B$13)))</f>
        <v/>
      </c>
      <c r="J312" s="18">
        <f>IF(OR(NOT(ISNUMBER($A312)),ROW()-2&lt;Settings!$B$11),NA(),IF(COUNT(OFFSET(G312,1-Settings!$B$11,0,Settings!$B$11,1))&lt;Settings!$B$11,NA(),STDEV(OFFSET(G312,1-Settings!$B$11,0,Settings!$B$11,1))*SQRT(Settings!$B$13)))</f>
        <v/>
      </c>
      <c r="K312" s="18">
        <f>IF(OR(NOT(ISNUMBER($A312)),ROW()-2&lt;Settings!$B$12),NA(),IF(COUNT(OFFSET(G312,1-Settings!$B$12,0,Settings!$B$12,1))&lt;Settings!$B$12,NA(),STDEV(OFFSET(G312,1-Settings!$B$12,0,Settings!$B$12,1))*SQRT(Settings!$B$13)))</f>
        <v/>
      </c>
      <c r="L312" s="18">
        <f>IF(AND(ISNUMBER(D312),ISNUMBER(H312)),D312-H312,NA())</f>
        <v/>
      </c>
      <c r="M312" s="18">
        <f>IF(AND(ISNUMBER(E312),ISNUMBER(K312)),E312-K312,NA())</f>
        <v/>
      </c>
      <c r="N312" s="18">
        <f>IF(NOT(ISNUMBER($A312)),NA(),IF(COUNT(OFFSET(G312,1,0,Settings!$B$12,1))&lt;Settings!$B$12,NA(),STDEV(OFFSET(G312,1,0,Settings!$B$12,1))*SQRT(Settings!$B$13)))</f>
        <v/>
      </c>
      <c r="O312" s="18">
        <f>IF(AND(ISNUMBER(E312),ISNUMBER(N312)),E312-N312,NA())</f>
        <v/>
      </c>
      <c r="P312" s="17">
        <f>IF(NOT(ISNUMBER($A312)),NA(),IF(OR($A312&lt;MIN(KW_TP!$A$2:$A$2501),$A312&gt;MAX(KW_TP!$A$2:$A$2501)),NA(),INDEX(KW_TP!$C$2:$C$2501,MATCH($A312,KW_TP!$A$2:$A$2501,1))))</f>
        <v/>
      </c>
    </row>
    <row r="313">
      <c r="A313" s="15">
        <f>IF(ISNUMBER(BBG_Data!A313),BBG_Data!A313,"")</f>
        <v/>
      </c>
      <c r="B313" s="16">
        <f>IF(AND(ISNUMBER($A313),ISNUMBER(BBG_Data!B313)),BBG_Data!B313,NA())</f>
        <v/>
      </c>
      <c r="C313" s="16">
        <f>IF(AND(ISNUMBER($A313),ISNUMBER(BBG_Data!C313)),BBG_Data!C313,NA())</f>
        <v/>
      </c>
      <c r="D313" s="17">
        <f>IF(AND(ISNUMBER($A313),ISNUMBER(BBG_Data!D313)),BBG_Data!D313,NA())</f>
        <v/>
      </c>
      <c r="E313" s="17">
        <f>IF(AND(ISNUMBER($A313),ISNUMBER(BBG_Data!E313)),BBG_Data!E313,NA())</f>
        <v/>
      </c>
      <c r="F313" s="18">
        <f>IF(AND(ISNUMBER(B313),ISNUMBER(B312)),(B313-B312)*100,"")</f>
        <v/>
      </c>
      <c r="G313" s="18">
        <f>IF(AND(ISNUMBER(C313),ISNUMBER(C312)),(C313-C312)*100,"")</f>
        <v/>
      </c>
      <c r="H313" s="18">
        <f>IF(OR(NOT(ISNUMBER($A313)),ROW()-2&lt;Settings!$B$11),NA(),IF(COUNT(OFFSET(F313,1-Settings!$B$11,0,Settings!$B$11,1))&lt;Settings!$B$11,NA(),STDEV(OFFSET(F313,1-Settings!$B$11,0,Settings!$B$11,1))*SQRT(Settings!$B$13)))</f>
        <v/>
      </c>
      <c r="I313" s="18">
        <f>IF(OR(NOT(ISNUMBER($A313)),ROW()-2&lt;Settings!$B$12),NA(),IF(COUNT(OFFSET(F313,1-Settings!$B$12,0,Settings!$B$12,1))&lt;Settings!$B$12,NA(),STDEV(OFFSET(F313,1-Settings!$B$12,0,Settings!$B$12,1))*SQRT(Settings!$B$13)))</f>
        <v/>
      </c>
      <c r="J313" s="18">
        <f>IF(OR(NOT(ISNUMBER($A313)),ROW()-2&lt;Settings!$B$11),NA(),IF(COUNT(OFFSET(G313,1-Settings!$B$11,0,Settings!$B$11,1))&lt;Settings!$B$11,NA(),STDEV(OFFSET(G313,1-Settings!$B$11,0,Settings!$B$11,1))*SQRT(Settings!$B$13)))</f>
        <v/>
      </c>
      <c r="K313" s="18">
        <f>IF(OR(NOT(ISNUMBER($A313)),ROW()-2&lt;Settings!$B$12),NA(),IF(COUNT(OFFSET(G313,1-Settings!$B$12,0,Settings!$B$12,1))&lt;Settings!$B$12,NA(),STDEV(OFFSET(G313,1-Settings!$B$12,0,Settings!$B$12,1))*SQRT(Settings!$B$13)))</f>
        <v/>
      </c>
      <c r="L313" s="18">
        <f>IF(AND(ISNUMBER(D313),ISNUMBER(H313)),D313-H313,NA())</f>
        <v/>
      </c>
      <c r="M313" s="18">
        <f>IF(AND(ISNUMBER(E313),ISNUMBER(K313)),E313-K313,NA())</f>
        <v/>
      </c>
      <c r="N313" s="18">
        <f>IF(NOT(ISNUMBER($A313)),NA(),IF(COUNT(OFFSET(G313,1,0,Settings!$B$12,1))&lt;Settings!$B$12,NA(),STDEV(OFFSET(G313,1,0,Settings!$B$12,1))*SQRT(Settings!$B$13)))</f>
        <v/>
      </c>
      <c r="O313" s="18">
        <f>IF(AND(ISNUMBER(E313),ISNUMBER(N313)),E313-N313,NA())</f>
        <v/>
      </c>
      <c r="P313" s="17">
        <f>IF(NOT(ISNUMBER($A313)),NA(),IF(OR($A313&lt;MIN(KW_TP!$A$2:$A$2501),$A313&gt;MAX(KW_TP!$A$2:$A$2501)),NA(),INDEX(KW_TP!$C$2:$C$2501,MATCH($A313,KW_TP!$A$2:$A$2501,1))))</f>
        <v/>
      </c>
    </row>
    <row r="314">
      <c r="A314" s="15">
        <f>IF(ISNUMBER(BBG_Data!A314),BBG_Data!A314,"")</f>
        <v/>
      </c>
      <c r="B314" s="16">
        <f>IF(AND(ISNUMBER($A314),ISNUMBER(BBG_Data!B314)),BBG_Data!B314,NA())</f>
        <v/>
      </c>
      <c r="C314" s="16">
        <f>IF(AND(ISNUMBER($A314),ISNUMBER(BBG_Data!C314)),BBG_Data!C314,NA())</f>
        <v/>
      </c>
      <c r="D314" s="17">
        <f>IF(AND(ISNUMBER($A314),ISNUMBER(BBG_Data!D314)),BBG_Data!D314,NA())</f>
        <v/>
      </c>
      <c r="E314" s="17">
        <f>IF(AND(ISNUMBER($A314),ISNUMBER(BBG_Data!E314)),BBG_Data!E314,NA())</f>
        <v/>
      </c>
      <c r="F314" s="18">
        <f>IF(AND(ISNUMBER(B314),ISNUMBER(B313)),(B314-B313)*100,"")</f>
        <v/>
      </c>
      <c r="G314" s="18">
        <f>IF(AND(ISNUMBER(C314),ISNUMBER(C313)),(C314-C313)*100,"")</f>
        <v/>
      </c>
      <c r="H314" s="18">
        <f>IF(OR(NOT(ISNUMBER($A314)),ROW()-2&lt;Settings!$B$11),NA(),IF(COUNT(OFFSET(F314,1-Settings!$B$11,0,Settings!$B$11,1))&lt;Settings!$B$11,NA(),STDEV(OFFSET(F314,1-Settings!$B$11,0,Settings!$B$11,1))*SQRT(Settings!$B$13)))</f>
        <v/>
      </c>
      <c r="I314" s="18">
        <f>IF(OR(NOT(ISNUMBER($A314)),ROW()-2&lt;Settings!$B$12),NA(),IF(COUNT(OFFSET(F314,1-Settings!$B$12,0,Settings!$B$12,1))&lt;Settings!$B$12,NA(),STDEV(OFFSET(F314,1-Settings!$B$12,0,Settings!$B$12,1))*SQRT(Settings!$B$13)))</f>
        <v/>
      </c>
      <c r="J314" s="18">
        <f>IF(OR(NOT(ISNUMBER($A314)),ROW()-2&lt;Settings!$B$11),NA(),IF(COUNT(OFFSET(G314,1-Settings!$B$11,0,Settings!$B$11,1))&lt;Settings!$B$11,NA(),STDEV(OFFSET(G314,1-Settings!$B$11,0,Settings!$B$11,1))*SQRT(Settings!$B$13)))</f>
        <v/>
      </c>
      <c r="K314" s="18">
        <f>IF(OR(NOT(ISNUMBER($A314)),ROW()-2&lt;Settings!$B$12),NA(),IF(COUNT(OFFSET(G314,1-Settings!$B$12,0,Settings!$B$12,1))&lt;Settings!$B$12,NA(),STDEV(OFFSET(G314,1-Settings!$B$12,0,Settings!$B$12,1))*SQRT(Settings!$B$13)))</f>
        <v/>
      </c>
      <c r="L314" s="18">
        <f>IF(AND(ISNUMBER(D314),ISNUMBER(H314)),D314-H314,NA())</f>
        <v/>
      </c>
      <c r="M314" s="18">
        <f>IF(AND(ISNUMBER(E314),ISNUMBER(K314)),E314-K314,NA())</f>
        <v/>
      </c>
      <c r="N314" s="18">
        <f>IF(NOT(ISNUMBER($A314)),NA(),IF(COUNT(OFFSET(G314,1,0,Settings!$B$12,1))&lt;Settings!$B$12,NA(),STDEV(OFFSET(G314,1,0,Settings!$B$12,1))*SQRT(Settings!$B$13)))</f>
        <v/>
      </c>
      <c r="O314" s="18">
        <f>IF(AND(ISNUMBER(E314),ISNUMBER(N314)),E314-N314,NA())</f>
        <v/>
      </c>
      <c r="P314" s="17">
        <f>IF(NOT(ISNUMBER($A314)),NA(),IF(OR($A314&lt;MIN(KW_TP!$A$2:$A$2501),$A314&gt;MAX(KW_TP!$A$2:$A$2501)),NA(),INDEX(KW_TP!$C$2:$C$2501,MATCH($A314,KW_TP!$A$2:$A$2501,1))))</f>
        <v/>
      </c>
    </row>
    <row r="315">
      <c r="A315" s="15">
        <f>IF(ISNUMBER(BBG_Data!A315),BBG_Data!A315,"")</f>
        <v/>
      </c>
      <c r="B315" s="16">
        <f>IF(AND(ISNUMBER($A315),ISNUMBER(BBG_Data!B315)),BBG_Data!B315,NA())</f>
        <v/>
      </c>
      <c r="C315" s="16">
        <f>IF(AND(ISNUMBER($A315),ISNUMBER(BBG_Data!C315)),BBG_Data!C315,NA())</f>
        <v/>
      </c>
      <c r="D315" s="17">
        <f>IF(AND(ISNUMBER($A315),ISNUMBER(BBG_Data!D315)),BBG_Data!D315,NA())</f>
        <v/>
      </c>
      <c r="E315" s="17">
        <f>IF(AND(ISNUMBER($A315),ISNUMBER(BBG_Data!E315)),BBG_Data!E315,NA())</f>
        <v/>
      </c>
      <c r="F315" s="18">
        <f>IF(AND(ISNUMBER(B315),ISNUMBER(B314)),(B315-B314)*100,"")</f>
        <v/>
      </c>
      <c r="G315" s="18">
        <f>IF(AND(ISNUMBER(C315),ISNUMBER(C314)),(C315-C314)*100,"")</f>
        <v/>
      </c>
      <c r="H315" s="18">
        <f>IF(OR(NOT(ISNUMBER($A315)),ROW()-2&lt;Settings!$B$11),NA(),IF(COUNT(OFFSET(F315,1-Settings!$B$11,0,Settings!$B$11,1))&lt;Settings!$B$11,NA(),STDEV(OFFSET(F315,1-Settings!$B$11,0,Settings!$B$11,1))*SQRT(Settings!$B$13)))</f>
        <v/>
      </c>
      <c r="I315" s="18">
        <f>IF(OR(NOT(ISNUMBER($A315)),ROW()-2&lt;Settings!$B$12),NA(),IF(COUNT(OFFSET(F315,1-Settings!$B$12,0,Settings!$B$12,1))&lt;Settings!$B$12,NA(),STDEV(OFFSET(F315,1-Settings!$B$12,0,Settings!$B$12,1))*SQRT(Settings!$B$13)))</f>
        <v/>
      </c>
      <c r="J315" s="18">
        <f>IF(OR(NOT(ISNUMBER($A315)),ROW()-2&lt;Settings!$B$11),NA(),IF(COUNT(OFFSET(G315,1-Settings!$B$11,0,Settings!$B$11,1))&lt;Settings!$B$11,NA(),STDEV(OFFSET(G315,1-Settings!$B$11,0,Settings!$B$11,1))*SQRT(Settings!$B$13)))</f>
        <v/>
      </c>
      <c r="K315" s="18">
        <f>IF(OR(NOT(ISNUMBER($A315)),ROW()-2&lt;Settings!$B$12),NA(),IF(COUNT(OFFSET(G315,1-Settings!$B$12,0,Settings!$B$12,1))&lt;Settings!$B$12,NA(),STDEV(OFFSET(G315,1-Settings!$B$12,0,Settings!$B$12,1))*SQRT(Settings!$B$13)))</f>
        <v/>
      </c>
      <c r="L315" s="18">
        <f>IF(AND(ISNUMBER(D315),ISNUMBER(H315)),D315-H315,NA())</f>
        <v/>
      </c>
      <c r="M315" s="18">
        <f>IF(AND(ISNUMBER(E315),ISNUMBER(K315)),E315-K315,NA())</f>
        <v/>
      </c>
      <c r="N315" s="18">
        <f>IF(NOT(ISNUMBER($A315)),NA(),IF(COUNT(OFFSET(G315,1,0,Settings!$B$12,1))&lt;Settings!$B$12,NA(),STDEV(OFFSET(G315,1,0,Settings!$B$12,1))*SQRT(Settings!$B$13)))</f>
        <v/>
      </c>
      <c r="O315" s="18">
        <f>IF(AND(ISNUMBER(E315),ISNUMBER(N315)),E315-N315,NA())</f>
        <v/>
      </c>
      <c r="P315" s="17">
        <f>IF(NOT(ISNUMBER($A315)),NA(),IF(OR($A315&lt;MIN(KW_TP!$A$2:$A$2501),$A315&gt;MAX(KW_TP!$A$2:$A$2501)),NA(),INDEX(KW_TP!$C$2:$C$2501,MATCH($A315,KW_TP!$A$2:$A$2501,1))))</f>
        <v/>
      </c>
    </row>
    <row r="316">
      <c r="A316" s="15">
        <f>IF(ISNUMBER(BBG_Data!A316),BBG_Data!A316,"")</f>
        <v/>
      </c>
      <c r="B316" s="16">
        <f>IF(AND(ISNUMBER($A316),ISNUMBER(BBG_Data!B316)),BBG_Data!B316,NA())</f>
        <v/>
      </c>
      <c r="C316" s="16">
        <f>IF(AND(ISNUMBER($A316),ISNUMBER(BBG_Data!C316)),BBG_Data!C316,NA())</f>
        <v/>
      </c>
      <c r="D316" s="17">
        <f>IF(AND(ISNUMBER($A316),ISNUMBER(BBG_Data!D316)),BBG_Data!D316,NA())</f>
        <v/>
      </c>
      <c r="E316" s="17">
        <f>IF(AND(ISNUMBER($A316),ISNUMBER(BBG_Data!E316)),BBG_Data!E316,NA())</f>
        <v/>
      </c>
      <c r="F316" s="18">
        <f>IF(AND(ISNUMBER(B316),ISNUMBER(B315)),(B316-B315)*100,"")</f>
        <v/>
      </c>
      <c r="G316" s="18">
        <f>IF(AND(ISNUMBER(C316),ISNUMBER(C315)),(C316-C315)*100,"")</f>
        <v/>
      </c>
      <c r="H316" s="18">
        <f>IF(OR(NOT(ISNUMBER($A316)),ROW()-2&lt;Settings!$B$11),NA(),IF(COUNT(OFFSET(F316,1-Settings!$B$11,0,Settings!$B$11,1))&lt;Settings!$B$11,NA(),STDEV(OFFSET(F316,1-Settings!$B$11,0,Settings!$B$11,1))*SQRT(Settings!$B$13)))</f>
        <v/>
      </c>
      <c r="I316" s="18">
        <f>IF(OR(NOT(ISNUMBER($A316)),ROW()-2&lt;Settings!$B$12),NA(),IF(COUNT(OFFSET(F316,1-Settings!$B$12,0,Settings!$B$12,1))&lt;Settings!$B$12,NA(),STDEV(OFFSET(F316,1-Settings!$B$12,0,Settings!$B$12,1))*SQRT(Settings!$B$13)))</f>
        <v/>
      </c>
      <c r="J316" s="18">
        <f>IF(OR(NOT(ISNUMBER($A316)),ROW()-2&lt;Settings!$B$11),NA(),IF(COUNT(OFFSET(G316,1-Settings!$B$11,0,Settings!$B$11,1))&lt;Settings!$B$11,NA(),STDEV(OFFSET(G316,1-Settings!$B$11,0,Settings!$B$11,1))*SQRT(Settings!$B$13)))</f>
        <v/>
      </c>
      <c r="K316" s="18">
        <f>IF(OR(NOT(ISNUMBER($A316)),ROW()-2&lt;Settings!$B$12),NA(),IF(COUNT(OFFSET(G316,1-Settings!$B$12,0,Settings!$B$12,1))&lt;Settings!$B$12,NA(),STDEV(OFFSET(G316,1-Settings!$B$12,0,Settings!$B$12,1))*SQRT(Settings!$B$13)))</f>
        <v/>
      </c>
      <c r="L316" s="18">
        <f>IF(AND(ISNUMBER(D316),ISNUMBER(H316)),D316-H316,NA())</f>
        <v/>
      </c>
      <c r="M316" s="18">
        <f>IF(AND(ISNUMBER(E316),ISNUMBER(K316)),E316-K316,NA())</f>
        <v/>
      </c>
      <c r="N316" s="18">
        <f>IF(NOT(ISNUMBER($A316)),NA(),IF(COUNT(OFFSET(G316,1,0,Settings!$B$12,1))&lt;Settings!$B$12,NA(),STDEV(OFFSET(G316,1,0,Settings!$B$12,1))*SQRT(Settings!$B$13)))</f>
        <v/>
      </c>
      <c r="O316" s="18">
        <f>IF(AND(ISNUMBER(E316),ISNUMBER(N316)),E316-N316,NA())</f>
        <v/>
      </c>
      <c r="P316" s="17">
        <f>IF(NOT(ISNUMBER($A316)),NA(),IF(OR($A316&lt;MIN(KW_TP!$A$2:$A$2501),$A316&gt;MAX(KW_TP!$A$2:$A$2501)),NA(),INDEX(KW_TP!$C$2:$C$2501,MATCH($A316,KW_TP!$A$2:$A$2501,1))))</f>
        <v/>
      </c>
    </row>
    <row r="317">
      <c r="A317" s="15">
        <f>IF(ISNUMBER(BBG_Data!A317),BBG_Data!A317,"")</f>
        <v/>
      </c>
      <c r="B317" s="16">
        <f>IF(AND(ISNUMBER($A317),ISNUMBER(BBG_Data!B317)),BBG_Data!B317,NA())</f>
        <v/>
      </c>
      <c r="C317" s="16">
        <f>IF(AND(ISNUMBER($A317),ISNUMBER(BBG_Data!C317)),BBG_Data!C317,NA())</f>
        <v/>
      </c>
      <c r="D317" s="17">
        <f>IF(AND(ISNUMBER($A317),ISNUMBER(BBG_Data!D317)),BBG_Data!D317,NA())</f>
        <v/>
      </c>
      <c r="E317" s="17">
        <f>IF(AND(ISNUMBER($A317),ISNUMBER(BBG_Data!E317)),BBG_Data!E317,NA())</f>
        <v/>
      </c>
      <c r="F317" s="18">
        <f>IF(AND(ISNUMBER(B317),ISNUMBER(B316)),(B317-B316)*100,"")</f>
        <v/>
      </c>
      <c r="G317" s="18">
        <f>IF(AND(ISNUMBER(C317),ISNUMBER(C316)),(C317-C316)*100,"")</f>
        <v/>
      </c>
      <c r="H317" s="18">
        <f>IF(OR(NOT(ISNUMBER($A317)),ROW()-2&lt;Settings!$B$11),NA(),IF(COUNT(OFFSET(F317,1-Settings!$B$11,0,Settings!$B$11,1))&lt;Settings!$B$11,NA(),STDEV(OFFSET(F317,1-Settings!$B$11,0,Settings!$B$11,1))*SQRT(Settings!$B$13)))</f>
        <v/>
      </c>
      <c r="I317" s="18">
        <f>IF(OR(NOT(ISNUMBER($A317)),ROW()-2&lt;Settings!$B$12),NA(),IF(COUNT(OFFSET(F317,1-Settings!$B$12,0,Settings!$B$12,1))&lt;Settings!$B$12,NA(),STDEV(OFFSET(F317,1-Settings!$B$12,0,Settings!$B$12,1))*SQRT(Settings!$B$13)))</f>
        <v/>
      </c>
      <c r="J317" s="18">
        <f>IF(OR(NOT(ISNUMBER($A317)),ROW()-2&lt;Settings!$B$11),NA(),IF(COUNT(OFFSET(G317,1-Settings!$B$11,0,Settings!$B$11,1))&lt;Settings!$B$11,NA(),STDEV(OFFSET(G317,1-Settings!$B$11,0,Settings!$B$11,1))*SQRT(Settings!$B$13)))</f>
        <v/>
      </c>
      <c r="K317" s="18">
        <f>IF(OR(NOT(ISNUMBER($A317)),ROW()-2&lt;Settings!$B$12),NA(),IF(COUNT(OFFSET(G317,1-Settings!$B$12,0,Settings!$B$12,1))&lt;Settings!$B$12,NA(),STDEV(OFFSET(G317,1-Settings!$B$12,0,Settings!$B$12,1))*SQRT(Settings!$B$13)))</f>
        <v/>
      </c>
      <c r="L317" s="18">
        <f>IF(AND(ISNUMBER(D317),ISNUMBER(H317)),D317-H317,NA())</f>
        <v/>
      </c>
      <c r="M317" s="18">
        <f>IF(AND(ISNUMBER(E317),ISNUMBER(K317)),E317-K317,NA())</f>
        <v/>
      </c>
      <c r="N317" s="18">
        <f>IF(NOT(ISNUMBER($A317)),NA(),IF(COUNT(OFFSET(G317,1,0,Settings!$B$12,1))&lt;Settings!$B$12,NA(),STDEV(OFFSET(G317,1,0,Settings!$B$12,1))*SQRT(Settings!$B$13)))</f>
        <v/>
      </c>
      <c r="O317" s="18">
        <f>IF(AND(ISNUMBER(E317),ISNUMBER(N317)),E317-N317,NA())</f>
        <v/>
      </c>
      <c r="P317" s="17">
        <f>IF(NOT(ISNUMBER($A317)),NA(),IF(OR($A317&lt;MIN(KW_TP!$A$2:$A$2501),$A317&gt;MAX(KW_TP!$A$2:$A$2501)),NA(),INDEX(KW_TP!$C$2:$C$2501,MATCH($A317,KW_TP!$A$2:$A$2501,1))))</f>
        <v/>
      </c>
    </row>
    <row r="318">
      <c r="A318" s="15">
        <f>IF(ISNUMBER(BBG_Data!A318),BBG_Data!A318,"")</f>
        <v/>
      </c>
      <c r="B318" s="16">
        <f>IF(AND(ISNUMBER($A318),ISNUMBER(BBG_Data!B318)),BBG_Data!B318,NA())</f>
        <v/>
      </c>
      <c r="C318" s="16">
        <f>IF(AND(ISNUMBER($A318),ISNUMBER(BBG_Data!C318)),BBG_Data!C318,NA())</f>
        <v/>
      </c>
      <c r="D318" s="17">
        <f>IF(AND(ISNUMBER($A318),ISNUMBER(BBG_Data!D318)),BBG_Data!D318,NA())</f>
        <v/>
      </c>
      <c r="E318" s="17">
        <f>IF(AND(ISNUMBER($A318),ISNUMBER(BBG_Data!E318)),BBG_Data!E318,NA())</f>
        <v/>
      </c>
      <c r="F318" s="18">
        <f>IF(AND(ISNUMBER(B318),ISNUMBER(B317)),(B318-B317)*100,"")</f>
        <v/>
      </c>
      <c r="G318" s="18">
        <f>IF(AND(ISNUMBER(C318),ISNUMBER(C317)),(C318-C317)*100,"")</f>
        <v/>
      </c>
      <c r="H318" s="18">
        <f>IF(OR(NOT(ISNUMBER($A318)),ROW()-2&lt;Settings!$B$11),NA(),IF(COUNT(OFFSET(F318,1-Settings!$B$11,0,Settings!$B$11,1))&lt;Settings!$B$11,NA(),STDEV(OFFSET(F318,1-Settings!$B$11,0,Settings!$B$11,1))*SQRT(Settings!$B$13)))</f>
        <v/>
      </c>
      <c r="I318" s="18">
        <f>IF(OR(NOT(ISNUMBER($A318)),ROW()-2&lt;Settings!$B$12),NA(),IF(COUNT(OFFSET(F318,1-Settings!$B$12,0,Settings!$B$12,1))&lt;Settings!$B$12,NA(),STDEV(OFFSET(F318,1-Settings!$B$12,0,Settings!$B$12,1))*SQRT(Settings!$B$13)))</f>
        <v/>
      </c>
      <c r="J318" s="18">
        <f>IF(OR(NOT(ISNUMBER($A318)),ROW()-2&lt;Settings!$B$11),NA(),IF(COUNT(OFFSET(G318,1-Settings!$B$11,0,Settings!$B$11,1))&lt;Settings!$B$11,NA(),STDEV(OFFSET(G318,1-Settings!$B$11,0,Settings!$B$11,1))*SQRT(Settings!$B$13)))</f>
        <v/>
      </c>
      <c r="K318" s="18">
        <f>IF(OR(NOT(ISNUMBER($A318)),ROW()-2&lt;Settings!$B$12),NA(),IF(COUNT(OFFSET(G318,1-Settings!$B$12,0,Settings!$B$12,1))&lt;Settings!$B$12,NA(),STDEV(OFFSET(G318,1-Settings!$B$12,0,Settings!$B$12,1))*SQRT(Settings!$B$13)))</f>
        <v/>
      </c>
      <c r="L318" s="18">
        <f>IF(AND(ISNUMBER(D318),ISNUMBER(H318)),D318-H318,NA())</f>
        <v/>
      </c>
      <c r="M318" s="18">
        <f>IF(AND(ISNUMBER(E318),ISNUMBER(K318)),E318-K318,NA())</f>
        <v/>
      </c>
      <c r="N318" s="18">
        <f>IF(NOT(ISNUMBER($A318)),NA(),IF(COUNT(OFFSET(G318,1,0,Settings!$B$12,1))&lt;Settings!$B$12,NA(),STDEV(OFFSET(G318,1,0,Settings!$B$12,1))*SQRT(Settings!$B$13)))</f>
        <v/>
      </c>
      <c r="O318" s="18">
        <f>IF(AND(ISNUMBER(E318),ISNUMBER(N318)),E318-N318,NA())</f>
        <v/>
      </c>
      <c r="P318" s="17">
        <f>IF(NOT(ISNUMBER($A318)),NA(),IF(OR($A318&lt;MIN(KW_TP!$A$2:$A$2501),$A318&gt;MAX(KW_TP!$A$2:$A$2501)),NA(),INDEX(KW_TP!$C$2:$C$2501,MATCH($A318,KW_TP!$A$2:$A$2501,1))))</f>
        <v/>
      </c>
    </row>
    <row r="319">
      <c r="A319" s="15">
        <f>IF(ISNUMBER(BBG_Data!A319),BBG_Data!A319,"")</f>
        <v/>
      </c>
      <c r="B319" s="16">
        <f>IF(AND(ISNUMBER($A319),ISNUMBER(BBG_Data!B319)),BBG_Data!B319,NA())</f>
        <v/>
      </c>
      <c r="C319" s="16">
        <f>IF(AND(ISNUMBER($A319),ISNUMBER(BBG_Data!C319)),BBG_Data!C319,NA())</f>
        <v/>
      </c>
      <c r="D319" s="17">
        <f>IF(AND(ISNUMBER($A319),ISNUMBER(BBG_Data!D319)),BBG_Data!D319,NA())</f>
        <v/>
      </c>
      <c r="E319" s="17">
        <f>IF(AND(ISNUMBER($A319),ISNUMBER(BBG_Data!E319)),BBG_Data!E319,NA())</f>
        <v/>
      </c>
      <c r="F319" s="18">
        <f>IF(AND(ISNUMBER(B319),ISNUMBER(B318)),(B319-B318)*100,"")</f>
        <v/>
      </c>
      <c r="G319" s="18">
        <f>IF(AND(ISNUMBER(C319),ISNUMBER(C318)),(C319-C318)*100,"")</f>
        <v/>
      </c>
      <c r="H319" s="18">
        <f>IF(OR(NOT(ISNUMBER($A319)),ROW()-2&lt;Settings!$B$11),NA(),IF(COUNT(OFFSET(F319,1-Settings!$B$11,0,Settings!$B$11,1))&lt;Settings!$B$11,NA(),STDEV(OFFSET(F319,1-Settings!$B$11,0,Settings!$B$11,1))*SQRT(Settings!$B$13)))</f>
        <v/>
      </c>
      <c r="I319" s="18">
        <f>IF(OR(NOT(ISNUMBER($A319)),ROW()-2&lt;Settings!$B$12),NA(),IF(COUNT(OFFSET(F319,1-Settings!$B$12,0,Settings!$B$12,1))&lt;Settings!$B$12,NA(),STDEV(OFFSET(F319,1-Settings!$B$12,0,Settings!$B$12,1))*SQRT(Settings!$B$13)))</f>
        <v/>
      </c>
      <c r="J319" s="18">
        <f>IF(OR(NOT(ISNUMBER($A319)),ROW()-2&lt;Settings!$B$11),NA(),IF(COUNT(OFFSET(G319,1-Settings!$B$11,0,Settings!$B$11,1))&lt;Settings!$B$11,NA(),STDEV(OFFSET(G319,1-Settings!$B$11,0,Settings!$B$11,1))*SQRT(Settings!$B$13)))</f>
        <v/>
      </c>
      <c r="K319" s="18">
        <f>IF(OR(NOT(ISNUMBER($A319)),ROW()-2&lt;Settings!$B$12),NA(),IF(COUNT(OFFSET(G319,1-Settings!$B$12,0,Settings!$B$12,1))&lt;Settings!$B$12,NA(),STDEV(OFFSET(G319,1-Settings!$B$12,0,Settings!$B$12,1))*SQRT(Settings!$B$13)))</f>
        <v/>
      </c>
      <c r="L319" s="18">
        <f>IF(AND(ISNUMBER(D319),ISNUMBER(H319)),D319-H319,NA())</f>
        <v/>
      </c>
      <c r="M319" s="18">
        <f>IF(AND(ISNUMBER(E319),ISNUMBER(K319)),E319-K319,NA())</f>
        <v/>
      </c>
      <c r="N319" s="18">
        <f>IF(NOT(ISNUMBER($A319)),NA(),IF(COUNT(OFFSET(G319,1,0,Settings!$B$12,1))&lt;Settings!$B$12,NA(),STDEV(OFFSET(G319,1,0,Settings!$B$12,1))*SQRT(Settings!$B$13)))</f>
        <v/>
      </c>
      <c r="O319" s="18">
        <f>IF(AND(ISNUMBER(E319),ISNUMBER(N319)),E319-N319,NA())</f>
        <v/>
      </c>
      <c r="P319" s="17">
        <f>IF(NOT(ISNUMBER($A319)),NA(),IF(OR($A319&lt;MIN(KW_TP!$A$2:$A$2501),$A319&gt;MAX(KW_TP!$A$2:$A$2501)),NA(),INDEX(KW_TP!$C$2:$C$2501,MATCH($A319,KW_TP!$A$2:$A$2501,1))))</f>
        <v/>
      </c>
    </row>
    <row r="320">
      <c r="A320" s="15">
        <f>IF(ISNUMBER(BBG_Data!A320),BBG_Data!A320,"")</f>
        <v/>
      </c>
      <c r="B320" s="16">
        <f>IF(AND(ISNUMBER($A320),ISNUMBER(BBG_Data!B320)),BBG_Data!B320,NA())</f>
        <v/>
      </c>
      <c r="C320" s="16">
        <f>IF(AND(ISNUMBER($A320),ISNUMBER(BBG_Data!C320)),BBG_Data!C320,NA())</f>
        <v/>
      </c>
      <c r="D320" s="17">
        <f>IF(AND(ISNUMBER($A320),ISNUMBER(BBG_Data!D320)),BBG_Data!D320,NA())</f>
        <v/>
      </c>
      <c r="E320" s="17">
        <f>IF(AND(ISNUMBER($A320),ISNUMBER(BBG_Data!E320)),BBG_Data!E320,NA())</f>
        <v/>
      </c>
      <c r="F320" s="18">
        <f>IF(AND(ISNUMBER(B320),ISNUMBER(B319)),(B320-B319)*100,"")</f>
        <v/>
      </c>
      <c r="G320" s="18">
        <f>IF(AND(ISNUMBER(C320),ISNUMBER(C319)),(C320-C319)*100,"")</f>
        <v/>
      </c>
      <c r="H320" s="18">
        <f>IF(OR(NOT(ISNUMBER($A320)),ROW()-2&lt;Settings!$B$11),NA(),IF(COUNT(OFFSET(F320,1-Settings!$B$11,0,Settings!$B$11,1))&lt;Settings!$B$11,NA(),STDEV(OFFSET(F320,1-Settings!$B$11,0,Settings!$B$11,1))*SQRT(Settings!$B$13)))</f>
        <v/>
      </c>
      <c r="I320" s="18">
        <f>IF(OR(NOT(ISNUMBER($A320)),ROW()-2&lt;Settings!$B$12),NA(),IF(COUNT(OFFSET(F320,1-Settings!$B$12,0,Settings!$B$12,1))&lt;Settings!$B$12,NA(),STDEV(OFFSET(F320,1-Settings!$B$12,0,Settings!$B$12,1))*SQRT(Settings!$B$13)))</f>
        <v/>
      </c>
      <c r="J320" s="18">
        <f>IF(OR(NOT(ISNUMBER($A320)),ROW()-2&lt;Settings!$B$11),NA(),IF(COUNT(OFFSET(G320,1-Settings!$B$11,0,Settings!$B$11,1))&lt;Settings!$B$11,NA(),STDEV(OFFSET(G320,1-Settings!$B$11,0,Settings!$B$11,1))*SQRT(Settings!$B$13)))</f>
        <v/>
      </c>
      <c r="K320" s="18">
        <f>IF(OR(NOT(ISNUMBER($A320)),ROW()-2&lt;Settings!$B$12),NA(),IF(COUNT(OFFSET(G320,1-Settings!$B$12,0,Settings!$B$12,1))&lt;Settings!$B$12,NA(),STDEV(OFFSET(G320,1-Settings!$B$12,0,Settings!$B$12,1))*SQRT(Settings!$B$13)))</f>
        <v/>
      </c>
      <c r="L320" s="18">
        <f>IF(AND(ISNUMBER(D320),ISNUMBER(H320)),D320-H320,NA())</f>
        <v/>
      </c>
      <c r="M320" s="18">
        <f>IF(AND(ISNUMBER(E320),ISNUMBER(K320)),E320-K320,NA())</f>
        <v/>
      </c>
      <c r="N320" s="18">
        <f>IF(NOT(ISNUMBER($A320)),NA(),IF(COUNT(OFFSET(G320,1,0,Settings!$B$12,1))&lt;Settings!$B$12,NA(),STDEV(OFFSET(G320,1,0,Settings!$B$12,1))*SQRT(Settings!$B$13)))</f>
        <v/>
      </c>
      <c r="O320" s="18">
        <f>IF(AND(ISNUMBER(E320),ISNUMBER(N320)),E320-N320,NA())</f>
        <v/>
      </c>
      <c r="P320" s="17">
        <f>IF(NOT(ISNUMBER($A320)),NA(),IF(OR($A320&lt;MIN(KW_TP!$A$2:$A$2501),$A320&gt;MAX(KW_TP!$A$2:$A$2501)),NA(),INDEX(KW_TP!$C$2:$C$2501,MATCH($A320,KW_TP!$A$2:$A$2501,1))))</f>
        <v/>
      </c>
    </row>
    <row r="321">
      <c r="A321" s="15">
        <f>IF(ISNUMBER(BBG_Data!A321),BBG_Data!A321,"")</f>
        <v/>
      </c>
      <c r="B321" s="16">
        <f>IF(AND(ISNUMBER($A321),ISNUMBER(BBG_Data!B321)),BBG_Data!B321,NA())</f>
        <v/>
      </c>
      <c r="C321" s="16">
        <f>IF(AND(ISNUMBER($A321),ISNUMBER(BBG_Data!C321)),BBG_Data!C321,NA())</f>
        <v/>
      </c>
      <c r="D321" s="17">
        <f>IF(AND(ISNUMBER($A321),ISNUMBER(BBG_Data!D321)),BBG_Data!D321,NA())</f>
        <v/>
      </c>
      <c r="E321" s="17">
        <f>IF(AND(ISNUMBER($A321),ISNUMBER(BBG_Data!E321)),BBG_Data!E321,NA())</f>
        <v/>
      </c>
      <c r="F321" s="18">
        <f>IF(AND(ISNUMBER(B321),ISNUMBER(B320)),(B321-B320)*100,"")</f>
        <v/>
      </c>
      <c r="G321" s="18">
        <f>IF(AND(ISNUMBER(C321),ISNUMBER(C320)),(C321-C320)*100,"")</f>
        <v/>
      </c>
      <c r="H321" s="18">
        <f>IF(OR(NOT(ISNUMBER($A321)),ROW()-2&lt;Settings!$B$11),NA(),IF(COUNT(OFFSET(F321,1-Settings!$B$11,0,Settings!$B$11,1))&lt;Settings!$B$11,NA(),STDEV(OFFSET(F321,1-Settings!$B$11,0,Settings!$B$11,1))*SQRT(Settings!$B$13)))</f>
        <v/>
      </c>
      <c r="I321" s="18">
        <f>IF(OR(NOT(ISNUMBER($A321)),ROW()-2&lt;Settings!$B$12),NA(),IF(COUNT(OFFSET(F321,1-Settings!$B$12,0,Settings!$B$12,1))&lt;Settings!$B$12,NA(),STDEV(OFFSET(F321,1-Settings!$B$12,0,Settings!$B$12,1))*SQRT(Settings!$B$13)))</f>
        <v/>
      </c>
      <c r="J321" s="18">
        <f>IF(OR(NOT(ISNUMBER($A321)),ROW()-2&lt;Settings!$B$11),NA(),IF(COUNT(OFFSET(G321,1-Settings!$B$11,0,Settings!$B$11,1))&lt;Settings!$B$11,NA(),STDEV(OFFSET(G321,1-Settings!$B$11,0,Settings!$B$11,1))*SQRT(Settings!$B$13)))</f>
        <v/>
      </c>
      <c r="K321" s="18">
        <f>IF(OR(NOT(ISNUMBER($A321)),ROW()-2&lt;Settings!$B$12),NA(),IF(COUNT(OFFSET(G321,1-Settings!$B$12,0,Settings!$B$12,1))&lt;Settings!$B$12,NA(),STDEV(OFFSET(G321,1-Settings!$B$12,0,Settings!$B$12,1))*SQRT(Settings!$B$13)))</f>
        <v/>
      </c>
      <c r="L321" s="18">
        <f>IF(AND(ISNUMBER(D321),ISNUMBER(H321)),D321-H321,NA())</f>
        <v/>
      </c>
      <c r="M321" s="18">
        <f>IF(AND(ISNUMBER(E321),ISNUMBER(K321)),E321-K321,NA())</f>
        <v/>
      </c>
      <c r="N321" s="18">
        <f>IF(NOT(ISNUMBER($A321)),NA(),IF(COUNT(OFFSET(G321,1,0,Settings!$B$12,1))&lt;Settings!$B$12,NA(),STDEV(OFFSET(G321,1,0,Settings!$B$12,1))*SQRT(Settings!$B$13)))</f>
        <v/>
      </c>
      <c r="O321" s="18">
        <f>IF(AND(ISNUMBER(E321),ISNUMBER(N321)),E321-N321,NA())</f>
        <v/>
      </c>
      <c r="P321" s="17">
        <f>IF(NOT(ISNUMBER($A321)),NA(),IF(OR($A321&lt;MIN(KW_TP!$A$2:$A$2501),$A321&gt;MAX(KW_TP!$A$2:$A$2501)),NA(),INDEX(KW_TP!$C$2:$C$2501,MATCH($A321,KW_TP!$A$2:$A$2501,1))))</f>
        <v/>
      </c>
    </row>
    <row r="322">
      <c r="A322" s="15">
        <f>IF(ISNUMBER(BBG_Data!A322),BBG_Data!A322,"")</f>
        <v/>
      </c>
      <c r="B322" s="16">
        <f>IF(AND(ISNUMBER($A322),ISNUMBER(BBG_Data!B322)),BBG_Data!B322,NA())</f>
        <v/>
      </c>
      <c r="C322" s="16">
        <f>IF(AND(ISNUMBER($A322),ISNUMBER(BBG_Data!C322)),BBG_Data!C322,NA())</f>
        <v/>
      </c>
      <c r="D322" s="17">
        <f>IF(AND(ISNUMBER($A322),ISNUMBER(BBG_Data!D322)),BBG_Data!D322,NA())</f>
        <v/>
      </c>
      <c r="E322" s="17">
        <f>IF(AND(ISNUMBER($A322),ISNUMBER(BBG_Data!E322)),BBG_Data!E322,NA())</f>
        <v/>
      </c>
      <c r="F322" s="18">
        <f>IF(AND(ISNUMBER(B322),ISNUMBER(B321)),(B322-B321)*100,"")</f>
        <v/>
      </c>
      <c r="G322" s="18">
        <f>IF(AND(ISNUMBER(C322),ISNUMBER(C321)),(C322-C321)*100,"")</f>
        <v/>
      </c>
      <c r="H322" s="18">
        <f>IF(OR(NOT(ISNUMBER($A322)),ROW()-2&lt;Settings!$B$11),NA(),IF(COUNT(OFFSET(F322,1-Settings!$B$11,0,Settings!$B$11,1))&lt;Settings!$B$11,NA(),STDEV(OFFSET(F322,1-Settings!$B$11,0,Settings!$B$11,1))*SQRT(Settings!$B$13)))</f>
        <v/>
      </c>
      <c r="I322" s="18">
        <f>IF(OR(NOT(ISNUMBER($A322)),ROW()-2&lt;Settings!$B$12),NA(),IF(COUNT(OFFSET(F322,1-Settings!$B$12,0,Settings!$B$12,1))&lt;Settings!$B$12,NA(),STDEV(OFFSET(F322,1-Settings!$B$12,0,Settings!$B$12,1))*SQRT(Settings!$B$13)))</f>
        <v/>
      </c>
      <c r="J322" s="18">
        <f>IF(OR(NOT(ISNUMBER($A322)),ROW()-2&lt;Settings!$B$11),NA(),IF(COUNT(OFFSET(G322,1-Settings!$B$11,0,Settings!$B$11,1))&lt;Settings!$B$11,NA(),STDEV(OFFSET(G322,1-Settings!$B$11,0,Settings!$B$11,1))*SQRT(Settings!$B$13)))</f>
        <v/>
      </c>
      <c r="K322" s="18">
        <f>IF(OR(NOT(ISNUMBER($A322)),ROW()-2&lt;Settings!$B$12),NA(),IF(COUNT(OFFSET(G322,1-Settings!$B$12,0,Settings!$B$12,1))&lt;Settings!$B$12,NA(),STDEV(OFFSET(G322,1-Settings!$B$12,0,Settings!$B$12,1))*SQRT(Settings!$B$13)))</f>
        <v/>
      </c>
      <c r="L322" s="18">
        <f>IF(AND(ISNUMBER(D322),ISNUMBER(H322)),D322-H322,NA())</f>
        <v/>
      </c>
      <c r="M322" s="18">
        <f>IF(AND(ISNUMBER(E322),ISNUMBER(K322)),E322-K322,NA())</f>
        <v/>
      </c>
      <c r="N322" s="18">
        <f>IF(NOT(ISNUMBER($A322)),NA(),IF(COUNT(OFFSET(G322,1,0,Settings!$B$12,1))&lt;Settings!$B$12,NA(),STDEV(OFFSET(G322,1,0,Settings!$B$12,1))*SQRT(Settings!$B$13)))</f>
        <v/>
      </c>
      <c r="O322" s="18">
        <f>IF(AND(ISNUMBER(E322),ISNUMBER(N322)),E322-N322,NA())</f>
        <v/>
      </c>
      <c r="P322" s="17">
        <f>IF(NOT(ISNUMBER($A322)),NA(),IF(OR($A322&lt;MIN(KW_TP!$A$2:$A$2501),$A322&gt;MAX(KW_TP!$A$2:$A$2501)),NA(),INDEX(KW_TP!$C$2:$C$2501,MATCH($A322,KW_TP!$A$2:$A$2501,1))))</f>
        <v/>
      </c>
    </row>
    <row r="323">
      <c r="A323" s="15">
        <f>IF(ISNUMBER(BBG_Data!A323),BBG_Data!A323,"")</f>
        <v/>
      </c>
      <c r="B323" s="16">
        <f>IF(AND(ISNUMBER($A323),ISNUMBER(BBG_Data!B323)),BBG_Data!B323,NA())</f>
        <v/>
      </c>
      <c r="C323" s="16">
        <f>IF(AND(ISNUMBER($A323),ISNUMBER(BBG_Data!C323)),BBG_Data!C323,NA())</f>
        <v/>
      </c>
      <c r="D323" s="17">
        <f>IF(AND(ISNUMBER($A323),ISNUMBER(BBG_Data!D323)),BBG_Data!D323,NA())</f>
        <v/>
      </c>
      <c r="E323" s="17">
        <f>IF(AND(ISNUMBER($A323),ISNUMBER(BBG_Data!E323)),BBG_Data!E323,NA())</f>
        <v/>
      </c>
      <c r="F323" s="18">
        <f>IF(AND(ISNUMBER(B323),ISNUMBER(B322)),(B323-B322)*100,"")</f>
        <v/>
      </c>
      <c r="G323" s="18">
        <f>IF(AND(ISNUMBER(C323),ISNUMBER(C322)),(C323-C322)*100,"")</f>
        <v/>
      </c>
      <c r="H323" s="18">
        <f>IF(OR(NOT(ISNUMBER($A323)),ROW()-2&lt;Settings!$B$11),NA(),IF(COUNT(OFFSET(F323,1-Settings!$B$11,0,Settings!$B$11,1))&lt;Settings!$B$11,NA(),STDEV(OFFSET(F323,1-Settings!$B$11,0,Settings!$B$11,1))*SQRT(Settings!$B$13)))</f>
        <v/>
      </c>
      <c r="I323" s="18">
        <f>IF(OR(NOT(ISNUMBER($A323)),ROW()-2&lt;Settings!$B$12),NA(),IF(COUNT(OFFSET(F323,1-Settings!$B$12,0,Settings!$B$12,1))&lt;Settings!$B$12,NA(),STDEV(OFFSET(F323,1-Settings!$B$12,0,Settings!$B$12,1))*SQRT(Settings!$B$13)))</f>
        <v/>
      </c>
      <c r="J323" s="18">
        <f>IF(OR(NOT(ISNUMBER($A323)),ROW()-2&lt;Settings!$B$11),NA(),IF(COUNT(OFFSET(G323,1-Settings!$B$11,0,Settings!$B$11,1))&lt;Settings!$B$11,NA(),STDEV(OFFSET(G323,1-Settings!$B$11,0,Settings!$B$11,1))*SQRT(Settings!$B$13)))</f>
        <v/>
      </c>
      <c r="K323" s="18">
        <f>IF(OR(NOT(ISNUMBER($A323)),ROW()-2&lt;Settings!$B$12),NA(),IF(COUNT(OFFSET(G323,1-Settings!$B$12,0,Settings!$B$12,1))&lt;Settings!$B$12,NA(),STDEV(OFFSET(G323,1-Settings!$B$12,0,Settings!$B$12,1))*SQRT(Settings!$B$13)))</f>
        <v/>
      </c>
      <c r="L323" s="18">
        <f>IF(AND(ISNUMBER(D323),ISNUMBER(H323)),D323-H323,NA())</f>
        <v/>
      </c>
      <c r="M323" s="18">
        <f>IF(AND(ISNUMBER(E323),ISNUMBER(K323)),E323-K323,NA())</f>
        <v/>
      </c>
      <c r="N323" s="18">
        <f>IF(NOT(ISNUMBER($A323)),NA(),IF(COUNT(OFFSET(G323,1,0,Settings!$B$12,1))&lt;Settings!$B$12,NA(),STDEV(OFFSET(G323,1,0,Settings!$B$12,1))*SQRT(Settings!$B$13)))</f>
        <v/>
      </c>
      <c r="O323" s="18">
        <f>IF(AND(ISNUMBER(E323),ISNUMBER(N323)),E323-N323,NA())</f>
        <v/>
      </c>
      <c r="P323" s="17">
        <f>IF(NOT(ISNUMBER($A323)),NA(),IF(OR($A323&lt;MIN(KW_TP!$A$2:$A$2501),$A323&gt;MAX(KW_TP!$A$2:$A$2501)),NA(),INDEX(KW_TP!$C$2:$C$2501,MATCH($A323,KW_TP!$A$2:$A$2501,1))))</f>
        <v/>
      </c>
    </row>
    <row r="324">
      <c r="A324" s="15">
        <f>IF(ISNUMBER(BBG_Data!A324),BBG_Data!A324,"")</f>
        <v/>
      </c>
      <c r="B324" s="16">
        <f>IF(AND(ISNUMBER($A324),ISNUMBER(BBG_Data!B324)),BBG_Data!B324,NA())</f>
        <v/>
      </c>
      <c r="C324" s="16">
        <f>IF(AND(ISNUMBER($A324),ISNUMBER(BBG_Data!C324)),BBG_Data!C324,NA())</f>
        <v/>
      </c>
      <c r="D324" s="17">
        <f>IF(AND(ISNUMBER($A324),ISNUMBER(BBG_Data!D324)),BBG_Data!D324,NA())</f>
        <v/>
      </c>
      <c r="E324" s="17">
        <f>IF(AND(ISNUMBER($A324),ISNUMBER(BBG_Data!E324)),BBG_Data!E324,NA())</f>
        <v/>
      </c>
      <c r="F324" s="18">
        <f>IF(AND(ISNUMBER(B324),ISNUMBER(B323)),(B324-B323)*100,"")</f>
        <v/>
      </c>
      <c r="G324" s="18">
        <f>IF(AND(ISNUMBER(C324),ISNUMBER(C323)),(C324-C323)*100,"")</f>
        <v/>
      </c>
      <c r="H324" s="18">
        <f>IF(OR(NOT(ISNUMBER($A324)),ROW()-2&lt;Settings!$B$11),NA(),IF(COUNT(OFFSET(F324,1-Settings!$B$11,0,Settings!$B$11,1))&lt;Settings!$B$11,NA(),STDEV(OFFSET(F324,1-Settings!$B$11,0,Settings!$B$11,1))*SQRT(Settings!$B$13)))</f>
        <v/>
      </c>
      <c r="I324" s="18">
        <f>IF(OR(NOT(ISNUMBER($A324)),ROW()-2&lt;Settings!$B$12),NA(),IF(COUNT(OFFSET(F324,1-Settings!$B$12,0,Settings!$B$12,1))&lt;Settings!$B$12,NA(),STDEV(OFFSET(F324,1-Settings!$B$12,0,Settings!$B$12,1))*SQRT(Settings!$B$13)))</f>
        <v/>
      </c>
      <c r="J324" s="18">
        <f>IF(OR(NOT(ISNUMBER($A324)),ROW()-2&lt;Settings!$B$11),NA(),IF(COUNT(OFFSET(G324,1-Settings!$B$11,0,Settings!$B$11,1))&lt;Settings!$B$11,NA(),STDEV(OFFSET(G324,1-Settings!$B$11,0,Settings!$B$11,1))*SQRT(Settings!$B$13)))</f>
        <v/>
      </c>
      <c r="K324" s="18">
        <f>IF(OR(NOT(ISNUMBER($A324)),ROW()-2&lt;Settings!$B$12),NA(),IF(COUNT(OFFSET(G324,1-Settings!$B$12,0,Settings!$B$12,1))&lt;Settings!$B$12,NA(),STDEV(OFFSET(G324,1-Settings!$B$12,0,Settings!$B$12,1))*SQRT(Settings!$B$13)))</f>
        <v/>
      </c>
      <c r="L324" s="18">
        <f>IF(AND(ISNUMBER(D324),ISNUMBER(H324)),D324-H324,NA())</f>
        <v/>
      </c>
      <c r="M324" s="18">
        <f>IF(AND(ISNUMBER(E324),ISNUMBER(K324)),E324-K324,NA())</f>
        <v/>
      </c>
      <c r="N324" s="18">
        <f>IF(NOT(ISNUMBER($A324)),NA(),IF(COUNT(OFFSET(G324,1,0,Settings!$B$12,1))&lt;Settings!$B$12,NA(),STDEV(OFFSET(G324,1,0,Settings!$B$12,1))*SQRT(Settings!$B$13)))</f>
        <v/>
      </c>
      <c r="O324" s="18">
        <f>IF(AND(ISNUMBER(E324),ISNUMBER(N324)),E324-N324,NA())</f>
        <v/>
      </c>
      <c r="P324" s="17">
        <f>IF(NOT(ISNUMBER($A324)),NA(),IF(OR($A324&lt;MIN(KW_TP!$A$2:$A$2501),$A324&gt;MAX(KW_TP!$A$2:$A$2501)),NA(),INDEX(KW_TP!$C$2:$C$2501,MATCH($A324,KW_TP!$A$2:$A$2501,1))))</f>
        <v/>
      </c>
    </row>
    <row r="325">
      <c r="A325" s="15">
        <f>IF(ISNUMBER(BBG_Data!A325),BBG_Data!A325,"")</f>
        <v/>
      </c>
      <c r="B325" s="16">
        <f>IF(AND(ISNUMBER($A325),ISNUMBER(BBG_Data!B325)),BBG_Data!B325,NA())</f>
        <v/>
      </c>
      <c r="C325" s="16">
        <f>IF(AND(ISNUMBER($A325),ISNUMBER(BBG_Data!C325)),BBG_Data!C325,NA())</f>
        <v/>
      </c>
      <c r="D325" s="17">
        <f>IF(AND(ISNUMBER($A325),ISNUMBER(BBG_Data!D325)),BBG_Data!D325,NA())</f>
        <v/>
      </c>
      <c r="E325" s="17">
        <f>IF(AND(ISNUMBER($A325),ISNUMBER(BBG_Data!E325)),BBG_Data!E325,NA())</f>
        <v/>
      </c>
      <c r="F325" s="18">
        <f>IF(AND(ISNUMBER(B325),ISNUMBER(B324)),(B325-B324)*100,"")</f>
        <v/>
      </c>
      <c r="G325" s="18">
        <f>IF(AND(ISNUMBER(C325),ISNUMBER(C324)),(C325-C324)*100,"")</f>
        <v/>
      </c>
      <c r="H325" s="18">
        <f>IF(OR(NOT(ISNUMBER($A325)),ROW()-2&lt;Settings!$B$11),NA(),IF(COUNT(OFFSET(F325,1-Settings!$B$11,0,Settings!$B$11,1))&lt;Settings!$B$11,NA(),STDEV(OFFSET(F325,1-Settings!$B$11,0,Settings!$B$11,1))*SQRT(Settings!$B$13)))</f>
        <v/>
      </c>
      <c r="I325" s="18">
        <f>IF(OR(NOT(ISNUMBER($A325)),ROW()-2&lt;Settings!$B$12),NA(),IF(COUNT(OFFSET(F325,1-Settings!$B$12,0,Settings!$B$12,1))&lt;Settings!$B$12,NA(),STDEV(OFFSET(F325,1-Settings!$B$12,0,Settings!$B$12,1))*SQRT(Settings!$B$13)))</f>
        <v/>
      </c>
      <c r="J325" s="18">
        <f>IF(OR(NOT(ISNUMBER($A325)),ROW()-2&lt;Settings!$B$11),NA(),IF(COUNT(OFFSET(G325,1-Settings!$B$11,0,Settings!$B$11,1))&lt;Settings!$B$11,NA(),STDEV(OFFSET(G325,1-Settings!$B$11,0,Settings!$B$11,1))*SQRT(Settings!$B$13)))</f>
        <v/>
      </c>
      <c r="K325" s="18">
        <f>IF(OR(NOT(ISNUMBER($A325)),ROW()-2&lt;Settings!$B$12),NA(),IF(COUNT(OFFSET(G325,1-Settings!$B$12,0,Settings!$B$12,1))&lt;Settings!$B$12,NA(),STDEV(OFFSET(G325,1-Settings!$B$12,0,Settings!$B$12,1))*SQRT(Settings!$B$13)))</f>
        <v/>
      </c>
      <c r="L325" s="18">
        <f>IF(AND(ISNUMBER(D325),ISNUMBER(H325)),D325-H325,NA())</f>
        <v/>
      </c>
      <c r="M325" s="18">
        <f>IF(AND(ISNUMBER(E325),ISNUMBER(K325)),E325-K325,NA())</f>
        <v/>
      </c>
      <c r="N325" s="18">
        <f>IF(NOT(ISNUMBER($A325)),NA(),IF(COUNT(OFFSET(G325,1,0,Settings!$B$12,1))&lt;Settings!$B$12,NA(),STDEV(OFFSET(G325,1,0,Settings!$B$12,1))*SQRT(Settings!$B$13)))</f>
        <v/>
      </c>
      <c r="O325" s="18">
        <f>IF(AND(ISNUMBER(E325),ISNUMBER(N325)),E325-N325,NA())</f>
        <v/>
      </c>
      <c r="P325" s="17">
        <f>IF(NOT(ISNUMBER($A325)),NA(),IF(OR($A325&lt;MIN(KW_TP!$A$2:$A$2501),$A325&gt;MAX(KW_TP!$A$2:$A$2501)),NA(),INDEX(KW_TP!$C$2:$C$2501,MATCH($A325,KW_TP!$A$2:$A$2501,1))))</f>
        <v/>
      </c>
    </row>
    <row r="326">
      <c r="A326" s="15">
        <f>IF(ISNUMBER(BBG_Data!A326),BBG_Data!A326,"")</f>
        <v/>
      </c>
      <c r="B326" s="16">
        <f>IF(AND(ISNUMBER($A326),ISNUMBER(BBG_Data!B326)),BBG_Data!B326,NA())</f>
        <v/>
      </c>
      <c r="C326" s="16">
        <f>IF(AND(ISNUMBER($A326),ISNUMBER(BBG_Data!C326)),BBG_Data!C326,NA())</f>
        <v/>
      </c>
      <c r="D326" s="17">
        <f>IF(AND(ISNUMBER($A326),ISNUMBER(BBG_Data!D326)),BBG_Data!D326,NA())</f>
        <v/>
      </c>
      <c r="E326" s="17">
        <f>IF(AND(ISNUMBER($A326),ISNUMBER(BBG_Data!E326)),BBG_Data!E326,NA())</f>
        <v/>
      </c>
      <c r="F326" s="18">
        <f>IF(AND(ISNUMBER(B326),ISNUMBER(B325)),(B326-B325)*100,"")</f>
        <v/>
      </c>
      <c r="G326" s="18">
        <f>IF(AND(ISNUMBER(C326),ISNUMBER(C325)),(C326-C325)*100,"")</f>
        <v/>
      </c>
      <c r="H326" s="18">
        <f>IF(OR(NOT(ISNUMBER($A326)),ROW()-2&lt;Settings!$B$11),NA(),IF(COUNT(OFFSET(F326,1-Settings!$B$11,0,Settings!$B$11,1))&lt;Settings!$B$11,NA(),STDEV(OFFSET(F326,1-Settings!$B$11,0,Settings!$B$11,1))*SQRT(Settings!$B$13)))</f>
        <v/>
      </c>
      <c r="I326" s="18">
        <f>IF(OR(NOT(ISNUMBER($A326)),ROW()-2&lt;Settings!$B$12),NA(),IF(COUNT(OFFSET(F326,1-Settings!$B$12,0,Settings!$B$12,1))&lt;Settings!$B$12,NA(),STDEV(OFFSET(F326,1-Settings!$B$12,0,Settings!$B$12,1))*SQRT(Settings!$B$13)))</f>
        <v/>
      </c>
      <c r="J326" s="18">
        <f>IF(OR(NOT(ISNUMBER($A326)),ROW()-2&lt;Settings!$B$11),NA(),IF(COUNT(OFFSET(G326,1-Settings!$B$11,0,Settings!$B$11,1))&lt;Settings!$B$11,NA(),STDEV(OFFSET(G326,1-Settings!$B$11,0,Settings!$B$11,1))*SQRT(Settings!$B$13)))</f>
        <v/>
      </c>
      <c r="K326" s="18">
        <f>IF(OR(NOT(ISNUMBER($A326)),ROW()-2&lt;Settings!$B$12),NA(),IF(COUNT(OFFSET(G326,1-Settings!$B$12,0,Settings!$B$12,1))&lt;Settings!$B$12,NA(),STDEV(OFFSET(G326,1-Settings!$B$12,0,Settings!$B$12,1))*SQRT(Settings!$B$13)))</f>
        <v/>
      </c>
      <c r="L326" s="18">
        <f>IF(AND(ISNUMBER(D326),ISNUMBER(H326)),D326-H326,NA())</f>
        <v/>
      </c>
      <c r="M326" s="18">
        <f>IF(AND(ISNUMBER(E326),ISNUMBER(K326)),E326-K326,NA())</f>
        <v/>
      </c>
      <c r="N326" s="18">
        <f>IF(NOT(ISNUMBER($A326)),NA(),IF(COUNT(OFFSET(G326,1,0,Settings!$B$12,1))&lt;Settings!$B$12,NA(),STDEV(OFFSET(G326,1,0,Settings!$B$12,1))*SQRT(Settings!$B$13)))</f>
        <v/>
      </c>
      <c r="O326" s="18">
        <f>IF(AND(ISNUMBER(E326),ISNUMBER(N326)),E326-N326,NA())</f>
        <v/>
      </c>
      <c r="P326" s="17">
        <f>IF(NOT(ISNUMBER($A326)),NA(),IF(OR($A326&lt;MIN(KW_TP!$A$2:$A$2501),$A326&gt;MAX(KW_TP!$A$2:$A$2501)),NA(),INDEX(KW_TP!$C$2:$C$2501,MATCH($A326,KW_TP!$A$2:$A$2501,1))))</f>
        <v/>
      </c>
    </row>
    <row r="327">
      <c r="A327" s="15">
        <f>IF(ISNUMBER(BBG_Data!A327),BBG_Data!A327,"")</f>
        <v/>
      </c>
      <c r="B327" s="16">
        <f>IF(AND(ISNUMBER($A327),ISNUMBER(BBG_Data!B327)),BBG_Data!B327,NA())</f>
        <v/>
      </c>
      <c r="C327" s="16">
        <f>IF(AND(ISNUMBER($A327),ISNUMBER(BBG_Data!C327)),BBG_Data!C327,NA())</f>
        <v/>
      </c>
      <c r="D327" s="17">
        <f>IF(AND(ISNUMBER($A327),ISNUMBER(BBG_Data!D327)),BBG_Data!D327,NA())</f>
        <v/>
      </c>
      <c r="E327" s="17">
        <f>IF(AND(ISNUMBER($A327),ISNUMBER(BBG_Data!E327)),BBG_Data!E327,NA())</f>
        <v/>
      </c>
      <c r="F327" s="18">
        <f>IF(AND(ISNUMBER(B327),ISNUMBER(B326)),(B327-B326)*100,"")</f>
        <v/>
      </c>
      <c r="G327" s="18">
        <f>IF(AND(ISNUMBER(C327),ISNUMBER(C326)),(C327-C326)*100,"")</f>
        <v/>
      </c>
      <c r="H327" s="18">
        <f>IF(OR(NOT(ISNUMBER($A327)),ROW()-2&lt;Settings!$B$11),NA(),IF(COUNT(OFFSET(F327,1-Settings!$B$11,0,Settings!$B$11,1))&lt;Settings!$B$11,NA(),STDEV(OFFSET(F327,1-Settings!$B$11,0,Settings!$B$11,1))*SQRT(Settings!$B$13)))</f>
        <v/>
      </c>
      <c r="I327" s="18">
        <f>IF(OR(NOT(ISNUMBER($A327)),ROW()-2&lt;Settings!$B$12),NA(),IF(COUNT(OFFSET(F327,1-Settings!$B$12,0,Settings!$B$12,1))&lt;Settings!$B$12,NA(),STDEV(OFFSET(F327,1-Settings!$B$12,0,Settings!$B$12,1))*SQRT(Settings!$B$13)))</f>
        <v/>
      </c>
      <c r="J327" s="18">
        <f>IF(OR(NOT(ISNUMBER($A327)),ROW()-2&lt;Settings!$B$11),NA(),IF(COUNT(OFFSET(G327,1-Settings!$B$11,0,Settings!$B$11,1))&lt;Settings!$B$11,NA(),STDEV(OFFSET(G327,1-Settings!$B$11,0,Settings!$B$11,1))*SQRT(Settings!$B$13)))</f>
        <v/>
      </c>
      <c r="K327" s="18">
        <f>IF(OR(NOT(ISNUMBER($A327)),ROW()-2&lt;Settings!$B$12),NA(),IF(COUNT(OFFSET(G327,1-Settings!$B$12,0,Settings!$B$12,1))&lt;Settings!$B$12,NA(),STDEV(OFFSET(G327,1-Settings!$B$12,0,Settings!$B$12,1))*SQRT(Settings!$B$13)))</f>
        <v/>
      </c>
      <c r="L327" s="18">
        <f>IF(AND(ISNUMBER(D327),ISNUMBER(H327)),D327-H327,NA())</f>
        <v/>
      </c>
      <c r="M327" s="18">
        <f>IF(AND(ISNUMBER(E327),ISNUMBER(K327)),E327-K327,NA())</f>
        <v/>
      </c>
      <c r="N327" s="18">
        <f>IF(NOT(ISNUMBER($A327)),NA(),IF(COUNT(OFFSET(G327,1,0,Settings!$B$12,1))&lt;Settings!$B$12,NA(),STDEV(OFFSET(G327,1,0,Settings!$B$12,1))*SQRT(Settings!$B$13)))</f>
        <v/>
      </c>
      <c r="O327" s="18">
        <f>IF(AND(ISNUMBER(E327),ISNUMBER(N327)),E327-N327,NA())</f>
        <v/>
      </c>
      <c r="P327" s="17">
        <f>IF(NOT(ISNUMBER($A327)),NA(),IF(OR($A327&lt;MIN(KW_TP!$A$2:$A$2501),$A327&gt;MAX(KW_TP!$A$2:$A$2501)),NA(),INDEX(KW_TP!$C$2:$C$2501,MATCH($A327,KW_TP!$A$2:$A$2501,1))))</f>
        <v/>
      </c>
    </row>
    <row r="328">
      <c r="A328" s="15">
        <f>IF(ISNUMBER(BBG_Data!A328),BBG_Data!A328,"")</f>
        <v/>
      </c>
      <c r="B328" s="16">
        <f>IF(AND(ISNUMBER($A328),ISNUMBER(BBG_Data!B328)),BBG_Data!B328,NA())</f>
        <v/>
      </c>
      <c r="C328" s="16">
        <f>IF(AND(ISNUMBER($A328),ISNUMBER(BBG_Data!C328)),BBG_Data!C328,NA())</f>
        <v/>
      </c>
      <c r="D328" s="17">
        <f>IF(AND(ISNUMBER($A328),ISNUMBER(BBG_Data!D328)),BBG_Data!D328,NA())</f>
        <v/>
      </c>
      <c r="E328" s="17">
        <f>IF(AND(ISNUMBER($A328),ISNUMBER(BBG_Data!E328)),BBG_Data!E328,NA())</f>
        <v/>
      </c>
      <c r="F328" s="18">
        <f>IF(AND(ISNUMBER(B328),ISNUMBER(B327)),(B328-B327)*100,"")</f>
        <v/>
      </c>
      <c r="G328" s="18">
        <f>IF(AND(ISNUMBER(C328),ISNUMBER(C327)),(C328-C327)*100,"")</f>
        <v/>
      </c>
      <c r="H328" s="18">
        <f>IF(OR(NOT(ISNUMBER($A328)),ROW()-2&lt;Settings!$B$11),NA(),IF(COUNT(OFFSET(F328,1-Settings!$B$11,0,Settings!$B$11,1))&lt;Settings!$B$11,NA(),STDEV(OFFSET(F328,1-Settings!$B$11,0,Settings!$B$11,1))*SQRT(Settings!$B$13)))</f>
        <v/>
      </c>
      <c r="I328" s="18">
        <f>IF(OR(NOT(ISNUMBER($A328)),ROW()-2&lt;Settings!$B$12),NA(),IF(COUNT(OFFSET(F328,1-Settings!$B$12,0,Settings!$B$12,1))&lt;Settings!$B$12,NA(),STDEV(OFFSET(F328,1-Settings!$B$12,0,Settings!$B$12,1))*SQRT(Settings!$B$13)))</f>
        <v/>
      </c>
      <c r="J328" s="18">
        <f>IF(OR(NOT(ISNUMBER($A328)),ROW()-2&lt;Settings!$B$11),NA(),IF(COUNT(OFFSET(G328,1-Settings!$B$11,0,Settings!$B$11,1))&lt;Settings!$B$11,NA(),STDEV(OFFSET(G328,1-Settings!$B$11,0,Settings!$B$11,1))*SQRT(Settings!$B$13)))</f>
        <v/>
      </c>
      <c r="K328" s="18">
        <f>IF(OR(NOT(ISNUMBER($A328)),ROW()-2&lt;Settings!$B$12),NA(),IF(COUNT(OFFSET(G328,1-Settings!$B$12,0,Settings!$B$12,1))&lt;Settings!$B$12,NA(),STDEV(OFFSET(G328,1-Settings!$B$12,0,Settings!$B$12,1))*SQRT(Settings!$B$13)))</f>
        <v/>
      </c>
      <c r="L328" s="18">
        <f>IF(AND(ISNUMBER(D328),ISNUMBER(H328)),D328-H328,NA())</f>
        <v/>
      </c>
      <c r="M328" s="18">
        <f>IF(AND(ISNUMBER(E328),ISNUMBER(K328)),E328-K328,NA())</f>
        <v/>
      </c>
      <c r="N328" s="18">
        <f>IF(NOT(ISNUMBER($A328)),NA(),IF(COUNT(OFFSET(G328,1,0,Settings!$B$12,1))&lt;Settings!$B$12,NA(),STDEV(OFFSET(G328,1,0,Settings!$B$12,1))*SQRT(Settings!$B$13)))</f>
        <v/>
      </c>
      <c r="O328" s="18">
        <f>IF(AND(ISNUMBER(E328),ISNUMBER(N328)),E328-N328,NA())</f>
        <v/>
      </c>
      <c r="P328" s="17">
        <f>IF(NOT(ISNUMBER($A328)),NA(),IF(OR($A328&lt;MIN(KW_TP!$A$2:$A$2501),$A328&gt;MAX(KW_TP!$A$2:$A$2501)),NA(),INDEX(KW_TP!$C$2:$C$2501,MATCH($A328,KW_TP!$A$2:$A$2501,1))))</f>
        <v/>
      </c>
    </row>
    <row r="329">
      <c r="A329" s="15">
        <f>IF(ISNUMBER(BBG_Data!A329),BBG_Data!A329,"")</f>
        <v/>
      </c>
      <c r="B329" s="16">
        <f>IF(AND(ISNUMBER($A329),ISNUMBER(BBG_Data!B329)),BBG_Data!B329,NA())</f>
        <v/>
      </c>
      <c r="C329" s="16">
        <f>IF(AND(ISNUMBER($A329),ISNUMBER(BBG_Data!C329)),BBG_Data!C329,NA())</f>
        <v/>
      </c>
      <c r="D329" s="17">
        <f>IF(AND(ISNUMBER($A329),ISNUMBER(BBG_Data!D329)),BBG_Data!D329,NA())</f>
        <v/>
      </c>
      <c r="E329" s="17">
        <f>IF(AND(ISNUMBER($A329),ISNUMBER(BBG_Data!E329)),BBG_Data!E329,NA())</f>
        <v/>
      </c>
      <c r="F329" s="18">
        <f>IF(AND(ISNUMBER(B329),ISNUMBER(B328)),(B329-B328)*100,"")</f>
        <v/>
      </c>
      <c r="G329" s="18">
        <f>IF(AND(ISNUMBER(C329),ISNUMBER(C328)),(C329-C328)*100,"")</f>
        <v/>
      </c>
      <c r="H329" s="18">
        <f>IF(OR(NOT(ISNUMBER($A329)),ROW()-2&lt;Settings!$B$11),NA(),IF(COUNT(OFFSET(F329,1-Settings!$B$11,0,Settings!$B$11,1))&lt;Settings!$B$11,NA(),STDEV(OFFSET(F329,1-Settings!$B$11,0,Settings!$B$11,1))*SQRT(Settings!$B$13)))</f>
        <v/>
      </c>
      <c r="I329" s="18">
        <f>IF(OR(NOT(ISNUMBER($A329)),ROW()-2&lt;Settings!$B$12),NA(),IF(COUNT(OFFSET(F329,1-Settings!$B$12,0,Settings!$B$12,1))&lt;Settings!$B$12,NA(),STDEV(OFFSET(F329,1-Settings!$B$12,0,Settings!$B$12,1))*SQRT(Settings!$B$13)))</f>
        <v/>
      </c>
      <c r="J329" s="18">
        <f>IF(OR(NOT(ISNUMBER($A329)),ROW()-2&lt;Settings!$B$11),NA(),IF(COUNT(OFFSET(G329,1-Settings!$B$11,0,Settings!$B$11,1))&lt;Settings!$B$11,NA(),STDEV(OFFSET(G329,1-Settings!$B$11,0,Settings!$B$11,1))*SQRT(Settings!$B$13)))</f>
        <v/>
      </c>
      <c r="K329" s="18">
        <f>IF(OR(NOT(ISNUMBER($A329)),ROW()-2&lt;Settings!$B$12),NA(),IF(COUNT(OFFSET(G329,1-Settings!$B$12,0,Settings!$B$12,1))&lt;Settings!$B$12,NA(),STDEV(OFFSET(G329,1-Settings!$B$12,0,Settings!$B$12,1))*SQRT(Settings!$B$13)))</f>
        <v/>
      </c>
      <c r="L329" s="18">
        <f>IF(AND(ISNUMBER(D329),ISNUMBER(H329)),D329-H329,NA())</f>
        <v/>
      </c>
      <c r="M329" s="18">
        <f>IF(AND(ISNUMBER(E329),ISNUMBER(K329)),E329-K329,NA())</f>
        <v/>
      </c>
      <c r="N329" s="18">
        <f>IF(NOT(ISNUMBER($A329)),NA(),IF(COUNT(OFFSET(G329,1,0,Settings!$B$12,1))&lt;Settings!$B$12,NA(),STDEV(OFFSET(G329,1,0,Settings!$B$12,1))*SQRT(Settings!$B$13)))</f>
        <v/>
      </c>
      <c r="O329" s="18">
        <f>IF(AND(ISNUMBER(E329),ISNUMBER(N329)),E329-N329,NA())</f>
        <v/>
      </c>
      <c r="P329" s="17">
        <f>IF(NOT(ISNUMBER($A329)),NA(),IF(OR($A329&lt;MIN(KW_TP!$A$2:$A$2501),$A329&gt;MAX(KW_TP!$A$2:$A$2501)),NA(),INDEX(KW_TP!$C$2:$C$2501,MATCH($A329,KW_TP!$A$2:$A$2501,1))))</f>
        <v/>
      </c>
    </row>
    <row r="330">
      <c r="A330" s="15">
        <f>IF(ISNUMBER(BBG_Data!A330),BBG_Data!A330,"")</f>
        <v/>
      </c>
      <c r="B330" s="16">
        <f>IF(AND(ISNUMBER($A330),ISNUMBER(BBG_Data!B330)),BBG_Data!B330,NA())</f>
        <v/>
      </c>
      <c r="C330" s="16">
        <f>IF(AND(ISNUMBER($A330),ISNUMBER(BBG_Data!C330)),BBG_Data!C330,NA())</f>
        <v/>
      </c>
      <c r="D330" s="17">
        <f>IF(AND(ISNUMBER($A330),ISNUMBER(BBG_Data!D330)),BBG_Data!D330,NA())</f>
        <v/>
      </c>
      <c r="E330" s="17">
        <f>IF(AND(ISNUMBER($A330),ISNUMBER(BBG_Data!E330)),BBG_Data!E330,NA())</f>
        <v/>
      </c>
      <c r="F330" s="18">
        <f>IF(AND(ISNUMBER(B330),ISNUMBER(B329)),(B330-B329)*100,"")</f>
        <v/>
      </c>
      <c r="G330" s="18">
        <f>IF(AND(ISNUMBER(C330),ISNUMBER(C329)),(C330-C329)*100,"")</f>
        <v/>
      </c>
      <c r="H330" s="18">
        <f>IF(OR(NOT(ISNUMBER($A330)),ROW()-2&lt;Settings!$B$11),NA(),IF(COUNT(OFFSET(F330,1-Settings!$B$11,0,Settings!$B$11,1))&lt;Settings!$B$11,NA(),STDEV(OFFSET(F330,1-Settings!$B$11,0,Settings!$B$11,1))*SQRT(Settings!$B$13)))</f>
        <v/>
      </c>
      <c r="I330" s="18">
        <f>IF(OR(NOT(ISNUMBER($A330)),ROW()-2&lt;Settings!$B$12),NA(),IF(COUNT(OFFSET(F330,1-Settings!$B$12,0,Settings!$B$12,1))&lt;Settings!$B$12,NA(),STDEV(OFFSET(F330,1-Settings!$B$12,0,Settings!$B$12,1))*SQRT(Settings!$B$13)))</f>
        <v/>
      </c>
      <c r="J330" s="18">
        <f>IF(OR(NOT(ISNUMBER($A330)),ROW()-2&lt;Settings!$B$11),NA(),IF(COUNT(OFFSET(G330,1-Settings!$B$11,0,Settings!$B$11,1))&lt;Settings!$B$11,NA(),STDEV(OFFSET(G330,1-Settings!$B$11,0,Settings!$B$11,1))*SQRT(Settings!$B$13)))</f>
        <v/>
      </c>
      <c r="K330" s="18">
        <f>IF(OR(NOT(ISNUMBER($A330)),ROW()-2&lt;Settings!$B$12),NA(),IF(COUNT(OFFSET(G330,1-Settings!$B$12,0,Settings!$B$12,1))&lt;Settings!$B$12,NA(),STDEV(OFFSET(G330,1-Settings!$B$12,0,Settings!$B$12,1))*SQRT(Settings!$B$13)))</f>
        <v/>
      </c>
      <c r="L330" s="18">
        <f>IF(AND(ISNUMBER(D330),ISNUMBER(H330)),D330-H330,NA())</f>
        <v/>
      </c>
      <c r="M330" s="18">
        <f>IF(AND(ISNUMBER(E330),ISNUMBER(K330)),E330-K330,NA())</f>
        <v/>
      </c>
      <c r="N330" s="18">
        <f>IF(NOT(ISNUMBER($A330)),NA(),IF(COUNT(OFFSET(G330,1,0,Settings!$B$12,1))&lt;Settings!$B$12,NA(),STDEV(OFFSET(G330,1,0,Settings!$B$12,1))*SQRT(Settings!$B$13)))</f>
        <v/>
      </c>
      <c r="O330" s="18">
        <f>IF(AND(ISNUMBER(E330),ISNUMBER(N330)),E330-N330,NA())</f>
        <v/>
      </c>
      <c r="P330" s="17">
        <f>IF(NOT(ISNUMBER($A330)),NA(),IF(OR($A330&lt;MIN(KW_TP!$A$2:$A$2501),$A330&gt;MAX(KW_TP!$A$2:$A$2501)),NA(),INDEX(KW_TP!$C$2:$C$2501,MATCH($A330,KW_TP!$A$2:$A$2501,1))))</f>
        <v/>
      </c>
    </row>
    <row r="331">
      <c r="A331" s="15">
        <f>IF(ISNUMBER(BBG_Data!A331),BBG_Data!A331,"")</f>
        <v/>
      </c>
      <c r="B331" s="16">
        <f>IF(AND(ISNUMBER($A331),ISNUMBER(BBG_Data!B331)),BBG_Data!B331,NA())</f>
        <v/>
      </c>
      <c r="C331" s="16">
        <f>IF(AND(ISNUMBER($A331),ISNUMBER(BBG_Data!C331)),BBG_Data!C331,NA())</f>
        <v/>
      </c>
      <c r="D331" s="17">
        <f>IF(AND(ISNUMBER($A331),ISNUMBER(BBG_Data!D331)),BBG_Data!D331,NA())</f>
        <v/>
      </c>
      <c r="E331" s="17">
        <f>IF(AND(ISNUMBER($A331),ISNUMBER(BBG_Data!E331)),BBG_Data!E331,NA())</f>
        <v/>
      </c>
      <c r="F331" s="18">
        <f>IF(AND(ISNUMBER(B331),ISNUMBER(B330)),(B331-B330)*100,"")</f>
        <v/>
      </c>
      <c r="G331" s="18">
        <f>IF(AND(ISNUMBER(C331),ISNUMBER(C330)),(C331-C330)*100,"")</f>
        <v/>
      </c>
      <c r="H331" s="18">
        <f>IF(OR(NOT(ISNUMBER($A331)),ROW()-2&lt;Settings!$B$11),NA(),IF(COUNT(OFFSET(F331,1-Settings!$B$11,0,Settings!$B$11,1))&lt;Settings!$B$11,NA(),STDEV(OFFSET(F331,1-Settings!$B$11,0,Settings!$B$11,1))*SQRT(Settings!$B$13)))</f>
        <v/>
      </c>
      <c r="I331" s="18">
        <f>IF(OR(NOT(ISNUMBER($A331)),ROW()-2&lt;Settings!$B$12),NA(),IF(COUNT(OFFSET(F331,1-Settings!$B$12,0,Settings!$B$12,1))&lt;Settings!$B$12,NA(),STDEV(OFFSET(F331,1-Settings!$B$12,0,Settings!$B$12,1))*SQRT(Settings!$B$13)))</f>
        <v/>
      </c>
      <c r="J331" s="18">
        <f>IF(OR(NOT(ISNUMBER($A331)),ROW()-2&lt;Settings!$B$11),NA(),IF(COUNT(OFFSET(G331,1-Settings!$B$11,0,Settings!$B$11,1))&lt;Settings!$B$11,NA(),STDEV(OFFSET(G331,1-Settings!$B$11,0,Settings!$B$11,1))*SQRT(Settings!$B$13)))</f>
        <v/>
      </c>
      <c r="K331" s="18">
        <f>IF(OR(NOT(ISNUMBER($A331)),ROW()-2&lt;Settings!$B$12),NA(),IF(COUNT(OFFSET(G331,1-Settings!$B$12,0,Settings!$B$12,1))&lt;Settings!$B$12,NA(),STDEV(OFFSET(G331,1-Settings!$B$12,0,Settings!$B$12,1))*SQRT(Settings!$B$13)))</f>
        <v/>
      </c>
      <c r="L331" s="18">
        <f>IF(AND(ISNUMBER(D331),ISNUMBER(H331)),D331-H331,NA())</f>
        <v/>
      </c>
      <c r="M331" s="18">
        <f>IF(AND(ISNUMBER(E331),ISNUMBER(K331)),E331-K331,NA())</f>
        <v/>
      </c>
      <c r="N331" s="18">
        <f>IF(NOT(ISNUMBER($A331)),NA(),IF(COUNT(OFFSET(G331,1,0,Settings!$B$12,1))&lt;Settings!$B$12,NA(),STDEV(OFFSET(G331,1,0,Settings!$B$12,1))*SQRT(Settings!$B$13)))</f>
        <v/>
      </c>
      <c r="O331" s="18">
        <f>IF(AND(ISNUMBER(E331),ISNUMBER(N331)),E331-N331,NA())</f>
        <v/>
      </c>
      <c r="P331" s="17">
        <f>IF(NOT(ISNUMBER($A331)),NA(),IF(OR($A331&lt;MIN(KW_TP!$A$2:$A$2501),$A331&gt;MAX(KW_TP!$A$2:$A$2501)),NA(),INDEX(KW_TP!$C$2:$C$2501,MATCH($A331,KW_TP!$A$2:$A$2501,1))))</f>
        <v/>
      </c>
    </row>
    <row r="332">
      <c r="A332" s="15">
        <f>IF(ISNUMBER(BBG_Data!A332),BBG_Data!A332,"")</f>
        <v/>
      </c>
      <c r="B332" s="16">
        <f>IF(AND(ISNUMBER($A332),ISNUMBER(BBG_Data!B332)),BBG_Data!B332,NA())</f>
        <v/>
      </c>
      <c r="C332" s="16">
        <f>IF(AND(ISNUMBER($A332),ISNUMBER(BBG_Data!C332)),BBG_Data!C332,NA())</f>
        <v/>
      </c>
      <c r="D332" s="17">
        <f>IF(AND(ISNUMBER($A332),ISNUMBER(BBG_Data!D332)),BBG_Data!D332,NA())</f>
        <v/>
      </c>
      <c r="E332" s="17">
        <f>IF(AND(ISNUMBER($A332),ISNUMBER(BBG_Data!E332)),BBG_Data!E332,NA())</f>
        <v/>
      </c>
      <c r="F332" s="18">
        <f>IF(AND(ISNUMBER(B332),ISNUMBER(B331)),(B332-B331)*100,"")</f>
        <v/>
      </c>
      <c r="G332" s="18">
        <f>IF(AND(ISNUMBER(C332),ISNUMBER(C331)),(C332-C331)*100,"")</f>
        <v/>
      </c>
      <c r="H332" s="18">
        <f>IF(OR(NOT(ISNUMBER($A332)),ROW()-2&lt;Settings!$B$11),NA(),IF(COUNT(OFFSET(F332,1-Settings!$B$11,0,Settings!$B$11,1))&lt;Settings!$B$11,NA(),STDEV(OFFSET(F332,1-Settings!$B$11,0,Settings!$B$11,1))*SQRT(Settings!$B$13)))</f>
        <v/>
      </c>
      <c r="I332" s="18">
        <f>IF(OR(NOT(ISNUMBER($A332)),ROW()-2&lt;Settings!$B$12),NA(),IF(COUNT(OFFSET(F332,1-Settings!$B$12,0,Settings!$B$12,1))&lt;Settings!$B$12,NA(),STDEV(OFFSET(F332,1-Settings!$B$12,0,Settings!$B$12,1))*SQRT(Settings!$B$13)))</f>
        <v/>
      </c>
      <c r="J332" s="18">
        <f>IF(OR(NOT(ISNUMBER($A332)),ROW()-2&lt;Settings!$B$11),NA(),IF(COUNT(OFFSET(G332,1-Settings!$B$11,0,Settings!$B$11,1))&lt;Settings!$B$11,NA(),STDEV(OFFSET(G332,1-Settings!$B$11,0,Settings!$B$11,1))*SQRT(Settings!$B$13)))</f>
        <v/>
      </c>
      <c r="K332" s="18">
        <f>IF(OR(NOT(ISNUMBER($A332)),ROW()-2&lt;Settings!$B$12),NA(),IF(COUNT(OFFSET(G332,1-Settings!$B$12,0,Settings!$B$12,1))&lt;Settings!$B$12,NA(),STDEV(OFFSET(G332,1-Settings!$B$12,0,Settings!$B$12,1))*SQRT(Settings!$B$13)))</f>
        <v/>
      </c>
      <c r="L332" s="18">
        <f>IF(AND(ISNUMBER(D332),ISNUMBER(H332)),D332-H332,NA())</f>
        <v/>
      </c>
      <c r="M332" s="18">
        <f>IF(AND(ISNUMBER(E332),ISNUMBER(K332)),E332-K332,NA())</f>
        <v/>
      </c>
      <c r="N332" s="18">
        <f>IF(NOT(ISNUMBER($A332)),NA(),IF(COUNT(OFFSET(G332,1,0,Settings!$B$12,1))&lt;Settings!$B$12,NA(),STDEV(OFFSET(G332,1,0,Settings!$B$12,1))*SQRT(Settings!$B$13)))</f>
        <v/>
      </c>
      <c r="O332" s="18">
        <f>IF(AND(ISNUMBER(E332),ISNUMBER(N332)),E332-N332,NA())</f>
        <v/>
      </c>
      <c r="P332" s="17">
        <f>IF(NOT(ISNUMBER($A332)),NA(),IF(OR($A332&lt;MIN(KW_TP!$A$2:$A$2501),$A332&gt;MAX(KW_TP!$A$2:$A$2501)),NA(),INDEX(KW_TP!$C$2:$C$2501,MATCH($A332,KW_TP!$A$2:$A$2501,1))))</f>
        <v/>
      </c>
    </row>
    <row r="333">
      <c r="A333" s="15">
        <f>IF(ISNUMBER(BBG_Data!A333),BBG_Data!A333,"")</f>
        <v/>
      </c>
      <c r="B333" s="16">
        <f>IF(AND(ISNUMBER($A333),ISNUMBER(BBG_Data!B333)),BBG_Data!B333,NA())</f>
        <v/>
      </c>
      <c r="C333" s="16">
        <f>IF(AND(ISNUMBER($A333),ISNUMBER(BBG_Data!C333)),BBG_Data!C333,NA())</f>
        <v/>
      </c>
      <c r="D333" s="17">
        <f>IF(AND(ISNUMBER($A333),ISNUMBER(BBG_Data!D333)),BBG_Data!D333,NA())</f>
        <v/>
      </c>
      <c r="E333" s="17">
        <f>IF(AND(ISNUMBER($A333),ISNUMBER(BBG_Data!E333)),BBG_Data!E333,NA())</f>
        <v/>
      </c>
      <c r="F333" s="18">
        <f>IF(AND(ISNUMBER(B333),ISNUMBER(B332)),(B333-B332)*100,"")</f>
        <v/>
      </c>
      <c r="G333" s="18">
        <f>IF(AND(ISNUMBER(C333),ISNUMBER(C332)),(C333-C332)*100,"")</f>
        <v/>
      </c>
      <c r="H333" s="18">
        <f>IF(OR(NOT(ISNUMBER($A333)),ROW()-2&lt;Settings!$B$11),NA(),IF(COUNT(OFFSET(F333,1-Settings!$B$11,0,Settings!$B$11,1))&lt;Settings!$B$11,NA(),STDEV(OFFSET(F333,1-Settings!$B$11,0,Settings!$B$11,1))*SQRT(Settings!$B$13)))</f>
        <v/>
      </c>
      <c r="I333" s="18">
        <f>IF(OR(NOT(ISNUMBER($A333)),ROW()-2&lt;Settings!$B$12),NA(),IF(COUNT(OFFSET(F333,1-Settings!$B$12,0,Settings!$B$12,1))&lt;Settings!$B$12,NA(),STDEV(OFFSET(F333,1-Settings!$B$12,0,Settings!$B$12,1))*SQRT(Settings!$B$13)))</f>
        <v/>
      </c>
      <c r="J333" s="18">
        <f>IF(OR(NOT(ISNUMBER($A333)),ROW()-2&lt;Settings!$B$11),NA(),IF(COUNT(OFFSET(G333,1-Settings!$B$11,0,Settings!$B$11,1))&lt;Settings!$B$11,NA(),STDEV(OFFSET(G333,1-Settings!$B$11,0,Settings!$B$11,1))*SQRT(Settings!$B$13)))</f>
        <v/>
      </c>
      <c r="K333" s="18">
        <f>IF(OR(NOT(ISNUMBER($A333)),ROW()-2&lt;Settings!$B$12),NA(),IF(COUNT(OFFSET(G333,1-Settings!$B$12,0,Settings!$B$12,1))&lt;Settings!$B$12,NA(),STDEV(OFFSET(G333,1-Settings!$B$12,0,Settings!$B$12,1))*SQRT(Settings!$B$13)))</f>
        <v/>
      </c>
      <c r="L333" s="18">
        <f>IF(AND(ISNUMBER(D333),ISNUMBER(H333)),D333-H333,NA())</f>
        <v/>
      </c>
      <c r="M333" s="18">
        <f>IF(AND(ISNUMBER(E333),ISNUMBER(K333)),E333-K333,NA())</f>
        <v/>
      </c>
      <c r="N333" s="18">
        <f>IF(NOT(ISNUMBER($A333)),NA(),IF(COUNT(OFFSET(G333,1,0,Settings!$B$12,1))&lt;Settings!$B$12,NA(),STDEV(OFFSET(G333,1,0,Settings!$B$12,1))*SQRT(Settings!$B$13)))</f>
        <v/>
      </c>
      <c r="O333" s="18">
        <f>IF(AND(ISNUMBER(E333),ISNUMBER(N333)),E333-N333,NA())</f>
        <v/>
      </c>
      <c r="P333" s="17">
        <f>IF(NOT(ISNUMBER($A333)),NA(),IF(OR($A333&lt;MIN(KW_TP!$A$2:$A$2501),$A333&gt;MAX(KW_TP!$A$2:$A$2501)),NA(),INDEX(KW_TP!$C$2:$C$2501,MATCH($A333,KW_TP!$A$2:$A$2501,1))))</f>
        <v/>
      </c>
    </row>
    <row r="334">
      <c r="A334" s="15">
        <f>IF(ISNUMBER(BBG_Data!A334),BBG_Data!A334,"")</f>
        <v/>
      </c>
      <c r="B334" s="16">
        <f>IF(AND(ISNUMBER($A334),ISNUMBER(BBG_Data!B334)),BBG_Data!B334,NA())</f>
        <v/>
      </c>
      <c r="C334" s="16">
        <f>IF(AND(ISNUMBER($A334),ISNUMBER(BBG_Data!C334)),BBG_Data!C334,NA())</f>
        <v/>
      </c>
      <c r="D334" s="17">
        <f>IF(AND(ISNUMBER($A334),ISNUMBER(BBG_Data!D334)),BBG_Data!D334,NA())</f>
        <v/>
      </c>
      <c r="E334" s="17">
        <f>IF(AND(ISNUMBER($A334),ISNUMBER(BBG_Data!E334)),BBG_Data!E334,NA())</f>
        <v/>
      </c>
      <c r="F334" s="18">
        <f>IF(AND(ISNUMBER(B334),ISNUMBER(B333)),(B334-B333)*100,"")</f>
        <v/>
      </c>
      <c r="G334" s="18">
        <f>IF(AND(ISNUMBER(C334),ISNUMBER(C333)),(C334-C333)*100,"")</f>
        <v/>
      </c>
      <c r="H334" s="18">
        <f>IF(OR(NOT(ISNUMBER($A334)),ROW()-2&lt;Settings!$B$11),NA(),IF(COUNT(OFFSET(F334,1-Settings!$B$11,0,Settings!$B$11,1))&lt;Settings!$B$11,NA(),STDEV(OFFSET(F334,1-Settings!$B$11,0,Settings!$B$11,1))*SQRT(Settings!$B$13)))</f>
        <v/>
      </c>
      <c r="I334" s="18">
        <f>IF(OR(NOT(ISNUMBER($A334)),ROW()-2&lt;Settings!$B$12),NA(),IF(COUNT(OFFSET(F334,1-Settings!$B$12,0,Settings!$B$12,1))&lt;Settings!$B$12,NA(),STDEV(OFFSET(F334,1-Settings!$B$12,0,Settings!$B$12,1))*SQRT(Settings!$B$13)))</f>
        <v/>
      </c>
      <c r="J334" s="18">
        <f>IF(OR(NOT(ISNUMBER($A334)),ROW()-2&lt;Settings!$B$11),NA(),IF(COUNT(OFFSET(G334,1-Settings!$B$11,0,Settings!$B$11,1))&lt;Settings!$B$11,NA(),STDEV(OFFSET(G334,1-Settings!$B$11,0,Settings!$B$11,1))*SQRT(Settings!$B$13)))</f>
        <v/>
      </c>
      <c r="K334" s="18">
        <f>IF(OR(NOT(ISNUMBER($A334)),ROW()-2&lt;Settings!$B$12),NA(),IF(COUNT(OFFSET(G334,1-Settings!$B$12,0,Settings!$B$12,1))&lt;Settings!$B$12,NA(),STDEV(OFFSET(G334,1-Settings!$B$12,0,Settings!$B$12,1))*SQRT(Settings!$B$13)))</f>
        <v/>
      </c>
      <c r="L334" s="18">
        <f>IF(AND(ISNUMBER(D334),ISNUMBER(H334)),D334-H334,NA())</f>
        <v/>
      </c>
      <c r="M334" s="18">
        <f>IF(AND(ISNUMBER(E334),ISNUMBER(K334)),E334-K334,NA())</f>
        <v/>
      </c>
      <c r="N334" s="18">
        <f>IF(NOT(ISNUMBER($A334)),NA(),IF(COUNT(OFFSET(G334,1,0,Settings!$B$12,1))&lt;Settings!$B$12,NA(),STDEV(OFFSET(G334,1,0,Settings!$B$12,1))*SQRT(Settings!$B$13)))</f>
        <v/>
      </c>
      <c r="O334" s="18">
        <f>IF(AND(ISNUMBER(E334),ISNUMBER(N334)),E334-N334,NA())</f>
        <v/>
      </c>
      <c r="P334" s="17">
        <f>IF(NOT(ISNUMBER($A334)),NA(),IF(OR($A334&lt;MIN(KW_TP!$A$2:$A$2501),$A334&gt;MAX(KW_TP!$A$2:$A$2501)),NA(),INDEX(KW_TP!$C$2:$C$2501,MATCH($A334,KW_TP!$A$2:$A$2501,1))))</f>
        <v/>
      </c>
    </row>
    <row r="335">
      <c r="A335" s="15">
        <f>IF(ISNUMBER(BBG_Data!A335),BBG_Data!A335,"")</f>
        <v/>
      </c>
      <c r="B335" s="16">
        <f>IF(AND(ISNUMBER($A335),ISNUMBER(BBG_Data!B335)),BBG_Data!B335,NA())</f>
        <v/>
      </c>
      <c r="C335" s="16">
        <f>IF(AND(ISNUMBER($A335),ISNUMBER(BBG_Data!C335)),BBG_Data!C335,NA())</f>
        <v/>
      </c>
      <c r="D335" s="17">
        <f>IF(AND(ISNUMBER($A335),ISNUMBER(BBG_Data!D335)),BBG_Data!D335,NA())</f>
        <v/>
      </c>
      <c r="E335" s="17">
        <f>IF(AND(ISNUMBER($A335),ISNUMBER(BBG_Data!E335)),BBG_Data!E335,NA())</f>
        <v/>
      </c>
      <c r="F335" s="18">
        <f>IF(AND(ISNUMBER(B335),ISNUMBER(B334)),(B335-B334)*100,"")</f>
        <v/>
      </c>
      <c r="G335" s="18">
        <f>IF(AND(ISNUMBER(C335),ISNUMBER(C334)),(C335-C334)*100,"")</f>
        <v/>
      </c>
      <c r="H335" s="18">
        <f>IF(OR(NOT(ISNUMBER($A335)),ROW()-2&lt;Settings!$B$11),NA(),IF(COUNT(OFFSET(F335,1-Settings!$B$11,0,Settings!$B$11,1))&lt;Settings!$B$11,NA(),STDEV(OFFSET(F335,1-Settings!$B$11,0,Settings!$B$11,1))*SQRT(Settings!$B$13)))</f>
        <v/>
      </c>
      <c r="I335" s="18">
        <f>IF(OR(NOT(ISNUMBER($A335)),ROW()-2&lt;Settings!$B$12),NA(),IF(COUNT(OFFSET(F335,1-Settings!$B$12,0,Settings!$B$12,1))&lt;Settings!$B$12,NA(),STDEV(OFFSET(F335,1-Settings!$B$12,0,Settings!$B$12,1))*SQRT(Settings!$B$13)))</f>
        <v/>
      </c>
      <c r="J335" s="18">
        <f>IF(OR(NOT(ISNUMBER($A335)),ROW()-2&lt;Settings!$B$11),NA(),IF(COUNT(OFFSET(G335,1-Settings!$B$11,0,Settings!$B$11,1))&lt;Settings!$B$11,NA(),STDEV(OFFSET(G335,1-Settings!$B$11,0,Settings!$B$11,1))*SQRT(Settings!$B$13)))</f>
        <v/>
      </c>
      <c r="K335" s="18">
        <f>IF(OR(NOT(ISNUMBER($A335)),ROW()-2&lt;Settings!$B$12),NA(),IF(COUNT(OFFSET(G335,1-Settings!$B$12,0,Settings!$B$12,1))&lt;Settings!$B$12,NA(),STDEV(OFFSET(G335,1-Settings!$B$12,0,Settings!$B$12,1))*SQRT(Settings!$B$13)))</f>
        <v/>
      </c>
      <c r="L335" s="18">
        <f>IF(AND(ISNUMBER(D335),ISNUMBER(H335)),D335-H335,NA())</f>
        <v/>
      </c>
      <c r="M335" s="18">
        <f>IF(AND(ISNUMBER(E335),ISNUMBER(K335)),E335-K335,NA())</f>
        <v/>
      </c>
      <c r="N335" s="18">
        <f>IF(NOT(ISNUMBER($A335)),NA(),IF(COUNT(OFFSET(G335,1,0,Settings!$B$12,1))&lt;Settings!$B$12,NA(),STDEV(OFFSET(G335,1,0,Settings!$B$12,1))*SQRT(Settings!$B$13)))</f>
        <v/>
      </c>
      <c r="O335" s="18">
        <f>IF(AND(ISNUMBER(E335),ISNUMBER(N335)),E335-N335,NA())</f>
        <v/>
      </c>
      <c r="P335" s="17">
        <f>IF(NOT(ISNUMBER($A335)),NA(),IF(OR($A335&lt;MIN(KW_TP!$A$2:$A$2501),$A335&gt;MAX(KW_TP!$A$2:$A$2501)),NA(),INDEX(KW_TP!$C$2:$C$2501,MATCH($A335,KW_TP!$A$2:$A$2501,1))))</f>
        <v/>
      </c>
    </row>
    <row r="336">
      <c r="A336" s="15">
        <f>IF(ISNUMBER(BBG_Data!A336),BBG_Data!A336,"")</f>
        <v/>
      </c>
      <c r="B336" s="16">
        <f>IF(AND(ISNUMBER($A336),ISNUMBER(BBG_Data!B336)),BBG_Data!B336,NA())</f>
        <v/>
      </c>
      <c r="C336" s="16">
        <f>IF(AND(ISNUMBER($A336),ISNUMBER(BBG_Data!C336)),BBG_Data!C336,NA())</f>
        <v/>
      </c>
      <c r="D336" s="17">
        <f>IF(AND(ISNUMBER($A336),ISNUMBER(BBG_Data!D336)),BBG_Data!D336,NA())</f>
        <v/>
      </c>
      <c r="E336" s="17">
        <f>IF(AND(ISNUMBER($A336),ISNUMBER(BBG_Data!E336)),BBG_Data!E336,NA())</f>
        <v/>
      </c>
      <c r="F336" s="18">
        <f>IF(AND(ISNUMBER(B336),ISNUMBER(B335)),(B336-B335)*100,"")</f>
        <v/>
      </c>
      <c r="G336" s="18">
        <f>IF(AND(ISNUMBER(C336),ISNUMBER(C335)),(C336-C335)*100,"")</f>
        <v/>
      </c>
      <c r="H336" s="18">
        <f>IF(OR(NOT(ISNUMBER($A336)),ROW()-2&lt;Settings!$B$11),NA(),IF(COUNT(OFFSET(F336,1-Settings!$B$11,0,Settings!$B$11,1))&lt;Settings!$B$11,NA(),STDEV(OFFSET(F336,1-Settings!$B$11,0,Settings!$B$11,1))*SQRT(Settings!$B$13)))</f>
        <v/>
      </c>
      <c r="I336" s="18">
        <f>IF(OR(NOT(ISNUMBER($A336)),ROW()-2&lt;Settings!$B$12),NA(),IF(COUNT(OFFSET(F336,1-Settings!$B$12,0,Settings!$B$12,1))&lt;Settings!$B$12,NA(),STDEV(OFFSET(F336,1-Settings!$B$12,0,Settings!$B$12,1))*SQRT(Settings!$B$13)))</f>
        <v/>
      </c>
      <c r="J336" s="18">
        <f>IF(OR(NOT(ISNUMBER($A336)),ROW()-2&lt;Settings!$B$11),NA(),IF(COUNT(OFFSET(G336,1-Settings!$B$11,0,Settings!$B$11,1))&lt;Settings!$B$11,NA(),STDEV(OFFSET(G336,1-Settings!$B$11,0,Settings!$B$11,1))*SQRT(Settings!$B$13)))</f>
        <v/>
      </c>
      <c r="K336" s="18">
        <f>IF(OR(NOT(ISNUMBER($A336)),ROW()-2&lt;Settings!$B$12),NA(),IF(COUNT(OFFSET(G336,1-Settings!$B$12,0,Settings!$B$12,1))&lt;Settings!$B$12,NA(),STDEV(OFFSET(G336,1-Settings!$B$12,0,Settings!$B$12,1))*SQRT(Settings!$B$13)))</f>
        <v/>
      </c>
      <c r="L336" s="18">
        <f>IF(AND(ISNUMBER(D336),ISNUMBER(H336)),D336-H336,NA())</f>
        <v/>
      </c>
      <c r="M336" s="18">
        <f>IF(AND(ISNUMBER(E336),ISNUMBER(K336)),E336-K336,NA())</f>
        <v/>
      </c>
      <c r="N336" s="18">
        <f>IF(NOT(ISNUMBER($A336)),NA(),IF(COUNT(OFFSET(G336,1,0,Settings!$B$12,1))&lt;Settings!$B$12,NA(),STDEV(OFFSET(G336,1,0,Settings!$B$12,1))*SQRT(Settings!$B$13)))</f>
        <v/>
      </c>
      <c r="O336" s="18">
        <f>IF(AND(ISNUMBER(E336),ISNUMBER(N336)),E336-N336,NA())</f>
        <v/>
      </c>
      <c r="P336" s="17">
        <f>IF(NOT(ISNUMBER($A336)),NA(),IF(OR($A336&lt;MIN(KW_TP!$A$2:$A$2501),$A336&gt;MAX(KW_TP!$A$2:$A$2501)),NA(),INDEX(KW_TP!$C$2:$C$2501,MATCH($A336,KW_TP!$A$2:$A$2501,1))))</f>
        <v/>
      </c>
    </row>
    <row r="337">
      <c r="A337" s="15">
        <f>IF(ISNUMBER(BBG_Data!A337),BBG_Data!A337,"")</f>
        <v/>
      </c>
      <c r="B337" s="16">
        <f>IF(AND(ISNUMBER($A337),ISNUMBER(BBG_Data!B337)),BBG_Data!B337,NA())</f>
        <v/>
      </c>
      <c r="C337" s="16">
        <f>IF(AND(ISNUMBER($A337),ISNUMBER(BBG_Data!C337)),BBG_Data!C337,NA())</f>
        <v/>
      </c>
      <c r="D337" s="17">
        <f>IF(AND(ISNUMBER($A337),ISNUMBER(BBG_Data!D337)),BBG_Data!D337,NA())</f>
        <v/>
      </c>
      <c r="E337" s="17">
        <f>IF(AND(ISNUMBER($A337),ISNUMBER(BBG_Data!E337)),BBG_Data!E337,NA())</f>
        <v/>
      </c>
      <c r="F337" s="18">
        <f>IF(AND(ISNUMBER(B337),ISNUMBER(B336)),(B337-B336)*100,"")</f>
        <v/>
      </c>
      <c r="G337" s="18">
        <f>IF(AND(ISNUMBER(C337),ISNUMBER(C336)),(C337-C336)*100,"")</f>
        <v/>
      </c>
      <c r="H337" s="18">
        <f>IF(OR(NOT(ISNUMBER($A337)),ROW()-2&lt;Settings!$B$11),NA(),IF(COUNT(OFFSET(F337,1-Settings!$B$11,0,Settings!$B$11,1))&lt;Settings!$B$11,NA(),STDEV(OFFSET(F337,1-Settings!$B$11,0,Settings!$B$11,1))*SQRT(Settings!$B$13)))</f>
        <v/>
      </c>
      <c r="I337" s="18">
        <f>IF(OR(NOT(ISNUMBER($A337)),ROW()-2&lt;Settings!$B$12),NA(),IF(COUNT(OFFSET(F337,1-Settings!$B$12,0,Settings!$B$12,1))&lt;Settings!$B$12,NA(),STDEV(OFFSET(F337,1-Settings!$B$12,0,Settings!$B$12,1))*SQRT(Settings!$B$13)))</f>
        <v/>
      </c>
      <c r="J337" s="18">
        <f>IF(OR(NOT(ISNUMBER($A337)),ROW()-2&lt;Settings!$B$11),NA(),IF(COUNT(OFFSET(G337,1-Settings!$B$11,0,Settings!$B$11,1))&lt;Settings!$B$11,NA(),STDEV(OFFSET(G337,1-Settings!$B$11,0,Settings!$B$11,1))*SQRT(Settings!$B$13)))</f>
        <v/>
      </c>
      <c r="K337" s="18">
        <f>IF(OR(NOT(ISNUMBER($A337)),ROW()-2&lt;Settings!$B$12),NA(),IF(COUNT(OFFSET(G337,1-Settings!$B$12,0,Settings!$B$12,1))&lt;Settings!$B$12,NA(),STDEV(OFFSET(G337,1-Settings!$B$12,0,Settings!$B$12,1))*SQRT(Settings!$B$13)))</f>
        <v/>
      </c>
      <c r="L337" s="18">
        <f>IF(AND(ISNUMBER(D337),ISNUMBER(H337)),D337-H337,NA())</f>
        <v/>
      </c>
      <c r="M337" s="18">
        <f>IF(AND(ISNUMBER(E337),ISNUMBER(K337)),E337-K337,NA())</f>
        <v/>
      </c>
      <c r="N337" s="18">
        <f>IF(NOT(ISNUMBER($A337)),NA(),IF(COUNT(OFFSET(G337,1,0,Settings!$B$12,1))&lt;Settings!$B$12,NA(),STDEV(OFFSET(G337,1,0,Settings!$B$12,1))*SQRT(Settings!$B$13)))</f>
        <v/>
      </c>
      <c r="O337" s="18">
        <f>IF(AND(ISNUMBER(E337),ISNUMBER(N337)),E337-N337,NA())</f>
        <v/>
      </c>
      <c r="P337" s="17">
        <f>IF(NOT(ISNUMBER($A337)),NA(),IF(OR($A337&lt;MIN(KW_TP!$A$2:$A$2501),$A337&gt;MAX(KW_TP!$A$2:$A$2501)),NA(),INDEX(KW_TP!$C$2:$C$2501,MATCH($A337,KW_TP!$A$2:$A$2501,1))))</f>
        <v/>
      </c>
    </row>
    <row r="338">
      <c r="A338" s="15">
        <f>IF(ISNUMBER(BBG_Data!A338),BBG_Data!A338,"")</f>
        <v/>
      </c>
      <c r="B338" s="16">
        <f>IF(AND(ISNUMBER($A338),ISNUMBER(BBG_Data!B338)),BBG_Data!B338,NA())</f>
        <v/>
      </c>
      <c r="C338" s="16">
        <f>IF(AND(ISNUMBER($A338),ISNUMBER(BBG_Data!C338)),BBG_Data!C338,NA())</f>
        <v/>
      </c>
      <c r="D338" s="17">
        <f>IF(AND(ISNUMBER($A338),ISNUMBER(BBG_Data!D338)),BBG_Data!D338,NA())</f>
        <v/>
      </c>
      <c r="E338" s="17">
        <f>IF(AND(ISNUMBER($A338),ISNUMBER(BBG_Data!E338)),BBG_Data!E338,NA())</f>
        <v/>
      </c>
      <c r="F338" s="18">
        <f>IF(AND(ISNUMBER(B338),ISNUMBER(B337)),(B338-B337)*100,"")</f>
        <v/>
      </c>
      <c r="G338" s="18">
        <f>IF(AND(ISNUMBER(C338),ISNUMBER(C337)),(C338-C337)*100,"")</f>
        <v/>
      </c>
      <c r="H338" s="18">
        <f>IF(OR(NOT(ISNUMBER($A338)),ROW()-2&lt;Settings!$B$11),NA(),IF(COUNT(OFFSET(F338,1-Settings!$B$11,0,Settings!$B$11,1))&lt;Settings!$B$11,NA(),STDEV(OFFSET(F338,1-Settings!$B$11,0,Settings!$B$11,1))*SQRT(Settings!$B$13)))</f>
        <v/>
      </c>
      <c r="I338" s="18">
        <f>IF(OR(NOT(ISNUMBER($A338)),ROW()-2&lt;Settings!$B$12),NA(),IF(COUNT(OFFSET(F338,1-Settings!$B$12,0,Settings!$B$12,1))&lt;Settings!$B$12,NA(),STDEV(OFFSET(F338,1-Settings!$B$12,0,Settings!$B$12,1))*SQRT(Settings!$B$13)))</f>
        <v/>
      </c>
      <c r="J338" s="18">
        <f>IF(OR(NOT(ISNUMBER($A338)),ROW()-2&lt;Settings!$B$11),NA(),IF(COUNT(OFFSET(G338,1-Settings!$B$11,0,Settings!$B$11,1))&lt;Settings!$B$11,NA(),STDEV(OFFSET(G338,1-Settings!$B$11,0,Settings!$B$11,1))*SQRT(Settings!$B$13)))</f>
        <v/>
      </c>
      <c r="K338" s="18">
        <f>IF(OR(NOT(ISNUMBER($A338)),ROW()-2&lt;Settings!$B$12),NA(),IF(COUNT(OFFSET(G338,1-Settings!$B$12,0,Settings!$B$12,1))&lt;Settings!$B$12,NA(),STDEV(OFFSET(G338,1-Settings!$B$12,0,Settings!$B$12,1))*SQRT(Settings!$B$13)))</f>
        <v/>
      </c>
      <c r="L338" s="18">
        <f>IF(AND(ISNUMBER(D338),ISNUMBER(H338)),D338-H338,NA())</f>
        <v/>
      </c>
      <c r="M338" s="18">
        <f>IF(AND(ISNUMBER(E338),ISNUMBER(K338)),E338-K338,NA())</f>
        <v/>
      </c>
      <c r="N338" s="18">
        <f>IF(NOT(ISNUMBER($A338)),NA(),IF(COUNT(OFFSET(G338,1,0,Settings!$B$12,1))&lt;Settings!$B$12,NA(),STDEV(OFFSET(G338,1,0,Settings!$B$12,1))*SQRT(Settings!$B$13)))</f>
        <v/>
      </c>
      <c r="O338" s="18">
        <f>IF(AND(ISNUMBER(E338),ISNUMBER(N338)),E338-N338,NA())</f>
        <v/>
      </c>
      <c r="P338" s="17">
        <f>IF(NOT(ISNUMBER($A338)),NA(),IF(OR($A338&lt;MIN(KW_TP!$A$2:$A$2501),$A338&gt;MAX(KW_TP!$A$2:$A$2501)),NA(),INDEX(KW_TP!$C$2:$C$2501,MATCH($A338,KW_TP!$A$2:$A$2501,1))))</f>
        <v/>
      </c>
    </row>
    <row r="339">
      <c r="A339" s="15">
        <f>IF(ISNUMBER(BBG_Data!A339),BBG_Data!A339,"")</f>
        <v/>
      </c>
      <c r="B339" s="16">
        <f>IF(AND(ISNUMBER($A339),ISNUMBER(BBG_Data!B339)),BBG_Data!B339,NA())</f>
        <v/>
      </c>
      <c r="C339" s="16">
        <f>IF(AND(ISNUMBER($A339),ISNUMBER(BBG_Data!C339)),BBG_Data!C339,NA())</f>
        <v/>
      </c>
      <c r="D339" s="17">
        <f>IF(AND(ISNUMBER($A339),ISNUMBER(BBG_Data!D339)),BBG_Data!D339,NA())</f>
        <v/>
      </c>
      <c r="E339" s="17">
        <f>IF(AND(ISNUMBER($A339),ISNUMBER(BBG_Data!E339)),BBG_Data!E339,NA())</f>
        <v/>
      </c>
      <c r="F339" s="18">
        <f>IF(AND(ISNUMBER(B339),ISNUMBER(B338)),(B339-B338)*100,"")</f>
        <v/>
      </c>
      <c r="G339" s="18">
        <f>IF(AND(ISNUMBER(C339),ISNUMBER(C338)),(C339-C338)*100,"")</f>
        <v/>
      </c>
      <c r="H339" s="18">
        <f>IF(OR(NOT(ISNUMBER($A339)),ROW()-2&lt;Settings!$B$11),NA(),IF(COUNT(OFFSET(F339,1-Settings!$B$11,0,Settings!$B$11,1))&lt;Settings!$B$11,NA(),STDEV(OFFSET(F339,1-Settings!$B$11,0,Settings!$B$11,1))*SQRT(Settings!$B$13)))</f>
        <v/>
      </c>
      <c r="I339" s="18">
        <f>IF(OR(NOT(ISNUMBER($A339)),ROW()-2&lt;Settings!$B$12),NA(),IF(COUNT(OFFSET(F339,1-Settings!$B$12,0,Settings!$B$12,1))&lt;Settings!$B$12,NA(),STDEV(OFFSET(F339,1-Settings!$B$12,0,Settings!$B$12,1))*SQRT(Settings!$B$13)))</f>
        <v/>
      </c>
      <c r="J339" s="18">
        <f>IF(OR(NOT(ISNUMBER($A339)),ROW()-2&lt;Settings!$B$11),NA(),IF(COUNT(OFFSET(G339,1-Settings!$B$11,0,Settings!$B$11,1))&lt;Settings!$B$11,NA(),STDEV(OFFSET(G339,1-Settings!$B$11,0,Settings!$B$11,1))*SQRT(Settings!$B$13)))</f>
        <v/>
      </c>
      <c r="K339" s="18">
        <f>IF(OR(NOT(ISNUMBER($A339)),ROW()-2&lt;Settings!$B$12),NA(),IF(COUNT(OFFSET(G339,1-Settings!$B$12,0,Settings!$B$12,1))&lt;Settings!$B$12,NA(),STDEV(OFFSET(G339,1-Settings!$B$12,0,Settings!$B$12,1))*SQRT(Settings!$B$13)))</f>
        <v/>
      </c>
      <c r="L339" s="18">
        <f>IF(AND(ISNUMBER(D339),ISNUMBER(H339)),D339-H339,NA())</f>
        <v/>
      </c>
      <c r="M339" s="18">
        <f>IF(AND(ISNUMBER(E339),ISNUMBER(K339)),E339-K339,NA())</f>
        <v/>
      </c>
      <c r="N339" s="18">
        <f>IF(NOT(ISNUMBER($A339)),NA(),IF(COUNT(OFFSET(G339,1,0,Settings!$B$12,1))&lt;Settings!$B$12,NA(),STDEV(OFFSET(G339,1,0,Settings!$B$12,1))*SQRT(Settings!$B$13)))</f>
        <v/>
      </c>
      <c r="O339" s="18">
        <f>IF(AND(ISNUMBER(E339),ISNUMBER(N339)),E339-N339,NA())</f>
        <v/>
      </c>
      <c r="P339" s="17">
        <f>IF(NOT(ISNUMBER($A339)),NA(),IF(OR($A339&lt;MIN(KW_TP!$A$2:$A$2501),$A339&gt;MAX(KW_TP!$A$2:$A$2501)),NA(),INDEX(KW_TP!$C$2:$C$2501,MATCH($A339,KW_TP!$A$2:$A$2501,1))))</f>
        <v/>
      </c>
    </row>
    <row r="340">
      <c r="A340" s="15">
        <f>IF(ISNUMBER(BBG_Data!A340),BBG_Data!A340,"")</f>
        <v/>
      </c>
      <c r="B340" s="16">
        <f>IF(AND(ISNUMBER($A340),ISNUMBER(BBG_Data!B340)),BBG_Data!B340,NA())</f>
        <v/>
      </c>
      <c r="C340" s="16">
        <f>IF(AND(ISNUMBER($A340),ISNUMBER(BBG_Data!C340)),BBG_Data!C340,NA())</f>
        <v/>
      </c>
      <c r="D340" s="17">
        <f>IF(AND(ISNUMBER($A340),ISNUMBER(BBG_Data!D340)),BBG_Data!D340,NA())</f>
        <v/>
      </c>
      <c r="E340" s="17">
        <f>IF(AND(ISNUMBER($A340),ISNUMBER(BBG_Data!E340)),BBG_Data!E340,NA())</f>
        <v/>
      </c>
      <c r="F340" s="18">
        <f>IF(AND(ISNUMBER(B340),ISNUMBER(B339)),(B340-B339)*100,"")</f>
        <v/>
      </c>
      <c r="G340" s="18">
        <f>IF(AND(ISNUMBER(C340),ISNUMBER(C339)),(C340-C339)*100,"")</f>
        <v/>
      </c>
      <c r="H340" s="18">
        <f>IF(OR(NOT(ISNUMBER($A340)),ROW()-2&lt;Settings!$B$11),NA(),IF(COUNT(OFFSET(F340,1-Settings!$B$11,0,Settings!$B$11,1))&lt;Settings!$B$11,NA(),STDEV(OFFSET(F340,1-Settings!$B$11,0,Settings!$B$11,1))*SQRT(Settings!$B$13)))</f>
        <v/>
      </c>
      <c r="I340" s="18">
        <f>IF(OR(NOT(ISNUMBER($A340)),ROW()-2&lt;Settings!$B$12),NA(),IF(COUNT(OFFSET(F340,1-Settings!$B$12,0,Settings!$B$12,1))&lt;Settings!$B$12,NA(),STDEV(OFFSET(F340,1-Settings!$B$12,0,Settings!$B$12,1))*SQRT(Settings!$B$13)))</f>
        <v/>
      </c>
      <c r="J340" s="18">
        <f>IF(OR(NOT(ISNUMBER($A340)),ROW()-2&lt;Settings!$B$11),NA(),IF(COUNT(OFFSET(G340,1-Settings!$B$11,0,Settings!$B$11,1))&lt;Settings!$B$11,NA(),STDEV(OFFSET(G340,1-Settings!$B$11,0,Settings!$B$11,1))*SQRT(Settings!$B$13)))</f>
        <v/>
      </c>
      <c r="K340" s="18">
        <f>IF(OR(NOT(ISNUMBER($A340)),ROW()-2&lt;Settings!$B$12),NA(),IF(COUNT(OFFSET(G340,1-Settings!$B$12,0,Settings!$B$12,1))&lt;Settings!$B$12,NA(),STDEV(OFFSET(G340,1-Settings!$B$12,0,Settings!$B$12,1))*SQRT(Settings!$B$13)))</f>
        <v/>
      </c>
      <c r="L340" s="18">
        <f>IF(AND(ISNUMBER(D340),ISNUMBER(H340)),D340-H340,NA())</f>
        <v/>
      </c>
      <c r="M340" s="18">
        <f>IF(AND(ISNUMBER(E340),ISNUMBER(K340)),E340-K340,NA())</f>
        <v/>
      </c>
      <c r="N340" s="18">
        <f>IF(NOT(ISNUMBER($A340)),NA(),IF(COUNT(OFFSET(G340,1,0,Settings!$B$12,1))&lt;Settings!$B$12,NA(),STDEV(OFFSET(G340,1,0,Settings!$B$12,1))*SQRT(Settings!$B$13)))</f>
        <v/>
      </c>
      <c r="O340" s="18">
        <f>IF(AND(ISNUMBER(E340),ISNUMBER(N340)),E340-N340,NA())</f>
        <v/>
      </c>
      <c r="P340" s="17">
        <f>IF(NOT(ISNUMBER($A340)),NA(),IF(OR($A340&lt;MIN(KW_TP!$A$2:$A$2501),$A340&gt;MAX(KW_TP!$A$2:$A$2501)),NA(),INDEX(KW_TP!$C$2:$C$2501,MATCH($A340,KW_TP!$A$2:$A$2501,1))))</f>
        <v/>
      </c>
    </row>
    <row r="341">
      <c r="A341" s="15">
        <f>IF(ISNUMBER(BBG_Data!A341),BBG_Data!A341,"")</f>
        <v/>
      </c>
      <c r="B341" s="16">
        <f>IF(AND(ISNUMBER($A341),ISNUMBER(BBG_Data!B341)),BBG_Data!B341,NA())</f>
        <v/>
      </c>
      <c r="C341" s="16">
        <f>IF(AND(ISNUMBER($A341),ISNUMBER(BBG_Data!C341)),BBG_Data!C341,NA())</f>
        <v/>
      </c>
      <c r="D341" s="17">
        <f>IF(AND(ISNUMBER($A341),ISNUMBER(BBG_Data!D341)),BBG_Data!D341,NA())</f>
        <v/>
      </c>
      <c r="E341" s="17">
        <f>IF(AND(ISNUMBER($A341),ISNUMBER(BBG_Data!E341)),BBG_Data!E341,NA())</f>
        <v/>
      </c>
      <c r="F341" s="18">
        <f>IF(AND(ISNUMBER(B341),ISNUMBER(B340)),(B341-B340)*100,"")</f>
        <v/>
      </c>
      <c r="G341" s="18">
        <f>IF(AND(ISNUMBER(C341),ISNUMBER(C340)),(C341-C340)*100,"")</f>
        <v/>
      </c>
      <c r="H341" s="18">
        <f>IF(OR(NOT(ISNUMBER($A341)),ROW()-2&lt;Settings!$B$11),NA(),IF(COUNT(OFFSET(F341,1-Settings!$B$11,0,Settings!$B$11,1))&lt;Settings!$B$11,NA(),STDEV(OFFSET(F341,1-Settings!$B$11,0,Settings!$B$11,1))*SQRT(Settings!$B$13)))</f>
        <v/>
      </c>
      <c r="I341" s="18">
        <f>IF(OR(NOT(ISNUMBER($A341)),ROW()-2&lt;Settings!$B$12),NA(),IF(COUNT(OFFSET(F341,1-Settings!$B$12,0,Settings!$B$12,1))&lt;Settings!$B$12,NA(),STDEV(OFFSET(F341,1-Settings!$B$12,0,Settings!$B$12,1))*SQRT(Settings!$B$13)))</f>
        <v/>
      </c>
      <c r="J341" s="18">
        <f>IF(OR(NOT(ISNUMBER($A341)),ROW()-2&lt;Settings!$B$11),NA(),IF(COUNT(OFFSET(G341,1-Settings!$B$11,0,Settings!$B$11,1))&lt;Settings!$B$11,NA(),STDEV(OFFSET(G341,1-Settings!$B$11,0,Settings!$B$11,1))*SQRT(Settings!$B$13)))</f>
        <v/>
      </c>
      <c r="K341" s="18">
        <f>IF(OR(NOT(ISNUMBER($A341)),ROW()-2&lt;Settings!$B$12),NA(),IF(COUNT(OFFSET(G341,1-Settings!$B$12,0,Settings!$B$12,1))&lt;Settings!$B$12,NA(),STDEV(OFFSET(G341,1-Settings!$B$12,0,Settings!$B$12,1))*SQRT(Settings!$B$13)))</f>
        <v/>
      </c>
      <c r="L341" s="18">
        <f>IF(AND(ISNUMBER(D341),ISNUMBER(H341)),D341-H341,NA())</f>
        <v/>
      </c>
      <c r="M341" s="18">
        <f>IF(AND(ISNUMBER(E341),ISNUMBER(K341)),E341-K341,NA())</f>
        <v/>
      </c>
      <c r="N341" s="18">
        <f>IF(NOT(ISNUMBER($A341)),NA(),IF(COUNT(OFFSET(G341,1,0,Settings!$B$12,1))&lt;Settings!$B$12,NA(),STDEV(OFFSET(G341,1,0,Settings!$B$12,1))*SQRT(Settings!$B$13)))</f>
        <v/>
      </c>
      <c r="O341" s="18">
        <f>IF(AND(ISNUMBER(E341),ISNUMBER(N341)),E341-N341,NA())</f>
        <v/>
      </c>
      <c r="P341" s="17">
        <f>IF(NOT(ISNUMBER($A341)),NA(),IF(OR($A341&lt;MIN(KW_TP!$A$2:$A$2501),$A341&gt;MAX(KW_TP!$A$2:$A$2501)),NA(),INDEX(KW_TP!$C$2:$C$2501,MATCH($A341,KW_TP!$A$2:$A$2501,1))))</f>
        <v/>
      </c>
    </row>
    <row r="342">
      <c r="A342" s="15">
        <f>IF(ISNUMBER(BBG_Data!A342),BBG_Data!A342,"")</f>
        <v/>
      </c>
      <c r="B342" s="16">
        <f>IF(AND(ISNUMBER($A342),ISNUMBER(BBG_Data!B342)),BBG_Data!B342,NA())</f>
        <v/>
      </c>
      <c r="C342" s="16">
        <f>IF(AND(ISNUMBER($A342),ISNUMBER(BBG_Data!C342)),BBG_Data!C342,NA())</f>
        <v/>
      </c>
      <c r="D342" s="17">
        <f>IF(AND(ISNUMBER($A342),ISNUMBER(BBG_Data!D342)),BBG_Data!D342,NA())</f>
        <v/>
      </c>
      <c r="E342" s="17">
        <f>IF(AND(ISNUMBER($A342),ISNUMBER(BBG_Data!E342)),BBG_Data!E342,NA())</f>
        <v/>
      </c>
      <c r="F342" s="18">
        <f>IF(AND(ISNUMBER(B342),ISNUMBER(B341)),(B342-B341)*100,"")</f>
        <v/>
      </c>
      <c r="G342" s="18">
        <f>IF(AND(ISNUMBER(C342),ISNUMBER(C341)),(C342-C341)*100,"")</f>
        <v/>
      </c>
      <c r="H342" s="18">
        <f>IF(OR(NOT(ISNUMBER($A342)),ROW()-2&lt;Settings!$B$11),NA(),IF(COUNT(OFFSET(F342,1-Settings!$B$11,0,Settings!$B$11,1))&lt;Settings!$B$11,NA(),STDEV(OFFSET(F342,1-Settings!$B$11,0,Settings!$B$11,1))*SQRT(Settings!$B$13)))</f>
        <v/>
      </c>
      <c r="I342" s="18">
        <f>IF(OR(NOT(ISNUMBER($A342)),ROW()-2&lt;Settings!$B$12),NA(),IF(COUNT(OFFSET(F342,1-Settings!$B$12,0,Settings!$B$12,1))&lt;Settings!$B$12,NA(),STDEV(OFFSET(F342,1-Settings!$B$12,0,Settings!$B$12,1))*SQRT(Settings!$B$13)))</f>
        <v/>
      </c>
      <c r="J342" s="18">
        <f>IF(OR(NOT(ISNUMBER($A342)),ROW()-2&lt;Settings!$B$11),NA(),IF(COUNT(OFFSET(G342,1-Settings!$B$11,0,Settings!$B$11,1))&lt;Settings!$B$11,NA(),STDEV(OFFSET(G342,1-Settings!$B$11,0,Settings!$B$11,1))*SQRT(Settings!$B$13)))</f>
        <v/>
      </c>
      <c r="K342" s="18">
        <f>IF(OR(NOT(ISNUMBER($A342)),ROW()-2&lt;Settings!$B$12),NA(),IF(COUNT(OFFSET(G342,1-Settings!$B$12,0,Settings!$B$12,1))&lt;Settings!$B$12,NA(),STDEV(OFFSET(G342,1-Settings!$B$12,0,Settings!$B$12,1))*SQRT(Settings!$B$13)))</f>
        <v/>
      </c>
      <c r="L342" s="18">
        <f>IF(AND(ISNUMBER(D342),ISNUMBER(H342)),D342-H342,NA())</f>
        <v/>
      </c>
      <c r="M342" s="18">
        <f>IF(AND(ISNUMBER(E342),ISNUMBER(K342)),E342-K342,NA())</f>
        <v/>
      </c>
      <c r="N342" s="18">
        <f>IF(NOT(ISNUMBER($A342)),NA(),IF(COUNT(OFFSET(G342,1,0,Settings!$B$12,1))&lt;Settings!$B$12,NA(),STDEV(OFFSET(G342,1,0,Settings!$B$12,1))*SQRT(Settings!$B$13)))</f>
        <v/>
      </c>
      <c r="O342" s="18">
        <f>IF(AND(ISNUMBER(E342),ISNUMBER(N342)),E342-N342,NA())</f>
        <v/>
      </c>
      <c r="P342" s="17">
        <f>IF(NOT(ISNUMBER($A342)),NA(),IF(OR($A342&lt;MIN(KW_TP!$A$2:$A$2501),$A342&gt;MAX(KW_TP!$A$2:$A$2501)),NA(),INDEX(KW_TP!$C$2:$C$2501,MATCH($A342,KW_TP!$A$2:$A$2501,1))))</f>
        <v/>
      </c>
    </row>
    <row r="343">
      <c r="A343" s="15">
        <f>IF(ISNUMBER(BBG_Data!A343),BBG_Data!A343,"")</f>
        <v/>
      </c>
      <c r="B343" s="16">
        <f>IF(AND(ISNUMBER($A343),ISNUMBER(BBG_Data!B343)),BBG_Data!B343,NA())</f>
        <v/>
      </c>
      <c r="C343" s="16">
        <f>IF(AND(ISNUMBER($A343),ISNUMBER(BBG_Data!C343)),BBG_Data!C343,NA())</f>
        <v/>
      </c>
      <c r="D343" s="17">
        <f>IF(AND(ISNUMBER($A343),ISNUMBER(BBG_Data!D343)),BBG_Data!D343,NA())</f>
        <v/>
      </c>
      <c r="E343" s="17">
        <f>IF(AND(ISNUMBER($A343),ISNUMBER(BBG_Data!E343)),BBG_Data!E343,NA())</f>
        <v/>
      </c>
      <c r="F343" s="18">
        <f>IF(AND(ISNUMBER(B343),ISNUMBER(B342)),(B343-B342)*100,"")</f>
        <v/>
      </c>
      <c r="G343" s="18">
        <f>IF(AND(ISNUMBER(C343),ISNUMBER(C342)),(C343-C342)*100,"")</f>
        <v/>
      </c>
      <c r="H343" s="18">
        <f>IF(OR(NOT(ISNUMBER($A343)),ROW()-2&lt;Settings!$B$11),NA(),IF(COUNT(OFFSET(F343,1-Settings!$B$11,0,Settings!$B$11,1))&lt;Settings!$B$11,NA(),STDEV(OFFSET(F343,1-Settings!$B$11,0,Settings!$B$11,1))*SQRT(Settings!$B$13)))</f>
        <v/>
      </c>
      <c r="I343" s="18">
        <f>IF(OR(NOT(ISNUMBER($A343)),ROW()-2&lt;Settings!$B$12),NA(),IF(COUNT(OFFSET(F343,1-Settings!$B$12,0,Settings!$B$12,1))&lt;Settings!$B$12,NA(),STDEV(OFFSET(F343,1-Settings!$B$12,0,Settings!$B$12,1))*SQRT(Settings!$B$13)))</f>
        <v/>
      </c>
      <c r="J343" s="18">
        <f>IF(OR(NOT(ISNUMBER($A343)),ROW()-2&lt;Settings!$B$11),NA(),IF(COUNT(OFFSET(G343,1-Settings!$B$11,0,Settings!$B$11,1))&lt;Settings!$B$11,NA(),STDEV(OFFSET(G343,1-Settings!$B$11,0,Settings!$B$11,1))*SQRT(Settings!$B$13)))</f>
        <v/>
      </c>
      <c r="K343" s="18">
        <f>IF(OR(NOT(ISNUMBER($A343)),ROW()-2&lt;Settings!$B$12),NA(),IF(COUNT(OFFSET(G343,1-Settings!$B$12,0,Settings!$B$12,1))&lt;Settings!$B$12,NA(),STDEV(OFFSET(G343,1-Settings!$B$12,0,Settings!$B$12,1))*SQRT(Settings!$B$13)))</f>
        <v/>
      </c>
      <c r="L343" s="18">
        <f>IF(AND(ISNUMBER(D343),ISNUMBER(H343)),D343-H343,NA())</f>
        <v/>
      </c>
      <c r="M343" s="18">
        <f>IF(AND(ISNUMBER(E343),ISNUMBER(K343)),E343-K343,NA())</f>
        <v/>
      </c>
      <c r="N343" s="18">
        <f>IF(NOT(ISNUMBER($A343)),NA(),IF(COUNT(OFFSET(G343,1,0,Settings!$B$12,1))&lt;Settings!$B$12,NA(),STDEV(OFFSET(G343,1,0,Settings!$B$12,1))*SQRT(Settings!$B$13)))</f>
        <v/>
      </c>
      <c r="O343" s="18">
        <f>IF(AND(ISNUMBER(E343),ISNUMBER(N343)),E343-N343,NA())</f>
        <v/>
      </c>
      <c r="P343" s="17">
        <f>IF(NOT(ISNUMBER($A343)),NA(),IF(OR($A343&lt;MIN(KW_TP!$A$2:$A$2501),$A343&gt;MAX(KW_TP!$A$2:$A$2501)),NA(),INDEX(KW_TP!$C$2:$C$2501,MATCH($A343,KW_TP!$A$2:$A$2501,1))))</f>
        <v/>
      </c>
    </row>
    <row r="344">
      <c r="A344" s="15">
        <f>IF(ISNUMBER(BBG_Data!A344),BBG_Data!A344,"")</f>
        <v/>
      </c>
      <c r="B344" s="16">
        <f>IF(AND(ISNUMBER($A344),ISNUMBER(BBG_Data!B344)),BBG_Data!B344,NA())</f>
        <v/>
      </c>
      <c r="C344" s="16">
        <f>IF(AND(ISNUMBER($A344),ISNUMBER(BBG_Data!C344)),BBG_Data!C344,NA())</f>
        <v/>
      </c>
      <c r="D344" s="17">
        <f>IF(AND(ISNUMBER($A344),ISNUMBER(BBG_Data!D344)),BBG_Data!D344,NA())</f>
        <v/>
      </c>
      <c r="E344" s="17">
        <f>IF(AND(ISNUMBER($A344),ISNUMBER(BBG_Data!E344)),BBG_Data!E344,NA())</f>
        <v/>
      </c>
      <c r="F344" s="18">
        <f>IF(AND(ISNUMBER(B344),ISNUMBER(B343)),(B344-B343)*100,"")</f>
        <v/>
      </c>
      <c r="G344" s="18">
        <f>IF(AND(ISNUMBER(C344),ISNUMBER(C343)),(C344-C343)*100,"")</f>
        <v/>
      </c>
      <c r="H344" s="18">
        <f>IF(OR(NOT(ISNUMBER($A344)),ROW()-2&lt;Settings!$B$11),NA(),IF(COUNT(OFFSET(F344,1-Settings!$B$11,0,Settings!$B$11,1))&lt;Settings!$B$11,NA(),STDEV(OFFSET(F344,1-Settings!$B$11,0,Settings!$B$11,1))*SQRT(Settings!$B$13)))</f>
        <v/>
      </c>
      <c r="I344" s="18">
        <f>IF(OR(NOT(ISNUMBER($A344)),ROW()-2&lt;Settings!$B$12),NA(),IF(COUNT(OFFSET(F344,1-Settings!$B$12,0,Settings!$B$12,1))&lt;Settings!$B$12,NA(),STDEV(OFFSET(F344,1-Settings!$B$12,0,Settings!$B$12,1))*SQRT(Settings!$B$13)))</f>
        <v/>
      </c>
      <c r="J344" s="18">
        <f>IF(OR(NOT(ISNUMBER($A344)),ROW()-2&lt;Settings!$B$11),NA(),IF(COUNT(OFFSET(G344,1-Settings!$B$11,0,Settings!$B$11,1))&lt;Settings!$B$11,NA(),STDEV(OFFSET(G344,1-Settings!$B$11,0,Settings!$B$11,1))*SQRT(Settings!$B$13)))</f>
        <v/>
      </c>
      <c r="K344" s="18">
        <f>IF(OR(NOT(ISNUMBER($A344)),ROW()-2&lt;Settings!$B$12),NA(),IF(COUNT(OFFSET(G344,1-Settings!$B$12,0,Settings!$B$12,1))&lt;Settings!$B$12,NA(),STDEV(OFFSET(G344,1-Settings!$B$12,0,Settings!$B$12,1))*SQRT(Settings!$B$13)))</f>
        <v/>
      </c>
      <c r="L344" s="18">
        <f>IF(AND(ISNUMBER(D344),ISNUMBER(H344)),D344-H344,NA())</f>
        <v/>
      </c>
      <c r="M344" s="18">
        <f>IF(AND(ISNUMBER(E344),ISNUMBER(K344)),E344-K344,NA())</f>
        <v/>
      </c>
      <c r="N344" s="18">
        <f>IF(NOT(ISNUMBER($A344)),NA(),IF(COUNT(OFFSET(G344,1,0,Settings!$B$12,1))&lt;Settings!$B$12,NA(),STDEV(OFFSET(G344,1,0,Settings!$B$12,1))*SQRT(Settings!$B$13)))</f>
        <v/>
      </c>
      <c r="O344" s="18">
        <f>IF(AND(ISNUMBER(E344),ISNUMBER(N344)),E344-N344,NA())</f>
        <v/>
      </c>
      <c r="P344" s="17">
        <f>IF(NOT(ISNUMBER($A344)),NA(),IF(OR($A344&lt;MIN(KW_TP!$A$2:$A$2501),$A344&gt;MAX(KW_TP!$A$2:$A$2501)),NA(),INDEX(KW_TP!$C$2:$C$2501,MATCH($A344,KW_TP!$A$2:$A$2501,1))))</f>
        <v/>
      </c>
    </row>
    <row r="345">
      <c r="A345" s="15">
        <f>IF(ISNUMBER(BBG_Data!A345),BBG_Data!A345,"")</f>
        <v/>
      </c>
      <c r="B345" s="16">
        <f>IF(AND(ISNUMBER($A345),ISNUMBER(BBG_Data!B345)),BBG_Data!B345,NA())</f>
        <v/>
      </c>
      <c r="C345" s="16">
        <f>IF(AND(ISNUMBER($A345),ISNUMBER(BBG_Data!C345)),BBG_Data!C345,NA())</f>
        <v/>
      </c>
      <c r="D345" s="17">
        <f>IF(AND(ISNUMBER($A345),ISNUMBER(BBG_Data!D345)),BBG_Data!D345,NA())</f>
        <v/>
      </c>
      <c r="E345" s="17">
        <f>IF(AND(ISNUMBER($A345),ISNUMBER(BBG_Data!E345)),BBG_Data!E345,NA())</f>
        <v/>
      </c>
      <c r="F345" s="18">
        <f>IF(AND(ISNUMBER(B345),ISNUMBER(B344)),(B345-B344)*100,"")</f>
        <v/>
      </c>
      <c r="G345" s="18">
        <f>IF(AND(ISNUMBER(C345),ISNUMBER(C344)),(C345-C344)*100,"")</f>
        <v/>
      </c>
      <c r="H345" s="18">
        <f>IF(OR(NOT(ISNUMBER($A345)),ROW()-2&lt;Settings!$B$11),NA(),IF(COUNT(OFFSET(F345,1-Settings!$B$11,0,Settings!$B$11,1))&lt;Settings!$B$11,NA(),STDEV(OFFSET(F345,1-Settings!$B$11,0,Settings!$B$11,1))*SQRT(Settings!$B$13)))</f>
        <v/>
      </c>
      <c r="I345" s="18">
        <f>IF(OR(NOT(ISNUMBER($A345)),ROW()-2&lt;Settings!$B$12),NA(),IF(COUNT(OFFSET(F345,1-Settings!$B$12,0,Settings!$B$12,1))&lt;Settings!$B$12,NA(),STDEV(OFFSET(F345,1-Settings!$B$12,0,Settings!$B$12,1))*SQRT(Settings!$B$13)))</f>
        <v/>
      </c>
      <c r="J345" s="18">
        <f>IF(OR(NOT(ISNUMBER($A345)),ROW()-2&lt;Settings!$B$11),NA(),IF(COUNT(OFFSET(G345,1-Settings!$B$11,0,Settings!$B$11,1))&lt;Settings!$B$11,NA(),STDEV(OFFSET(G345,1-Settings!$B$11,0,Settings!$B$11,1))*SQRT(Settings!$B$13)))</f>
        <v/>
      </c>
      <c r="K345" s="18">
        <f>IF(OR(NOT(ISNUMBER($A345)),ROW()-2&lt;Settings!$B$12),NA(),IF(COUNT(OFFSET(G345,1-Settings!$B$12,0,Settings!$B$12,1))&lt;Settings!$B$12,NA(),STDEV(OFFSET(G345,1-Settings!$B$12,0,Settings!$B$12,1))*SQRT(Settings!$B$13)))</f>
        <v/>
      </c>
      <c r="L345" s="18">
        <f>IF(AND(ISNUMBER(D345),ISNUMBER(H345)),D345-H345,NA())</f>
        <v/>
      </c>
      <c r="M345" s="18">
        <f>IF(AND(ISNUMBER(E345),ISNUMBER(K345)),E345-K345,NA())</f>
        <v/>
      </c>
      <c r="N345" s="18">
        <f>IF(NOT(ISNUMBER($A345)),NA(),IF(COUNT(OFFSET(G345,1,0,Settings!$B$12,1))&lt;Settings!$B$12,NA(),STDEV(OFFSET(G345,1,0,Settings!$B$12,1))*SQRT(Settings!$B$13)))</f>
        <v/>
      </c>
      <c r="O345" s="18">
        <f>IF(AND(ISNUMBER(E345),ISNUMBER(N345)),E345-N345,NA())</f>
        <v/>
      </c>
      <c r="P345" s="17">
        <f>IF(NOT(ISNUMBER($A345)),NA(),IF(OR($A345&lt;MIN(KW_TP!$A$2:$A$2501),$A345&gt;MAX(KW_TP!$A$2:$A$2501)),NA(),INDEX(KW_TP!$C$2:$C$2501,MATCH($A345,KW_TP!$A$2:$A$2501,1))))</f>
        <v/>
      </c>
    </row>
    <row r="346">
      <c r="A346" s="15">
        <f>IF(ISNUMBER(BBG_Data!A346),BBG_Data!A346,"")</f>
        <v/>
      </c>
      <c r="B346" s="16">
        <f>IF(AND(ISNUMBER($A346),ISNUMBER(BBG_Data!B346)),BBG_Data!B346,NA())</f>
        <v/>
      </c>
      <c r="C346" s="16">
        <f>IF(AND(ISNUMBER($A346),ISNUMBER(BBG_Data!C346)),BBG_Data!C346,NA())</f>
        <v/>
      </c>
      <c r="D346" s="17">
        <f>IF(AND(ISNUMBER($A346),ISNUMBER(BBG_Data!D346)),BBG_Data!D346,NA())</f>
        <v/>
      </c>
      <c r="E346" s="17">
        <f>IF(AND(ISNUMBER($A346),ISNUMBER(BBG_Data!E346)),BBG_Data!E346,NA())</f>
        <v/>
      </c>
      <c r="F346" s="18">
        <f>IF(AND(ISNUMBER(B346),ISNUMBER(B345)),(B346-B345)*100,"")</f>
        <v/>
      </c>
      <c r="G346" s="18">
        <f>IF(AND(ISNUMBER(C346),ISNUMBER(C345)),(C346-C345)*100,"")</f>
        <v/>
      </c>
      <c r="H346" s="18">
        <f>IF(OR(NOT(ISNUMBER($A346)),ROW()-2&lt;Settings!$B$11),NA(),IF(COUNT(OFFSET(F346,1-Settings!$B$11,0,Settings!$B$11,1))&lt;Settings!$B$11,NA(),STDEV(OFFSET(F346,1-Settings!$B$11,0,Settings!$B$11,1))*SQRT(Settings!$B$13)))</f>
        <v/>
      </c>
      <c r="I346" s="18">
        <f>IF(OR(NOT(ISNUMBER($A346)),ROW()-2&lt;Settings!$B$12),NA(),IF(COUNT(OFFSET(F346,1-Settings!$B$12,0,Settings!$B$12,1))&lt;Settings!$B$12,NA(),STDEV(OFFSET(F346,1-Settings!$B$12,0,Settings!$B$12,1))*SQRT(Settings!$B$13)))</f>
        <v/>
      </c>
      <c r="J346" s="18">
        <f>IF(OR(NOT(ISNUMBER($A346)),ROW()-2&lt;Settings!$B$11),NA(),IF(COUNT(OFFSET(G346,1-Settings!$B$11,0,Settings!$B$11,1))&lt;Settings!$B$11,NA(),STDEV(OFFSET(G346,1-Settings!$B$11,0,Settings!$B$11,1))*SQRT(Settings!$B$13)))</f>
        <v/>
      </c>
      <c r="K346" s="18">
        <f>IF(OR(NOT(ISNUMBER($A346)),ROW()-2&lt;Settings!$B$12),NA(),IF(COUNT(OFFSET(G346,1-Settings!$B$12,0,Settings!$B$12,1))&lt;Settings!$B$12,NA(),STDEV(OFFSET(G346,1-Settings!$B$12,0,Settings!$B$12,1))*SQRT(Settings!$B$13)))</f>
        <v/>
      </c>
      <c r="L346" s="18">
        <f>IF(AND(ISNUMBER(D346),ISNUMBER(H346)),D346-H346,NA())</f>
        <v/>
      </c>
      <c r="M346" s="18">
        <f>IF(AND(ISNUMBER(E346),ISNUMBER(K346)),E346-K346,NA())</f>
        <v/>
      </c>
      <c r="N346" s="18">
        <f>IF(NOT(ISNUMBER($A346)),NA(),IF(COUNT(OFFSET(G346,1,0,Settings!$B$12,1))&lt;Settings!$B$12,NA(),STDEV(OFFSET(G346,1,0,Settings!$B$12,1))*SQRT(Settings!$B$13)))</f>
        <v/>
      </c>
      <c r="O346" s="18">
        <f>IF(AND(ISNUMBER(E346),ISNUMBER(N346)),E346-N346,NA())</f>
        <v/>
      </c>
      <c r="P346" s="17">
        <f>IF(NOT(ISNUMBER($A346)),NA(),IF(OR($A346&lt;MIN(KW_TP!$A$2:$A$2501),$A346&gt;MAX(KW_TP!$A$2:$A$2501)),NA(),INDEX(KW_TP!$C$2:$C$2501,MATCH($A346,KW_TP!$A$2:$A$2501,1))))</f>
        <v/>
      </c>
    </row>
    <row r="347">
      <c r="A347" s="15">
        <f>IF(ISNUMBER(BBG_Data!A347),BBG_Data!A347,"")</f>
        <v/>
      </c>
      <c r="B347" s="16">
        <f>IF(AND(ISNUMBER($A347),ISNUMBER(BBG_Data!B347)),BBG_Data!B347,NA())</f>
        <v/>
      </c>
      <c r="C347" s="16">
        <f>IF(AND(ISNUMBER($A347),ISNUMBER(BBG_Data!C347)),BBG_Data!C347,NA())</f>
        <v/>
      </c>
      <c r="D347" s="17">
        <f>IF(AND(ISNUMBER($A347),ISNUMBER(BBG_Data!D347)),BBG_Data!D347,NA())</f>
        <v/>
      </c>
      <c r="E347" s="17">
        <f>IF(AND(ISNUMBER($A347),ISNUMBER(BBG_Data!E347)),BBG_Data!E347,NA())</f>
        <v/>
      </c>
      <c r="F347" s="18">
        <f>IF(AND(ISNUMBER(B347),ISNUMBER(B346)),(B347-B346)*100,"")</f>
        <v/>
      </c>
      <c r="G347" s="18">
        <f>IF(AND(ISNUMBER(C347),ISNUMBER(C346)),(C347-C346)*100,"")</f>
        <v/>
      </c>
      <c r="H347" s="18">
        <f>IF(OR(NOT(ISNUMBER($A347)),ROW()-2&lt;Settings!$B$11),NA(),IF(COUNT(OFFSET(F347,1-Settings!$B$11,0,Settings!$B$11,1))&lt;Settings!$B$11,NA(),STDEV(OFFSET(F347,1-Settings!$B$11,0,Settings!$B$11,1))*SQRT(Settings!$B$13)))</f>
        <v/>
      </c>
      <c r="I347" s="18">
        <f>IF(OR(NOT(ISNUMBER($A347)),ROW()-2&lt;Settings!$B$12),NA(),IF(COUNT(OFFSET(F347,1-Settings!$B$12,0,Settings!$B$12,1))&lt;Settings!$B$12,NA(),STDEV(OFFSET(F347,1-Settings!$B$12,0,Settings!$B$12,1))*SQRT(Settings!$B$13)))</f>
        <v/>
      </c>
      <c r="J347" s="18">
        <f>IF(OR(NOT(ISNUMBER($A347)),ROW()-2&lt;Settings!$B$11),NA(),IF(COUNT(OFFSET(G347,1-Settings!$B$11,0,Settings!$B$11,1))&lt;Settings!$B$11,NA(),STDEV(OFFSET(G347,1-Settings!$B$11,0,Settings!$B$11,1))*SQRT(Settings!$B$13)))</f>
        <v/>
      </c>
      <c r="K347" s="18">
        <f>IF(OR(NOT(ISNUMBER($A347)),ROW()-2&lt;Settings!$B$12),NA(),IF(COUNT(OFFSET(G347,1-Settings!$B$12,0,Settings!$B$12,1))&lt;Settings!$B$12,NA(),STDEV(OFFSET(G347,1-Settings!$B$12,0,Settings!$B$12,1))*SQRT(Settings!$B$13)))</f>
        <v/>
      </c>
      <c r="L347" s="18">
        <f>IF(AND(ISNUMBER(D347),ISNUMBER(H347)),D347-H347,NA())</f>
        <v/>
      </c>
      <c r="M347" s="18">
        <f>IF(AND(ISNUMBER(E347),ISNUMBER(K347)),E347-K347,NA())</f>
        <v/>
      </c>
      <c r="N347" s="18">
        <f>IF(NOT(ISNUMBER($A347)),NA(),IF(COUNT(OFFSET(G347,1,0,Settings!$B$12,1))&lt;Settings!$B$12,NA(),STDEV(OFFSET(G347,1,0,Settings!$B$12,1))*SQRT(Settings!$B$13)))</f>
        <v/>
      </c>
      <c r="O347" s="18">
        <f>IF(AND(ISNUMBER(E347),ISNUMBER(N347)),E347-N347,NA())</f>
        <v/>
      </c>
      <c r="P347" s="17">
        <f>IF(NOT(ISNUMBER($A347)),NA(),IF(OR($A347&lt;MIN(KW_TP!$A$2:$A$2501),$A347&gt;MAX(KW_TP!$A$2:$A$2501)),NA(),INDEX(KW_TP!$C$2:$C$2501,MATCH($A347,KW_TP!$A$2:$A$2501,1))))</f>
        <v/>
      </c>
    </row>
    <row r="348">
      <c r="A348" s="15">
        <f>IF(ISNUMBER(BBG_Data!A348),BBG_Data!A348,"")</f>
        <v/>
      </c>
      <c r="B348" s="16">
        <f>IF(AND(ISNUMBER($A348),ISNUMBER(BBG_Data!B348)),BBG_Data!B348,NA())</f>
        <v/>
      </c>
      <c r="C348" s="16">
        <f>IF(AND(ISNUMBER($A348),ISNUMBER(BBG_Data!C348)),BBG_Data!C348,NA())</f>
        <v/>
      </c>
      <c r="D348" s="17">
        <f>IF(AND(ISNUMBER($A348),ISNUMBER(BBG_Data!D348)),BBG_Data!D348,NA())</f>
        <v/>
      </c>
      <c r="E348" s="17">
        <f>IF(AND(ISNUMBER($A348),ISNUMBER(BBG_Data!E348)),BBG_Data!E348,NA())</f>
        <v/>
      </c>
      <c r="F348" s="18">
        <f>IF(AND(ISNUMBER(B348),ISNUMBER(B347)),(B348-B347)*100,"")</f>
        <v/>
      </c>
      <c r="G348" s="18">
        <f>IF(AND(ISNUMBER(C348),ISNUMBER(C347)),(C348-C347)*100,"")</f>
        <v/>
      </c>
      <c r="H348" s="18">
        <f>IF(OR(NOT(ISNUMBER($A348)),ROW()-2&lt;Settings!$B$11),NA(),IF(COUNT(OFFSET(F348,1-Settings!$B$11,0,Settings!$B$11,1))&lt;Settings!$B$11,NA(),STDEV(OFFSET(F348,1-Settings!$B$11,0,Settings!$B$11,1))*SQRT(Settings!$B$13)))</f>
        <v/>
      </c>
      <c r="I348" s="18">
        <f>IF(OR(NOT(ISNUMBER($A348)),ROW()-2&lt;Settings!$B$12),NA(),IF(COUNT(OFFSET(F348,1-Settings!$B$12,0,Settings!$B$12,1))&lt;Settings!$B$12,NA(),STDEV(OFFSET(F348,1-Settings!$B$12,0,Settings!$B$12,1))*SQRT(Settings!$B$13)))</f>
        <v/>
      </c>
      <c r="J348" s="18">
        <f>IF(OR(NOT(ISNUMBER($A348)),ROW()-2&lt;Settings!$B$11),NA(),IF(COUNT(OFFSET(G348,1-Settings!$B$11,0,Settings!$B$11,1))&lt;Settings!$B$11,NA(),STDEV(OFFSET(G348,1-Settings!$B$11,0,Settings!$B$11,1))*SQRT(Settings!$B$13)))</f>
        <v/>
      </c>
      <c r="K348" s="18">
        <f>IF(OR(NOT(ISNUMBER($A348)),ROW()-2&lt;Settings!$B$12),NA(),IF(COUNT(OFFSET(G348,1-Settings!$B$12,0,Settings!$B$12,1))&lt;Settings!$B$12,NA(),STDEV(OFFSET(G348,1-Settings!$B$12,0,Settings!$B$12,1))*SQRT(Settings!$B$13)))</f>
        <v/>
      </c>
      <c r="L348" s="18">
        <f>IF(AND(ISNUMBER(D348),ISNUMBER(H348)),D348-H348,NA())</f>
        <v/>
      </c>
      <c r="M348" s="18">
        <f>IF(AND(ISNUMBER(E348),ISNUMBER(K348)),E348-K348,NA())</f>
        <v/>
      </c>
      <c r="N348" s="18">
        <f>IF(NOT(ISNUMBER($A348)),NA(),IF(COUNT(OFFSET(G348,1,0,Settings!$B$12,1))&lt;Settings!$B$12,NA(),STDEV(OFFSET(G348,1,0,Settings!$B$12,1))*SQRT(Settings!$B$13)))</f>
        <v/>
      </c>
      <c r="O348" s="18">
        <f>IF(AND(ISNUMBER(E348),ISNUMBER(N348)),E348-N348,NA())</f>
        <v/>
      </c>
      <c r="P348" s="17">
        <f>IF(NOT(ISNUMBER($A348)),NA(),IF(OR($A348&lt;MIN(KW_TP!$A$2:$A$2501),$A348&gt;MAX(KW_TP!$A$2:$A$2501)),NA(),INDEX(KW_TP!$C$2:$C$2501,MATCH($A348,KW_TP!$A$2:$A$2501,1))))</f>
        <v/>
      </c>
    </row>
    <row r="349">
      <c r="A349" s="15">
        <f>IF(ISNUMBER(BBG_Data!A349),BBG_Data!A349,"")</f>
        <v/>
      </c>
      <c r="B349" s="16">
        <f>IF(AND(ISNUMBER($A349),ISNUMBER(BBG_Data!B349)),BBG_Data!B349,NA())</f>
        <v/>
      </c>
      <c r="C349" s="16">
        <f>IF(AND(ISNUMBER($A349),ISNUMBER(BBG_Data!C349)),BBG_Data!C349,NA())</f>
        <v/>
      </c>
      <c r="D349" s="17">
        <f>IF(AND(ISNUMBER($A349),ISNUMBER(BBG_Data!D349)),BBG_Data!D349,NA())</f>
        <v/>
      </c>
      <c r="E349" s="17">
        <f>IF(AND(ISNUMBER($A349),ISNUMBER(BBG_Data!E349)),BBG_Data!E349,NA())</f>
        <v/>
      </c>
      <c r="F349" s="18">
        <f>IF(AND(ISNUMBER(B349),ISNUMBER(B348)),(B349-B348)*100,"")</f>
        <v/>
      </c>
      <c r="G349" s="18">
        <f>IF(AND(ISNUMBER(C349),ISNUMBER(C348)),(C349-C348)*100,"")</f>
        <v/>
      </c>
      <c r="H349" s="18">
        <f>IF(OR(NOT(ISNUMBER($A349)),ROW()-2&lt;Settings!$B$11),NA(),IF(COUNT(OFFSET(F349,1-Settings!$B$11,0,Settings!$B$11,1))&lt;Settings!$B$11,NA(),STDEV(OFFSET(F349,1-Settings!$B$11,0,Settings!$B$11,1))*SQRT(Settings!$B$13)))</f>
        <v/>
      </c>
      <c r="I349" s="18">
        <f>IF(OR(NOT(ISNUMBER($A349)),ROW()-2&lt;Settings!$B$12),NA(),IF(COUNT(OFFSET(F349,1-Settings!$B$12,0,Settings!$B$12,1))&lt;Settings!$B$12,NA(),STDEV(OFFSET(F349,1-Settings!$B$12,0,Settings!$B$12,1))*SQRT(Settings!$B$13)))</f>
        <v/>
      </c>
      <c r="J349" s="18">
        <f>IF(OR(NOT(ISNUMBER($A349)),ROW()-2&lt;Settings!$B$11),NA(),IF(COUNT(OFFSET(G349,1-Settings!$B$11,0,Settings!$B$11,1))&lt;Settings!$B$11,NA(),STDEV(OFFSET(G349,1-Settings!$B$11,0,Settings!$B$11,1))*SQRT(Settings!$B$13)))</f>
        <v/>
      </c>
      <c r="K349" s="18">
        <f>IF(OR(NOT(ISNUMBER($A349)),ROW()-2&lt;Settings!$B$12),NA(),IF(COUNT(OFFSET(G349,1-Settings!$B$12,0,Settings!$B$12,1))&lt;Settings!$B$12,NA(),STDEV(OFFSET(G349,1-Settings!$B$12,0,Settings!$B$12,1))*SQRT(Settings!$B$13)))</f>
        <v/>
      </c>
      <c r="L349" s="18">
        <f>IF(AND(ISNUMBER(D349),ISNUMBER(H349)),D349-H349,NA())</f>
        <v/>
      </c>
      <c r="M349" s="18">
        <f>IF(AND(ISNUMBER(E349),ISNUMBER(K349)),E349-K349,NA())</f>
        <v/>
      </c>
      <c r="N349" s="18">
        <f>IF(NOT(ISNUMBER($A349)),NA(),IF(COUNT(OFFSET(G349,1,0,Settings!$B$12,1))&lt;Settings!$B$12,NA(),STDEV(OFFSET(G349,1,0,Settings!$B$12,1))*SQRT(Settings!$B$13)))</f>
        <v/>
      </c>
      <c r="O349" s="18">
        <f>IF(AND(ISNUMBER(E349),ISNUMBER(N349)),E349-N349,NA())</f>
        <v/>
      </c>
      <c r="P349" s="17">
        <f>IF(NOT(ISNUMBER($A349)),NA(),IF(OR($A349&lt;MIN(KW_TP!$A$2:$A$2501),$A349&gt;MAX(KW_TP!$A$2:$A$2501)),NA(),INDEX(KW_TP!$C$2:$C$2501,MATCH($A349,KW_TP!$A$2:$A$2501,1))))</f>
        <v/>
      </c>
    </row>
    <row r="350">
      <c r="A350" s="15">
        <f>IF(ISNUMBER(BBG_Data!A350),BBG_Data!A350,"")</f>
        <v/>
      </c>
      <c r="B350" s="16">
        <f>IF(AND(ISNUMBER($A350),ISNUMBER(BBG_Data!B350)),BBG_Data!B350,NA())</f>
        <v/>
      </c>
      <c r="C350" s="16">
        <f>IF(AND(ISNUMBER($A350),ISNUMBER(BBG_Data!C350)),BBG_Data!C350,NA())</f>
        <v/>
      </c>
      <c r="D350" s="17">
        <f>IF(AND(ISNUMBER($A350),ISNUMBER(BBG_Data!D350)),BBG_Data!D350,NA())</f>
        <v/>
      </c>
      <c r="E350" s="17">
        <f>IF(AND(ISNUMBER($A350),ISNUMBER(BBG_Data!E350)),BBG_Data!E350,NA())</f>
        <v/>
      </c>
      <c r="F350" s="18">
        <f>IF(AND(ISNUMBER(B350),ISNUMBER(B349)),(B350-B349)*100,"")</f>
        <v/>
      </c>
      <c r="G350" s="18">
        <f>IF(AND(ISNUMBER(C350),ISNUMBER(C349)),(C350-C349)*100,"")</f>
        <v/>
      </c>
      <c r="H350" s="18">
        <f>IF(OR(NOT(ISNUMBER($A350)),ROW()-2&lt;Settings!$B$11),NA(),IF(COUNT(OFFSET(F350,1-Settings!$B$11,0,Settings!$B$11,1))&lt;Settings!$B$11,NA(),STDEV(OFFSET(F350,1-Settings!$B$11,0,Settings!$B$11,1))*SQRT(Settings!$B$13)))</f>
        <v/>
      </c>
      <c r="I350" s="18">
        <f>IF(OR(NOT(ISNUMBER($A350)),ROW()-2&lt;Settings!$B$12),NA(),IF(COUNT(OFFSET(F350,1-Settings!$B$12,0,Settings!$B$12,1))&lt;Settings!$B$12,NA(),STDEV(OFFSET(F350,1-Settings!$B$12,0,Settings!$B$12,1))*SQRT(Settings!$B$13)))</f>
        <v/>
      </c>
      <c r="J350" s="18">
        <f>IF(OR(NOT(ISNUMBER($A350)),ROW()-2&lt;Settings!$B$11),NA(),IF(COUNT(OFFSET(G350,1-Settings!$B$11,0,Settings!$B$11,1))&lt;Settings!$B$11,NA(),STDEV(OFFSET(G350,1-Settings!$B$11,0,Settings!$B$11,1))*SQRT(Settings!$B$13)))</f>
        <v/>
      </c>
      <c r="K350" s="18">
        <f>IF(OR(NOT(ISNUMBER($A350)),ROW()-2&lt;Settings!$B$12),NA(),IF(COUNT(OFFSET(G350,1-Settings!$B$12,0,Settings!$B$12,1))&lt;Settings!$B$12,NA(),STDEV(OFFSET(G350,1-Settings!$B$12,0,Settings!$B$12,1))*SQRT(Settings!$B$13)))</f>
        <v/>
      </c>
      <c r="L350" s="18">
        <f>IF(AND(ISNUMBER(D350),ISNUMBER(H350)),D350-H350,NA())</f>
        <v/>
      </c>
      <c r="M350" s="18">
        <f>IF(AND(ISNUMBER(E350),ISNUMBER(K350)),E350-K350,NA())</f>
        <v/>
      </c>
      <c r="N350" s="18">
        <f>IF(NOT(ISNUMBER($A350)),NA(),IF(COUNT(OFFSET(G350,1,0,Settings!$B$12,1))&lt;Settings!$B$12,NA(),STDEV(OFFSET(G350,1,0,Settings!$B$12,1))*SQRT(Settings!$B$13)))</f>
        <v/>
      </c>
      <c r="O350" s="18">
        <f>IF(AND(ISNUMBER(E350),ISNUMBER(N350)),E350-N350,NA())</f>
        <v/>
      </c>
      <c r="P350" s="17">
        <f>IF(NOT(ISNUMBER($A350)),NA(),IF(OR($A350&lt;MIN(KW_TP!$A$2:$A$2501),$A350&gt;MAX(KW_TP!$A$2:$A$2501)),NA(),INDEX(KW_TP!$C$2:$C$2501,MATCH($A350,KW_TP!$A$2:$A$2501,1))))</f>
        <v/>
      </c>
    </row>
    <row r="351">
      <c r="A351" s="15">
        <f>IF(ISNUMBER(BBG_Data!A351),BBG_Data!A351,"")</f>
        <v/>
      </c>
      <c r="B351" s="16">
        <f>IF(AND(ISNUMBER($A351),ISNUMBER(BBG_Data!B351)),BBG_Data!B351,NA())</f>
        <v/>
      </c>
      <c r="C351" s="16">
        <f>IF(AND(ISNUMBER($A351),ISNUMBER(BBG_Data!C351)),BBG_Data!C351,NA())</f>
        <v/>
      </c>
      <c r="D351" s="17">
        <f>IF(AND(ISNUMBER($A351),ISNUMBER(BBG_Data!D351)),BBG_Data!D351,NA())</f>
        <v/>
      </c>
      <c r="E351" s="17">
        <f>IF(AND(ISNUMBER($A351),ISNUMBER(BBG_Data!E351)),BBG_Data!E351,NA())</f>
        <v/>
      </c>
      <c r="F351" s="18">
        <f>IF(AND(ISNUMBER(B351),ISNUMBER(B350)),(B351-B350)*100,"")</f>
        <v/>
      </c>
      <c r="G351" s="18">
        <f>IF(AND(ISNUMBER(C351),ISNUMBER(C350)),(C351-C350)*100,"")</f>
        <v/>
      </c>
      <c r="H351" s="18">
        <f>IF(OR(NOT(ISNUMBER($A351)),ROW()-2&lt;Settings!$B$11),NA(),IF(COUNT(OFFSET(F351,1-Settings!$B$11,0,Settings!$B$11,1))&lt;Settings!$B$11,NA(),STDEV(OFFSET(F351,1-Settings!$B$11,0,Settings!$B$11,1))*SQRT(Settings!$B$13)))</f>
        <v/>
      </c>
      <c r="I351" s="18">
        <f>IF(OR(NOT(ISNUMBER($A351)),ROW()-2&lt;Settings!$B$12),NA(),IF(COUNT(OFFSET(F351,1-Settings!$B$12,0,Settings!$B$12,1))&lt;Settings!$B$12,NA(),STDEV(OFFSET(F351,1-Settings!$B$12,0,Settings!$B$12,1))*SQRT(Settings!$B$13)))</f>
        <v/>
      </c>
      <c r="J351" s="18">
        <f>IF(OR(NOT(ISNUMBER($A351)),ROW()-2&lt;Settings!$B$11),NA(),IF(COUNT(OFFSET(G351,1-Settings!$B$11,0,Settings!$B$11,1))&lt;Settings!$B$11,NA(),STDEV(OFFSET(G351,1-Settings!$B$11,0,Settings!$B$11,1))*SQRT(Settings!$B$13)))</f>
        <v/>
      </c>
      <c r="K351" s="18">
        <f>IF(OR(NOT(ISNUMBER($A351)),ROW()-2&lt;Settings!$B$12),NA(),IF(COUNT(OFFSET(G351,1-Settings!$B$12,0,Settings!$B$12,1))&lt;Settings!$B$12,NA(),STDEV(OFFSET(G351,1-Settings!$B$12,0,Settings!$B$12,1))*SQRT(Settings!$B$13)))</f>
        <v/>
      </c>
      <c r="L351" s="18">
        <f>IF(AND(ISNUMBER(D351),ISNUMBER(H351)),D351-H351,NA())</f>
        <v/>
      </c>
      <c r="M351" s="18">
        <f>IF(AND(ISNUMBER(E351),ISNUMBER(K351)),E351-K351,NA())</f>
        <v/>
      </c>
      <c r="N351" s="18">
        <f>IF(NOT(ISNUMBER($A351)),NA(),IF(COUNT(OFFSET(G351,1,0,Settings!$B$12,1))&lt;Settings!$B$12,NA(),STDEV(OFFSET(G351,1,0,Settings!$B$12,1))*SQRT(Settings!$B$13)))</f>
        <v/>
      </c>
      <c r="O351" s="18">
        <f>IF(AND(ISNUMBER(E351),ISNUMBER(N351)),E351-N351,NA())</f>
        <v/>
      </c>
      <c r="P351" s="17">
        <f>IF(NOT(ISNUMBER($A351)),NA(),IF(OR($A351&lt;MIN(KW_TP!$A$2:$A$2501),$A351&gt;MAX(KW_TP!$A$2:$A$2501)),NA(),INDEX(KW_TP!$C$2:$C$2501,MATCH($A351,KW_TP!$A$2:$A$2501,1))))</f>
        <v/>
      </c>
    </row>
    <row r="352">
      <c r="A352" s="15">
        <f>IF(ISNUMBER(BBG_Data!A352),BBG_Data!A352,"")</f>
        <v/>
      </c>
      <c r="B352" s="16">
        <f>IF(AND(ISNUMBER($A352),ISNUMBER(BBG_Data!B352)),BBG_Data!B352,NA())</f>
        <v/>
      </c>
      <c r="C352" s="16">
        <f>IF(AND(ISNUMBER($A352),ISNUMBER(BBG_Data!C352)),BBG_Data!C352,NA())</f>
        <v/>
      </c>
      <c r="D352" s="17">
        <f>IF(AND(ISNUMBER($A352),ISNUMBER(BBG_Data!D352)),BBG_Data!D352,NA())</f>
        <v/>
      </c>
      <c r="E352" s="17">
        <f>IF(AND(ISNUMBER($A352),ISNUMBER(BBG_Data!E352)),BBG_Data!E352,NA())</f>
        <v/>
      </c>
      <c r="F352" s="18">
        <f>IF(AND(ISNUMBER(B352),ISNUMBER(B351)),(B352-B351)*100,"")</f>
        <v/>
      </c>
      <c r="G352" s="18">
        <f>IF(AND(ISNUMBER(C352),ISNUMBER(C351)),(C352-C351)*100,"")</f>
        <v/>
      </c>
      <c r="H352" s="18">
        <f>IF(OR(NOT(ISNUMBER($A352)),ROW()-2&lt;Settings!$B$11),NA(),IF(COUNT(OFFSET(F352,1-Settings!$B$11,0,Settings!$B$11,1))&lt;Settings!$B$11,NA(),STDEV(OFFSET(F352,1-Settings!$B$11,0,Settings!$B$11,1))*SQRT(Settings!$B$13)))</f>
        <v/>
      </c>
      <c r="I352" s="18">
        <f>IF(OR(NOT(ISNUMBER($A352)),ROW()-2&lt;Settings!$B$12),NA(),IF(COUNT(OFFSET(F352,1-Settings!$B$12,0,Settings!$B$12,1))&lt;Settings!$B$12,NA(),STDEV(OFFSET(F352,1-Settings!$B$12,0,Settings!$B$12,1))*SQRT(Settings!$B$13)))</f>
        <v/>
      </c>
      <c r="J352" s="18">
        <f>IF(OR(NOT(ISNUMBER($A352)),ROW()-2&lt;Settings!$B$11),NA(),IF(COUNT(OFFSET(G352,1-Settings!$B$11,0,Settings!$B$11,1))&lt;Settings!$B$11,NA(),STDEV(OFFSET(G352,1-Settings!$B$11,0,Settings!$B$11,1))*SQRT(Settings!$B$13)))</f>
        <v/>
      </c>
      <c r="K352" s="18">
        <f>IF(OR(NOT(ISNUMBER($A352)),ROW()-2&lt;Settings!$B$12),NA(),IF(COUNT(OFFSET(G352,1-Settings!$B$12,0,Settings!$B$12,1))&lt;Settings!$B$12,NA(),STDEV(OFFSET(G352,1-Settings!$B$12,0,Settings!$B$12,1))*SQRT(Settings!$B$13)))</f>
        <v/>
      </c>
      <c r="L352" s="18">
        <f>IF(AND(ISNUMBER(D352),ISNUMBER(H352)),D352-H352,NA())</f>
        <v/>
      </c>
      <c r="M352" s="18">
        <f>IF(AND(ISNUMBER(E352),ISNUMBER(K352)),E352-K352,NA())</f>
        <v/>
      </c>
      <c r="N352" s="18">
        <f>IF(NOT(ISNUMBER($A352)),NA(),IF(COUNT(OFFSET(G352,1,0,Settings!$B$12,1))&lt;Settings!$B$12,NA(),STDEV(OFFSET(G352,1,0,Settings!$B$12,1))*SQRT(Settings!$B$13)))</f>
        <v/>
      </c>
      <c r="O352" s="18">
        <f>IF(AND(ISNUMBER(E352),ISNUMBER(N352)),E352-N352,NA())</f>
        <v/>
      </c>
      <c r="P352" s="17">
        <f>IF(NOT(ISNUMBER($A352)),NA(),IF(OR($A352&lt;MIN(KW_TP!$A$2:$A$2501),$A352&gt;MAX(KW_TP!$A$2:$A$2501)),NA(),INDEX(KW_TP!$C$2:$C$2501,MATCH($A352,KW_TP!$A$2:$A$2501,1))))</f>
        <v/>
      </c>
    </row>
    <row r="353">
      <c r="A353" s="15">
        <f>IF(ISNUMBER(BBG_Data!A353),BBG_Data!A353,"")</f>
        <v/>
      </c>
      <c r="B353" s="16">
        <f>IF(AND(ISNUMBER($A353),ISNUMBER(BBG_Data!B353)),BBG_Data!B353,NA())</f>
        <v/>
      </c>
      <c r="C353" s="16">
        <f>IF(AND(ISNUMBER($A353),ISNUMBER(BBG_Data!C353)),BBG_Data!C353,NA())</f>
        <v/>
      </c>
      <c r="D353" s="17">
        <f>IF(AND(ISNUMBER($A353),ISNUMBER(BBG_Data!D353)),BBG_Data!D353,NA())</f>
        <v/>
      </c>
      <c r="E353" s="17">
        <f>IF(AND(ISNUMBER($A353),ISNUMBER(BBG_Data!E353)),BBG_Data!E353,NA())</f>
        <v/>
      </c>
      <c r="F353" s="18">
        <f>IF(AND(ISNUMBER(B353),ISNUMBER(B352)),(B353-B352)*100,"")</f>
        <v/>
      </c>
      <c r="G353" s="18">
        <f>IF(AND(ISNUMBER(C353),ISNUMBER(C352)),(C353-C352)*100,"")</f>
        <v/>
      </c>
      <c r="H353" s="18">
        <f>IF(OR(NOT(ISNUMBER($A353)),ROW()-2&lt;Settings!$B$11),NA(),IF(COUNT(OFFSET(F353,1-Settings!$B$11,0,Settings!$B$11,1))&lt;Settings!$B$11,NA(),STDEV(OFFSET(F353,1-Settings!$B$11,0,Settings!$B$11,1))*SQRT(Settings!$B$13)))</f>
        <v/>
      </c>
      <c r="I353" s="18">
        <f>IF(OR(NOT(ISNUMBER($A353)),ROW()-2&lt;Settings!$B$12),NA(),IF(COUNT(OFFSET(F353,1-Settings!$B$12,0,Settings!$B$12,1))&lt;Settings!$B$12,NA(),STDEV(OFFSET(F353,1-Settings!$B$12,0,Settings!$B$12,1))*SQRT(Settings!$B$13)))</f>
        <v/>
      </c>
      <c r="J353" s="18">
        <f>IF(OR(NOT(ISNUMBER($A353)),ROW()-2&lt;Settings!$B$11),NA(),IF(COUNT(OFFSET(G353,1-Settings!$B$11,0,Settings!$B$11,1))&lt;Settings!$B$11,NA(),STDEV(OFFSET(G353,1-Settings!$B$11,0,Settings!$B$11,1))*SQRT(Settings!$B$13)))</f>
        <v/>
      </c>
      <c r="K353" s="18">
        <f>IF(OR(NOT(ISNUMBER($A353)),ROW()-2&lt;Settings!$B$12),NA(),IF(COUNT(OFFSET(G353,1-Settings!$B$12,0,Settings!$B$12,1))&lt;Settings!$B$12,NA(),STDEV(OFFSET(G353,1-Settings!$B$12,0,Settings!$B$12,1))*SQRT(Settings!$B$13)))</f>
        <v/>
      </c>
      <c r="L353" s="18">
        <f>IF(AND(ISNUMBER(D353),ISNUMBER(H353)),D353-H353,NA())</f>
        <v/>
      </c>
      <c r="M353" s="18">
        <f>IF(AND(ISNUMBER(E353),ISNUMBER(K353)),E353-K353,NA())</f>
        <v/>
      </c>
      <c r="N353" s="18">
        <f>IF(NOT(ISNUMBER($A353)),NA(),IF(COUNT(OFFSET(G353,1,0,Settings!$B$12,1))&lt;Settings!$B$12,NA(),STDEV(OFFSET(G353,1,0,Settings!$B$12,1))*SQRT(Settings!$B$13)))</f>
        <v/>
      </c>
      <c r="O353" s="18">
        <f>IF(AND(ISNUMBER(E353),ISNUMBER(N353)),E353-N353,NA())</f>
        <v/>
      </c>
      <c r="P353" s="17">
        <f>IF(NOT(ISNUMBER($A353)),NA(),IF(OR($A353&lt;MIN(KW_TP!$A$2:$A$2501),$A353&gt;MAX(KW_TP!$A$2:$A$2501)),NA(),INDEX(KW_TP!$C$2:$C$2501,MATCH($A353,KW_TP!$A$2:$A$2501,1))))</f>
        <v/>
      </c>
    </row>
    <row r="354">
      <c r="A354" s="15">
        <f>IF(ISNUMBER(BBG_Data!A354),BBG_Data!A354,"")</f>
        <v/>
      </c>
      <c r="B354" s="16">
        <f>IF(AND(ISNUMBER($A354),ISNUMBER(BBG_Data!B354)),BBG_Data!B354,NA())</f>
        <v/>
      </c>
      <c r="C354" s="16">
        <f>IF(AND(ISNUMBER($A354),ISNUMBER(BBG_Data!C354)),BBG_Data!C354,NA())</f>
        <v/>
      </c>
      <c r="D354" s="17">
        <f>IF(AND(ISNUMBER($A354),ISNUMBER(BBG_Data!D354)),BBG_Data!D354,NA())</f>
        <v/>
      </c>
      <c r="E354" s="17">
        <f>IF(AND(ISNUMBER($A354),ISNUMBER(BBG_Data!E354)),BBG_Data!E354,NA())</f>
        <v/>
      </c>
      <c r="F354" s="18">
        <f>IF(AND(ISNUMBER(B354),ISNUMBER(B353)),(B354-B353)*100,"")</f>
        <v/>
      </c>
      <c r="G354" s="18">
        <f>IF(AND(ISNUMBER(C354),ISNUMBER(C353)),(C354-C353)*100,"")</f>
        <v/>
      </c>
      <c r="H354" s="18">
        <f>IF(OR(NOT(ISNUMBER($A354)),ROW()-2&lt;Settings!$B$11),NA(),IF(COUNT(OFFSET(F354,1-Settings!$B$11,0,Settings!$B$11,1))&lt;Settings!$B$11,NA(),STDEV(OFFSET(F354,1-Settings!$B$11,0,Settings!$B$11,1))*SQRT(Settings!$B$13)))</f>
        <v/>
      </c>
      <c r="I354" s="18">
        <f>IF(OR(NOT(ISNUMBER($A354)),ROW()-2&lt;Settings!$B$12),NA(),IF(COUNT(OFFSET(F354,1-Settings!$B$12,0,Settings!$B$12,1))&lt;Settings!$B$12,NA(),STDEV(OFFSET(F354,1-Settings!$B$12,0,Settings!$B$12,1))*SQRT(Settings!$B$13)))</f>
        <v/>
      </c>
      <c r="J354" s="18">
        <f>IF(OR(NOT(ISNUMBER($A354)),ROW()-2&lt;Settings!$B$11),NA(),IF(COUNT(OFFSET(G354,1-Settings!$B$11,0,Settings!$B$11,1))&lt;Settings!$B$11,NA(),STDEV(OFFSET(G354,1-Settings!$B$11,0,Settings!$B$11,1))*SQRT(Settings!$B$13)))</f>
        <v/>
      </c>
      <c r="K354" s="18">
        <f>IF(OR(NOT(ISNUMBER($A354)),ROW()-2&lt;Settings!$B$12),NA(),IF(COUNT(OFFSET(G354,1-Settings!$B$12,0,Settings!$B$12,1))&lt;Settings!$B$12,NA(),STDEV(OFFSET(G354,1-Settings!$B$12,0,Settings!$B$12,1))*SQRT(Settings!$B$13)))</f>
        <v/>
      </c>
      <c r="L354" s="18">
        <f>IF(AND(ISNUMBER(D354),ISNUMBER(H354)),D354-H354,NA())</f>
        <v/>
      </c>
      <c r="M354" s="18">
        <f>IF(AND(ISNUMBER(E354),ISNUMBER(K354)),E354-K354,NA())</f>
        <v/>
      </c>
      <c r="N354" s="18">
        <f>IF(NOT(ISNUMBER($A354)),NA(),IF(COUNT(OFFSET(G354,1,0,Settings!$B$12,1))&lt;Settings!$B$12,NA(),STDEV(OFFSET(G354,1,0,Settings!$B$12,1))*SQRT(Settings!$B$13)))</f>
        <v/>
      </c>
      <c r="O354" s="18">
        <f>IF(AND(ISNUMBER(E354),ISNUMBER(N354)),E354-N354,NA())</f>
        <v/>
      </c>
      <c r="P354" s="17">
        <f>IF(NOT(ISNUMBER($A354)),NA(),IF(OR($A354&lt;MIN(KW_TP!$A$2:$A$2501),$A354&gt;MAX(KW_TP!$A$2:$A$2501)),NA(),INDEX(KW_TP!$C$2:$C$2501,MATCH($A354,KW_TP!$A$2:$A$2501,1))))</f>
        <v/>
      </c>
    </row>
    <row r="355">
      <c r="A355" s="15">
        <f>IF(ISNUMBER(BBG_Data!A355),BBG_Data!A355,"")</f>
        <v/>
      </c>
      <c r="B355" s="16">
        <f>IF(AND(ISNUMBER($A355),ISNUMBER(BBG_Data!B355)),BBG_Data!B355,NA())</f>
        <v/>
      </c>
      <c r="C355" s="16">
        <f>IF(AND(ISNUMBER($A355),ISNUMBER(BBG_Data!C355)),BBG_Data!C355,NA())</f>
        <v/>
      </c>
      <c r="D355" s="17">
        <f>IF(AND(ISNUMBER($A355),ISNUMBER(BBG_Data!D355)),BBG_Data!D355,NA())</f>
        <v/>
      </c>
      <c r="E355" s="17">
        <f>IF(AND(ISNUMBER($A355),ISNUMBER(BBG_Data!E355)),BBG_Data!E355,NA())</f>
        <v/>
      </c>
      <c r="F355" s="18">
        <f>IF(AND(ISNUMBER(B355),ISNUMBER(B354)),(B355-B354)*100,"")</f>
        <v/>
      </c>
      <c r="G355" s="18">
        <f>IF(AND(ISNUMBER(C355),ISNUMBER(C354)),(C355-C354)*100,"")</f>
        <v/>
      </c>
      <c r="H355" s="18">
        <f>IF(OR(NOT(ISNUMBER($A355)),ROW()-2&lt;Settings!$B$11),NA(),IF(COUNT(OFFSET(F355,1-Settings!$B$11,0,Settings!$B$11,1))&lt;Settings!$B$11,NA(),STDEV(OFFSET(F355,1-Settings!$B$11,0,Settings!$B$11,1))*SQRT(Settings!$B$13)))</f>
        <v/>
      </c>
      <c r="I355" s="18">
        <f>IF(OR(NOT(ISNUMBER($A355)),ROW()-2&lt;Settings!$B$12),NA(),IF(COUNT(OFFSET(F355,1-Settings!$B$12,0,Settings!$B$12,1))&lt;Settings!$B$12,NA(),STDEV(OFFSET(F355,1-Settings!$B$12,0,Settings!$B$12,1))*SQRT(Settings!$B$13)))</f>
        <v/>
      </c>
      <c r="J355" s="18">
        <f>IF(OR(NOT(ISNUMBER($A355)),ROW()-2&lt;Settings!$B$11),NA(),IF(COUNT(OFFSET(G355,1-Settings!$B$11,0,Settings!$B$11,1))&lt;Settings!$B$11,NA(),STDEV(OFFSET(G355,1-Settings!$B$11,0,Settings!$B$11,1))*SQRT(Settings!$B$13)))</f>
        <v/>
      </c>
      <c r="K355" s="18">
        <f>IF(OR(NOT(ISNUMBER($A355)),ROW()-2&lt;Settings!$B$12),NA(),IF(COUNT(OFFSET(G355,1-Settings!$B$12,0,Settings!$B$12,1))&lt;Settings!$B$12,NA(),STDEV(OFFSET(G355,1-Settings!$B$12,0,Settings!$B$12,1))*SQRT(Settings!$B$13)))</f>
        <v/>
      </c>
      <c r="L355" s="18">
        <f>IF(AND(ISNUMBER(D355),ISNUMBER(H355)),D355-H355,NA())</f>
        <v/>
      </c>
      <c r="M355" s="18">
        <f>IF(AND(ISNUMBER(E355),ISNUMBER(K355)),E355-K355,NA())</f>
        <v/>
      </c>
      <c r="N355" s="18">
        <f>IF(NOT(ISNUMBER($A355)),NA(),IF(COUNT(OFFSET(G355,1,0,Settings!$B$12,1))&lt;Settings!$B$12,NA(),STDEV(OFFSET(G355,1,0,Settings!$B$12,1))*SQRT(Settings!$B$13)))</f>
        <v/>
      </c>
      <c r="O355" s="18">
        <f>IF(AND(ISNUMBER(E355),ISNUMBER(N355)),E355-N355,NA())</f>
        <v/>
      </c>
      <c r="P355" s="17">
        <f>IF(NOT(ISNUMBER($A355)),NA(),IF(OR($A355&lt;MIN(KW_TP!$A$2:$A$2501),$A355&gt;MAX(KW_TP!$A$2:$A$2501)),NA(),INDEX(KW_TP!$C$2:$C$2501,MATCH($A355,KW_TP!$A$2:$A$2501,1))))</f>
        <v/>
      </c>
    </row>
    <row r="356">
      <c r="A356" s="15">
        <f>IF(ISNUMBER(BBG_Data!A356),BBG_Data!A356,"")</f>
        <v/>
      </c>
      <c r="B356" s="16">
        <f>IF(AND(ISNUMBER($A356),ISNUMBER(BBG_Data!B356)),BBG_Data!B356,NA())</f>
        <v/>
      </c>
      <c r="C356" s="16">
        <f>IF(AND(ISNUMBER($A356),ISNUMBER(BBG_Data!C356)),BBG_Data!C356,NA())</f>
        <v/>
      </c>
      <c r="D356" s="17">
        <f>IF(AND(ISNUMBER($A356),ISNUMBER(BBG_Data!D356)),BBG_Data!D356,NA())</f>
        <v/>
      </c>
      <c r="E356" s="17">
        <f>IF(AND(ISNUMBER($A356),ISNUMBER(BBG_Data!E356)),BBG_Data!E356,NA())</f>
        <v/>
      </c>
      <c r="F356" s="18">
        <f>IF(AND(ISNUMBER(B356),ISNUMBER(B355)),(B356-B355)*100,"")</f>
        <v/>
      </c>
      <c r="G356" s="18">
        <f>IF(AND(ISNUMBER(C356),ISNUMBER(C355)),(C356-C355)*100,"")</f>
        <v/>
      </c>
      <c r="H356" s="18">
        <f>IF(OR(NOT(ISNUMBER($A356)),ROW()-2&lt;Settings!$B$11),NA(),IF(COUNT(OFFSET(F356,1-Settings!$B$11,0,Settings!$B$11,1))&lt;Settings!$B$11,NA(),STDEV(OFFSET(F356,1-Settings!$B$11,0,Settings!$B$11,1))*SQRT(Settings!$B$13)))</f>
        <v/>
      </c>
      <c r="I356" s="18">
        <f>IF(OR(NOT(ISNUMBER($A356)),ROW()-2&lt;Settings!$B$12),NA(),IF(COUNT(OFFSET(F356,1-Settings!$B$12,0,Settings!$B$12,1))&lt;Settings!$B$12,NA(),STDEV(OFFSET(F356,1-Settings!$B$12,0,Settings!$B$12,1))*SQRT(Settings!$B$13)))</f>
        <v/>
      </c>
      <c r="J356" s="18">
        <f>IF(OR(NOT(ISNUMBER($A356)),ROW()-2&lt;Settings!$B$11),NA(),IF(COUNT(OFFSET(G356,1-Settings!$B$11,0,Settings!$B$11,1))&lt;Settings!$B$11,NA(),STDEV(OFFSET(G356,1-Settings!$B$11,0,Settings!$B$11,1))*SQRT(Settings!$B$13)))</f>
        <v/>
      </c>
      <c r="K356" s="18">
        <f>IF(OR(NOT(ISNUMBER($A356)),ROW()-2&lt;Settings!$B$12),NA(),IF(COUNT(OFFSET(G356,1-Settings!$B$12,0,Settings!$B$12,1))&lt;Settings!$B$12,NA(),STDEV(OFFSET(G356,1-Settings!$B$12,0,Settings!$B$12,1))*SQRT(Settings!$B$13)))</f>
        <v/>
      </c>
      <c r="L356" s="18">
        <f>IF(AND(ISNUMBER(D356),ISNUMBER(H356)),D356-H356,NA())</f>
        <v/>
      </c>
      <c r="M356" s="18">
        <f>IF(AND(ISNUMBER(E356),ISNUMBER(K356)),E356-K356,NA())</f>
        <v/>
      </c>
      <c r="N356" s="18">
        <f>IF(NOT(ISNUMBER($A356)),NA(),IF(COUNT(OFFSET(G356,1,0,Settings!$B$12,1))&lt;Settings!$B$12,NA(),STDEV(OFFSET(G356,1,0,Settings!$B$12,1))*SQRT(Settings!$B$13)))</f>
        <v/>
      </c>
      <c r="O356" s="18">
        <f>IF(AND(ISNUMBER(E356),ISNUMBER(N356)),E356-N356,NA())</f>
        <v/>
      </c>
      <c r="P356" s="17">
        <f>IF(NOT(ISNUMBER($A356)),NA(),IF(OR($A356&lt;MIN(KW_TP!$A$2:$A$2501),$A356&gt;MAX(KW_TP!$A$2:$A$2501)),NA(),INDEX(KW_TP!$C$2:$C$2501,MATCH($A356,KW_TP!$A$2:$A$2501,1))))</f>
        <v/>
      </c>
    </row>
    <row r="357">
      <c r="A357" s="15">
        <f>IF(ISNUMBER(BBG_Data!A357),BBG_Data!A357,"")</f>
        <v/>
      </c>
      <c r="B357" s="16">
        <f>IF(AND(ISNUMBER($A357),ISNUMBER(BBG_Data!B357)),BBG_Data!B357,NA())</f>
        <v/>
      </c>
      <c r="C357" s="16">
        <f>IF(AND(ISNUMBER($A357),ISNUMBER(BBG_Data!C357)),BBG_Data!C357,NA())</f>
        <v/>
      </c>
      <c r="D357" s="17">
        <f>IF(AND(ISNUMBER($A357),ISNUMBER(BBG_Data!D357)),BBG_Data!D357,NA())</f>
        <v/>
      </c>
      <c r="E357" s="17">
        <f>IF(AND(ISNUMBER($A357),ISNUMBER(BBG_Data!E357)),BBG_Data!E357,NA())</f>
        <v/>
      </c>
      <c r="F357" s="18">
        <f>IF(AND(ISNUMBER(B357),ISNUMBER(B356)),(B357-B356)*100,"")</f>
        <v/>
      </c>
      <c r="G357" s="18">
        <f>IF(AND(ISNUMBER(C357),ISNUMBER(C356)),(C357-C356)*100,"")</f>
        <v/>
      </c>
      <c r="H357" s="18">
        <f>IF(OR(NOT(ISNUMBER($A357)),ROW()-2&lt;Settings!$B$11),NA(),IF(COUNT(OFFSET(F357,1-Settings!$B$11,0,Settings!$B$11,1))&lt;Settings!$B$11,NA(),STDEV(OFFSET(F357,1-Settings!$B$11,0,Settings!$B$11,1))*SQRT(Settings!$B$13)))</f>
        <v/>
      </c>
      <c r="I357" s="18">
        <f>IF(OR(NOT(ISNUMBER($A357)),ROW()-2&lt;Settings!$B$12),NA(),IF(COUNT(OFFSET(F357,1-Settings!$B$12,0,Settings!$B$12,1))&lt;Settings!$B$12,NA(),STDEV(OFFSET(F357,1-Settings!$B$12,0,Settings!$B$12,1))*SQRT(Settings!$B$13)))</f>
        <v/>
      </c>
      <c r="J357" s="18">
        <f>IF(OR(NOT(ISNUMBER($A357)),ROW()-2&lt;Settings!$B$11),NA(),IF(COUNT(OFFSET(G357,1-Settings!$B$11,0,Settings!$B$11,1))&lt;Settings!$B$11,NA(),STDEV(OFFSET(G357,1-Settings!$B$11,0,Settings!$B$11,1))*SQRT(Settings!$B$13)))</f>
        <v/>
      </c>
      <c r="K357" s="18">
        <f>IF(OR(NOT(ISNUMBER($A357)),ROW()-2&lt;Settings!$B$12),NA(),IF(COUNT(OFFSET(G357,1-Settings!$B$12,0,Settings!$B$12,1))&lt;Settings!$B$12,NA(),STDEV(OFFSET(G357,1-Settings!$B$12,0,Settings!$B$12,1))*SQRT(Settings!$B$13)))</f>
        <v/>
      </c>
      <c r="L357" s="18">
        <f>IF(AND(ISNUMBER(D357),ISNUMBER(H357)),D357-H357,NA())</f>
        <v/>
      </c>
      <c r="M357" s="18">
        <f>IF(AND(ISNUMBER(E357),ISNUMBER(K357)),E357-K357,NA())</f>
        <v/>
      </c>
      <c r="N357" s="18">
        <f>IF(NOT(ISNUMBER($A357)),NA(),IF(COUNT(OFFSET(G357,1,0,Settings!$B$12,1))&lt;Settings!$B$12,NA(),STDEV(OFFSET(G357,1,0,Settings!$B$12,1))*SQRT(Settings!$B$13)))</f>
        <v/>
      </c>
      <c r="O357" s="18">
        <f>IF(AND(ISNUMBER(E357),ISNUMBER(N357)),E357-N357,NA())</f>
        <v/>
      </c>
      <c r="P357" s="17">
        <f>IF(NOT(ISNUMBER($A357)),NA(),IF(OR($A357&lt;MIN(KW_TP!$A$2:$A$2501),$A357&gt;MAX(KW_TP!$A$2:$A$2501)),NA(),INDEX(KW_TP!$C$2:$C$2501,MATCH($A357,KW_TP!$A$2:$A$2501,1))))</f>
        <v/>
      </c>
    </row>
    <row r="358">
      <c r="A358" s="15">
        <f>IF(ISNUMBER(BBG_Data!A358),BBG_Data!A358,"")</f>
        <v/>
      </c>
      <c r="B358" s="16">
        <f>IF(AND(ISNUMBER($A358),ISNUMBER(BBG_Data!B358)),BBG_Data!B358,NA())</f>
        <v/>
      </c>
      <c r="C358" s="16">
        <f>IF(AND(ISNUMBER($A358),ISNUMBER(BBG_Data!C358)),BBG_Data!C358,NA())</f>
        <v/>
      </c>
      <c r="D358" s="17">
        <f>IF(AND(ISNUMBER($A358),ISNUMBER(BBG_Data!D358)),BBG_Data!D358,NA())</f>
        <v/>
      </c>
      <c r="E358" s="17">
        <f>IF(AND(ISNUMBER($A358),ISNUMBER(BBG_Data!E358)),BBG_Data!E358,NA())</f>
        <v/>
      </c>
      <c r="F358" s="18">
        <f>IF(AND(ISNUMBER(B358),ISNUMBER(B357)),(B358-B357)*100,"")</f>
        <v/>
      </c>
      <c r="G358" s="18">
        <f>IF(AND(ISNUMBER(C358),ISNUMBER(C357)),(C358-C357)*100,"")</f>
        <v/>
      </c>
      <c r="H358" s="18">
        <f>IF(OR(NOT(ISNUMBER($A358)),ROW()-2&lt;Settings!$B$11),NA(),IF(COUNT(OFFSET(F358,1-Settings!$B$11,0,Settings!$B$11,1))&lt;Settings!$B$11,NA(),STDEV(OFFSET(F358,1-Settings!$B$11,0,Settings!$B$11,1))*SQRT(Settings!$B$13)))</f>
        <v/>
      </c>
      <c r="I358" s="18">
        <f>IF(OR(NOT(ISNUMBER($A358)),ROW()-2&lt;Settings!$B$12),NA(),IF(COUNT(OFFSET(F358,1-Settings!$B$12,0,Settings!$B$12,1))&lt;Settings!$B$12,NA(),STDEV(OFFSET(F358,1-Settings!$B$12,0,Settings!$B$12,1))*SQRT(Settings!$B$13)))</f>
        <v/>
      </c>
      <c r="J358" s="18">
        <f>IF(OR(NOT(ISNUMBER($A358)),ROW()-2&lt;Settings!$B$11),NA(),IF(COUNT(OFFSET(G358,1-Settings!$B$11,0,Settings!$B$11,1))&lt;Settings!$B$11,NA(),STDEV(OFFSET(G358,1-Settings!$B$11,0,Settings!$B$11,1))*SQRT(Settings!$B$13)))</f>
        <v/>
      </c>
      <c r="K358" s="18">
        <f>IF(OR(NOT(ISNUMBER($A358)),ROW()-2&lt;Settings!$B$12),NA(),IF(COUNT(OFFSET(G358,1-Settings!$B$12,0,Settings!$B$12,1))&lt;Settings!$B$12,NA(),STDEV(OFFSET(G358,1-Settings!$B$12,0,Settings!$B$12,1))*SQRT(Settings!$B$13)))</f>
        <v/>
      </c>
      <c r="L358" s="18">
        <f>IF(AND(ISNUMBER(D358),ISNUMBER(H358)),D358-H358,NA())</f>
        <v/>
      </c>
      <c r="M358" s="18">
        <f>IF(AND(ISNUMBER(E358),ISNUMBER(K358)),E358-K358,NA())</f>
        <v/>
      </c>
      <c r="N358" s="18">
        <f>IF(NOT(ISNUMBER($A358)),NA(),IF(COUNT(OFFSET(G358,1,0,Settings!$B$12,1))&lt;Settings!$B$12,NA(),STDEV(OFFSET(G358,1,0,Settings!$B$12,1))*SQRT(Settings!$B$13)))</f>
        <v/>
      </c>
      <c r="O358" s="18">
        <f>IF(AND(ISNUMBER(E358),ISNUMBER(N358)),E358-N358,NA())</f>
        <v/>
      </c>
      <c r="P358" s="17">
        <f>IF(NOT(ISNUMBER($A358)),NA(),IF(OR($A358&lt;MIN(KW_TP!$A$2:$A$2501),$A358&gt;MAX(KW_TP!$A$2:$A$2501)),NA(),INDEX(KW_TP!$C$2:$C$2501,MATCH($A358,KW_TP!$A$2:$A$2501,1))))</f>
        <v/>
      </c>
    </row>
    <row r="359">
      <c r="A359" s="15">
        <f>IF(ISNUMBER(BBG_Data!A359),BBG_Data!A359,"")</f>
        <v/>
      </c>
      <c r="B359" s="16">
        <f>IF(AND(ISNUMBER($A359),ISNUMBER(BBG_Data!B359)),BBG_Data!B359,NA())</f>
        <v/>
      </c>
      <c r="C359" s="16">
        <f>IF(AND(ISNUMBER($A359),ISNUMBER(BBG_Data!C359)),BBG_Data!C359,NA())</f>
        <v/>
      </c>
      <c r="D359" s="17">
        <f>IF(AND(ISNUMBER($A359),ISNUMBER(BBG_Data!D359)),BBG_Data!D359,NA())</f>
        <v/>
      </c>
      <c r="E359" s="17">
        <f>IF(AND(ISNUMBER($A359),ISNUMBER(BBG_Data!E359)),BBG_Data!E359,NA())</f>
        <v/>
      </c>
      <c r="F359" s="18">
        <f>IF(AND(ISNUMBER(B359),ISNUMBER(B358)),(B359-B358)*100,"")</f>
        <v/>
      </c>
      <c r="G359" s="18">
        <f>IF(AND(ISNUMBER(C359),ISNUMBER(C358)),(C359-C358)*100,"")</f>
        <v/>
      </c>
      <c r="H359" s="18">
        <f>IF(OR(NOT(ISNUMBER($A359)),ROW()-2&lt;Settings!$B$11),NA(),IF(COUNT(OFFSET(F359,1-Settings!$B$11,0,Settings!$B$11,1))&lt;Settings!$B$11,NA(),STDEV(OFFSET(F359,1-Settings!$B$11,0,Settings!$B$11,1))*SQRT(Settings!$B$13)))</f>
        <v/>
      </c>
      <c r="I359" s="18">
        <f>IF(OR(NOT(ISNUMBER($A359)),ROW()-2&lt;Settings!$B$12),NA(),IF(COUNT(OFFSET(F359,1-Settings!$B$12,0,Settings!$B$12,1))&lt;Settings!$B$12,NA(),STDEV(OFFSET(F359,1-Settings!$B$12,0,Settings!$B$12,1))*SQRT(Settings!$B$13)))</f>
        <v/>
      </c>
      <c r="J359" s="18">
        <f>IF(OR(NOT(ISNUMBER($A359)),ROW()-2&lt;Settings!$B$11),NA(),IF(COUNT(OFFSET(G359,1-Settings!$B$11,0,Settings!$B$11,1))&lt;Settings!$B$11,NA(),STDEV(OFFSET(G359,1-Settings!$B$11,0,Settings!$B$11,1))*SQRT(Settings!$B$13)))</f>
        <v/>
      </c>
      <c r="K359" s="18">
        <f>IF(OR(NOT(ISNUMBER($A359)),ROW()-2&lt;Settings!$B$12),NA(),IF(COUNT(OFFSET(G359,1-Settings!$B$12,0,Settings!$B$12,1))&lt;Settings!$B$12,NA(),STDEV(OFFSET(G359,1-Settings!$B$12,0,Settings!$B$12,1))*SQRT(Settings!$B$13)))</f>
        <v/>
      </c>
      <c r="L359" s="18">
        <f>IF(AND(ISNUMBER(D359),ISNUMBER(H359)),D359-H359,NA())</f>
        <v/>
      </c>
      <c r="M359" s="18">
        <f>IF(AND(ISNUMBER(E359),ISNUMBER(K359)),E359-K359,NA())</f>
        <v/>
      </c>
      <c r="N359" s="18">
        <f>IF(NOT(ISNUMBER($A359)),NA(),IF(COUNT(OFFSET(G359,1,0,Settings!$B$12,1))&lt;Settings!$B$12,NA(),STDEV(OFFSET(G359,1,0,Settings!$B$12,1))*SQRT(Settings!$B$13)))</f>
        <v/>
      </c>
      <c r="O359" s="18">
        <f>IF(AND(ISNUMBER(E359),ISNUMBER(N359)),E359-N359,NA())</f>
        <v/>
      </c>
      <c r="P359" s="17">
        <f>IF(NOT(ISNUMBER($A359)),NA(),IF(OR($A359&lt;MIN(KW_TP!$A$2:$A$2501),$A359&gt;MAX(KW_TP!$A$2:$A$2501)),NA(),INDEX(KW_TP!$C$2:$C$2501,MATCH($A359,KW_TP!$A$2:$A$2501,1))))</f>
        <v/>
      </c>
    </row>
    <row r="360">
      <c r="A360" s="15">
        <f>IF(ISNUMBER(BBG_Data!A360),BBG_Data!A360,"")</f>
        <v/>
      </c>
      <c r="B360" s="16">
        <f>IF(AND(ISNUMBER($A360),ISNUMBER(BBG_Data!B360)),BBG_Data!B360,NA())</f>
        <v/>
      </c>
      <c r="C360" s="16">
        <f>IF(AND(ISNUMBER($A360),ISNUMBER(BBG_Data!C360)),BBG_Data!C360,NA())</f>
        <v/>
      </c>
      <c r="D360" s="17">
        <f>IF(AND(ISNUMBER($A360),ISNUMBER(BBG_Data!D360)),BBG_Data!D360,NA())</f>
        <v/>
      </c>
      <c r="E360" s="17">
        <f>IF(AND(ISNUMBER($A360),ISNUMBER(BBG_Data!E360)),BBG_Data!E360,NA())</f>
        <v/>
      </c>
      <c r="F360" s="18">
        <f>IF(AND(ISNUMBER(B360),ISNUMBER(B359)),(B360-B359)*100,"")</f>
        <v/>
      </c>
      <c r="G360" s="18">
        <f>IF(AND(ISNUMBER(C360),ISNUMBER(C359)),(C360-C359)*100,"")</f>
        <v/>
      </c>
      <c r="H360" s="18">
        <f>IF(OR(NOT(ISNUMBER($A360)),ROW()-2&lt;Settings!$B$11),NA(),IF(COUNT(OFFSET(F360,1-Settings!$B$11,0,Settings!$B$11,1))&lt;Settings!$B$11,NA(),STDEV(OFFSET(F360,1-Settings!$B$11,0,Settings!$B$11,1))*SQRT(Settings!$B$13)))</f>
        <v/>
      </c>
      <c r="I360" s="18">
        <f>IF(OR(NOT(ISNUMBER($A360)),ROW()-2&lt;Settings!$B$12),NA(),IF(COUNT(OFFSET(F360,1-Settings!$B$12,0,Settings!$B$12,1))&lt;Settings!$B$12,NA(),STDEV(OFFSET(F360,1-Settings!$B$12,0,Settings!$B$12,1))*SQRT(Settings!$B$13)))</f>
        <v/>
      </c>
      <c r="J360" s="18">
        <f>IF(OR(NOT(ISNUMBER($A360)),ROW()-2&lt;Settings!$B$11),NA(),IF(COUNT(OFFSET(G360,1-Settings!$B$11,0,Settings!$B$11,1))&lt;Settings!$B$11,NA(),STDEV(OFFSET(G360,1-Settings!$B$11,0,Settings!$B$11,1))*SQRT(Settings!$B$13)))</f>
        <v/>
      </c>
      <c r="K360" s="18">
        <f>IF(OR(NOT(ISNUMBER($A360)),ROW()-2&lt;Settings!$B$12),NA(),IF(COUNT(OFFSET(G360,1-Settings!$B$12,0,Settings!$B$12,1))&lt;Settings!$B$12,NA(),STDEV(OFFSET(G360,1-Settings!$B$12,0,Settings!$B$12,1))*SQRT(Settings!$B$13)))</f>
        <v/>
      </c>
      <c r="L360" s="18">
        <f>IF(AND(ISNUMBER(D360),ISNUMBER(H360)),D360-H360,NA())</f>
        <v/>
      </c>
      <c r="M360" s="18">
        <f>IF(AND(ISNUMBER(E360),ISNUMBER(K360)),E360-K360,NA())</f>
        <v/>
      </c>
      <c r="N360" s="18">
        <f>IF(NOT(ISNUMBER($A360)),NA(),IF(COUNT(OFFSET(G360,1,0,Settings!$B$12,1))&lt;Settings!$B$12,NA(),STDEV(OFFSET(G360,1,0,Settings!$B$12,1))*SQRT(Settings!$B$13)))</f>
        <v/>
      </c>
      <c r="O360" s="18">
        <f>IF(AND(ISNUMBER(E360),ISNUMBER(N360)),E360-N360,NA())</f>
        <v/>
      </c>
      <c r="P360" s="17">
        <f>IF(NOT(ISNUMBER($A360)),NA(),IF(OR($A360&lt;MIN(KW_TP!$A$2:$A$2501),$A360&gt;MAX(KW_TP!$A$2:$A$2501)),NA(),INDEX(KW_TP!$C$2:$C$2501,MATCH($A360,KW_TP!$A$2:$A$2501,1))))</f>
        <v/>
      </c>
    </row>
    <row r="361">
      <c r="A361" s="15">
        <f>IF(ISNUMBER(BBG_Data!A361),BBG_Data!A361,"")</f>
        <v/>
      </c>
      <c r="B361" s="16">
        <f>IF(AND(ISNUMBER($A361),ISNUMBER(BBG_Data!B361)),BBG_Data!B361,NA())</f>
        <v/>
      </c>
      <c r="C361" s="16">
        <f>IF(AND(ISNUMBER($A361),ISNUMBER(BBG_Data!C361)),BBG_Data!C361,NA())</f>
        <v/>
      </c>
      <c r="D361" s="17">
        <f>IF(AND(ISNUMBER($A361),ISNUMBER(BBG_Data!D361)),BBG_Data!D361,NA())</f>
        <v/>
      </c>
      <c r="E361" s="17">
        <f>IF(AND(ISNUMBER($A361),ISNUMBER(BBG_Data!E361)),BBG_Data!E361,NA())</f>
        <v/>
      </c>
      <c r="F361" s="18">
        <f>IF(AND(ISNUMBER(B361),ISNUMBER(B360)),(B361-B360)*100,"")</f>
        <v/>
      </c>
      <c r="G361" s="18">
        <f>IF(AND(ISNUMBER(C361),ISNUMBER(C360)),(C361-C360)*100,"")</f>
        <v/>
      </c>
      <c r="H361" s="18">
        <f>IF(OR(NOT(ISNUMBER($A361)),ROW()-2&lt;Settings!$B$11),NA(),IF(COUNT(OFFSET(F361,1-Settings!$B$11,0,Settings!$B$11,1))&lt;Settings!$B$11,NA(),STDEV(OFFSET(F361,1-Settings!$B$11,0,Settings!$B$11,1))*SQRT(Settings!$B$13)))</f>
        <v/>
      </c>
      <c r="I361" s="18">
        <f>IF(OR(NOT(ISNUMBER($A361)),ROW()-2&lt;Settings!$B$12),NA(),IF(COUNT(OFFSET(F361,1-Settings!$B$12,0,Settings!$B$12,1))&lt;Settings!$B$12,NA(),STDEV(OFFSET(F361,1-Settings!$B$12,0,Settings!$B$12,1))*SQRT(Settings!$B$13)))</f>
        <v/>
      </c>
      <c r="J361" s="18">
        <f>IF(OR(NOT(ISNUMBER($A361)),ROW()-2&lt;Settings!$B$11),NA(),IF(COUNT(OFFSET(G361,1-Settings!$B$11,0,Settings!$B$11,1))&lt;Settings!$B$11,NA(),STDEV(OFFSET(G361,1-Settings!$B$11,0,Settings!$B$11,1))*SQRT(Settings!$B$13)))</f>
        <v/>
      </c>
      <c r="K361" s="18">
        <f>IF(OR(NOT(ISNUMBER($A361)),ROW()-2&lt;Settings!$B$12),NA(),IF(COUNT(OFFSET(G361,1-Settings!$B$12,0,Settings!$B$12,1))&lt;Settings!$B$12,NA(),STDEV(OFFSET(G361,1-Settings!$B$12,0,Settings!$B$12,1))*SQRT(Settings!$B$13)))</f>
        <v/>
      </c>
      <c r="L361" s="18">
        <f>IF(AND(ISNUMBER(D361),ISNUMBER(H361)),D361-H361,NA())</f>
        <v/>
      </c>
      <c r="M361" s="18">
        <f>IF(AND(ISNUMBER(E361),ISNUMBER(K361)),E361-K361,NA())</f>
        <v/>
      </c>
      <c r="N361" s="18">
        <f>IF(NOT(ISNUMBER($A361)),NA(),IF(COUNT(OFFSET(G361,1,0,Settings!$B$12,1))&lt;Settings!$B$12,NA(),STDEV(OFFSET(G361,1,0,Settings!$B$12,1))*SQRT(Settings!$B$13)))</f>
        <v/>
      </c>
      <c r="O361" s="18">
        <f>IF(AND(ISNUMBER(E361),ISNUMBER(N361)),E361-N361,NA())</f>
        <v/>
      </c>
      <c r="P361" s="17">
        <f>IF(NOT(ISNUMBER($A361)),NA(),IF(OR($A361&lt;MIN(KW_TP!$A$2:$A$2501),$A361&gt;MAX(KW_TP!$A$2:$A$2501)),NA(),INDEX(KW_TP!$C$2:$C$2501,MATCH($A361,KW_TP!$A$2:$A$2501,1))))</f>
        <v/>
      </c>
    </row>
    <row r="362">
      <c r="A362" s="15">
        <f>IF(ISNUMBER(BBG_Data!A362),BBG_Data!A362,"")</f>
        <v/>
      </c>
      <c r="B362" s="16">
        <f>IF(AND(ISNUMBER($A362),ISNUMBER(BBG_Data!B362)),BBG_Data!B362,NA())</f>
        <v/>
      </c>
      <c r="C362" s="16">
        <f>IF(AND(ISNUMBER($A362),ISNUMBER(BBG_Data!C362)),BBG_Data!C362,NA())</f>
        <v/>
      </c>
      <c r="D362" s="17">
        <f>IF(AND(ISNUMBER($A362),ISNUMBER(BBG_Data!D362)),BBG_Data!D362,NA())</f>
        <v/>
      </c>
      <c r="E362" s="17">
        <f>IF(AND(ISNUMBER($A362),ISNUMBER(BBG_Data!E362)),BBG_Data!E362,NA())</f>
        <v/>
      </c>
      <c r="F362" s="18">
        <f>IF(AND(ISNUMBER(B362),ISNUMBER(B361)),(B362-B361)*100,"")</f>
        <v/>
      </c>
      <c r="G362" s="18">
        <f>IF(AND(ISNUMBER(C362),ISNUMBER(C361)),(C362-C361)*100,"")</f>
        <v/>
      </c>
      <c r="H362" s="18">
        <f>IF(OR(NOT(ISNUMBER($A362)),ROW()-2&lt;Settings!$B$11),NA(),IF(COUNT(OFFSET(F362,1-Settings!$B$11,0,Settings!$B$11,1))&lt;Settings!$B$11,NA(),STDEV(OFFSET(F362,1-Settings!$B$11,0,Settings!$B$11,1))*SQRT(Settings!$B$13)))</f>
        <v/>
      </c>
      <c r="I362" s="18">
        <f>IF(OR(NOT(ISNUMBER($A362)),ROW()-2&lt;Settings!$B$12),NA(),IF(COUNT(OFFSET(F362,1-Settings!$B$12,0,Settings!$B$12,1))&lt;Settings!$B$12,NA(),STDEV(OFFSET(F362,1-Settings!$B$12,0,Settings!$B$12,1))*SQRT(Settings!$B$13)))</f>
        <v/>
      </c>
      <c r="J362" s="18">
        <f>IF(OR(NOT(ISNUMBER($A362)),ROW()-2&lt;Settings!$B$11),NA(),IF(COUNT(OFFSET(G362,1-Settings!$B$11,0,Settings!$B$11,1))&lt;Settings!$B$11,NA(),STDEV(OFFSET(G362,1-Settings!$B$11,0,Settings!$B$11,1))*SQRT(Settings!$B$13)))</f>
        <v/>
      </c>
      <c r="K362" s="18">
        <f>IF(OR(NOT(ISNUMBER($A362)),ROW()-2&lt;Settings!$B$12),NA(),IF(COUNT(OFFSET(G362,1-Settings!$B$12,0,Settings!$B$12,1))&lt;Settings!$B$12,NA(),STDEV(OFFSET(G362,1-Settings!$B$12,0,Settings!$B$12,1))*SQRT(Settings!$B$13)))</f>
        <v/>
      </c>
      <c r="L362" s="18">
        <f>IF(AND(ISNUMBER(D362),ISNUMBER(H362)),D362-H362,NA())</f>
        <v/>
      </c>
      <c r="M362" s="18">
        <f>IF(AND(ISNUMBER(E362),ISNUMBER(K362)),E362-K362,NA())</f>
        <v/>
      </c>
      <c r="N362" s="18">
        <f>IF(NOT(ISNUMBER($A362)),NA(),IF(COUNT(OFFSET(G362,1,0,Settings!$B$12,1))&lt;Settings!$B$12,NA(),STDEV(OFFSET(G362,1,0,Settings!$B$12,1))*SQRT(Settings!$B$13)))</f>
        <v/>
      </c>
      <c r="O362" s="18">
        <f>IF(AND(ISNUMBER(E362),ISNUMBER(N362)),E362-N362,NA())</f>
        <v/>
      </c>
      <c r="P362" s="17">
        <f>IF(NOT(ISNUMBER($A362)),NA(),IF(OR($A362&lt;MIN(KW_TP!$A$2:$A$2501),$A362&gt;MAX(KW_TP!$A$2:$A$2501)),NA(),INDEX(KW_TP!$C$2:$C$2501,MATCH($A362,KW_TP!$A$2:$A$2501,1))))</f>
        <v/>
      </c>
    </row>
    <row r="363">
      <c r="A363" s="15">
        <f>IF(ISNUMBER(BBG_Data!A363),BBG_Data!A363,"")</f>
        <v/>
      </c>
      <c r="B363" s="16">
        <f>IF(AND(ISNUMBER($A363),ISNUMBER(BBG_Data!B363)),BBG_Data!B363,NA())</f>
        <v/>
      </c>
      <c r="C363" s="16">
        <f>IF(AND(ISNUMBER($A363),ISNUMBER(BBG_Data!C363)),BBG_Data!C363,NA())</f>
        <v/>
      </c>
      <c r="D363" s="17">
        <f>IF(AND(ISNUMBER($A363),ISNUMBER(BBG_Data!D363)),BBG_Data!D363,NA())</f>
        <v/>
      </c>
      <c r="E363" s="17">
        <f>IF(AND(ISNUMBER($A363),ISNUMBER(BBG_Data!E363)),BBG_Data!E363,NA())</f>
        <v/>
      </c>
      <c r="F363" s="18">
        <f>IF(AND(ISNUMBER(B363),ISNUMBER(B362)),(B363-B362)*100,"")</f>
        <v/>
      </c>
      <c r="G363" s="18">
        <f>IF(AND(ISNUMBER(C363),ISNUMBER(C362)),(C363-C362)*100,"")</f>
        <v/>
      </c>
      <c r="H363" s="18">
        <f>IF(OR(NOT(ISNUMBER($A363)),ROW()-2&lt;Settings!$B$11),NA(),IF(COUNT(OFFSET(F363,1-Settings!$B$11,0,Settings!$B$11,1))&lt;Settings!$B$11,NA(),STDEV(OFFSET(F363,1-Settings!$B$11,0,Settings!$B$11,1))*SQRT(Settings!$B$13)))</f>
        <v/>
      </c>
      <c r="I363" s="18">
        <f>IF(OR(NOT(ISNUMBER($A363)),ROW()-2&lt;Settings!$B$12),NA(),IF(COUNT(OFFSET(F363,1-Settings!$B$12,0,Settings!$B$12,1))&lt;Settings!$B$12,NA(),STDEV(OFFSET(F363,1-Settings!$B$12,0,Settings!$B$12,1))*SQRT(Settings!$B$13)))</f>
        <v/>
      </c>
      <c r="J363" s="18">
        <f>IF(OR(NOT(ISNUMBER($A363)),ROW()-2&lt;Settings!$B$11),NA(),IF(COUNT(OFFSET(G363,1-Settings!$B$11,0,Settings!$B$11,1))&lt;Settings!$B$11,NA(),STDEV(OFFSET(G363,1-Settings!$B$11,0,Settings!$B$11,1))*SQRT(Settings!$B$13)))</f>
        <v/>
      </c>
      <c r="K363" s="18">
        <f>IF(OR(NOT(ISNUMBER($A363)),ROW()-2&lt;Settings!$B$12),NA(),IF(COUNT(OFFSET(G363,1-Settings!$B$12,0,Settings!$B$12,1))&lt;Settings!$B$12,NA(),STDEV(OFFSET(G363,1-Settings!$B$12,0,Settings!$B$12,1))*SQRT(Settings!$B$13)))</f>
        <v/>
      </c>
      <c r="L363" s="18">
        <f>IF(AND(ISNUMBER(D363),ISNUMBER(H363)),D363-H363,NA())</f>
        <v/>
      </c>
      <c r="M363" s="18">
        <f>IF(AND(ISNUMBER(E363),ISNUMBER(K363)),E363-K363,NA())</f>
        <v/>
      </c>
      <c r="N363" s="18">
        <f>IF(NOT(ISNUMBER($A363)),NA(),IF(COUNT(OFFSET(G363,1,0,Settings!$B$12,1))&lt;Settings!$B$12,NA(),STDEV(OFFSET(G363,1,0,Settings!$B$12,1))*SQRT(Settings!$B$13)))</f>
        <v/>
      </c>
      <c r="O363" s="18">
        <f>IF(AND(ISNUMBER(E363),ISNUMBER(N363)),E363-N363,NA())</f>
        <v/>
      </c>
      <c r="P363" s="17">
        <f>IF(NOT(ISNUMBER($A363)),NA(),IF(OR($A363&lt;MIN(KW_TP!$A$2:$A$2501),$A363&gt;MAX(KW_TP!$A$2:$A$2501)),NA(),INDEX(KW_TP!$C$2:$C$2501,MATCH($A363,KW_TP!$A$2:$A$2501,1))))</f>
        <v/>
      </c>
    </row>
    <row r="364">
      <c r="A364" s="15">
        <f>IF(ISNUMBER(BBG_Data!A364),BBG_Data!A364,"")</f>
        <v/>
      </c>
      <c r="B364" s="16">
        <f>IF(AND(ISNUMBER($A364),ISNUMBER(BBG_Data!B364)),BBG_Data!B364,NA())</f>
        <v/>
      </c>
      <c r="C364" s="16">
        <f>IF(AND(ISNUMBER($A364),ISNUMBER(BBG_Data!C364)),BBG_Data!C364,NA())</f>
        <v/>
      </c>
      <c r="D364" s="17">
        <f>IF(AND(ISNUMBER($A364),ISNUMBER(BBG_Data!D364)),BBG_Data!D364,NA())</f>
        <v/>
      </c>
      <c r="E364" s="17">
        <f>IF(AND(ISNUMBER($A364),ISNUMBER(BBG_Data!E364)),BBG_Data!E364,NA())</f>
        <v/>
      </c>
      <c r="F364" s="18">
        <f>IF(AND(ISNUMBER(B364),ISNUMBER(B363)),(B364-B363)*100,"")</f>
        <v/>
      </c>
      <c r="G364" s="18">
        <f>IF(AND(ISNUMBER(C364),ISNUMBER(C363)),(C364-C363)*100,"")</f>
        <v/>
      </c>
      <c r="H364" s="18">
        <f>IF(OR(NOT(ISNUMBER($A364)),ROW()-2&lt;Settings!$B$11),NA(),IF(COUNT(OFFSET(F364,1-Settings!$B$11,0,Settings!$B$11,1))&lt;Settings!$B$11,NA(),STDEV(OFFSET(F364,1-Settings!$B$11,0,Settings!$B$11,1))*SQRT(Settings!$B$13)))</f>
        <v/>
      </c>
      <c r="I364" s="18">
        <f>IF(OR(NOT(ISNUMBER($A364)),ROW()-2&lt;Settings!$B$12),NA(),IF(COUNT(OFFSET(F364,1-Settings!$B$12,0,Settings!$B$12,1))&lt;Settings!$B$12,NA(),STDEV(OFFSET(F364,1-Settings!$B$12,0,Settings!$B$12,1))*SQRT(Settings!$B$13)))</f>
        <v/>
      </c>
      <c r="J364" s="18">
        <f>IF(OR(NOT(ISNUMBER($A364)),ROW()-2&lt;Settings!$B$11),NA(),IF(COUNT(OFFSET(G364,1-Settings!$B$11,0,Settings!$B$11,1))&lt;Settings!$B$11,NA(),STDEV(OFFSET(G364,1-Settings!$B$11,0,Settings!$B$11,1))*SQRT(Settings!$B$13)))</f>
        <v/>
      </c>
      <c r="K364" s="18">
        <f>IF(OR(NOT(ISNUMBER($A364)),ROW()-2&lt;Settings!$B$12),NA(),IF(COUNT(OFFSET(G364,1-Settings!$B$12,0,Settings!$B$12,1))&lt;Settings!$B$12,NA(),STDEV(OFFSET(G364,1-Settings!$B$12,0,Settings!$B$12,1))*SQRT(Settings!$B$13)))</f>
        <v/>
      </c>
      <c r="L364" s="18">
        <f>IF(AND(ISNUMBER(D364),ISNUMBER(H364)),D364-H364,NA())</f>
        <v/>
      </c>
      <c r="M364" s="18">
        <f>IF(AND(ISNUMBER(E364),ISNUMBER(K364)),E364-K364,NA())</f>
        <v/>
      </c>
      <c r="N364" s="18">
        <f>IF(NOT(ISNUMBER($A364)),NA(),IF(COUNT(OFFSET(G364,1,0,Settings!$B$12,1))&lt;Settings!$B$12,NA(),STDEV(OFFSET(G364,1,0,Settings!$B$12,1))*SQRT(Settings!$B$13)))</f>
        <v/>
      </c>
      <c r="O364" s="18">
        <f>IF(AND(ISNUMBER(E364),ISNUMBER(N364)),E364-N364,NA())</f>
        <v/>
      </c>
      <c r="P364" s="17">
        <f>IF(NOT(ISNUMBER($A364)),NA(),IF(OR($A364&lt;MIN(KW_TP!$A$2:$A$2501),$A364&gt;MAX(KW_TP!$A$2:$A$2501)),NA(),INDEX(KW_TP!$C$2:$C$2501,MATCH($A364,KW_TP!$A$2:$A$2501,1))))</f>
        <v/>
      </c>
    </row>
    <row r="365">
      <c r="A365" s="15">
        <f>IF(ISNUMBER(BBG_Data!A365),BBG_Data!A365,"")</f>
        <v/>
      </c>
      <c r="B365" s="16">
        <f>IF(AND(ISNUMBER($A365),ISNUMBER(BBG_Data!B365)),BBG_Data!B365,NA())</f>
        <v/>
      </c>
      <c r="C365" s="16">
        <f>IF(AND(ISNUMBER($A365),ISNUMBER(BBG_Data!C365)),BBG_Data!C365,NA())</f>
        <v/>
      </c>
      <c r="D365" s="17">
        <f>IF(AND(ISNUMBER($A365),ISNUMBER(BBG_Data!D365)),BBG_Data!D365,NA())</f>
        <v/>
      </c>
      <c r="E365" s="17">
        <f>IF(AND(ISNUMBER($A365),ISNUMBER(BBG_Data!E365)),BBG_Data!E365,NA())</f>
        <v/>
      </c>
      <c r="F365" s="18">
        <f>IF(AND(ISNUMBER(B365),ISNUMBER(B364)),(B365-B364)*100,"")</f>
        <v/>
      </c>
      <c r="G365" s="18">
        <f>IF(AND(ISNUMBER(C365),ISNUMBER(C364)),(C365-C364)*100,"")</f>
        <v/>
      </c>
      <c r="H365" s="18">
        <f>IF(OR(NOT(ISNUMBER($A365)),ROW()-2&lt;Settings!$B$11),NA(),IF(COUNT(OFFSET(F365,1-Settings!$B$11,0,Settings!$B$11,1))&lt;Settings!$B$11,NA(),STDEV(OFFSET(F365,1-Settings!$B$11,0,Settings!$B$11,1))*SQRT(Settings!$B$13)))</f>
        <v/>
      </c>
      <c r="I365" s="18">
        <f>IF(OR(NOT(ISNUMBER($A365)),ROW()-2&lt;Settings!$B$12),NA(),IF(COUNT(OFFSET(F365,1-Settings!$B$12,0,Settings!$B$12,1))&lt;Settings!$B$12,NA(),STDEV(OFFSET(F365,1-Settings!$B$12,0,Settings!$B$12,1))*SQRT(Settings!$B$13)))</f>
        <v/>
      </c>
      <c r="J365" s="18">
        <f>IF(OR(NOT(ISNUMBER($A365)),ROW()-2&lt;Settings!$B$11),NA(),IF(COUNT(OFFSET(G365,1-Settings!$B$11,0,Settings!$B$11,1))&lt;Settings!$B$11,NA(),STDEV(OFFSET(G365,1-Settings!$B$11,0,Settings!$B$11,1))*SQRT(Settings!$B$13)))</f>
        <v/>
      </c>
      <c r="K365" s="18">
        <f>IF(OR(NOT(ISNUMBER($A365)),ROW()-2&lt;Settings!$B$12),NA(),IF(COUNT(OFFSET(G365,1-Settings!$B$12,0,Settings!$B$12,1))&lt;Settings!$B$12,NA(),STDEV(OFFSET(G365,1-Settings!$B$12,0,Settings!$B$12,1))*SQRT(Settings!$B$13)))</f>
        <v/>
      </c>
      <c r="L365" s="18">
        <f>IF(AND(ISNUMBER(D365),ISNUMBER(H365)),D365-H365,NA())</f>
        <v/>
      </c>
      <c r="M365" s="18">
        <f>IF(AND(ISNUMBER(E365),ISNUMBER(K365)),E365-K365,NA())</f>
        <v/>
      </c>
      <c r="N365" s="18">
        <f>IF(NOT(ISNUMBER($A365)),NA(),IF(COUNT(OFFSET(G365,1,0,Settings!$B$12,1))&lt;Settings!$B$12,NA(),STDEV(OFFSET(G365,1,0,Settings!$B$12,1))*SQRT(Settings!$B$13)))</f>
        <v/>
      </c>
      <c r="O365" s="18">
        <f>IF(AND(ISNUMBER(E365),ISNUMBER(N365)),E365-N365,NA())</f>
        <v/>
      </c>
      <c r="P365" s="17">
        <f>IF(NOT(ISNUMBER($A365)),NA(),IF(OR($A365&lt;MIN(KW_TP!$A$2:$A$2501),$A365&gt;MAX(KW_TP!$A$2:$A$2501)),NA(),INDEX(KW_TP!$C$2:$C$2501,MATCH($A365,KW_TP!$A$2:$A$2501,1))))</f>
        <v/>
      </c>
    </row>
    <row r="366">
      <c r="A366" s="15">
        <f>IF(ISNUMBER(BBG_Data!A366),BBG_Data!A366,"")</f>
        <v/>
      </c>
      <c r="B366" s="16">
        <f>IF(AND(ISNUMBER($A366),ISNUMBER(BBG_Data!B366)),BBG_Data!B366,NA())</f>
        <v/>
      </c>
      <c r="C366" s="16">
        <f>IF(AND(ISNUMBER($A366),ISNUMBER(BBG_Data!C366)),BBG_Data!C366,NA())</f>
        <v/>
      </c>
      <c r="D366" s="17">
        <f>IF(AND(ISNUMBER($A366),ISNUMBER(BBG_Data!D366)),BBG_Data!D366,NA())</f>
        <v/>
      </c>
      <c r="E366" s="17">
        <f>IF(AND(ISNUMBER($A366),ISNUMBER(BBG_Data!E366)),BBG_Data!E366,NA())</f>
        <v/>
      </c>
      <c r="F366" s="18">
        <f>IF(AND(ISNUMBER(B366),ISNUMBER(B365)),(B366-B365)*100,"")</f>
        <v/>
      </c>
      <c r="G366" s="18">
        <f>IF(AND(ISNUMBER(C366),ISNUMBER(C365)),(C366-C365)*100,"")</f>
        <v/>
      </c>
      <c r="H366" s="18">
        <f>IF(OR(NOT(ISNUMBER($A366)),ROW()-2&lt;Settings!$B$11),NA(),IF(COUNT(OFFSET(F366,1-Settings!$B$11,0,Settings!$B$11,1))&lt;Settings!$B$11,NA(),STDEV(OFFSET(F366,1-Settings!$B$11,0,Settings!$B$11,1))*SQRT(Settings!$B$13)))</f>
        <v/>
      </c>
      <c r="I366" s="18">
        <f>IF(OR(NOT(ISNUMBER($A366)),ROW()-2&lt;Settings!$B$12),NA(),IF(COUNT(OFFSET(F366,1-Settings!$B$12,0,Settings!$B$12,1))&lt;Settings!$B$12,NA(),STDEV(OFFSET(F366,1-Settings!$B$12,0,Settings!$B$12,1))*SQRT(Settings!$B$13)))</f>
        <v/>
      </c>
      <c r="J366" s="18">
        <f>IF(OR(NOT(ISNUMBER($A366)),ROW()-2&lt;Settings!$B$11),NA(),IF(COUNT(OFFSET(G366,1-Settings!$B$11,0,Settings!$B$11,1))&lt;Settings!$B$11,NA(),STDEV(OFFSET(G366,1-Settings!$B$11,0,Settings!$B$11,1))*SQRT(Settings!$B$13)))</f>
        <v/>
      </c>
      <c r="K366" s="18">
        <f>IF(OR(NOT(ISNUMBER($A366)),ROW()-2&lt;Settings!$B$12),NA(),IF(COUNT(OFFSET(G366,1-Settings!$B$12,0,Settings!$B$12,1))&lt;Settings!$B$12,NA(),STDEV(OFFSET(G366,1-Settings!$B$12,0,Settings!$B$12,1))*SQRT(Settings!$B$13)))</f>
        <v/>
      </c>
      <c r="L366" s="18">
        <f>IF(AND(ISNUMBER(D366),ISNUMBER(H366)),D366-H366,NA())</f>
        <v/>
      </c>
      <c r="M366" s="18">
        <f>IF(AND(ISNUMBER(E366),ISNUMBER(K366)),E366-K366,NA())</f>
        <v/>
      </c>
      <c r="N366" s="18">
        <f>IF(NOT(ISNUMBER($A366)),NA(),IF(COUNT(OFFSET(G366,1,0,Settings!$B$12,1))&lt;Settings!$B$12,NA(),STDEV(OFFSET(G366,1,0,Settings!$B$12,1))*SQRT(Settings!$B$13)))</f>
        <v/>
      </c>
      <c r="O366" s="18">
        <f>IF(AND(ISNUMBER(E366),ISNUMBER(N366)),E366-N366,NA())</f>
        <v/>
      </c>
      <c r="P366" s="17">
        <f>IF(NOT(ISNUMBER($A366)),NA(),IF(OR($A366&lt;MIN(KW_TP!$A$2:$A$2501),$A366&gt;MAX(KW_TP!$A$2:$A$2501)),NA(),INDEX(KW_TP!$C$2:$C$2501,MATCH($A366,KW_TP!$A$2:$A$2501,1))))</f>
        <v/>
      </c>
    </row>
    <row r="367">
      <c r="A367" s="15">
        <f>IF(ISNUMBER(BBG_Data!A367),BBG_Data!A367,"")</f>
        <v/>
      </c>
      <c r="B367" s="16">
        <f>IF(AND(ISNUMBER($A367),ISNUMBER(BBG_Data!B367)),BBG_Data!B367,NA())</f>
        <v/>
      </c>
      <c r="C367" s="16">
        <f>IF(AND(ISNUMBER($A367),ISNUMBER(BBG_Data!C367)),BBG_Data!C367,NA())</f>
        <v/>
      </c>
      <c r="D367" s="17">
        <f>IF(AND(ISNUMBER($A367),ISNUMBER(BBG_Data!D367)),BBG_Data!D367,NA())</f>
        <v/>
      </c>
      <c r="E367" s="17">
        <f>IF(AND(ISNUMBER($A367),ISNUMBER(BBG_Data!E367)),BBG_Data!E367,NA())</f>
        <v/>
      </c>
      <c r="F367" s="18">
        <f>IF(AND(ISNUMBER(B367),ISNUMBER(B366)),(B367-B366)*100,"")</f>
        <v/>
      </c>
      <c r="G367" s="18">
        <f>IF(AND(ISNUMBER(C367),ISNUMBER(C366)),(C367-C366)*100,"")</f>
        <v/>
      </c>
      <c r="H367" s="18">
        <f>IF(OR(NOT(ISNUMBER($A367)),ROW()-2&lt;Settings!$B$11),NA(),IF(COUNT(OFFSET(F367,1-Settings!$B$11,0,Settings!$B$11,1))&lt;Settings!$B$11,NA(),STDEV(OFFSET(F367,1-Settings!$B$11,0,Settings!$B$11,1))*SQRT(Settings!$B$13)))</f>
        <v/>
      </c>
      <c r="I367" s="18">
        <f>IF(OR(NOT(ISNUMBER($A367)),ROW()-2&lt;Settings!$B$12),NA(),IF(COUNT(OFFSET(F367,1-Settings!$B$12,0,Settings!$B$12,1))&lt;Settings!$B$12,NA(),STDEV(OFFSET(F367,1-Settings!$B$12,0,Settings!$B$12,1))*SQRT(Settings!$B$13)))</f>
        <v/>
      </c>
      <c r="J367" s="18">
        <f>IF(OR(NOT(ISNUMBER($A367)),ROW()-2&lt;Settings!$B$11),NA(),IF(COUNT(OFFSET(G367,1-Settings!$B$11,0,Settings!$B$11,1))&lt;Settings!$B$11,NA(),STDEV(OFFSET(G367,1-Settings!$B$11,0,Settings!$B$11,1))*SQRT(Settings!$B$13)))</f>
        <v/>
      </c>
      <c r="K367" s="18">
        <f>IF(OR(NOT(ISNUMBER($A367)),ROW()-2&lt;Settings!$B$12),NA(),IF(COUNT(OFFSET(G367,1-Settings!$B$12,0,Settings!$B$12,1))&lt;Settings!$B$12,NA(),STDEV(OFFSET(G367,1-Settings!$B$12,0,Settings!$B$12,1))*SQRT(Settings!$B$13)))</f>
        <v/>
      </c>
      <c r="L367" s="18">
        <f>IF(AND(ISNUMBER(D367),ISNUMBER(H367)),D367-H367,NA())</f>
        <v/>
      </c>
      <c r="M367" s="18">
        <f>IF(AND(ISNUMBER(E367),ISNUMBER(K367)),E367-K367,NA())</f>
        <v/>
      </c>
      <c r="N367" s="18">
        <f>IF(NOT(ISNUMBER($A367)),NA(),IF(COUNT(OFFSET(G367,1,0,Settings!$B$12,1))&lt;Settings!$B$12,NA(),STDEV(OFFSET(G367,1,0,Settings!$B$12,1))*SQRT(Settings!$B$13)))</f>
        <v/>
      </c>
      <c r="O367" s="18">
        <f>IF(AND(ISNUMBER(E367),ISNUMBER(N367)),E367-N367,NA())</f>
        <v/>
      </c>
      <c r="P367" s="17">
        <f>IF(NOT(ISNUMBER($A367)),NA(),IF(OR($A367&lt;MIN(KW_TP!$A$2:$A$2501),$A367&gt;MAX(KW_TP!$A$2:$A$2501)),NA(),INDEX(KW_TP!$C$2:$C$2501,MATCH($A367,KW_TP!$A$2:$A$2501,1))))</f>
        <v/>
      </c>
    </row>
    <row r="368">
      <c r="A368" s="15">
        <f>IF(ISNUMBER(BBG_Data!A368),BBG_Data!A368,"")</f>
        <v/>
      </c>
      <c r="B368" s="16">
        <f>IF(AND(ISNUMBER($A368),ISNUMBER(BBG_Data!B368)),BBG_Data!B368,NA())</f>
        <v/>
      </c>
      <c r="C368" s="16">
        <f>IF(AND(ISNUMBER($A368),ISNUMBER(BBG_Data!C368)),BBG_Data!C368,NA())</f>
        <v/>
      </c>
      <c r="D368" s="17">
        <f>IF(AND(ISNUMBER($A368),ISNUMBER(BBG_Data!D368)),BBG_Data!D368,NA())</f>
        <v/>
      </c>
      <c r="E368" s="17">
        <f>IF(AND(ISNUMBER($A368),ISNUMBER(BBG_Data!E368)),BBG_Data!E368,NA())</f>
        <v/>
      </c>
      <c r="F368" s="18">
        <f>IF(AND(ISNUMBER(B368),ISNUMBER(B367)),(B368-B367)*100,"")</f>
        <v/>
      </c>
      <c r="G368" s="18">
        <f>IF(AND(ISNUMBER(C368),ISNUMBER(C367)),(C368-C367)*100,"")</f>
        <v/>
      </c>
      <c r="H368" s="18">
        <f>IF(OR(NOT(ISNUMBER($A368)),ROW()-2&lt;Settings!$B$11),NA(),IF(COUNT(OFFSET(F368,1-Settings!$B$11,0,Settings!$B$11,1))&lt;Settings!$B$11,NA(),STDEV(OFFSET(F368,1-Settings!$B$11,0,Settings!$B$11,1))*SQRT(Settings!$B$13)))</f>
        <v/>
      </c>
      <c r="I368" s="18">
        <f>IF(OR(NOT(ISNUMBER($A368)),ROW()-2&lt;Settings!$B$12),NA(),IF(COUNT(OFFSET(F368,1-Settings!$B$12,0,Settings!$B$12,1))&lt;Settings!$B$12,NA(),STDEV(OFFSET(F368,1-Settings!$B$12,0,Settings!$B$12,1))*SQRT(Settings!$B$13)))</f>
        <v/>
      </c>
      <c r="J368" s="18">
        <f>IF(OR(NOT(ISNUMBER($A368)),ROW()-2&lt;Settings!$B$11),NA(),IF(COUNT(OFFSET(G368,1-Settings!$B$11,0,Settings!$B$11,1))&lt;Settings!$B$11,NA(),STDEV(OFFSET(G368,1-Settings!$B$11,0,Settings!$B$11,1))*SQRT(Settings!$B$13)))</f>
        <v/>
      </c>
      <c r="K368" s="18">
        <f>IF(OR(NOT(ISNUMBER($A368)),ROW()-2&lt;Settings!$B$12),NA(),IF(COUNT(OFFSET(G368,1-Settings!$B$12,0,Settings!$B$12,1))&lt;Settings!$B$12,NA(),STDEV(OFFSET(G368,1-Settings!$B$12,0,Settings!$B$12,1))*SQRT(Settings!$B$13)))</f>
        <v/>
      </c>
      <c r="L368" s="18">
        <f>IF(AND(ISNUMBER(D368),ISNUMBER(H368)),D368-H368,NA())</f>
        <v/>
      </c>
      <c r="M368" s="18">
        <f>IF(AND(ISNUMBER(E368),ISNUMBER(K368)),E368-K368,NA())</f>
        <v/>
      </c>
      <c r="N368" s="18">
        <f>IF(NOT(ISNUMBER($A368)),NA(),IF(COUNT(OFFSET(G368,1,0,Settings!$B$12,1))&lt;Settings!$B$12,NA(),STDEV(OFFSET(G368,1,0,Settings!$B$12,1))*SQRT(Settings!$B$13)))</f>
        <v/>
      </c>
      <c r="O368" s="18">
        <f>IF(AND(ISNUMBER(E368),ISNUMBER(N368)),E368-N368,NA())</f>
        <v/>
      </c>
      <c r="P368" s="17">
        <f>IF(NOT(ISNUMBER($A368)),NA(),IF(OR($A368&lt;MIN(KW_TP!$A$2:$A$2501),$A368&gt;MAX(KW_TP!$A$2:$A$2501)),NA(),INDEX(KW_TP!$C$2:$C$2501,MATCH($A368,KW_TP!$A$2:$A$2501,1))))</f>
        <v/>
      </c>
    </row>
    <row r="369">
      <c r="A369" s="15">
        <f>IF(ISNUMBER(BBG_Data!A369),BBG_Data!A369,"")</f>
        <v/>
      </c>
      <c r="B369" s="16">
        <f>IF(AND(ISNUMBER($A369),ISNUMBER(BBG_Data!B369)),BBG_Data!B369,NA())</f>
        <v/>
      </c>
      <c r="C369" s="16">
        <f>IF(AND(ISNUMBER($A369),ISNUMBER(BBG_Data!C369)),BBG_Data!C369,NA())</f>
        <v/>
      </c>
      <c r="D369" s="17">
        <f>IF(AND(ISNUMBER($A369),ISNUMBER(BBG_Data!D369)),BBG_Data!D369,NA())</f>
        <v/>
      </c>
      <c r="E369" s="17">
        <f>IF(AND(ISNUMBER($A369),ISNUMBER(BBG_Data!E369)),BBG_Data!E369,NA())</f>
        <v/>
      </c>
      <c r="F369" s="18">
        <f>IF(AND(ISNUMBER(B369),ISNUMBER(B368)),(B369-B368)*100,"")</f>
        <v/>
      </c>
      <c r="G369" s="18">
        <f>IF(AND(ISNUMBER(C369),ISNUMBER(C368)),(C369-C368)*100,"")</f>
        <v/>
      </c>
      <c r="H369" s="18">
        <f>IF(OR(NOT(ISNUMBER($A369)),ROW()-2&lt;Settings!$B$11),NA(),IF(COUNT(OFFSET(F369,1-Settings!$B$11,0,Settings!$B$11,1))&lt;Settings!$B$11,NA(),STDEV(OFFSET(F369,1-Settings!$B$11,0,Settings!$B$11,1))*SQRT(Settings!$B$13)))</f>
        <v/>
      </c>
      <c r="I369" s="18">
        <f>IF(OR(NOT(ISNUMBER($A369)),ROW()-2&lt;Settings!$B$12),NA(),IF(COUNT(OFFSET(F369,1-Settings!$B$12,0,Settings!$B$12,1))&lt;Settings!$B$12,NA(),STDEV(OFFSET(F369,1-Settings!$B$12,0,Settings!$B$12,1))*SQRT(Settings!$B$13)))</f>
        <v/>
      </c>
      <c r="J369" s="18">
        <f>IF(OR(NOT(ISNUMBER($A369)),ROW()-2&lt;Settings!$B$11),NA(),IF(COUNT(OFFSET(G369,1-Settings!$B$11,0,Settings!$B$11,1))&lt;Settings!$B$11,NA(),STDEV(OFFSET(G369,1-Settings!$B$11,0,Settings!$B$11,1))*SQRT(Settings!$B$13)))</f>
        <v/>
      </c>
      <c r="K369" s="18">
        <f>IF(OR(NOT(ISNUMBER($A369)),ROW()-2&lt;Settings!$B$12),NA(),IF(COUNT(OFFSET(G369,1-Settings!$B$12,0,Settings!$B$12,1))&lt;Settings!$B$12,NA(),STDEV(OFFSET(G369,1-Settings!$B$12,0,Settings!$B$12,1))*SQRT(Settings!$B$13)))</f>
        <v/>
      </c>
      <c r="L369" s="18">
        <f>IF(AND(ISNUMBER(D369),ISNUMBER(H369)),D369-H369,NA())</f>
        <v/>
      </c>
      <c r="M369" s="18">
        <f>IF(AND(ISNUMBER(E369),ISNUMBER(K369)),E369-K369,NA())</f>
        <v/>
      </c>
      <c r="N369" s="18">
        <f>IF(NOT(ISNUMBER($A369)),NA(),IF(COUNT(OFFSET(G369,1,0,Settings!$B$12,1))&lt;Settings!$B$12,NA(),STDEV(OFFSET(G369,1,0,Settings!$B$12,1))*SQRT(Settings!$B$13)))</f>
        <v/>
      </c>
      <c r="O369" s="18">
        <f>IF(AND(ISNUMBER(E369),ISNUMBER(N369)),E369-N369,NA())</f>
        <v/>
      </c>
      <c r="P369" s="17">
        <f>IF(NOT(ISNUMBER($A369)),NA(),IF(OR($A369&lt;MIN(KW_TP!$A$2:$A$2501),$A369&gt;MAX(KW_TP!$A$2:$A$2501)),NA(),INDEX(KW_TP!$C$2:$C$2501,MATCH($A369,KW_TP!$A$2:$A$2501,1))))</f>
        <v/>
      </c>
    </row>
    <row r="370">
      <c r="A370" s="15">
        <f>IF(ISNUMBER(BBG_Data!A370),BBG_Data!A370,"")</f>
        <v/>
      </c>
      <c r="B370" s="16">
        <f>IF(AND(ISNUMBER($A370),ISNUMBER(BBG_Data!B370)),BBG_Data!B370,NA())</f>
        <v/>
      </c>
      <c r="C370" s="16">
        <f>IF(AND(ISNUMBER($A370),ISNUMBER(BBG_Data!C370)),BBG_Data!C370,NA())</f>
        <v/>
      </c>
      <c r="D370" s="17">
        <f>IF(AND(ISNUMBER($A370),ISNUMBER(BBG_Data!D370)),BBG_Data!D370,NA())</f>
        <v/>
      </c>
      <c r="E370" s="17">
        <f>IF(AND(ISNUMBER($A370),ISNUMBER(BBG_Data!E370)),BBG_Data!E370,NA())</f>
        <v/>
      </c>
      <c r="F370" s="18">
        <f>IF(AND(ISNUMBER(B370),ISNUMBER(B369)),(B370-B369)*100,"")</f>
        <v/>
      </c>
      <c r="G370" s="18">
        <f>IF(AND(ISNUMBER(C370),ISNUMBER(C369)),(C370-C369)*100,"")</f>
        <v/>
      </c>
      <c r="H370" s="18">
        <f>IF(OR(NOT(ISNUMBER($A370)),ROW()-2&lt;Settings!$B$11),NA(),IF(COUNT(OFFSET(F370,1-Settings!$B$11,0,Settings!$B$11,1))&lt;Settings!$B$11,NA(),STDEV(OFFSET(F370,1-Settings!$B$11,0,Settings!$B$11,1))*SQRT(Settings!$B$13)))</f>
        <v/>
      </c>
      <c r="I370" s="18">
        <f>IF(OR(NOT(ISNUMBER($A370)),ROW()-2&lt;Settings!$B$12),NA(),IF(COUNT(OFFSET(F370,1-Settings!$B$12,0,Settings!$B$12,1))&lt;Settings!$B$12,NA(),STDEV(OFFSET(F370,1-Settings!$B$12,0,Settings!$B$12,1))*SQRT(Settings!$B$13)))</f>
        <v/>
      </c>
      <c r="J370" s="18">
        <f>IF(OR(NOT(ISNUMBER($A370)),ROW()-2&lt;Settings!$B$11),NA(),IF(COUNT(OFFSET(G370,1-Settings!$B$11,0,Settings!$B$11,1))&lt;Settings!$B$11,NA(),STDEV(OFFSET(G370,1-Settings!$B$11,0,Settings!$B$11,1))*SQRT(Settings!$B$13)))</f>
        <v/>
      </c>
      <c r="K370" s="18">
        <f>IF(OR(NOT(ISNUMBER($A370)),ROW()-2&lt;Settings!$B$12),NA(),IF(COUNT(OFFSET(G370,1-Settings!$B$12,0,Settings!$B$12,1))&lt;Settings!$B$12,NA(),STDEV(OFFSET(G370,1-Settings!$B$12,0,Settings!$B$12,1))*SQRT(Settings!$B$13)))</f>
        <v/>
      </c>
      <c r="L370" s="18">
        <f>IF(AND(ISNUMBER(D370),ISNUMBER(H370)),D370-H370,NA())</f>
        <v/>
      </c>
      <c r="M370" s="18">
        <f>IF(AND(ISNUMBER(E370),ISNUMBER(K370)),E370-K370,NA())</f>
        <v/>
      </c>
      <c r="N370" s="18">
        <f>IF(NOT(ISNUMBER($A370)),NA(),IF(COUNT(OFFSET(G370,1,0,Settings!$B$12,1))&lt;Settings!$B$12,NA(),STDEV(OFFSET(G370,1,0,Settings!$B$12,1))*SQRT(Settings!$B$13)))</f>
        <v/>
      </c>
      <c r="O370" s="18">
        <f>IF(AND(ISNUMBER(E370),ISNUMBER(N370)),E370-N370,NA())</f>
        <v/>
      </c>
      <c r="P370" s="17">
        <f>IF(NOT(ISNUMBER($A370)),NA(),IF(OR($A370&lt;MIN(KW_TP!$A$2:$A$2501),$A370&gt;MAX(KW_TP!$A$2:$A$2501)),NA(),INDEX(KW_TP!$C$2:$C$2501,MATCH($A370,KW_TP!$A$2:$A$2501,1))))</f>
        <v/>
      </c>
    </row>
    <row r="371">
      <c r="A371" s="15">
        <f>IF(ISNUMBER(BBG_Data!A371),BBG_Data!A371,"")</f>
        <v/>
      </c>
      <c r="B371" s="16">
        <f>IF(AND(ISNUMBER($A371),ISNUMBER(BBG_Data!B371)),BBG_Data!B371,NA())</f>
        <v/>
      </c>
      <c r="C371" s="16">
        <f>IF(AND(ISNUMBER($A371),ISNUMBER(BBG_Data!C371)),BBG_Data!C371,NA())</f>
        <v/>
      </c>
      <c r="D371" s="17">
        <f>IF(AND(ISNUMBER($A371),ISNUMBER(BBG_Data!D371)),BBG_Data!D371,NA())</f>
        <v/>
      </c>
      <c r="E371" s="17">
        <f>IF(AND(ISNUMBER($A371),ISNUMBER(BBG_Data!E371)),BBG_Data!E371,NA())</f>
        <v/>
      </c>
      <c r="F371" s="18">
        <f>IF(AND(ISNUMBER(B371),ISNUMBER(B370)),(B371-B370)*100,"")</f>
        <v/>
      </c>
      <c r="G371" s="18">
        <f>IF(AND(ISNUMBER(C371),ISNUMBER(C370)),(C371-C370)*100,"")</f>
        <v/>
      </c>
      <c r="H371" s="18">
        <f>IF(OR(NOT(ISNUMBER($A371)),ROW()-2&lt;Settings!$B$11),NA(),IF(COUNT(OFFSET(F371,1-Settings!$B$11,0,Settings!$B$11,1))&lt;Settings!$B$11,NA(),STDEV(OFFSET(F371,1-Settings!$B$11,0,Settings!$B$11,1))*SQRT(Settings!$B$13)))</f>
        <v/>
      </c>
      <c r="I371" s="18">
        <f>IF(OR(NOT(ISNUMBER($A371)),ROW()-2&lt;Settings!$B$12),NA(),IF(COUNT(OFFSET(F371,1-Settings!$B$12,0,Settings!$B$12,1))&lt;Settings!$B$12,NA(),STDEV(OFFSET(F371,1-Settings!$B$12,0,Settings!$B$12,1))*SQRT(Settings!$B$13)))</f>
        <v/>
      </c>
      <c r="J371" s="18">
        <f>IF(OR(NOT(ISNUMBER($A371)),ROW()-2&lt;Settings!$B$11),NA(),IF(COUNT(OFFSET(G371,1-Settings!$B$11,0,Settings!$B$11,1))&lt;Settings!$B$11,NA(),STDEV(OFFSET(G371,1-Settings!$B$11,0,Settings!$B$11,1))*SQRT(Settings!$B$13)))</f>
        <v/>
      </c>
      <c r="K371" s="18">
        <f>IF(OR(NOT(ISNUMBER($A371)),ROW()-2&lt;Settings!$B$12),NA(),IF(COUNT(OFFSET(G371,1-Settings!$B$12,0,Settings!$B$12,1))&lt;Settings!$B$12,NA(),STDEV(OFFSET(G371,1-Settings!$B$12,0,Settings!$B$12,1))*SQRT(Settings!$B$13)))</f>
        <v/>
      </c>
      <c r="L371" s="18">
        <f>IF(AND(ISNUMBER(D371),ISNUMBER(H371)),D371-H371,NA())</f>
        <v/>
      </c>
      <c r="M371" s="18">
        <f>IF(AND(ISNUMBER(E371),ISNUMBER(K371)),E371-K371,NA())</f>
        <v/>
      </c>
      <c r="N371" s="18">
        <f>IF(NOT(ISNUMBER($A371)),NA(),IF(COUNT(OFFSET(G371,1,0,Settings!$B$12,1))&lt;Settings!$B$12,NA(),STDEV(OFFSET(G371,1,0,Settings!$B$12,1))*SQRT(Settings!$B$13)))</f>
        <v/>
      </c>
      <c r="O371" s="18">
        <f>IF(AND(ISNUMBER(E371),ISNUMBER(N371)),E371-N371,NA())</f>
        <v/>
      </c>
      <c r="P371" s="17">
        <f>IF(NOT(ISNUMBER($A371)),NA(),IF(OR($A371&lt;MIN(KW_TP!$A$2:$A$2501),$A371&gt;MAX(KW_TP!$A$2:$A$2501)),NA(),INDEX(KW_TP!$C$2:$C$2501,MATCH($A371,KW_TP!$A$2:$A$2501,1))))</f>
        <v/>
      </c>
    </row>
    <row r="372">
      <c r="A372" s="15">
        <f>IF(ISNUMBER(BBG_Data!A372),BBG_Data!A372,"")</f>
        <v/>
      </c>
      <c r="B372" s="16">
        <f>IF(AND(ISNUMBER($A372),ISNUMBER(BBG_Data!B372)),BBG_Data!B372,NA())</f>
        <v/>
      </c>
      <c r="C372" s="16">
        <f>IF(AND(ISNUMBER($A372),ISNUMBER(BBG_Data!C372)),BBG_Data!C372,NA())</f>
        <v/>
      </c>
      <c r="D372" s="17">
        <f>IF(AND(ISNUMBER($A372),ISNUMBER(BBG_Data!D372)),BBG_Data!D372,NA())</f>
        <v/>
      </c>
      <c r="E372" s="17">
        <f>IF(AND(ISNUMBER($A372),ISNUMBER(BBG_Data!E372)),BBG_Data!E372,NA())</f>
        <v/>
      </c>
      <c r="F372" s="18">
        <f>IF(AND(ISNUMBER(B372),ISNUMBER(B371)),(B372-B371)*100,"")</f>
        <v/>
      </c>
      <c r="G372" s="18">
        <f>IF(AND(ISNUMBER(C372),ISNUMBER(C371)),(C372-C371)*100,"")</f>
        <v/>
      </c>
      <c r="H372" s="18">
        <f>IF(OR(NOT(ISNUMBER($A372)),ROW()-2&lt;Settings!$B$11),NA(),IF(COUNT(OFFSET(F372,1-Settings!$B$11,0,Settings!$B$11,1))&lt;Settings!$B$11,NA(),STDEV(OFFSET(F372,1-Settings!$B$11,0,Settings!$B$11,1))*SQRT(Settings!$B$13)))</f>
        <v/>
      </c>
      <c r="I372" s="18">
        <f>IF(OR(NOT(ISNUMBER($A372)),ROW()-2&lt;Settings!$B$12),NA(),IF(COUNT(OFFSET(F372,1-Settings!$B$12,0,Settings!$B$12,1))&lt;Settings!$B$12,NA(),STDEV(OFFSET(F372,1-Settings!$B$12,0,Settings!$B$12,1))*SQRT(Settings!$B$13)))</f>
        <v/>
      </c>
      <c r="J372" s="18">
        <f>IF(OR(NOT(ISNUMBER($A372)),ROW()-2&lt;Settings!$B$11),NA(),IF(COUNT(OFFSET(G372,1-Settings!$B$11,0,Settings!$B$11,1))&lt;Settings!$B$11,NA(),STDEV(OFFSET(G372,1-Settings!$B$11,0,Settings!$B$11,1))*SQRT(Settings!$B$13)))</f>
        <v/>
      </c>
      <c r="K372" s="18">
        <f>IF(OR(NOT(ISNUMBER($A372)),ROW()-2&lt;Settings!$B$12),NA(),IF(COUNT(OFFSET(G372,1-Settings!$B$12,0,Settings!$B$12,1))&lt;Settings!$B$12,NA(),STDEV(OFFSET(G372,1-Settings!$B$12,0,Settings!$B$12,1))*SQRT(Settings!$B$13)))</f>
        <v/>
      </c>
      <c r="L372" s="18">
        <f>IF(AND(ISNUMBER(D372),ISNUMBER(H372)),D372-H372,NA())</f>
        <v/>
      </c>
      <c r="M372" s="18">
        <f>IF(AND(ISNUMBER(E372),ISNUMBER(K372)),E372-K372,NA())</f>
        <v/>
      </c>
      <c r="N372" s="18">
        <f>IF(NOT(ISNUMBER($A372)),NA(),IF(COUNT(OFFSET(G372,1,0,Settings!$B$12,1))&lt;Settings!$B$12,NA(),STDEV(OFFSET(G372,1,0,Settings!$B$12,1))*SQRT(Settings!$B$13)))</f>
        <v/>
      </c>
      <c r="O372" s="18">
        <f>IF(AND(ISNUMBER(E372),ISNUMBER(N372)),E372-N372,NA())</f>
        <v/>
      </c>
      <c r="P372" s="17">
        <f>IF(NOT(ISNUMBER($A372)),NA(),IF(OR($A372&lt;MIN(KW_TP!$A$2:$A$2501),$A372&gt;MAX(KW_TP!$A$2:$A$2501)),NA(),INDEX(KW_TP!$C$2:$C$2501,MATCH($A372,KW_TP!$A$2:$A$2501,1))))</f>
        <v/>
      </c>
    </row>
    <row r="373">
      <c r="A373" s="15">
        <f>IF(ISNUMBER(BBG_Data!A373),BBG_Data!A373,"")</f>
        <v/>
      </c>
      <c r="B373" s="16">
        <f>IF(AND(ISNUMBER($A373),ISNUMBER(BBG_Data!B373)),BBG_Data!B373,NA())</f>
        <v/>
      </c>
      <c r="C373" s="16">
        <f>IF(AND(ISNUMBER($A373),ISNUMBER(BBG_Data!C373)),BBG_Data!C373,NA())</f>
        <v/>
      </c>
      <c r="D373" s="17">
        <f>IF(AND(ISNUMBER($A373),ISNUMBER(BBG_Data!D373)),BBG_Data!D373,NA())</f>
        <v/>
      </c>
      <c r="E373" s="17">
        <f>IF(AND(ISNUMBER($A373),ISNUMBER(BBG_Data!E373)),BBG_Data!E373,NA())</f>
        <v/>
      </c>
      <c r="F373" s="18">
        <f>IF(AND(ISNUMBER(B373),ISNUMBER(B372)),(B373-B372)*100,"")</f>
        <v/>
      </c>
      <c r="G373" s="18">
        <f>IF(AND(ISNUMBER(C373),ISNUMBER(C372)),(C373-C372)*100,"")</f>
        <v/>
      </c>
      <c r="H373" s="18">
        <f>IF(OR(NOT(ISNUMBER($A373)),ROW()-2&lt;Settings!$B$11),NA(),IF(COUNT(OFFSET(F373,1-Settings!$B$11,0,Settings!$B$11,1))&lt;Settings!$B$11,NA(),STDEV(OFFSET(F373,1-Settings!$B$11,0,Settings!$B$11,1))*SQRT(Settings!$B$13)))</f>
        <v/>
      </c>
      <c r="I373" s="18">
        <f>IF(OR(NOT(ISNUMBER($A373)),ROW()-2&lt;Settings!$B$12),NA(),IF(COUNT(OFFSET(F373,1-Settings!$B$12,0,Settings!$B$12,1))&lt;Settings!$B$12,NA(),STDEV(OFFSET(F373,1-Settings!$B$12,0,Settings!$B$12,1))*SQRT(Settings!$B$13)))</f>
        <v/>
      </c>
      <c r="J373" s="18">
        <f>IF(OR(NOT(ISNUMBER($A373)),ROW()-2&lt;Settings!$B$11),NA(),IF(COUNT(OFFSET(G373,1-Settings!$B$11,0,Settings!$B$11,1))&lt;Settings!$B$11,NA(),STDEV(OFFSET(G373,1-Settings!$B$11,0,Settings!$B$11,1))*SQRT(Settings!$B$13)))</f>
        <v/>
      </c>
      <c r="K373" s="18">
        <f>IF(OR(NOT(ISNUMBER($A373)),ROW()-2&lt;Settings!$B$12),NA(),IF(COUNT(OFFSET(G373,1-Settings!$B$12,0,Settings!$B$12,1))&lt;Settings!$B$12,NA(),STDEV(OFFSET(G373,1-Settings!$B$12,0,Settings!$B$12,1))*SQRT(Settings!$B$13)))</f>
        <v/>
      </c>
      <c r="L373" s="18">
        <f>IF(AND(ISNUMBER(D373),ISNUMBER(H373)),D373-H373,NA())</f>
        <v/>
      </c>
      <c r="M373" s="18">
        <f>IF(AND(ISNUMBER(E373),ISNUMBER(K373)),E373-K373,NA())</f>
        <v/>
      </c>
      <c r="N373" s="18">
        <f>IF(NOT(ISNUMBER($A373)),NA(),IF(COUNT(OFFSET(G373,1,0,Settings!$B$12,1))&lt;Settings!$B$12,NA(),STDEV(OFFSET(G373,1,0,Settings!$B$12,1))*SQRT(Settings!$B$13)))</f>
        <v/>
      </c>
      <c r="O373" s="18">
        <f>IF(AND(ISNUMBER(E373),ISNUMBER(N373)),E373-N373,NA())</f>
        <v/>
      </c>
      <c r="P373" s="17">
        <f>IF(NOT(ISNUMBER($A373)),NA(),IF(OR($A373&lt;MIN(KW_TP!$A$2:$A$2501),$A373&gt;MAX(KW_TP!$A$2:$A$2501)),NA(),INDEX(KW_TP!$C$2:$C$2501,MATCH($A373,KW_TP!$A$2:$A$2501,1))))</f>
        <v/>
      </c>
    </row>
    <row r="374">
      <c r="A374" s="15">
        <f>IF(ISNUMBER(BBG_Data!A374),BBG_Data!A374,"")</f>
        <v/>
      </c>
      <c r="B374" s="16">
        <f>IF(AND(ISNUMBER($A374),ISNUMBER(BBG_Data!B374)),BBG_Data!B374,NA())</f>
        <v/>
      </c>
      <c r="C374" s="16">
        <f>IF(AND(ISNUMBER($A374),ISNUMBER(BBG_Data!C374)),BBG_Data!C374,NA())</f>
        <v/>
      </c>
      <c r="D374" s="17">
        <f>IF(AND(ISNUMBER($A374),ISNUMBER(BBG_Data!D374)),BBG_Data!D374,NA())</f>
        <v/>
      </c>
      <c r="E374" s="17">
        <f>IF(AND(ISNUMBER($A374),ISNUMBER(BBG_Data!E374)),BBG_Data!E374,NA())</f>
        <v/>
      </c>
      <c r="F374" s="18">
        <f>IF(AND(ISNUMBER(B374),ISNUMBER(B373)),(B374-B373)*100,"")</f>
        <v/>
      </c>
      <c r="G374" s="18">
        <f>IF(AND(ISNUMBER(C374),ISNUMBER(C373)),(C374-C373)*100,"")</f>
        <v/>
      </c>
      <c r="H374" s="18">
        <f>IF(OR(NOT(ISNUMBER($A374)),ROW()-2&lt;Settings!$B$11),NA(),IF(COUNT(OFFSET(F374,1-Settings!$B$11,0,Settings!$B$11,1))&lt;Settings!$B$11,NA(),STDEV(OFFSET(F374,1-Settings!$B$11,0,Settings!$B$11,1))*SQRT(Settings!$B$13)))</f>
        <v/>
      </c>
      <c r="I374" s="18">
        <f>IF(OR(NOT(ISNUMBER($A374)),ROW()-2&lt;Settings!$B$12),NA(),IF(COUNT(OFFSET(F374,1-Settings!$B$12,0,Settings!$B$12,1))&lt;Settings!$B$12,NA(),STDEV(OFFSET(F374,1-Settings!$B$12,0,Settings!$B$12,1))*SQRT(Settings!$B$13)))</f>
        <v/>
      </c>
      <c r="J374" s="18">
        <f>IF(OR(NOT(ISNUMBER($A374)),ROW()-2&lt;Settings!$B$11),NA(),IF(COUNT(OFFSET(G374,1-Settings!$B$11,0,Settings!$B$11,1))&lt;Settings!$B$11,NA(),STDEV(OFFSET(G374,1-Settings!$B$11,0,Settings!$B$11,1))*SQRT(Settings!$B$13)))</f>
        <v/>
      </c>
      <c r="K374" s="18">
        <f>IF(OR(NOT(ISNUMBER($A374)),ROW()-2&lt;Settings!$B$12),NA(),IF(COUNT(OFFSET(G374,1-Settings!$B$12,0,Settings!$B$12,1))&lt;Settings!$B$12,NA(),STDEV(OFFSET(G374,1-Settings!$B$12,0,Settings!$B$12,1))*SQRT(Settings!$B$13)))</f>
        <v/>
      </c>
      <c r="L374" s="18">
        <f>IF(AND(ISNUMBER(D374),ISNUMBER(H374)),D374-H374,NA())</f>
        <v/>
      </c>
      <c r="M374" s="18">
        <f>IF(AND(ISNUMBER(E374),ISNUMBER(K374)),E374-K374,NA())</f>
        <v/>
      </c>
      <c r="N374" s="18">
        <f>IF(NOT(ISNUMBER($A374)),NA(),IF(COUNT(OFFSET(G374,1,0,Settings!$B$12,1))&lt;Settings!$B$12,NA(),STDEV(OFFSET(G374,1,0,Settings!$B$12,1))*SQRT(Settings!$B$13)))</f>
        <v/>
      </c>
      <c r="O374" s="18">
        <f>IF(AND(ISNUMBER(E374),ISNUMBER(N374)),E374-N374,NA())</f>
        <v/>
      </c>
      <c r="P374" s="17">
        <f>IF(NOT(ISNUMBER($A374)),NA(),IF(OR($A374&lt;MIN(KW_TP!$A$2:$A$2501),$A374&gt;MAX(KW_TP!$A$2:$A$2501)),NA(),INDEX(KW_TP!$C$2:$C$2501,MATCH($A374,KW_TP!$A$2:$A$2501,1))))</f>
        <v/>
      </c>
    </row>
    <row r="375">
      <c r="A375" s="15">
        <f>IF(ISNUMBER(BBG_Data!A375),BBG_Data!A375,"")</f>
        <v/>
      </c>
      <c r="B375" s="16">
        <f>IF(AND(ISNUMBER($A375),ISNUMBER(BBG_Data!B375)),BBG_Data!B375,NA())</f>
        <v/>
      </c>
      <c r="C375" s="16">
        <f>IF(AND(ISNUMBER($A375),ISNUMBER(BBG_Data!C375)),BBG_Data!C375,NA())</f>
        <v/>
      </c>
      <c r="D375" s="17">
        <f>IF(AND(ISNUMBER($A375),ISNUMBER(BBG_Data!D375)),BBG_Data!D375,NA())</f>
        <v/>
      </c>
      <c r="E375" s="17">
        <f>IF(AND(ISNUMBER($A375),ISNUMBER(BBG_Data!E375)),BBG_Data!E375,NA())</f>
        <v/>
      </c>
      <c r="F375" s="18">
        <f>IF(AND(ISNUMBER(B375),ISNUMBER(B374)),(B375-B374)*100,"")</f>
        <v/>
      </c>
      <c r="G375" s="18">
        <f>IF(AND(ISNUMBER(C375),ISNUMBER(C374)),(C375-C374)*100,"")</f>
        <v/>
      </c>
      <c r="H375" s="18">
        <f>IF(OR(NOT(ISNUMBER($A375)),ROW()-2&lt;Settings!$B$11),NA(),IF(COUNT(OFFSET(F375,1-Settings!$B$11,0,Settings!$B$11,1))&lt;Settings!$B$11,NA(),STDEV(OFFSET(F375,1-Settings!$B$11,0,Settings!$B$11,1))*SQRT(Settings!$B$13)))</f>
        <v/>
      </c>
      <c r="I375" s="18">
        <f>IF(OR(NOT(ISNUMBER($A375)),ROW()-2&lt;Settings!$B$12),NA(),IF(COUNT(OFFSET(F375,1-Settings!$B$12,0,Settings!$B$12,1))&lt;Settings!$B$12,NA(),STDEV(OFFSET(F375,1-Settings!$B$12,0,Settings!$B$12,1))*SQRT(Settings!$B$13)))</f>
        <v/>
      </c>
      <c r="J375" s="18">
        <f>IF(OR(NOT(ISNUMBER($A375)),ROW()-2&lt;Settings!$B$11),NA(),IF(COUNT(OFFSET(G375,1-Settings!$B$11,0,Settings!$B$11,1))&lt;Settings!$B$11,NA(),STDEV(OFFSET(G375,1-Settings!$B$11,0,Settings!$B$11,1))*SQRT(Settings!$B$13)))</f>
        <v/>
      </c>
      <c r="K375" s="18">
        <f>IF(OR(NOT(ISNUMBER($A375)),ROW()-2&lt;Settings!$B$12),NA(),IF(COUNT(OFFSET(G375,1-Settings!$B$12,0,Settings!$B$12,1))&lt;Settings!$B$12,NA(),STDEV(OFFSET(G375,1-Settings!$B$12,0,Settings!$B$12,1))*SQRT(Settings!$B$13)))</f>
        <v/>
      </c>
      <c r="L375" s="18">
        <f>IF(AND(ISNUMBER(D375),ISNUMBER(H375)),D375-H375,NA())</f>
        <v/>
      </c>
      <c r="M375" s="18">
        <f>IF(AND(ISNUMBER(E375),ISNUMBER(K375)),E375-K375,NA())</f>
        <v/>
      </c>
      <c r="N375" s="18">
        <f>IF(NOT(ISNUMBER($A375)),NA(),IF(COUNT(OFFSET(G375,1,0,Settings!$B$12,1))&lt;Settings!$B$12,NA(),STDEV(OFFSET(G375,1,0,Settings!$B$12,1))*SQRT(Settings!$B$13)))</f>
        <v/>
      </c>
      <c r="O375" s="18">
        <f>IF(AND(ISNUMBER(E375),ISNUMBER(N375)),E375-N375,NA())</f>
        <v/>
      </c>
      <c r="P375" s="17">
        <f>IF(NOT(ISNUMBER($A375)),NA(),IF(OR($A375&lt;MIN(KW_TP!$A$2:$A$2501),$A375&gt;MAX(KW_TP!$A$2:$A$2501)),NA(),INDEX(KW_TP!$C$2:$C$2501,MATCH($A375,KW_TP!$A$2:$A$2501,1))))</f>
        <v/>
      </c>
    </row>
    <row r="376">
      <c r="A376" s="15">
        <f>IF(ISNUMBER(BBG_Data!A376),BBG_Data!A376,"")</f>
        <v/>
      </c>
      <c r="B376" s="16">
        <f>IF(AND(ISNUMBER($A376),ISNUMBER(BBG_Data!B376)),BBG_Data!B376,NA())</f>
        <v/>
      </c>
      <c r="C376" s="16">
        <f>IF(AND(ISNUMBER($A376),ISNUMBER(BBG_Data!C376)),BBG_Data!C376,NA())</f>
        <v/>
      </c>
      <c r="D376" s="17">
        <f>IF(AND(ISNUMBER($A376),ISNUMBER(BBG_Data!D376)),BBG_Data!D376,NA())</f>
        <v/>
      </c>
      <c r="E376" s="17">
        <f>IF(AND(ISNUMBER($A376),ISNUMBER(BBG_Data!E376)),BBG_Data!E376,NA())</f>
        <v/>
      </c>
      <c r="F376" s="18">
        <f>IF(AND(ISNUMBER(B376),ISNUMBER(B375)),(B376-B375)*100,"")</f>
        <v/>
      </c>
      <c r="G376" s="18">
        <f>IF(AND(ISNUMBER(C376),ISNUMBER(C375)),(C376-C375)*100,"")</f>
        <v/>
      </c>
      <c r="H376" s="18">
        <f>IF(OR(NOT(ISNUMBER($A376)),ROW()-2&lt;Settings!$B$11),NA(),IF(COUNT(OFFSET(F376,1-Settings!$B$11,0,Settings!$B$11,1))&lt;Settings!$B$11,NA(),STDEV(OFFSET(F376,1-Settings!$B$11,0,Settings!$B$11,1))*SQRT(Settings!$B$13)))</f>
        <v/>
      </c>
      <c r="I376" s="18">
        <f>IF(OR(NOT(ISNUMBER($A376)),ROW()-2&lt;Settings!$B$12),NA(),IF(COUNT(OFFSET(F376,1-Settings!$B$12,0,Settings!$B$12,1))&lt;Settings!$B$12,NA(),STDEV(OFFSET(F376,1-Settings!$B$12,0,Settings!$B$12,1))*SQRT(Settings!$B$13)))</f>
        <v/>
      </c>
      <c r="J376" s="18">
        <f>IF(OR(NOT(ISNUMBER($A376)),ROW()-2&lt;Settings!$B$11),NA(),IF(COUNT(OFFSET(G376,1-Settings!$B$11,0,Settings!$B$11,1))&lt;Settings!$B$11,NA(),STDEV(OFFSET(G376,1-Settings!$B$11,0,Settings!$B$11,1))*SQRT(Settings!$B$13)))</f>
        <v/>
      </c>
      <c r="K376" s="18">
        <f>IF(OR(NOT(ISNUMBER($A376)),ROW()-2&lt;Settings!$B$12),NA(),IF(COUNT(OFFSET(G376,1-Settings!$B$12,0,Settings!$B$12,1))&lt;Settings!$B$12,NA(),STDEV(OFFSET(G376,1-Settings!$B$12,0,Settings!$B$12,1))*SQRT(Settings!$B$13)))</f>
        <v/>
      </c>
      <c r="L376" s="18">
        <f>IF(AND(ISNUMBER(D376),ISNUMBER(H376)),D376-H376,NA())</f>
        <v/>
      </c>
      <c r="M376" s="18">
        <f>IF(AND(ISNUMBER(E376),ISNUMBER(K376)),E376-K376,NA())</f>
        <v/>
      </c>
      <c r="N376" s="18">
        <f>IF(NOT(ISNUMBER($A376)),NA(),IF(COUNT(OFFSET(G376,1,0,Settings!$B$12,1))&lt;Settings!$B$12,NA(),STDEV(OFFSET(G376,1,0,Settings!$B$12,1))*SQRT(Settings!$B$13)))</f>
        <v/>
      </c>
      <c r="O376" s="18">
        <f>IF(AND(ISNUMBER(E376),ISNUMBER(N376)),E376-N376,NA())</f>
        <v/>
      </c>
      <c r="P376" s="17">
        <f>IF(NOT(ISNUMBER($A376)),NA(),IF(OR($A376&lt;MIN(KW_TP!$A$2:$A$2501),$A376&gt;MAX(KW_TP!$A$2:$A$2501)),NA(),INDEX(KW_TP!$C$2:$C$2501,MATCH($A376,KW_TP!$A$2:$A$2501,1))))</f>
        <v/>
      </c>
    </row>
    <row r="377">
      <c r="A377" s="15">
        <f>IF(ISNUMBER(BBG_Data!A377),BBG_Data!A377,"")</f>
        <v/>
      </c>
      <c r="B377" s="16">
        <f>IF(AND(ISNUMBER($A377),ISNUMBER(BBG_Data!B377)),BBG_Data!B377,NA())</f>
        <v/>
      </c>
      <c r="C377" s="16">
        <f>IF(AND(ISNUMBER($A377),ISNUMBER(BBG_Data!C377)),BBG_Data!C377,NA())</f>
        <v/>
      </c>
      <c r="D377" s="17">
        <f>IF(AND(ISNUMBER($A377),ISNUMBER(BBG_Data!D377)),BBG_Data!D377,NA())</f>
        <v/>
      </c>
      <c r="E377" s="17">
        <f>IF(AND(ISNUMBER($A377),ISNUMBER(BBG_Data!E377)),BBG_Data!E377,NA())</f>
        <v/>
      </c>
      <c r="F377" s="18">
        <f>IF(AND(ISNUMBER(B377),ISNUMBER(B376)),(B377-B376)*100,"")</f>
        <v/>
      </c>
      <c r="G377" s="18">
        <f>IF(AND(ISNUMBER(C377),ISNUMBER(C376)),(C377-C376)*100,"")</f>
        <v/>
      </c>
      <c r="H377" s="18">
        <f>IF(OR(NOT(ISNUMBER($A377)),ROW()-2&lt;Settings!$B$11),NA(),IF(COUNT(OFFSET(F377,1-Settings!$B$11,0,Settings!$B$11,1))&lt;Settings!$B$11,NA(),STDEV(OFFSET(F377,1-Settings!$B$11,0,Settings!$B$11,1))*SQRT(Settings!$B$13)))</f>
        <v/>
      </c>
      <c r="I377" s="18">
        <f>IF(OR(NOT(ISNUMBER($A377)),ROW()-2&lt;Settings!$B$12),NA(),IF(COUNT(OFFSET(F377,1-Settings!$B$12,0,Settings!$B$12,1))&lt;Settings!$B$12,NA(),STDEV(OFFSET(F377,1-Settings!$B$12,0,Settings!$B$12,1))*SQRT(Settings!$B$13)))</f>
        <v/>
      </c>
      <c r="J377" s="18">
        <f>IF(OR(NOT(ISNUMBER($A377)),ROW()-2&lt;Settings!$B$11),NA(),IF(COUNT(OFFSET(G377,1-Settings!$B$11,0,Settings!$B$11,1))&lt;Settings!$B$11,NA(),STDEV(OFFSET(G377,1-Settings!$B$11,0,Settings!$B$11,1))*SQRT(Settings!$B$13)))</f>
        <v/>
      </c>
      <c r="K377" s="18">
        <f>IF(OR(NOT(ISNUMBER($A377)),ROW()-2&lt;Settings!$B$12),NA(),IF(COUNT(OFFSET(G377,1-Settings!$B$12,0,Settings!$B$12,1))&lt;Settings!$B$12,NA(),STDEV(OFFSET(G377,1-Settings!$B$12,0,Settings!$B$12,1))*SQRT(Settings!$B$13)))</f>
        <v/>
      </c>
      <c r="L377" s="18">
        <f>IF(AND(ISNUMBER(D377),ISNUMBER(H377)),D377-H377,NA())</f>
        <v/>
      </c>
      <c r="M377" s="18">
        <f>IF(AND(ISNUMBER(E377),ISNUMBER(K377)),E377-K377,NA())</f>
        <v/>
      </c>
      <c r="N377" s="18">
        <f>IF(NOT(ISNUMBER($A377)),NA(),IF(COUNT(OFFSET(G377,1,0,Settings!$B$12,1))&lt;Settings!$B$12,NA(),STDEV(OFFSET(G377,1,0,Settings!$B$12,1))*SQRT(Settings!$B$13)))</f>
        <v/>
      </c>
      <c r="O377" s="18">
        <f>IF(AND(ISNUMBER(E377),ISNUMBER(N377)),E377-N377,NA())</f>
        <v/>
      </c>
      <c r="P377" s="17">
        <f>IF(NOT(ISNUMBER($A377)),NA(),IF(OR($A377&lt;MIN(KW_TP!$A$2:$A$2501),$A377&gt;MAX(KW_TP!$A$2:$A$2501)),NA(),INDEX(KW_TP!$C$2:$C$2501,MATCH($A377,KW_TP!$A$2:$A$2501,1))))</f>
        <v/>
      </c>
    </row>
    <row r="378">
      <c r="A378" s="15">
        <f>IF(ISNUMBER(BBG_Data!A378),BBG_Data!A378,"")</f>
        <v/>
      </c>
      <c r="B378" s="16">
        <f>IF(AND(ISNUMBER($A378),ISNUMBER(BBG_Data!B378)),BBG_Data!B378,NA())</f>
        <v/>
      </c>
      <c r="C378" s="16">
        <f>IF(AND(ISNUMBER($A378),ISNUMBER(BBG_Data!C378)),BBG_Data!C378,NA())</f>
        <v/>
      </c>
      <c r="D378" s="17">
        <f>IF(AND(ISNUMBER($A378),ISNUMBER(BBG_Data!D378)),BBG_Data!D378,NA())</f>
        <v/>
      </c>
      <c r="E378" s="17">
        <f>IF(AND(ISNUMBER($A378),ISNUMBER(BBG_Data!E378)),BBG_Data!E378,NA())</f>
        <v/>
      </c>
      <c r="F378" s="18">
        <f>IF(AND(ISNUMBER(B378),ISNUMBER(B377)),(B378-B377)*100,"")</f>
        <v/>
      </c>
      <c r="G378" s="18">
        <f>IF(AND(ISNUMBER(C378),ISNUMBER(C377)),(C378-C377)*100,"")</f>
        <v/>
      </c>
      <c r="H378" s="18">
        <f>IF(OR(NOT(ISNUMBER($A378)),ROW()-2&lt;Settings!$B$11),NA(),IF(COUNT(OFFSET(F378,1-Settings!$B$11,0,Settings!$B$11,1))&lt;Settings!$B$11,NA(),STDEV(OFFSET(F378,1-Settings!$B$11,0,Settings!$B$11,1))*SQRT(Settings!$B$13)))</f>
        <v/>
      </c>
      <c r="I378" s="18">
        <f>IF(OR(NOT(ISNUMBER($A378)),ROW()-2&lt;Settings!$B$12),NA(),IF(COUNT(OFFSET(F378,1-Settings!$B$12,0,Settings!$B$12,1))&lt;Settings!$B$12,NA(),STDEV(OFFSET(F378,1-Settings!$B$12,0,Settings!$B$12,1))*SQRT(Settings!$B$13)))</f>
        <v/>
      </c>
      <c r="J378" s="18">
        <f>IF(OR(NOT(ISNUMBER($A378)),ROW()-2&lt;Settings!$B$11),NA(),IF(COUNT(OFFSET(G378,1-Settings!$B$11,0,Settings!$B$11,1))&lt;Settings!$B$11,NA(),STDEV(OFFSET(G378,1-Settings!$B$11,0,Settings!$B$11,1))*SQRT(Settings!$B$13)))</f>
        <v/>
      </c>
      <c r="K378" s="18">
        <f>IF(OR(NOT(ISNUMBER($A378)),ROW()-2&lt;Settings!$B$12),NA(),IF(COUNT(OFFSET(G378,1-Settings!$B$12,0,Settings!$B$12,1))&lt;Settings!$B$12,NA(),STDEV(OFFSET(G378,1-Settings!$B$12,0,Settings!$B$12,1))*SQRT(Settings!$B$13)))</f>
        <v/>
      </c>
      <c r="L378" s="18">
        <f>IF(AND(ISNUMBER(D378),ISNUMBER(H378)),D378-H378,NA())</f>
        <v/>
      </c>
      <c r="M378" s="18">
        <f>IF(AND(ISNUMBER(E378),ISNUMBER(K378)),E378-K378,NA())</f>
        <v/>
      </c>
      <c r="N378" s="18">
        <f>IF(NOT(ISNUMBER($A378)),NA(),IF(COUNT(OFFSET(G378,1,0,Settings!$B$12,1))&lt;Settings!$B$12,NA(),STDEV(OFFSET(G378,1,0,Settings!$B$12,1))*SQRT(Settings!$B$13)))</f>
        <v/>
      </c>
      <c r="O378" s="18">
        <f>IF(AND(ISNUMBER(E378),ISNUMBER(N378)),E378-N378,NA())</f>
        <v/>
      </c>
      <c r="P378" s="17">
        <f>IF(NOT(ISNUMBER($A378)),NA(),IF(OR($A378&lt;MIN(KW_TP!$A$2:$A$2501),$A378&gt;MAX(KW_TP!$A$2:$A$2501)),NA(),INDEX(KW_TP!$C$2:$C$2501,MATCH($A378,KW_TP!$A$2:$A$2501,1))))</f>
        <v/>
      </c>
    </row>
    <row r="379">
      <c r="A379" s="15">
        <f>IF(ISNUMBER(BBG_Data!A379),BBG_Data!A379,"")</f>
        <v/>
      </c>
      <c r="B379" s="16">
        <f>IF(AND(ISNUMBER($A379),ISNUMBER(BBG_Data!B379)),BBG_Data!B379,NA())</f>
        <v/>
      </c>
      <c r="C379" s="16">
        <f>IF(AND(ISNUMBER($A379),ISNUMBER(BBG_Data!C379)),BBG_Data!C379,NA())</f>
        <v/>
      </c>
      <c r="D379" s="17">
        <f>IF(AND(ISNUMBER($A379),ISNUMBER(BBG_Data!D379)),BBG_Data!D379,NA())</f>
        <v/>
      </c>
      <c r="E379" s="17">
        <f>IF(AND(ISNUMBER($A379),ISNUMBER(BBG_Data!E379)),BBG_Data!E379,NA())</f>
        <v/>
      </c>
      <c r="F379" s="18">
        <f>IF(AND(ISNUMBER(B379),ISNUMBER(B378)),(B379-B378)*100,"")</f>
        <v/>
      </c>
      <c r="G379" s="18">
        <f>IF(AND(ISNUMBER(C379),ISNUMBER(C378)),(C379-C378)*100,"")</f>
        <v/>
      </c>
      <c r="H379" s="18">
        <f>IF(OR(NOT(ISNUMBER($A379)),ROW()-2&lt;Settings!$B$11),NA(),IF(COUNT(OFFSET(F379,1-Settings!$B$11,0,Settings!$B$11,1))&lt;Settings!$B$11,NA(),STDEV(OFFSET(F379,1-Settings!$B$11,0,Settings!$B$11,1))*SQRT(Settings!$B$13)))</f>
        <v/>
      </c>
      <c r="I379" s="18">
        <f>IF(OR(NOT(ISNUMBER($A379)),ROW()-2&lt;Settings!$B$12),NA(),IF(COUNT(OFFSET(F379,1-Settings!$B$12,0,Settings!$B$12,1))&lt;Settings!$B$12,NA(),STDEV(OFFSET(F379,1-Settings!$B$12,0,Settings!$B$12,1))*SQRT(Settings!$B$13)))</f>
        <v/>
      </c>
      <c r="J379" s="18">
        <f>IF(OR(NOT(ISNUMBER($A379)),ROW()-2&lt;Settings!$B$11),NA(),IF(COUNT(OFFSET(G379,1-Settings!$B$11,0,Settings!$B$11,1))&lt;Settings!$B$11,NA(),STDEV(OFFSET(G379,1-Settings!$B$11,0,Settings!$B$11,1))*SQRT(Settings!$B$13)))</f>
        <v/>
      </c>
      <c r="K379" s="18">
        <f>IF(OR(NOT(ISNUMBER($A379)),ROW()-2&lt;Settings!$B$12),NA(),IF(COUNT(OFFSET(G379,1-Settings!$B$12,0,Settings!$B$12,1))&lt;Settings!$B$12,NA(),STDEV(OFFSET(G379,1-Settings!$B$12,0,Settings!$B$12,1))*SQRT(Settings!$B$13)))</f>
        <v/>
      </c>
      <c r="L379" s="18">
        <f>IF(AND(ISNUMBER(D379),ISNUMBER(H379)),D379-H379,NA())</f>
        <v/>
      </c>
      <c r="M379" s="18">
        <f>IF(AND(ISNUMBER(E379),ISNUMBER(K379)),E379-K379,NA())</f>
        <v/>
      </c>
      <c r="N379" s="18">
        <f>IF(NOT(ISNUMBER($A379)),NA(),IF(COUNT(OFFSET(G379,1,0,Settings!$B$12,1))&lt;Settings!$B$12,NA(),STDEV(OFFSET(G379,1,0,Settings!$B$12,1))*SQRT(Settings!$B$13)))</f>
        <v/>
      </c>
      <c r="O379" s="18">
        <f>IF(AND(ISNUMBER(E379),ISNUMBER(N379)),E379-N379,NA())</f>
        <v/>
      </c>
      <c r="P379" s="17">
        <f>IF(NOT(ISNUMBER($A379)),NA(),IF(OR($A379&lt;MIN(KW_TP!$A$2:$A$2501),$A379&gt;MAX(KW_TP!$A$2:$A$2501)),NA(),INDEX(KW_TP!$C$2:$C$2501,MATCH($A379,KW_TP!$A$2:$A$2501,1))))</f>
        <v/>
      </c>
    </row>
    <row r="380">
      <c r="A380" s="15">
        <f>IF(ISNUMBER(BBG_Data!A380),BBG_Data!A380,"")</f>
        <v/>
      </c>
      <c r="B380" s="16">
        <f>IF(AND(ISNUMBER($A380),ISNUMBER(BBG_Data!B380)),BBG_Data!B380,NA())</f>
        <v/>
      </c>
      <c r="C380" s="16">
        <f>IF(AND(ISNUMBER($A380),ISNUMBER(BBG_Data!C380)),BBG_Data!C380,NA())</f>
        <v/>
      </c>
      <c r="D380" s="17">
        <f>IF(AND(ISNUMBER($A380),ISNUMBER(BBG_Data!D380)),BBG_Data!D380,NA())</f>
        <v/>
      </c>
      <c r="E380" s="17">
        <f>IF(AND(ISNUMBER($A380),ISNUMBER(BBG_Data!E380)),BBG_Data!E380,NA())</f>
        <v/>
      </c>
      <c r="F380" s="18">
        <f>IF(AND(ISNUMBER(B380),ISNUMBER(B379)),(B380-B379)*100,"")</f>
        <v/>
      </c>
      <c r="G380" s="18">
        <f>IF(AND(ISNUMBER(C380),ISNUMBER(C379)),(C380-C379)*100,"")</f>
        <v/>
      </c>
      <c r="H380" s="18">
        <f>IF(OR(NOT(ISNUMBER($A380)),ROW()-2&lt;Settings!$B$11),NA(),IF(COUNT(OFFSET(F380,1-Settings!$B$11,0,Settings!$B$11,1))&lt;Settings!$B$11,NA(),STDEV(OFFSET(F380,1-Settings!$B$11,0,Settings!$B$11,1))*SQRT(Settings!$B$13)))</f>
        <v/>
      </c>
      <c r="I380" s="18">
        <f>IF(OR(NOT(ISNUMBER($A380)),ROW()-2&lt;Settings!$B$12),NA(),IF(COUNT(OFFSET(F380,1-Settings!$B$12,0,Settings!$B$12,1))&lt;Settings!$B$12,NA(),STDEV(OFFSET(F380,1-Settings!$B$12,0,Settings!$B$12,1))*SQRT(Settings!$B$13)))</f>
        <v/>
      </c>
      <c r="J380" s="18">
        <f>IF(OR(NOT(ISNUMBER($A380)),ROW()-2&lt;Settings!$B$11),NA(),IF(COUNT(OFFSET(G380,1-Settings!$B$11,0,Settings!$B$11,1))&lt;Settings!$B$11,NA(),STDEV(OFFSET(G380,1-Settings!$B$11,0,Settings!$B$11,1))*SQRT(Settings!$B$13)))</f>
        <v/>
      </c>
      <c r="K380" s="18">
        <f>IF(OR(NOT(ISNUMBER($A380)),ROW()-2&lt;Settings!$B$12),NA(),IF(COUNT(OFFSET(G380,1-Settings!$B$12,0,Settings!$B$12,1))&lt;Settings!$B$12,NA(),STDEV(OFFSET(G380,1-Settings!$B$12,0,Settings!$B$12,1))*SQRT(Settings!$B$13)))</f>
        <v/>
      </c>
      <c r="L380" s="18">
        <f>IF(AND(ISNUMBER(D380),ISNUMBER(H380)),D380-H380,NA())</f>
        <v/>
      </c>
      <c r="M380" s="18">
        <f>IF(AND(ISNUMBER(E380),ISNUMBER(K380)),E380-K380,NA())</f>
        <v/>
      </c>
      <c r="N380" s="18">
        <f>IF(NOT(ISNUMBER($A380)),NA(),IF(COUNT(OFFSET(G380,1,0,Settings!$B$12,1))&lt;Settings!$B$12,NA(),STDEV(OFFSET(G380,1,0,Settings!$B$12,1))*SQRT(Settings!$B$13)))</f>
        <v/>
      </c>
      <c r="O380" s="18">
        <f>IF(AND(ISNUMBER(E380),ISNUMBER(N380)),E380-N380,NA())</f>
        <v/>
      </c>
      <c r="P380" s="17">
        <f>IF(NOT(ISNUMBER($A380)),NA(),IF(OR($A380&lt;MIN(KW_TP!$A$2:$A$2501),$A380&gt;MAX(KW_TP!$A$2:$A$2501)),NA(),INDEX(KW_TP!$C$2:$C$2501,MATCH($A380,KW_TP!$A$2:$A$2501,1))))</f>
        <v/>
      </c>
    </row>
    <row r="381">
      <c r="A381" s="15">
        <f>IF(ISNUMBER(BBG_Data!A381),BBG_Data!A381,"")</f>
        <v/>
      </c>
      <c r="B381" s="16">
        <f>IF(AND(ISNUMBER($A381),ISNUMBER(BBG_Data!B381)),BBG_Data!B381,NA())</f>
        <v/>
      </c>
      <c r="C381" s="16">
        <f>IF(AND(ISNUMBER($A381),ISNUMBER(BBG_Data!C381)),BBG_Data!C381,NA())</f>
        <v/>
      </c>
      <c r="D381" s="17">
        <f>IF(AND(ISNUMBER($A381),ISNUMBER(BBG_Data!D381)),BBG_Data!D381,NA())</f>
        <v/>
      </c>
      <c r="E381" s="17">
        <f>IF(AND(ISNUMBER($A381),ISNUMBER(BBG_Data!E381)),BBG_Data!E381,NA())</f>
        <v/>
      </c>
      <c r="F381" s="18">
        <f>IF(AND(ISNUMBER(B381),ISNUMBER(B380)),(B381-B380)*100,"")</f>
        <v/>
      </c>
      <c r="G381" s="18">
        <f>IF(AND(ISNUMBER(C381),ISNUMBER(C380)),(C381-C380)*100,"")</f>
        <v/>
      </c>
      <c r="H381" s="18">
        <f>IF(OR(NOT(ISNUMBER($A381)),ROW()-2&lt;Settings!$B$11),NA(),IF(COUNT(OFFSET(F381,1-Settings!$B$11,0,Settings!$B$11,1))&lt;Settings!$B$11,NA(),STDEV(OFFSET(F381,1-Settings!$B$11,0,Settings!$B$11,1))*SQRT(Settings!$B$13)))</f>
        <v/>
      </c>
      <c r="I381" s="18">
        <f>IF(OR(NOT(ISNUMBER($A381)),ROW()-2&lt;Settings!$B$12),NA(),IF(COUNT(OFFSET(F381,1-Settings!$B$12,0,Settings!$B$12,1))&lt;Settings!$B$12,NA(),STDEV(OFFSET(F381,1-Settings!$B$12,0,Settings!$B$12,1))*SQRT(Settings!$B$13)))</f>
        <v/>
      </c>
      <c r="J381" s="18">
        <f>IF(OR(NOT(ISNUMBER($A381)),ROW()-2&lt;Settings!$B$11),NA(),IF(COUNT(OFFSET(G381,1-Settings!$B$11,0,Settings!$B$11,1))&lt;Settings!$B$11,NA(),STDEV(OFFSET(G381,1-Settings!$B$11,0,Settings!$B$11,1))*SQRT(Settings!$B$13)))</f>
        <v/>
      </c>
      <c r="K381" s="18">
        <f>IF(OR(NOT(ISNUMBER($A381)),ROW()-2&lt;Settings!$B$12),NA(),IF(COUNT(OFFSET(G381,1-Settings!$B$12,0,Settings!$B$12,1))&lt;Settings!$B$12,NA(),STDEV(OFFSET(G381,1-Settings!$B$12,0,Settings!$B$12,1))*SQRT(Settings!$B$13)))</f>
        <v/>
      </c>
      <c r="L381" s="18">
        <f>IF(AND(ISNUMBER(D381),ISNUMBER(H381)),D381-H381,NA())</f>
        <v/>
      </c>
      <c r="M381" s="18">
        <f>IF(AND(ISNUMBER(E381),ISNUMBER(K381)),E381-K381,NA())</f>
        <v/>
      </c>
      <c r="N381" s="18">
        <f>IF(NOT(ISNUMBER($A381)),NA(),IF(COUNT(OFFSET(G381,1,0,Settings!$B$12,1))&lt;Settings!$B$12,NA(),STDEV(OFFSET(G381,1,0,Settings!$B$12,1))*SQRT(Settings!$B$13)))</f>
        <v/>
      </c>
      <c r="O381" s="18">
        <f>IF(AND(ISNUMBER(E381),ISNUMBER(N381)),E381-N381,NA())</f>
        <v/>
      </c>
      <c r="P381" s="17">
        <f>IF(NOT(ISNUMBER($A381)),NA(),IF(OR($A381&lt;MIN(KW_TP!$A$2:$A$2501),$A381&gt;MAX(KW_TP!$A$2:$A$2501)),NA(),INDEX(KW_TP!$C$2:$C$2501,MATCH($A381,KW_TP!$A$2:$A$2501,1))))</f>
        <v/>
      </c>
    </row>
    <row r="382">
      <c r="A382" s="15">
        <f>IF(ISNUMBER(BBG_Data!A382),BBG_Data!A382,"")</f>
        <v/>
      </c>
      <c r="B382" s="16">
        <f>IF(AND(ISNUMBER($A382),ISNUMBER(BBG_Data!B382)),BBG_Data!B382,NA())</f>
        <v/>
      </c>
      <c r="C382" s="16">
        <f>IF(AND(ISNUMBER($A382),ISNUMBER(BBG_Data!C382)),BBG_Data!C382,NA())</f>
        <v/>
      </c>
      <c r="D382" s="17">
        <f>IF(AND(ISNUMBER($A382),ISNUMBER(BBG_Data!D382)),BBG_Data!D382,NA())</f>
        <v/>
      </c>
      <c r="E382" s="17">
        <f>IF(AND(ISNUMBER($A382),ISNUMBER(BBG_Data!E382)),BBG_Data!E382,NA())</f>
        <v/>
      </c>
      <c r="F382" s="18">
        <f>IF(AND(ISNUMBER(B382),ISNUMBER(B381)),(B382-B381)*100,"")</f>
        <v/>
      </c>
      <c r="G382" s="18">
        <f>IF(AND(ISNUMBER(C382),ISNUMBER(C381)),(C382-C381)*100,"")</f>
        <v/>
      </c>
      <c r="H382" s="18">
        <f>IF(OR(NOT(ISNUMBER($A382)),ROW()-2&lt;Settings!$B$11),NA(),IF(COUNT(OFFSET(F382,1-Settings!$B$11,0,Settings!$B$11,1))&lt;Settings!$B$11,NA(),STDEV(OFFSET(F382,1-Settings!$B$11,0,Settings!$B$11,1))*SQRT(Settings!$B$13)))</f>
        <v/>
      </c>
      <c r="I382" s="18">
        <f>IF(OR(NOT(ISNUMBER($A382)),ROW()-2&lt;Settings!$B$12),NA(),IF(COUNT(OFFSET(F382,1-Settings!$B$12,0,Settings!$B$12,1))&lt;Settings!$B$12,NA(),STDEV(OFFSET(F382,1-Settings!$B$12,0,Settings!$B$12,1))*SQRT(Settings!$B$13)))</f>
        <v/>
      </c>
      <c r="J382" s="18">
        <f>IF(OR(NOT(ISNUMBER($A382)),ROW()-2&lt;Settings!$B$11),NA(),IF(COUNT(OFFSET(G382,1-Settings!$B$11,0,Settings!$B$11,1))&lt;Settings!$B$11,NA(),STDEV(OFFSET(G382,1-Settings!$B$11,0,Settings!$B$11,1))*SQRT(Settings!$B$13)))</f>
        <v/>
      </c>
      <c r="K382" s="18">
        <f>IF(OR(NOT(ISNUMBER($A382)),ROW()-2&lt;Settings!$B$12),NA(),IF(COUNT(OFFSET(G382,1-Settings!$B$12,0,Settings!$B$12,1))&lt;Settings!$B$12,NA(),STDEV(OFFSET(G382,1-Settings!$B$12,0,Settings!$B$12,1))*SQRT(Settings!$B$13)))</f>
        <v/>
      </c>
      <c r="L382" s="18">
        <f>IF(AND(ISNUMBER(D382),ISNUMBER(H382)),D382-H382,NA())</f>
        <v/>
      </c>
      <c r="M382" s="18">
        <f>IF(AND(ISNUMBER(E382),ISNUMBER(K382)),E382-K382,NA())</f>
        <v/>
      </c>
      <c r="N382" s="18">
        <f>IF(NOT(ISNUMBER($A382)),NA(),IF(COUNT(OFFSET(G382,1,0,Settings!$B$12,1))&lt;Settings!$B$12,NA(),STDEV(OFFSET(G382,1,0,Settings!$B$12,1))*SQRT(Settings!$B$13)))</f>
        <v/>
      </c>
      <c r="O382" s="18">
        <f>IF(AND(ISNUMBER(E382),ISNUMBER(N382)),E382-N382,NA())</f>
        <v/>
      </c>
      <c r="P382" s="17">
        <f>IF(NOT(ISNUMBER($A382)),NA(),IF(OR($A382&lt;MIN(KW_TP!$A$2:$A$2501),$A382&gt;MAX(KW_TP!$A$2:$A$2501)),NA(),INDEX(KW_TP!$C$2:$C$2501,MATCH($A382,KW_TP!$A$2:$A$2501,1))))</f>
        <v/>
      </c>
    </row>
    <row r="383">
      <c r="A383" s="15">
        <f>IF(ISNUMBER(BBG_Data!A383),BBG_Data!A383,"")</f>
        <v/>
      </c>
      <c r="B383" s="16">
        <f>IF(AND(ISNUMBER($A383),ISNUMBER(BBG_Data!B383)),BBG_Data!B383,NA())</f>
        <v/>
      </c>
      <c r="C383" s="16">
        <f>IF(AND(ISNUMBER($A383),ISNUMBER(BBG_Data!C383)),BBG_Data!C383,NA())</f>
        <v/>
      </c>
      <c r="D383" s="17">
        <f>IF(AND(ISNUMBER($A383),ISNUMBER(BBG_Data!D383)),BBG_Data!D383,NA())</f>
        <v/>
      </c>
      <c r="E383" s="17">
        <f>IF(AND(ISNUMBER($A383),ISNUMBER(BBG_Data!E383)),BBG_Data!E383,NA())</f>
        <v/>
      </c>
      <c r="F383" s="18">
        <f>IF(AND(ISNUMBER(B383),ISNUMBER(B382)),(B383-B382)*100,"")</f>
        <v/>
      </c>
      <c r="G383" s="18">
        <f>IF(AND(ISNUMBER(C383),ISNUMBER(C382)),(C383-C382)*100,"")</f>
        <v/>
      </c>
      <c r="H383" s="18">
        <f>IF(OR(NOT(ISNUMBER($A383)),ROW()-2&lt;Settings!$B$11),NA(),IF(COUNT(OFFSET(F383,1-Settings!$B$11,0,Settings!$B$11,1))&lt;Settings!$B$11,NA(),STDEV(OFFSET(F383,1-Settings!$B$11,0,Settings!$B$11,1))*SQRT(Settings!$B$13)))</f>
        <v/>
      </c>
      <c r="I383" s="18">
        <f>IF(OR(NOT(ISNUMBER($A383)),ROW()-2&lt;Settings!$B$12),NA(),IF(COUNT(OFFSET(F383,1-Settings!$B$12,0,Settings!$B$12,1))&lt;Settings!$B$12,NA(),STDEV(OFFSET(F383,1-Settings!$B$12,0,Settings!$B$12,1))*SQRT(Settings!$B$13)))</f>
        <v/>
      </c>
      <c r="J383" s="18">
        <f>IF(OR(NOT(ISNUMBER($A383)),ROW()-2&lt;Settings!$B$11),NA(),IF(COUNT(OFFSET(G383,1-Settings!$B$11,0,Settings!$B$11,1))&lt;Settings!$B$11,NA(),STDEV(OFFSET(G383,1-Settings!$B$11,0,Settings!$B$11,1))*SQRT(Settings!$B$13)))</f>
        <v/>
      </c>
      <c r="K383" s="18">
        <f>IF(OR(NOT(ISNUMBER($A383)),ROW()-2&lt;Settings!$B$12),NA(),IF(COUNT(OFFSET(G383,1-Settings!$B$12,0,Settings!$B$12,1))&lt;Settings!$B$12,NA(),STDEV(OFFSET(G383,1-Settings!$B$12,0,Settings!$B$12,1))*SQRT(Settings!$B$13)))</f>
        <v/>
      </c>
      <c r="L383" s="18">
        <f>IF(AND(ISNUMBER(D383),ISNUMBER(H383)),D383-H383,NA())</f>
        <v/>
      </c>
      <c r="M383" s="18">
        <f>IF(AND(ISNUMBER(E383),ISNUMBER(K383)),E383-K383,NA())</f>
        <v/>
      </c>
      <c r="N383" s="18">
        <f>IF(NOT(ISNUMBER($A383)),NA(),IF(COUNT(OFFSET(G383,1,0,Settings!$B$12,1))&lt;Settings!$B$12,NA(),STDEV(OFFSET(G383,1,0,Settings!$B$12,1))*SQRT(Settings!$B$13)))</f>
        <v/>
      </c>
      <c r="O383" s="18">
        <f>IF(AND(ISNUMBER(E383),ISNUMBER(N383)),E383-N383,NA())</f>
        <v/>
      </c>
      <c r="P383" s="17">
        <f>IF(NOT(ISNUMBER($A383)),NA(),IF(OR($A383&lt;MIN(KW_TP!$A$2:$A$2501),$A383&gt;MAX(KW_TP!$A$2:$A$2501)),NA(),INDEX(KW_TP!$C$2:$C$2501,MATCH($A383,KW_TP!$A$2:$A$2501,1))))</f>
        <v/>
      </c>
    </row>
    <row r="384">
      <c r="A384" s="15">
        <f>IF(ISNUMBER(BBG_Data!A384),BBG_Data!A384,"")</f>
        <v/>
      </c>
      <c r="B384" s="16">
        <f>IF(AND(ISNUMBER($A384),ISNUMBER(BBG_Data!B384)),BBG_Data!B384,NA())</f>
        <v/>
      </c>
      <c r="C384" s="16">
        <f>IF(AND(ISNUMBER($A384),ISNUMBER(BBG_Data!C384)),BBG_Data!C384,NA())</f>
        <v/>
      </c>
      <c r="D384" s="17">
        <f>IF(AND(ISNUMBER($A384),ISNUMBER(BBG_Data!D384)),BBG_Data!D384,NA())</f>
        <v/>
      </c>
      <c r="E384" s="17">
        <f>IF(AND(ISNUMBER($A384),ISNUMBER(BBG_Data!E384)),BBG_Data!E384,NA())</f>
        <v/>
      </c>
      <c r="F384" s="18">
        <f>IF(AND(ISNUMBER(B384),ISNUMBER(B383)),(B384-B383)*100,"")</f>
        <v/>
      </c>
      <c r="G384" s="18">
        <f>IF(AND(ISNUMBER(C384),ISNUMBER(C383)),(C384-C383)*100,"")</f>
        <v/>
      </c>
      <c r="H384" s="18">
        <f>IF(OR(NOT(ISNUMBER($A384)),ROW()-2&lt;Settings!$B$11),NA(),IF(COUNT(OFFSET(F384,1-Settings!$B$11,0,Settings!$B$11,1))&lt;Settings!$B$11,NA(),STDEV(OFFSET(F384,1-Settings!$B$11,0,Settings!$B$11,1))*SQRT(Settings!$B$13)))</f>
        <v/>
      </c>
      <c r="I384" s="18">
        <f>IF(OR(NOT(ISNUMBER($A384)),ROW()-2&lt;Settings!$B$12),NA(),IF(COUNT(OFFSET(F384,1-Settings!$B$12,0,Settings!$B$12,1))&lt;Settings!$B$12,NA(),STDEV(OFFSET(F384,1-Settings!$B$12,0,Settings!$B$12,1))*SQRT(Settings!$B$13)))</f>
        <v/>
      </c>
      <c r="J384" s="18">
        <f>IF(OR(NOT(ISNUMBER($A384)),ROW()-2&lt;Settings!$B$11),NA(),IF(COUNT(OFFSET(G384,1-Settings!$B$11,0,Settings!$B$11,1))&lt;Settings!$B$11,NA(),STDEV(OFFSET(G384,1-Settings!$B$11,0,Settings!$B$11,1))*SQRT(Settings!$B$13)))</f>
        <v/>
      </c>
      <c r="K384" s="18">
        <f>IF(OR(NOT(ISNUMBER($A384)),ROW()-2&lt;Settings!$B$12),NA(),IF(COUNT(OFFSET(G384,1-Settings!$B$12,0,Settings!$B$12,1))&lt;Settings!$B$12,NA(),STDEV(OFFSET(G384,1-Settings!$B$12,0,Settings!$B$12,1))*SQRT(Settings!$B$13)))</f>
        <v/>
      </c>
      <c r="L384" s="18">
        <f>IF(AND(ISNUMBER(D384),ISNUMBER(H384)),D384-H384,NA())</f>
        <v/>
      </c>
      <c r="M384" s="18">
        <f>IF(AND(ISNUMBER(E384),ISNUMBER(K384)),E384-K384,NA())</f>
        <v/>
      </c>
      <c r="N384" s="18">
        <f>IF(NOT(ISNUMBER($A384)),NA(),IF(COUNT(OFFSET(G384,1,0,Settings!$B$12,1))&lt;Settings!$B$12,NA(),STDEV(OFFSET(G384,1,0,Settings!$B$12,1))*SQRT(Settings!$B$13)))</f>
        <v/>
      </c>
      <c r="O384" s="18">
        <f>IF(AND(ISNUMBER(E384),ISNUMBER(N384)),E384-N384,NA())</f>
        <v/>
      </c>
      <c r="P384" s="17">
        <f>IF(NOT(ISNUMBER($A384)),NA(),IF(OR($A384&lt;MIN(KW_TP!$A$2:$A$2501),$A384&gt;MAX(KW_TP!$A$2:$A$2501)),NA(),INDEX(KW_TP!$C$2:$C$2501,MATCH($A384,KW_TP!$A$2:$A$2501,1))))</f>
        <v/>
      </c>
    </row>
    <row r="385">
      <c r="A385" s="15">
        <f>IF(ISNUMBER(BBG_Data!A385),BBG_Data!A385,"")</f>
        <v/>
      </c>
      <c r="B385" s="16">
        <f>IF(AND(ISNUMBER($A385),ISNUMBER(BBG_Data!B385)),BBG_Data!B385,NA())</f>
        <v/>
      </c>
      <c r="C385" s="16">
        <f>IF(AND(ISNUMBER($A385),ISNUMBER(BBG_Data!C385)),BBG_Data!C385,NA())</f>
        <v/>
      </c>
      <c r="D385" s="17">
        <f>IF(AND(ISNUMBER($A385),ISNUMBER(BBG_Data!D385)),BBG_Data!D385,NA())</f>
        <v/>
      </c>
      <c r="E385" s="17">
        <f>IF(AND(ISNUMBER($A385),ISNUMBER(BBG_Data!E385)),BBG_Data!E385,NA())</f>
        <v/>
      </c>
      <c r="F385" s="18">
        <f>IF(AND(ISNUMBER(B385),ISNUMBER(B384)),(B385-B384)*100,"")</f>
        <v/>
      </c>
      <c r="G385" s="18">
        <f>IF(AND(ISNUMBER(C385),ISNUMBER(C384)),(C385-C384)*100,"")</f>
        <v/>
      </c>
      <c r="H385" s="18">
        <f>IF(OR(NOT(ISNUMBER($A385)),ROW()-2&lt;Settings!$B$11),NA(),IF(COUNT(OFFSET(F385,1-Settings!$B$11,0,Settings!$B$11,1))&lt;Settings!$B$11,NA(),STDEV(OFFSET(F385,1-Settings!$B$11,0,Settings!$B$11,1))*SQRT(Settings!$B$13)))</f>
        <v/>
      </c>
      <c r="I385" s="18">
        <f>IF(OR(NOT(ISNUMBER($A385)),ROW()-2&lt;Settings!$B$12),NA(),IF(COUNT(OFFSET(F385,1-Settings!$B$12,0,Settings!$B$12,1))&lt;Settings!$B$12,NA(),STDEV(OFFSET(F385,1-Settings!$B$12,0,Settings!$B$12,1))*SQRT(Settings!$B$13)))</f>
        <v/>
      </c>
      <c r="J385" s="18">
        <f>IF(OR(NOT(ISNUMBER($A385)),ROW()-2&lt;Settings!$B$11),NA(),IF(COUNT(OFFSET(G385,1-Settings!$B$11,0,Settings!$B$11,1))&lt;Settings!$B$11,NA(),STDEV(OFFSET(G385,1-Settings!$B$11,0,Settings!$B$11,1))*SQRT(Settings!$B$13)))</f>
        <v/>
      </c>
      <c r="K385" s="18">
        <f>IF(OR(NOT(ISNUMBER($A385)),ROW()-2&lt;Settings!$B$12),NA(),IF(COUNT(OFFSET(G385,1-Settings!$B$12,0,Settings!$B$12,1))&lt;Settings!$B$12,NA(),STDEV(OFFSET(G385,1-Settings!$B$12,0,Settings!$B$12,1))*SQRT(Settings!$B$13)))</f>
        <v/>
      </c>
      <c r="L385" s="18">
        <f>IF(AND(ISNUMBER(D385),ISNUMBER(H385)),D385-H385,NA())</f>
        <v/>
      </c>
      <c r="M385" s="18">
        <f>IF(AND(ISNUMBER(E385),ISNUMBER(K385)),E385-K385,NA())</f>
        <v/>
      </c>
      <c r="N385" s="18">
        <f>IF(NOT(ISNUMBER($A385)),NA(),IF(COUNT(OFFSET(G385,1,0,Settings!$B$12,1))&lt;Settings!$B$12,NA(),STDEV(OFFSET(G385,1,0,Settings!$B$12,1))*SQRT(Settings!$B$13)))</f>
        <v/>
      </c>
      <c r="O385" s="18">
        <f>IF(AND(ISNUMBER(E385),ISNUMBER(N385)),E385-N385,NA())</f>
        <v/>
      </c>
      <c r="P385" s="17">
        <f>IF(NOT(ISNUMBER($A385)),NA(),IF(OR($A385&lt;MIN(KW_TP!$A$2:$A$2501),$A385&gt;MAX(KW_TP!$A$2:$A$2501)),NA(),INDEX(KW_TP!$C$2:$C$2501,MATCH($A385,KW_TP!$A$2:$A$2501,1))))</f>
        <v/>
      </c>
    </row>
    <row r="386">
      <c r="A386" s="15">
        <f>IF(ISNUMBER(BBG_Data!A386),BBG_Data!A386,"")</f>
        <v/>
      </c>
      <c r="B386" s="16">
        <f>IF(AND(ISNUMBER($A386),ISNUMBER(BBG_Data!B386)),BBG_Data!B386,NA())</f>
        <v/>
      </c>
      <c r="C386" s="16">
        <f>IF(AND(ISNUMBER($A386),ISNUMBER(BBG_Data!C386)),BBG_Data!C386,NA())</f>
        <v/>
      </c>
      <c r="D386" s="17">
        <f>IF(AND(ISNUMBER($A386),ISNUMBER(BBG_Data!D386)),BBG_Data!D386,NA())</f>
        <v/>
      </c>
      <c r="E386" s="17">
        <f>IF(AND(ISNUMBER($A386),ISNUMBER(BBG_Data!E386)),BBG_Data!E386,NA())</f>
        <v/>
      </c>
      <c r="F386" s="18">
        <f>IF(AND(ISNUMBER(B386),ISNUMBER(B385)),(B386-B385)*100,"")</f>
        <v/>
      </c>
      <c r="G386" s="18">
        <f>IF(AND(ISNUMBER(C386),ISNUMBER(C385)),(C386-C385)*100,"")</f>
        <v/>
      </c>
      <c r="H386" s="18">
        <f>IF(OR(NOT(ISNUMBER($A386)),ROW()-2&lt;Settings!$B$11),NA(),IF(COUNT(OFFSET(F386,1-Settings!$B$11,0,Settings!$B$11,1))&lt;Settings!$B$11,NA(),STDEV(OFFSET(F386,1-Settings!$B$11,0,Settings!$B$11,1))*SQRT(Settings!$B$13)))</f>
        <v/>
      </c>
      <c r="I386" s="18">
        <f>IF(OR(NOT(ISNUMBER($A386)),ROW()-2&lt;Settings!$B$12),NA(),IF(COUNT(OFFSET(F386,1-Settings!$B$12,0,Settings!$B$12,1))&lt;Settings!$B$12,NA(),STDEV(OFFSET(F386,1-Settings!$B$12,0,Settings!$B$12,1))*SQRT(Settings!$B$13)))</f>
        <v/>
      </c>
      <c r="J386" s="18">
        <f>IF(OR(NOT(ISNUMBER($A386)),ROW()-2&lt;Settings!$B$11),NA(),IF(COUNT(OFFSET(G386,1-Settings!$B$11,0,Settings!$B$11,1))&lt;Settings!$B$11,NA(),STDEV(OFFSET(G386,1-Settings!$B$11,0,Settings!$B$11,1))*SQRT(Settings!$B$13)))</f>
        <v/>
      </c>
      <c r="K386" s="18">
        <f>IF(OR(NOT(ISNUMBER($A386)),ROW()-2&lt;Settings!$B$12),NA(),IF(COUNT(OFFSET(G386,1-Settings!$B$12,0,Settings!$B$12,1))&lt;Settings!$B$12,NA(),STDEV(OFFSET(G386,1-Settings!$B$12,0,Settings!$B$12,1))*SQRT(Settings!$B$13)))</f>
        <v/>
      </c>
      <c r="L386" s="18">
        <f>IF(AND(ISNUMBER(D386),ISNUMBER(H386)),D386-H386,NA())</f>
        <v/>
      </c>
      <c r="M386" s="18">
        <f>IF(AND(ISNUMBER(E386),ISNUMBER(K386)),E386-K386,NA())</f>
        <v/>
      </c>
      <c r="N386" s="18">
        <f>IF(NOT(ISNUMBER($A386)),NA(),IF(COUNT(OFFSET(G386,1,0,Settings!$B$12,1))&lt;Settings!$B$12,NA(),STDEV(OFFSET(G386,1,0,Settings!$B$12,1))*SQRT(Settings!$B$13)))</f>
        <v/>
      </c>
      <c r="O386" s="18">
        <f>IF(AND(ISNUMBER(E386),ISNUMBER(N386)),E386-N386,NA())</f>
        <v/>
      </c>
      <c r="P386" s="17">
        <f>IF(NOT(ISNUMBER($A386)),NA(),IF(OR($A386&lt;MIN(KW_TP!$A$2:$A$2501),$A386&gt;MAX(KW_TP!$A$2:$A$2501)),NA(),INDEX(KW_TP!$C$2:$C$2501,MATCH($A386,KW_TP!$A$2:$A$2501,1))))</f>
        <v/>
      </c>
    </row>
    <row r="387">
      <c r="A387" s="15">
        <f>IF(ISNUMBER(BBG_Data!A387),BBG_Data!A387,"")</f>
        <v/>
      </c>
      <c r="B387" s="16">
        <f>IF(AND(ISNUMBER($A387),ISNUMBER(BBG_Data!B387)),BBG_Data!B387,NA())</f>
        <v/>
      </c>
      <c r="C387" s="16">
        <f>IF(AND(ISNUMBER($A387),ISNUMBER(BBG_Data!C387)),BBG_Data!C387,NA())</f>
        <v/>
      </c>
      <c r="D387" s="17">
        <f>IF(AND(ISNUMBER($A387),ISNUMBER(BBG_Data!D387)),BBG_Data!D387,NA())</f>
        <v/>
      </c>
      <c r="E387" s="17">
        <f>IF(AND(ISNUMBER($A387),ISNUMBER(BBG_Data!E387)),BBG_Data!E387,NA())</f>
        <v/>
      </c>
      <c r="F387" s="18">
        <f>IF(AND(ISNUMBER(B387),ISNUMBER(B386)),(B387-B386)*100,"")</f>
        <v/>
      </c>
      <c r="G387" s="18">
        <f>IF(AND(ISNUMBER(C387),ISNUMBER(C386)),(C387-C386)*100,"")</f>
        <v/>
      </c>
      <c r="H387" s="18">
        <f>IF(OR(NOT(ISNUMBER($A387)),ROW()-2&lt;Settings!$B$11),NA(),IF(COUNT(OFFSET(F387,1-Settings!$B$11,0,Settings!$B$11,1))&lt;Settings!$B$11,NA(),STDEV(OFFSET(F387,1-Settings!$B$11,0,Settings!$B$11,1))*SQRT(Settings!$B$13)))</f>
        <v/>
      </c>
      <c r="I387" s="18">
        <f>IF(OR(NOT(ISNUMBER($A387)),ROW()-2&lt;Settings!$B$12),NA(),IF(COUNT(OFFSET(F387,1-Settings!$B$12,0,Settings!$B$12,1))&lt;Settings!$B$12,NA(),STDEV(OFFSET(F387,1-Settings!$B$12,0,Settings!$B$12,1))*SQRT(Settings!$B$13)))</f>
        <v/>
      </c>
      <c r="J387" s="18">
        <f>IF(OR(NOT(ISNUMBER($A387)),ROW()-2&lt;Settings!$B$11),NA(),IF(COUNT(OFFSET(G387,1-Settings!$B$11,0,Settings!$B$11,1))&lt;Settings!$B$11,NA(),STDEV(OFFSET(G387,1-Settings!$B$11,0,Settings!$B$11,1))*SQRT(Settings!$B$13)))</f>
        <v/>
      </c>
      <c r="K387" s="18">
        <f>IF(OR(NOT(ISNUMBER($A387)),ROW()-2&lt;Settings!$B$12),NA(),IF(COUNT(OFFSET(G387,1-Settings!$B$12,0,Settings!$B$12,1))&lt;Settings!$B$12,NA(),STDEV(OFFSET(G387,1-Settings!$B$12,0,Settings!$B$12,1))*SQRT(Settings!$B$13)))</f>
        <v/>
      </c>
      <c r="L387" s="18">
        <f>IF(AND(ISNUMBER(D387),ISNUMBER(H387)),D387-H387,NA())</f>
        <v/>
      </c>
      <c r="M387" s="18">
        <f>IF(AND(ISNUMBER(E387),ISNUMBER(K387)),E387-K387,NA())</f>
        <v/>
      </c>
      <c r="N387" s="18">
        <f>IF(NOT(ISNUMBER($A387)),NA(),IF(COUNT(OFFSET(G387,1,0,Settings!$B$12,1))&lt;Settings!$B$12,NA(),STDEV(OFFSET(G387,1,0,Settings!$B$12,1))*SQRT(Settings!$B$13)))</f>
        <v/>
      </c>
      <c r="O387" s="18">
        <f>IF(AND(ISNUMBER(E387),ISNUMBER(N387)),E387-N387,NA())</f>
        <v/>
      </c>
      <c r="P387" s="17">
        <f>IF(NOT(ISNUMBER($A387)),NA(),IF(OR($A387&lt;MIN(KW_TP!$A$2:$A$2501),$A387&gt;MAX(KW_TP!$A$2:$A$2501)),NA(),INDEX(KW_TP!$C$2:$C$2501,MATCH($A387,KW_TP!$A$2:$A$2501,1))))</f>
        <v/>
      </c>
    </row>
    <row r="388">
      <c r="A388" s="15">
        <f>IF(ISNUMBER(BBG_Data!A388),BBG_Data!A388,"")</f>
        <v/>
      </c>
      <c r="B388" s="16">
        <f>IF(AND(ISNUMBER($A388),ISNUMBER(BBG_Data!B388)),BBG_Data!B388,NA())</f>
        <v/>
      </c>
      <c r="C388" s="16">
        <f>IF(AND(ISNUMBER($A388),ISNUMBER(BBG_Data!C388)),BBG_Data!C388,NA())</f>
        <v/>
      </c>
      <c r="D388" s="17">
        <f>IF(AND(ISNUMBER($A388),ISNUMBER(BBG_Data!D388)),BBG_Data!D388,NA())</f>
        <v/>
      </c>
      <c r="E388" s="17">
        <f>IF(AND(ISNUMBER($A388),ISNUMBER(BBG_Data!E388)),BBG_Data!E388,NA())</f>
        <v/>
      </c>
      <c r="F388" s="18">
        <f>IF(AND(ISNUMBER(B388),ISNUMBER(B387)),(B388-B387)*100,"")</f>
        <v/>
      </c>
      <c r="G388" s="18">
        <f>IF(AND(ISNUMBER(C388),ISNUMBER(C387)),(C388-C387)*100,"")</f>
        <v/>
      </c>
      <c r="H388" s="18">
        <f>IF(OR(NOT(ISNUMBER($A388)),ROW()-2&lt;Settings!$B$11),NA(),IF(COUNT(OFFSET(F388,1-Settings!$B$11,0,Settings!$B$11,1))&lt;Settings!$B$11,NA(),STDEV(OFFSET(F388,1-Settings!$B$11,0,Settings!$B$11,1))*SQRT(Settings!$B$13)))</f>
        <v/>
      </c>
      <c r="I388" s="18">
        <f>IF(OR(NOT(ISNUMBER($A388)),ROW()-2&lt;Settings!$B$12),NA(),IF(COUNT(OFFSET(F388,1-Settings!$B$12,0,Settings!$B$12,1))&lt;Settings!$B$12,NA(),STDEV(OFFSET(F388,1-Settings!$B$12,0,Settings!$B$12,1))*SQRT(Settings!$B$13)))</f>
        <v/>
      </c>
      <c r="J388" s="18">
        <f>IF(OR(NOT(ISNUMBER($A388)),ROW()-2&lt;Settings!$B$11),NA(),IF(COUNT(OFFSET(G388,1-Settings!$B$11,0,Settings!$B$11,1))&lt;Settings!$B$11,NA(),STDEV(OFFSET(G388,1-Settings!$B$11,0,Settings!$B$11,1))*SQRT(Settings!$B$13)))</f>
        <v/>
      </c>
      <c r="K388" s="18">
        <f>IF(OR(NOT(ISNUMBER($A388)),ROW()-2&lt;Settings!$B$12),NA(),IF(COUNT(OFFSET(G388,1-Settings!$B$12,0,Settings!$B$12,1))&lt;Settings!$B$12,NA(),STDEV(OFFSET(G388,1-Settings!$B$12,0,Settings!$B$12,1))*SQRT(Settings!$B$13)))</f>
        <v/>
      </c>
      <c r="L388" s="18">
        <f>IF(AND(ISNUMBER(D388),ISNUMBER(H388)),D388-H388,NA())</f>
        <v/>
      </c>
      <c r="M388" s="18">
        <f>IF(AND(ISNUMBER(E388),ISNUMBER(K388)),E388-K388,NA())</f>
        <v/>
      </c>
      <c r="N388" s="18">
        <f>IF(NOT(ISNUMBER($A388)),NA(),IF(COUNT(OFFSET(G388,1,0,Settings!$B$12,1))&lt;Settings!$B$12,NA(),STDEV(OFFSET(G388,1,0,Settings!$B$12,1))*SQRT(Settings!$B$13)))</f>
        <v/>
      </c>
      <c r="O388" s="18">
        <f>IF(AND(ISNUMBER(E388),ISNUMBER(N388)),E388-N388,NA())</f>
        <v/>
      </c>
      <c r="P388" s="17">
        <f>IF(NOT(ISNUMBER($A388)),NA(),IF(OR($A388&lt;MIN(KW_TP!$A$2:$A$2501),$A388&gt;MAX(KW_TP!$A$2:$A$2501)),NA(),INDEX(KW_TP!$C$2:$C$2501,MATCH($A388,KW_TP!$A$2:$A$2501,1))))</f>
        <v/>
      </c>
    </row>
    <row r="389">
      <c r="A389" s="15">
        <f>IF(ISNUMBER(BBG_Data!A389),BBG_Data!A389,"")</f>
        <v/>
      </c>
      <c r="B389" s="16">
        <f>IF(AND(ISNUMBER($A389),ISNUMBER(BBG_Data!B389)),BBG_Data!B389,NA())</f>
        <v/>
      </c>
      <c r="C389" s="16">
        <f>IF(AND(ISNUMBER($A389),ISNUMBER(BBG_Data!C389)),BBG_Data!C389,NA())</f>
        <v/>
      </c>
      <c r="D389" s="17">
        <f>IF(AND(ISNUMBER($A389),ISNUMBER(BBG_Data!D389)),BBG_Data!D389,NA())</f>
        <v/>
      </c>
      <c r="E389" s="17">
        <f>IF(AND(ISNUMBER($A389),ISNUMBER(BBG_Data!E389)),BBG_Data!E389,NA())</f>
        <v/>
      </c>
      <c r="F389" s="18">
        <f>IF(AND(ISNUMBER(B389),ISNUMBER(B388)),(B389-B388)*100,"")</f>
        <v/>
      </c>
      <c r="G389" s="18">
        <f>IF(AND(ISNUMBER(C389),ISNUMBER(C388)),(C389-C388)*100,"")</f>
        <v/>
      </c>
      <c r="H389" s="18">
        <f>IF(OR(NOT(ISNUMBER($A389)),ROW()-2&lt;Settings!$B$11),NA(),IF(COUNT(OFFSET(F389,1-Settings!$B$11,0,Settings!$B$11,1))&lt;Settings!$B$11,NA(),STDEV(OFFSET(F389,1-Settings!$B$11,0,Settings!$B$11,1))*SQRT(Settings!$B$13)))</f>
        <v/>
      </c>
      <c r="I389" s="18">
        <f>IF(OR(NOT(ISNUMBER($A389)),ROW()-2&lt;Settings!$B$12),NA(),IF(COUNT(OFFSET(F389,1-Settings!$B$12,0,Settings!$B$12,1))&lt;Settings!$B$12,NA(),STDEV(OFFSET(F389,1-Settings!$B$12,0,Settings!$B$12,1))*SQRT(Settings!$B$13)))</f>
        <v/>
      </c>
      <c r="J389" s="18">
        <f>IF(OR(NOT(ISNUMBER($A389)),ROW()-2&lt;Settings!$B$11),NA(),IF(COUNT(OFFSET(G389,1-Settings!$B$11,0,Settings!$B$11,1))&lt;Settings!$B$11,NA(),STDEV(OFFSET(G389,1-Settings!$B$11,0,Settings!$B$11,1))*SQRT(Settings!$B$13)))</f>
        <v/>
      </c>
      <c r="K389" s="18">
        <f>IF(OR(NOT(ISNUMBER($A389)),ROW()-2&lt;Settings!$B$12),NA(),IF(COUNT(OFFSET(G389,1-Settings!$B$12,0,Settings!$B$12,1))&lt;Settings!$B$12,NA(),STDEV(OFFSET(G389,1-Settings!$B$12,0,Settings!$B$12,1))*SQRT(Settings!$B$13)))</f>
        <v/>
      </c>
      <c r="L389" s="18">
        <f>IF(AND(ISNUMBER(D389),ISNUMBER(H389)),D389-H389,NA())</f>
        <v/>
      </c>
      <c r="M389" s="18">
        <f>IF(AND(ISNUMBER(E389),ISNUMBER(K389)),E389-K389,NA())</f>
        <v/>
      </c>
      <c r="N389" s="18">
        <f>IF(NOT(ISNUMBER($A389)),NA(),IF(COUNT(OFFSET(G389,1,0,Settings!$B$12,1))&lt;Settings!$B$12,NA(),STDEV(OFFSET(G389,1,0,Settings!$B$12,1))*SQRT(Settings!$B$13)))</f>
        <v/>
      </c>
      <c r="O389" s="18">
        <f>IF(AND(ISNUMBER(E389),ISNUMBER(N389)),E389-N389,NA())</f>
        <v/>
      </c>
      <c r="P389" s="17">
        <f>IF(NOT(ISNUMBER($A389)),NA(),IF(OR($A389&lt;MIN(KW_TP!$A$2:$A$2501),$A389&gt;MAX(KW_TP!$A$2:$A$2501)),NA(),INDEX(KW_TP!$C$2:$C$2501,MATCH($A389,KW_TP!$A$2:$A$2501,1))))</f>
        <v/>
      </c>
    </row>
    <row r="390">
      <c r="A390" s="15">
        <f>IF(ISNUMBER(BBG_Data!A390),BBG_Data!A390,"")</f>
        <v/>
      </c>
      <c r="B390" s="16">
        <f>IF(AND(ISNUMBER($A390),ISNUMBER(BBG_Data!B390)),BBG_Data!B390,NA())</f>
        <v/>
      </c>
      <c r="C390" s="16">
        <f>IF(AND(ISNUMBER($A390),ISNUMBER(BBG_Data!C390)),BBG_Data!C390,NA())</f>
        <v/>
      </c>
      <c r="D390" s="17">
        <f>IF(AND(ISNUMBER($A390),ISNUMBER(BBG_Data!D390)),BBG_Data!D390,NA())</f>
        <v/>
      </c>
      <c r="E390" s="17">
        <f>IF(AND(ISNUMBER($A390),ISNUMBER(BBG_Data!E390)),BBG_Data!E390,NA())</f>
        <v/>
      </c>
      <c r="F390" s="18">
        <f>IF(AND(ISNUMBER(B390),ISNUMBER(B389)),(B390-B389)*100,"")</f>
        <v/>
      </c>
      <c r="G390" s="18">
        <f>IF(AND(ISNUMBER(C390),ISNUMBER(C389)),(C390-C389)*100,"")</f>
        <v/>
      </c>
      <c r="H390" s="18">
        <f>IF(OR(NOT(ISNUMBER($A390)),ROW()-2&lt;Settings!$B$11),NA(),IF(COUNT(OFFSET(F390,1-Settings!$B$11,0,Settings!$B$11,1))&lt;Settings!$B$11,NA(),STDEV(OFFSET(F390,1-Settings!$B$11,0,Settings!$B$11,1))*SQRT(Settings!$B$13)))</f>
        <v/>
      </c>
      <c r="I390" s="18">
        <f>IF(OR(NOT(ISNUMBER($A390)),ROW()-2&lt;Settings!$B$12),NA(),IF(COUNT(OFFSET(F390,1-Settings!$B$12,0,Settings!$B$12,1))&lt;Settings!$B$12,NA(),STDEV(OFFSET(F390,1-Settings!$B$12,0,Settings!$B$12,1))*SQRT(Settings!$B$13)))</f>
        <v/>
      </c>
      <c r="J390" s="18">
        <f>IF(OR(NOT(ISNUMBER($A390)),ROW()-2&lt;Settings!$B$11),NA(),IF(COUNT(OFFSET(G390,1-Settings!$B$11,0,Settings!$B$11,1))&lt;Settings!$B$11,NA(),STDEV(OFFSET(G390,1-Settings!$B$11,0,Settings!$B$11,1))*SQRT(Settings!$B$13)))</f>
        <v/>
      </c>
      <c r="K390" s="18">
        <f>IF(OR(NOT(ISNUMBER($A390)),ROW()-2&lt;Settings!$B$12),NA(),IF(COUNT(OFFSET(G390,1-Settings!$B$12,0,Settings!$B$12,1))&lt;Settings!$B$12,NA(),STDEV(OFFSET(G390,1-Settings!$B$12,0,Settings!$B$12,1))*SQRT(Settings!$B$13)))</f>
        <v/>
      </c>
      <c r="L390" s="18">
        <f>IF(AND(ISNUMBER(D390),ISNUMBER(H390)),D390-H390,NA())</f>
        <v/>
      </c>
      <c r="M390" s="18">
        <f>IF(AND(ISNUMBER(E390),ISNUMBER(K390)),E390-K390,NA())</f>
        <v/>
      </c>
      <c r="N390" s="18">
        <f>IF(NOT(ISNUMBER($A390)),NA(),IF(COUNT(OFFSET(G390,1,0,Settings!$B$12,1))&lt;Settings!$B$12,NA(),STDEV(OFFSET(G390,1,0,Settings!$B$12,1))*SQRT(Settings!$B$13)))</f>
        <v/>
      </c>
      <c r="O390" s="18">
        <f>IF(AND(ISNUMBER(E390),ISNUMBER(N390)),E390-N390,NA())</f>
        <v/>
      </c>
      <c r="P390" s="17">
        <f>IF(NOT(ISNUMBER($A390)),NA(),IF(OR($A390&lt;MIN(KW_TP!$A$2:$A$2501),$A390&gt;MAX(KW_TP!$A$2:$A$2501)),NA(),INDEX(KW_TP!$C$2:$C$2501,MATCH($A390,KW_TP!$A$2:$A$2501,1))))</f>
        <v/>
      </c>
    </row>
    <row r="391">
      <c r="A391" s="15">
        <f>IF(ISNUMBER(BBG_Data!A391),BBG_Data!A391,"")</f>
        <v/>
      </c>
      <c r="B391" s="16">
        <f>IF(AND(ISNUMBER($A391),ISNUMBER(BBG_Data!B391)),BBG_Data!B391,NA())</f>
        <v/>
      </c>
      <c r="C391" s="16">
        <f>IF(AND(ISNUMBER($A391),ISNUMBER(BBG_Data!C391)),BBG_Data!C391,NA())</f>
        <v/>
      </c>
      <c r="D391" s="17">
        <f>IF(AND(ISNUMBER($A391),ISNUMBER(BBG_Data!D391)),BBG_Data!D391,NA())</f>
        <v/>
      </c>
      <c r="E391" s="17">
        <f>IF(AND(ISNUMBER($A391),ISNUMBER(BBG_Data!E391)),BBG_Data!E391,NA())</f>
        <v/>
      </c>
      <c r="F391" s="18">
        <f>IF(AND(ISNUMBER(B391),ISNUMBER(B390)),(B391-B390)*100,"")</f>
        <v/>
      </c>
      <c r="G391" s="18">
        <f>IF(AND(ISNUMBER(C391),ISNUMBER(C390)),(C391-C390)*100,"")</f>
        <v/>
      </c>
      <c r="H391" s="18">
        <f>IF(OR(NOT(ISNUMBER($A391)),ROW()-2&lt;Settings!$B$11),NA(),IF(COUNT(OFFSET(F391,1-Settings!$B$11,0,Settings!$B$11,1))&lt;Settings!$B$11,NA(),STDEV(OFFSET(F391,1-Settings!$B$11,0,Settings!$B$11,1))*SQRT(Settings!$B$13)))</f>
        <v/>
      </c>
      <c r="I391" s="18">
        <f>IF(OR(NOT(ISNUMBER($A391)),ROW()-2&lt;Settings!$B$12),NA(),IF(COUNT(OFFSET(F391,1-Settings!$B$12,0,Settings!$B$12,1))&lt;Settings!$B$12,NA(),STDEV(OFFSET(F391,1-Settings!$B$12,0,Settings!$B$12,1))*SQRT(Settings!$B$13)))</f>
        <v/>
      </c>
      <c r="J391" s="18">
        <f>IF(OR(NOT(ISNUMBER($A391)),ROW()-2&lt;Settings!$B$11),NA(),IF(COUNT(OFFSET(G391,1-Settings!$B$11,0,Settings!$B$11,1))&lt;Settings!$B$11,NA(),STDEV(OFFSET(G391,1-Settings!$B$11,0,Settings!$B$11,1))*SQRT(Settings!$B$13)))</f>
        <v/>
      </c>
      <c r="K391" s="18">
        <f>IF(OR(NOT(ISNUMBER($A391)),ROW()-2&lt;Settings!$B$12),NA(),IF(COUNT(OFFSET(G391,1-Settings!$B$12,0,Settings!$B$12,1))&lt;Settings!$B$12,NA(),STDEV(OFFSET(G391,1-Settings!$B$12,0,Settings!$B$12,1))*SQRT(Settings!$B$13)))</f>
        <v/>
      </c>
      <c r="L391" s="18">
        <f>IF(AND(ISNUMBER(D391),ISNUMBER(H391)),D391-H391,NA())</f>
        <v/>
      </c>
      <c r="M391" s="18">
        <f>IF(AND(ISNUMBER(E391),ISNUMBER(K391)),E391-K391,NA())</f>
        <v/>
      </c>
      <c r="N391" s="18">
        <f>IF(NOT(ISNUMBER($A391)),NA(),IF(COUNT(OFFSET(G391,1,0,Settings!$B$12,1))&lt;Settings!$B$12,NA(),STDEV(OFFSET(G391,1,0,Settings!$B$12,1))*SQRT(Settings!$B$13)))</f>
        <v/>
      </c>
      <c r="O391" s="18">
        <f>IF(AND(ISNUMBER(E391),ISNUMBER(N391)),E391-N391,NA())</f>
        <v/>
      </c>
      <c r="P391" s="17">
        <f>IF(NOT(ISNUMBER($A391)),NA(),IF(OR($A391&lt;MIN(KW_TP!$A$2:$A$2501),$A391&gt;MAX(KW_TP!$A$2:$A$2501)),NA(),INDEX(KW_TP!$C$2:$C$2501,MATCH($A391,KW_TP!$A$2:$A$2501,1))))</f>
        <v/>
      </c>
    </row>
    <row r="392">
      <c r="A392" s="15">
        <f>IF(ISNUMBER(BBG_Data!A392),BBG_Data!A392,"")</f>
        <v/>
      </c>
      <c r="B392" s="16">
        <f>IF(AND(ISNUMBER($A392),ISNUMBER(BBG_Data!B392)),BBG_Data!B392,NA())</f>
        <v/>
      </c>
      <c r="C392" s="16">
        <f>IF(AND(ISNUMBER($A392),ISNUMBER(BBG_Data!C392)),BBG_Data!C392,NA())</f>
        <v/>
      </c>
      <c r="D392" s="17">
        <f>IF(AND(ISNUMBER($A392),ISNUMBER(BBG_Data!D392)),BBG_Data!D392,NA())</f>
        <v/>
      </c>
      <c r="E392" s="17">
        <f>IF(AND(ISNUMBER($A392),ISNUMBER(BBG_Data!E392)),BBG_Data!E392,NA())</f>
        <v/>
      </c>
      <c r="F392" s="18">
        <f>IF(AND(ISNUMBER(B392),ISNUMBER(B391)),(B392-B391)*100,"")</f>
        <v/>
      </c>
      <c r="G392" s="18">
        <f>IF(AND(ISNUMBER(C392),ISNUMBER(C391)),(C392-C391)*100,"")</f>
        <v/>
      </c>
      <c r="H392" s="18">
        <f>IF(OR(NOT(ISNUMBER($A392)),ROW()-2&lt;Settings!$B$11),NA(),IF(COUNT(OFFSET(F392,1-Settings!$B$11,0,Settings!$B$11,1))&lt;Settings!$B$11,NA(),STDEV(OFFSET(F392,1-Settings!$B$11,0,Settings!$B$11,1))*SQRT(Settings!$B$13)))</f>
        <v/>
      </c>
      <c r="I392" s="18">
        <f>IF(OR(NOT(ISNUMBER($A392)),ROW()-2&lt;Settings!$B$12),NA(),IF(COUNT(OFFSET(F392,1-Settings!$B$12,0,Settings!$B$12,1))&lt;Settings!$B$12,NA(),STDEV(OFFSET(F392,1-Settings!$B$12,0,Settings!$B$12,1))*SQRT(Settings!$B$13)))</f>
        <v/>
      </c>
      <c r="J392" s="18">
        <f>IF(OR(NOT(ISNUMBER($A392)),ROW()-2&lt;Settings!$B$11),NA(),IF(COUNT(OFFSET(G392,1-Settings!$B$11,0,Settings!$B$11,1))&lt;Settings!$B$11,NA(),STDEV(OFFSET(G392,1-Settings!$B$11,0,Settings!$B$11,1))*SQRT(Settings!$B$13)))</f>
        <v/>
      </c>
      <c r="K392" s="18">
        <f>IF(OR(NOT(ISNUMBER($A392)),ROW()-2&lt;Settings!$B$12),NA(),IF(COUNT(OFFSET(G392,1-Settings!$B$12,0,Settings!$B$12,1))&lt;Settings!$B$12,NA(),STDEV(OFFSET(G392,1-Settings!$B$12,0,Settings!$B$12,1))*SQRT(Settings!$B$13)))</f>
        <v/>
      </c>
      <c r="L392" s="18">
        <f>IF(AND(ISNUMBER(D392),ISNUMBER(H392)),D392-H392,NA())</f>
        <v/>
      </c>
      <c r="M392" s="18">
        <f>IF(AND(ISNUMBER(E392),ISNUMBER(K392)),E392-K392,NA())</f>
        <v/>
      </c>
      <c r="N392" s="18">
        <f>IF(NOT(ISNUMBER($A392)),NA(),IF(COUNT(OFFSET(G392,1,0,Settings!$B$12,1))&lt;Settings!$B$12,NA(),STDEV(OFFSET(G392,1,0,Settings!$B$12,1))*SQRT(Settings!$B$13)))</f>
        <v/>
      </c>
      <c r="O392" s="18">
        <f>IF(AND(ISNUMBER(E392),ISNUMBER(N392)),E392-N392,NA())</f>
        <v/>
      </c>
      <c r="P392" s="17">
        <f>IF(NOT(ISNUMBER($A392)),NA(),IF(OR($A392&lt;MIN(KW_TP!$A$2:$A$2501),$A392&gt;MAX(KW_TP!$A$2:$A$2501)),NA(),INDEX(KW_TP!$C$2:$C$2501,MATCH($A392,KW_TP!$A$2:$A$2501,1))))</f>
        <v/>
      </c>
    </row>
    <row r="393">
      <c r="A393" s="15">
        <f>IF(ISNUMBER(BBG_Data!A393),BBG_Data!A393,"")</f>
        <v/>
      </c>
      <c r="B393" s="16">
        <f>IF(AND(ISNUMBER($A393),ISNUMBER(BBG_Data!B393)),BBG_Data!B393,NA())</f>
        <v/>
      </c>
      <c r="C393" s="16">
        <f>IF(AND(ISNUMBER($A393),ISNUMBER(BBG_Data!C393)),BBG_Data!C393,NA())</f>
        <v/>
      </c>
      <c r="D393" s="17">
        <f>IF(AND(ISNUMBER($A393),ISNUMBER(BBG_Data!D393)),BBG_Data!D393,NA())</f>
        <v/>
      </c>
      <c r="E393" s="17">
        <f>IF(AND(ISNUMBER($A393),ISNUMBER(BBG_Data!E393)),BBG_Data!E393,NA())</f>
        <v/>
      </c>
      <c r="F393" s="18">
        <f>IF(AND(ISNUMBER(B393),ISNUMBER(B392)),(B393-B392)*100,"")</f>
        <v/>
      </c>
      <c r="G393" s="18">
        <f>IF(AND(ISNUMBER(C393),ISNUMBER(C392)),(C393-C392)*100,"")</f>
        <v/>
      </c>
      <c r="H393" s="18">
        <f>IF(OR(NOT(ISNUMBER($A393)),ROW()-2&lt;Settings!$B$11),NA(),IF(COUNT(OFFSET(F393,1-Settings!$B$11,0,Settings!$B$11,1))&lt;Settings!$B$11,NA(),STDEV(OFFSET(F393,1-Settings!$B$11,0,Settings!$B$11,1))*SQRT(Settings!$B$13)))</f>
        <v/>
      </c>
      <c r="I393" s="18">
        <f>IF(OR(NOT(ISNUMBER($A393)),ROW()-2&lt;Settings!$B$12),NA(),IF(COUNT(OFFSET(F393,1-Settings!$B$12,0,Settings!$B$12,1))&lt;Settings!$B$12,NA(),STDEV(OFFSET(F393,1-Settings!$B$12,0,Settings!$B$12,1))*SQRT(Settings!$B$13)))</f>
        <v/>
      </c>
      <c r="J393" s="18">
        <f>IF(OR(NOT(ISNUMBER($A393)),ROW()-2&lt;Settings!$B$11),NA(),IF(COUNT(OFFSET(G393,1-Settings!$B$11,0,Settings!$B$11,1))&lt;Settings!$B$11,NA(),STDEV(OFFSET(G393,1-Settings!$B$11,0,Settings!$B$11,1))*SQRT(Settings!$B$13)))</f>
        <v/>
      </c>
      <c r="K393" s="18">
        <f>IF(OR(NOT(ISNUMBER($A393)),ROW()-2&lt;Settings!$B$12),NA(),IF(COUNT(OFFSET(G393,1-Settings!$B$12,0,Settings!$B$12,1))&lt;Settings!$B$12,NA(),STDEV(OFFSET(G393,1-Settings!$B$12,0,Settings!$B$12,1))*SQRT(Settings!$B$13)))</f>
        <v/>
      </c>
      <c r="L393" s="18">
        <f>IF(AND(ISNUMBER(D393),ISNUMBER(H393)),D393-H393,NA())</f>
        <v/>
      </c>
      <c r="M393" s="18">
        <f>IF(AND(ISNUMBER(E393),ISNUMBER(K393)),E393-K393,NA())</f>
        <v/>
      </c>
      <c r="N393" s="18">
        <f>IF(NOT(ISNUMBER($A393)),NA(),IF(COUNT(OFFSET(G393,1,0,Settings!$B$12,1))&lt;Settings!$B$12,NA(),STDEV(OFFSET(G393,1,0,Settings!$B$12,1))*SQRT(Settings!$B$13)))</f>
        <v/>
      </c>
      <c r="O393" s="18">
        <f>IF(AND(ISNUMBER(E393),ISNUMBER(N393)),E393-N393,NA())</f>
        <v/>
      </c>
      <c r="P393" s="17">
        <f>IF(NOT(ISNUMBER($A393)),NA(),IF(OR($A393&lt;MIN(KW_TP!$A$2:$A$2501),$A393&gt;MAX(KW_TP!$A$2:$A$2501)),NA(),INDEX(KW_TP!$C$2:$C$2501,MATCH($A393,KW_TP!$A$2:$A$2501,1))))</f>
        <v/>
      </c>
    </row>
    <row r="394">
      <c r="A394" s="15">
        <f>IF(ISNUMBER(BBG_Data!A394),BBG_Data!A394,"")</f>
        <v/>
      </c>
      <c r="B394" s="16">
        <f>IF(AND(ISNUMBER($A394),ISNUMBER(BBG_Data!B394)),BBG_Data!B394,NA())</f>
        <v/>
      </c>
      <c r="C394" s="16">
        <f>IF(AND(ISNUMBER($A394),ISNUMBER(BBG_Data!C394)),BBG_Data!C394,NA())</f>
        <v/>
      </c>
      <c r="D394" s="17">
        <f>IF(AND(ISNUMBER($A394),ISNUMBER(BBG_Data!D394)),BBG_Data!D394,NA())</f>
        <v/>
      </c>
      <c r="E394" s="17">
        <f>IF(AND(ISNUMBER($A394),ISNUMBER(BBG_Data!E394)),BBG_Data!E394,NA())</f>
        <v/>
      </c>
      <c r="F394" s="18">
        <f>IF(AND(ISNUMBER(B394),ISNUMBER(B393)),(B394-B393)*100,"")</f>
        <v/>
      </c>
      <c r="G394" s="18">
        <f>IF(AND(ISNUMBER(C394),ISNUMBER(C393)),(C394-C393)*100,"")</f>
        <v/>
      </c>
      <c r="H394" s="18">
        <f>IF(OR(NOT(ISNUMBER($A394)),ROW()-2&lt;Settings!$B$11),NA(),IF(COUNT(OFFSET(F394,1-Settings!$B$11,0,Settings!$B$11,1))&lt;Settings!$B$11,NA(),STDEV(OFFSET(F394,1-Settings!$B$11,0,Settings!$B$11,1))*SQRT(Settings!$B$13)))</f>
        <v/>
      </c>
      <c r="I394" s="18">
        <f>IF(OR(NOT(ISNUMBER($A394)),ROW()-2&lt;Settings!$B$12),NA(),IF(COUNT(OFFSET(F394,1-Settings!$B$12,0,Settings!$B$12,1))&lt;Settings!$B$12,NA(),STDEV(OFFSET(F394,1-Settings!$B$12,0,Settings!$B$12,1))*SQRT(Settings!$B$13)))</f>
        <v/>
      </c>
      <c r="J394" s="18">
        <f>IF(OR(NOT(ISNUMBER($A394)),ROW()-2&lt;Settings!$B$11),NA(),IF(COUNT(OFFSET(G394,1-Settings!$B$11,0,Settings!$B$11,1))&lt;Settings!$B$11,NA(),STDEV(OFFSET(G394,1-Settings!$B$11,0,Settings!$B$11,1))*SQRT(Settings!$B$13)))</f>
        <v/>
      </c>
      <c r="K394" s="18">
        <f>IF(OR(NOT(ISNUMBER($A394)),ROW()-2&lt;Settings!$B$12),NA(),IF(COUNT(OFFSET(G394,1-Settings!$B$12,0,Settings!$B$12,1))&lt;Settings!$B$12,NA(),STDEV(OFFSET(G394,1-Settings!$B$12,0,Settings!$B$12,1))*SQRT(Settings!$B$13)))</f>
        <v/>
      </c>
      <c r="L394" s="18">
        <f>IF(AND(ISNUMBER(D394),ISNUMBER(H394)),D394-H394,NA())</f>
        <v/>
      </c>
      <c r="M394" s="18">
        <f>IF(AND(ISNUMBER(E394),ISNUMBER(K394)),E394-K394,NA())</f>
        <v/>
      </c>
      <c r="N394" s="18">
        <f>IF(NOT(ISNUMBER($A394)),NA(),IF(COUNT(OFFSET(G394,1,0,Settings!$B$12,1))&lt;Settings!$B$12,NA(),STDEV(OFFSET(G394,1,0,Settings!$B$12,1))*SQRT(Settings!$B$13)))</f>
        <v/>
      </c>
      <c r="O394" s="18">
        <f>IF(AND(ISNUMBER(E394),ISNUMBER(N394)),E394-N394,NA())</f>
        <v/>
      </c>
      <c r="P394" s="17">
        <f>IF(NOT(ISNUMBER($A394)),NA(),IF(OR($A394&lt;MIN(KW_TP!$A$2:$A$2501),$A394&gt;MAX(KW_TP!$A$2:$A$2501)),NA(),INDEX(KW_TP!$C$2:$C$2501,MATCH($A394,KW_TP!$A$2:$A$2501,1))))</f>
        <v/>
      </c>
    </row>
    <row r="395">
      <c r="A395" s="15">
        <f>IF(ISNUMBER(BBG_Data!A395),BBG_Data!A395,"")</f>
        <v/>
      </c>
      <c r="B395" s="16">
        <f>IF(AND(ISNUMBER($A395),ISNUMBER(BBG_Data!B395)),BBG_Data!B395,NA())</f>
        <v/>
      </c>
      <c r="C395" s="16">
        <f>IF(AND(ISNUMBER($A395),ISNUMBER(BBG_Data!C395)),BBG_Data!C395,NA())</f>
        <v/>
      </c>
      <c r="D395" s="17">
        <f>IF(AND(ISNUMBER($A395),ISNUMBER(BBG_Data!D395)),BBG_Data!D395,NA())</f>
        <v/>
      </c>
      <c r="E395" s="17">
        <f>IF(AND(ISNUMBER($A395),ISNUMBER(BBG_Data!E395)),BBG_Data!E395,NA())</f>
        <v/>
      </c>
      <c r="F395" s="18">
        <f>IF(AND(ISNUMBER(B395),ISNUMBER(B394)),(B395-B394)*100,"")</f>
        <v/>
      </c>
      <c r="G395" s="18">
        <f>IF(AND(ISNUMBER(C395),ISNUMBER(C394)),(C395-C394)*100,"")</f>
        <v/>
      </c>
      <c r="H395" s="18">
        <f>IF(OR(NOT(ISNUMBER($A395)),ROW()-2&lt;Settings!$B$11),NA(),IF(COUNT(OFFSET(F395,1-Settings!$B$11,0,Settings!$B$11,1))&lt;Settings!$B$11,NA(),STDEV(OFFSET(F395,1-Settings!$B$11,0,Settings!$B$11,1))*SQRT(Settings!$B$13)))</f>
        <v/>
      </c>
      <c r="I395" s="18">
        <f>IF(OR(NOT(ISNUMBER($A395)),ROW()-2&lt;Settings!$B$12),NA(),IF(COUNT(OFFSET(F395,1-Settings!$B$12,0,Settings!$B$12,1))&lt;Settings!$B$12,NA(),STDEV(OFFSET(F395,1-Settings!$B$12,0,Settings!$B$12,1))*SQRT(Settings!$B$13)))</f>
        <v/>
      </c>
      <c r="J395" s="18">
        <f>IF(OR(NOT(ISNUMBER($A395)),ROW()-2&lt;Settings!$B$11),NA(),IF(COUNT(OFFSET(G395,1-Settings!$B$11,0,Settings!$B$11,1))&lt;Settings!$B$11,NA(),STDEV(OFFSET(G395,1-Settings!$B$11,0,Settings!$B$11,1))*SQRT(Settings!$B$13)))</f>
        <v/>
      </c>
      <c r="K395" s="18">
        <f>IF(OR(NOT(ISNUMBER($A395)),ROW()-2&lt;Settings!$B$12),NA(),IF(COUNT(OFFSET(G395,1-Settings!$B$12,0,Settings!$B$12,1))&lt;Settings!$B$12,NA(),STDEV(OFFSET(G395,1-Settings!$B$12,0,Settings!$B$12,1))*SQRT(Settings!$B$13)))</f>
        <v/>
      </c>
      <c r="L395" s="18">
        <f>IF(AND(ISNUMBER(D395),ISNUMBER(H395)),D395-H395,NA())</f>
        <v/>
      </c>
      <c r="M395" s="18">
        <f>IF(AND(ISNUMBER(E395),ISNUMBER(K395)),E395-K395,NA())</f>
        <v/>
      </c>
      <c r="N395" s="18">
        <f>IF(NOT(ISNUMBER($A395)),NA(),IF(COUNT(OFFSET(G395,1,0,Settings!$B$12,1))&lt;Settings!$B$12,NA(),STDEV(OFFSET(G395,1,0,Settings!$B$12,1))*SQRT(Settings!$B$13)))</f>
        <v/>
      </c>
      <c r="O395" s="18">
        <f>IF(AND(ISNUMBER(E395),ISNUMBER(N395)),E395-N395,NA())</f>
        <v/>
      </c>
      <c r="P395" s="17">
        <f>IF(NOT(ISNUMBER($A395)),NA(),IF(OR($A395&lt;MIN(KW_TP!$A$2:$A$2501),$A395&gt;MAX(KW_TP!$A$2:$A$2501)),NA(),INDEX(KW_TP!$C$2:$C$2501,MATCH($A395,KW_TP!$A$2:$A$2501,1))))</f>
        <v/>
      </c>
    </row>
    <row r="396">
      <c r="A396" s="15">
        <f>IF(ISNUMBER(BBG_Data!A396),BBG_Data!A396,"")</f>
        <v/>
      </c>
      <c r="B396" s="16">
        <f>IF(AND(ISNUMBER($A396),ISNUMBER(BBG_Data!B396)),BBG_Data!B396,NA())</f>
        <v/>
      </c>
      <c r="C396" s="16">
        <f>IF(AND(ISNUMBER($A396),ISNUMBER(BBG_Data!C396)),BBG_Data!C396,NA())</f>
        <v/>
      </c>
      <c r="D396" s="17">
        <f>IF(AND(ISNUMBER($A396),ISNUMBER(BBG_Data!D396)),BBG_Data!D396,NA())</f>
        <v/>
      </c>
      <c r="E396" s="17">
        <f>IF(AND(ISNUMBER($A396),ISNUMBER(BBG_Data!E396)),BBG_Data!E396,NA())</f>
        <v/>
      </c>
      <c r="F396" s="18">
        <f>IF(AND(ISNUMBER(B396),ISNUMBER(B395)),(B396-B395)*100,"")</f>
        <v/>
      </c>
      <c r="G396" s="18">
        <f>IF(AND(ISNUMBER(C396),ISNUMBER(C395)),(C396-C395)*100,"")</f>
        <v/>
      </c>
      <c r="H396" s="18">
        <f>IF(OR(NOT(ISNUMBER($A396)),ROW()-2&lt;Settings!$B$11),NA(),IF(COUNT(OFFSET(F396,1-Settings!$B$11,0,Settings!$B$11,1))&lt;Settings!$B$11,NA(),STDEV(OFFSET(F396,1-Settings!$B$11,0,Settings!$B$11,1))*SQRT(Settings!$B$13)))</f>
        <v/>
      </c>
      <c r="I396" s="18">
        <f>IF(OR(NOT(ISNUMBER($A396)),ROW()-2&lt;Settings!$B$12),NA(),IF(COUNT(OFFSET(F396,1-Settings!$B$12,0,Settings!$B$12,1))&lt;Settings!$B$12,NA(),STDEV(OFFSET(F396,1-Settings!$B$12,0,Settings!$B$12,1))*SQRT(Settings!$B$13)))</f>
        <v/>
      </c>
      <c r="J396" s="18">
        <f>IF(OR(NOT(ISNUMBER($A396)),ROW()-2&lt;Settings!$B$11),NA(),IF(COUNT(OFFSET(G396,1-Settings!$B$11,0,Settings!$B$11,1))&lt;Settings!$B$11,NA(),STDEV(OFFSET(G396,1-Settings!$B$11,0,Settings!$B$11,1))*SQRT(Settings!$B$13)))</f>
        <v/>
      </c>
      <c r="K396" s="18">
        <f>IF(OR(NOT(ISNUMBER($A396)),ROW()-2&lt;Settings!$B$12),NA(),IF(COUNT(OFFSET(G396,1-Settings!$B$12,0,Settings!$B$12,1))&lt;Settings!$B$12,NA(),STDEV(OFFSET(G396,1-Settings!$B$12,0,Settings!$B$12,1))*SQRT(Settings!$B$13)))</f>
        <v/>
      </c>
      <c r="L396" s="18">
        <f>IF(AND(ISNUMBER(D396),ISNUMBER(H396)),D396-H396,NA())</f>
        <v/>
      </c>
      <c r="M396" s="18">
        <f>IF(AND(ISNUMBER(E396),ISNUMBER(K396)),E396-K396,NA())</f>
        <v/>
      </c>
      <c r="N396" s="18">
        <f>IF(NOT(ISNUMBER($A396)),NA(),IF(COUNT(OFFSET(G396,1,0,Settings!$B$12,1))&lt;Settings!$B$12,NA(),STDEV(OFFSET(G396,1,0,Settings!$B$12,1))*SQRT(Settings!$B$13)))</f>
        <v/>
      </c>
      <c r="O396" s="18">
        <f>IF(AND(ISNUMBER(E396),ISNUMBER(N396)),E396-N396,NA())</f>
        <v/>
      </c>
      <c r="P396" s="17">
        <f>IF(NOT(ISNUMBER($A396)),NA(),IF(OR($A396&lt;MIN(KW_TP!$A$2:$A$2501),$A396&gt;MAX(KW_TP!$A$2:$A$2501)),NA(),INDEX(KW_TP!$C$2:$C$2501,MATCH($A396,KW_TP!$A$2:$A$2501,1))))</f>
        <v/>
      </c>
    </row>
    <row r="397">
      <c r="A397" s="15">
        <f>IF(ISNUMBER(BBG_Data!A397),BBG_Data!A397,"")</f>
        <v/>
      </c>
      <c r="B397" s="16">
        <f>IF(AND(ISNUMBER($A397),ISNUMBER(BBG_Data!B397)),BBG_Data!B397,NA())</f>
        <v/>
      </c>
      <c r="C397" s="16">
        <f>IF(AND(ISNUMBER($A397),ISNUMBER(BBG_Data!C397)),BBG_Data!C397,NA())</f>
        <v/>
      </c>
      <c r="D397" s="17">
        <f>IF(AND(ISNUMBER($A397),ISNUMBER(BBG_Data!D397)),BBG_Data!D397,NA())</f>
        <v/>
      </c>
      <c r="E397" s="17">
        <f>IF(AND(ISNUMBER($A397),ISNUMBER(BBG_Data!E397)),BBG_Data!E397,NA())</f>
        <v/>
      </c>
      <c r="F397" s="18">
        <f>IF(AND(ISNUMBER(B397),ISNUMBER(B396)),(B397-B396)*100,"")</f>
        <v/>
      </c>
      <c r="G397" s="18">
        <f>IF(AND(ISNUMBER(C397),ISNUMBER(C396)),(C397-C396)*100,"")</f>
        <v/>
      </c>
      <c r="H397" s="18">
        <f>IF(OR(NOT(ISNUMBER($A397)),ROW()-2&lt;Settings!$B$11),NA(),IF(COUNT(OFFSET(F397,1-Settings!$B$11,0,Settings!$B$11,1))&lt;Settings!$B$11,NA(),STDEV(OFFSET(F397,1-Settings!$B$11,0,Settings!$B$11,1))*SQRT(Settings!$B$13)))</f>
        <v/>
      </c>
      <c r="I397" s="18">
        <f>IF(OR(NOT(ISNUMBER($A397)),ROW()-2&lt;Settings!$B$12),NA(),IF(COUNT(OFFSET(F397,1-Settings!$B$12,0,Settings!$B$12,1))&lt;Settings!$B$12,NA(),STDEV(OFFSET(F397,1-Settings!$B$12,0,Settings!$B$12,1))*SQRT(Settings!$B$13)))</f>
        <v/>
      </c>
      <c r="J397" s="18">
        <f>IF(OR(NOT(ISNUMBER($A397)),ROW()-2&lt;Settings!$B$11),NA(),IF(COUNT(OFFSET(G397,1-Settings!$B$11,0,Settings!$B$11,1))&lt;Settings!$B$11,NA(),STDEV(OFFSET(G397,1-Settings!$B$11,0,Settings!$B$11,1))*SQRT(Settings!$B$13)))</f>
        <v/>
      </c>
      <c r="K397" s="18">
        <f>IF(OR(NOT(ISNUMBER($A397)),ROW()-2&lt;Settings!$B$12),NA(),IF(COUNT(OFFSET(G397,1-Settings!$B$12,0,Settings!$B$12,1))&lt;Settings!$B$12,NA(),STDEV(OFFSET(G397,1-Settings!$B$12,0,Settings!$B$12,1))*SQRT(Settings!$B$13)))</f>
        <v/>
      </c>
      <c r="L397" s="18">
        <f>IF(AND(ISNUMBER(D397),ISNUMBER(H397)),D397-H397,NA())</f>
        <v/>
      </c>
      <c r="M397" s="18">
        <f>IF(AND(ISNUMBER(E397),ISNUMBER(K397)),E397-K397,NA())</f>
        <v/>
      </c>
      <c r="N397" s="18">
        <f>IF(NOT(ISNUMBER($A397)),NA(),IF(COUNT(OFFSET(G397,1,0,Settings!$B$12,1))&lt;Settings!$B$12,NA(),STDEV(OFFSET(G397,1,0,Settings!$B$12,1))*SQRT(Settings!$B$13)))</f>
        <v/>
      </c>
      <c r="O397" s="18">
        <f>IF(AND(ISNUMBER(E397),ISNUMBER(N397)),E397-N397,NA())</f>
        <v/>
      </c>
      <c r="P397" s="17">
        <f>IF(NOT(ISNUMBER($A397)),NA(),IF(OR($A397&lt;MIN(KW_TP!$A$2:$A$2501),$A397&gt;MAX(KW_TP!$A$2:$A$2501)),NA(),INDEX(KW_TP!$C$2:$C$2501,MATCH($A397,KW_TP!$A$2:$A$2501,1))))</f>
        <v/>
      </c>
    </row>
    <row r="398">
      <c r="A398" s="15">
        <f>IF(ISNUMBER(BBG_Data!A398),BBG_Data!A398,"")</f>
        <v/>
      </c>
      <c r="B398" s="16">
        <f>IF(AND(ISNUMBER($A398),ISNUMBER(BBG_Data!B398)),BBG_Data!B398,NA())</f>
        <v/>
      </c>
      <c r="C398" s="16">
        <f>IF(AND(ISNUMBER($A398),ISNUMBER(BBG_Data!C398)),BBG_Data!C398,NA())</f>
        <v/>
      </c>
      <c r="D398" s="17">
        <f>IF(AND(ISNUMBER($A398),ISNUMBER(BBG_Data!D398)),BBG_Data!D398,NA())</f>
        <v/>
      </c>
      <c r="E398" s="17">
        <f>IF(AND(ISNUMBER($A398),ISNUMBER(BBG_Data!E398)),BBG_Data!E398,NA())</f>
        <v/>
      </c>
      <c r="F398" s="18">
        <f>IF(AND(ISNUMBER(B398),ISNUMBER(B397)),(B398-B397)*100,"")</f>
        <v/>
      </c>
      <c r="G398" s="18">
        <f>IF(AND(ISNUMBER(C398),ISNUMBER(C397)),(C398-C397)*100,"")</f>
        <v/>
      </c>
      <c r="H398" s="18">
        <f>IF(OR(NOT(ISNUMBER($A398)),ROW()-2&lt;Settings!$B$11),NA(),IF(COUNT(OFFSET(F398,1-Settings!$B$11,0,Settings!$B$11,1))&lt;Settings!$B$11,NA(),STDEV(OFFSET(F398,1-Settings!$B$11,0,Settings!$B$11,1))*SQRT(Settings!$B$13)))</f>
        <v/>
      </c>
      <c r="I398" s="18">
        <f>IF(OR(NOT(ISNUMBER($A398)),ROW()-2&lt;Settings!$B$12),NA(),IF(COUNT(OFFSET(F398,1-Settings!$B$12,0,Settings!$B$12,1))&lt;Settings!$B$12,NA(),STDEV(OFFSET(F398,1-Settings!$B$12,0,Settings!$B$12,1))*SQRT(Settings!$B$13)))</f>
        <v/>
      </c>
      <c r="J398" s="18">
        <f>IF(OR(NOT(ISNUMBER($A398)),ROW()-2&lt;Settings!$B$11),NA(),IF(COUNT(OFFSET(G398,1-Settings!$B$11,0,Settings!$B$11,1))&lt;Settings!$B$11,NA(),STDEV(OFFSET(G398,1-Settings!$B$11,0,Settings!$B$11,1))*SQRT(Settings!$B$13)))</f>
        <v/>
      </c>
      <c r="K398" s="18">
        <f>IF(OR(NOT(ISNUMBER($A398)),ROW()-2&lt;Settings!$B$12),NA(),IF(COUNT(OFFSET(G398,1-Settings!$B$12,0,Settings!$B$12,1))&lt;Settings!$B$12,NA(),STDEV(OFFSET(G398,1-Settings!$B$12,0,Settings!$B$12,1))*SQRT(Settings!$B$13)))</f>
        <v/>
      </c>
      <c r="L398" s="18">
        <f>IF(AND(ISNUMBER(D398),ISNUMBER(H398)),D398-H398,NA())</f>
        <v/>
      </c>
      <c r="M398" s="18">
        <f>IF(AND(ISNUMBER(E398),ISNUMBER(K398)),E398-K398,NA())</f>
        <v/>
      </c>
      <c r="N398" s="18">
        <f>IF(NOT(ISNUMBER($A398)),NA(),IF(COUNT(OFFSET(G398,1,0,Settings!$B$12,1))&lt;Settings!$B$12,NA(),STDEV(OFFSET(G398,1,0,Settings!$B$12,1))*SQRT(Settings!$B$13)))</f>
        <v/>
      </c>
      <c r="O398" s="18">
        <f>IF(AND(ISNUMBER(E398),ISNUMBER(N398)),E398-N398,NA())</f>
        <v/>
      </c>
      <c r="P398" s="17">
        <f>IF(NOT(ISNUMBER($A398)),NA(),IF(OR($A398&lt;MIN(KW_TP!$A$2:$A$2501),$A398&gt;MAX(KW_TP!$A$2:$A$2501)),NA(),INDEX(KW_TP!$C$2:$C$2501,MATCH($A398,KW_TP!$A$2:$A$2501,1))))</f>
        <v/>
      </c>
    </row>
    <row r="399">
      <c r="A399" s="15">
        <f>IF(ISNUMBER(BBG_Data!A399),BBG_Data!A399,"")</f>
        <v/>
      </c>
      <c r="B399" s="16">
        <f>IF(AND(ISNUMBER($A399),ISNUMBER(BBG_Data!B399)),BBG_Data!B399,NA())</f>
        <v/>
      </c>
      <c r="C399" s="16">
        <f>IF(AND(ISNUMBER($A399),ISNUMBER(BBG_Data!C399)),BBG_Data!C399,NA())</f>
        <v/>
      </c>
      <c r="D399" s="17">
        <f>IF(AND(ISNUMBER($A399),ISNUMBER(BBG_Data!D399)),BBG_Data!D399,NA())</f>
        <v/>
      </c>
      <c r="E399" s="17">
        <f>IF(AND(ISNUMBER($A399),ISNUMBER(BBG_Data!E399)),BBG_Data!E399,NA())</f>
        <v/>
      </c>
      <c r="F399" s="18">
        <f>IF(AND(ISNUMBER(B399),ISNUMBER(B398)),(B399-B398)*100,"")</f>
        <v/>
      </c>
      <c r="G399" s="18">
        <f>IF(AND(ISNUMBER(C399),ISNUMBER(C398)),(C399-C398)*100,"")</f>
        <v/>
      </c>
      <c r="H399" s="18">
        <f>IF(OR(NOT(ISNUMBER($A399)),ROW()-2&lt;Settings!$B$11),NA(),IF(COUNT(OFFSET(F399,1-Settings!$B$11,0,Settings!$B$11,1))&lt;Settings!$B$11,NA(),STDEV(OFFSET(F399,1-Settings!$B$11,0,Settings!$B$11,1))*SQRT(Settings!$B$13)))</f>
        <v/>
      </c>
      <c r="I399" s="18">
        <f>IF(OR(NOT(ISNUMBER($A399)),ROW()-2&lt;Settings!$B$12),NA(),IF(COUNT(OFFSET(F399,1-Settings!$B$12,0,Settings!$B$12,1))&lt;Settings!$B$12,NA(),STDEV(OFFSET(F399,1-Settings!$B$12,0,Settings!$B$12,1))*SQRT(Settings!$B$13)))</f>
        <v/>
      </c>
      <c r="J399" s="18">
        <f>IF(OR(NOT(ISNUMBER($A399)),ROW()-2&lt;Settings!$B$11),NA(),IF(COUNT(OFFSET(G399,1-Settings!$B$11,0,Settings!$B$11,1))&lt;Settings!$B$11,NA(),STDEV(OFFSET(G399,1-Settings!$B$11,0,Settings!$B$11,1))*SQRT(Settings!$B$13)))</f>
        <v/>
      </c>
      <c r="K399" s="18">
        <f>IF(OR(NOT(ISNUMBER($A399)),ROW()-2&lt;Settings!$B$12),NA(),IF(COUNT(OFFSET(G399,1-Settings!$B$12,0,Settings!$B$12,1))&lt;Settings!$B$12,NA(),STDEV(OFFSET(G399,1-Settings!$B$12,0,Settings!$B$12,1))*SQRT(Settings!$B$13)))</f>
        <v/>
      </c>
      <c r="L399" s="18">
        <f>IF(AND(ISNUMBER(D399),ISNUMBER(H399)),D399-H399,NA())</f>
        <v/>
      </c>
      <c r="M399" s="18">
        <f>IF(AND(ISNUMBER(E399),ISNUMBER(K399)),E399-K399,NA())</f>
        <v/>
      </c>
      <c r="N399" s="18">
        <f>IF(NOT(ISNUMBER($A399)),NA(),IF(COUNT(OFFSET(G399,1,0,Settings!$B$12,1))&lt;Settings!$B$12,NA(),STDEV(OFFSET(G399,1,0,Settings!$B$12,1))*SQRT(Settings!$B$13)))</f>
        <v/>
      </c>
      <c r="O399" s="18">
        <f>IF(AND(ISNUMBER(E399),ISNUMBER(N399)),E399-N399,NA())</f>
        <v/>
      </c>
      <c r="P399" s="17">
        <f>IF(NOT(ISNUMBER($A399)),NA(),IF(OR($A399&lt;MIN(KW_TP!$A$2:$A$2501),$A399&gt;MAX(KW_TP!$A$2:$A$2501)),NA(),INDEX(KW_TP!$C$2:$C$2501,MATCH($A399,KW_TP!$A$2:$A$2501,1))))</f>
        <v/>
      </c>
    </row>
    <row r="400">
      <c r="A400" s="15">
        <f>IF(ISNUMBER(BBG_Data!A400),BBG_Data!A400,"")</f>
        <v/>
      </c>
      <c r="B400" s="16">
        <f>IF(AND(ISNUMBER($A400),ISNUMBER(BBG_Data!B400)),BBG_Data!B400,NA())</f>
        <v/>
      </c>
      <c r="C400" s="16">
        <f>IF(AND(ISNUMBER($A400),ISNUMBER(BBG_Data!C400)),BBG_Data!C400,NA())</f>
        <v/>
      </c>
      <c r="D400" s="17">
        <f>IF(AND(ISNUMBER($A400),ISNUMBER(BBG_Data!D400)),BBG_Data!D400,NA())</f>
        <v/>
      </c>
      <c r="E400" s="17">
        <f>IF(AND(ISNUMBER($A400),ISNUMBER(BBG_Data!E400)),BBG_Data!E400,NA())</f>
        <v/>
      </c>
      <c r="F400" s="18">
        <f>IF(AND(ISNUMBER(B400),ISNUMBER(B399)),(B400-B399)*100,"")</f>
        <v/>
      </c>
      <c r="G400" s="18">
        <f>IF(AND(ISNUMBER(C400),ISNUMBER(C399)),(C400-C399)*100,"")</f>
        <v/>
      </c>
      <c r="H400" s="18">
        <f>IF(OR(NOT(ISNUMBER($A400)),ROW()-2&lt;Settings!$B$11),NA(),IF(COUNT(OFFSET(F400,1-Settings!$B$11,0,Settings!$B$11,1))&lt;Settings!$B$11,NA(),STDEV(OFFSET(F400,1-Settings!$B$11,0,Settings!$B$11,1))*SQRT(Settings!$B$13)))</f>
        <v/>
      </c>
      <c r="I400" s="18">
        <f>IF(OR(NOT(ISNUMBER($A400)),ROW()-2&lt;Settings!$B$12),NA(),IF(COUNT(OFFSET(F400,1-Settings!$B$12,0,Settings!$B$12,1))&lt;Settings!$B$12,NA(),STDEV(OFFSET(F400,1-Settings!$B$12,0,Settings!$B$12,1))*SQRT(Settings!$B$13)))</f>
        <v/>
      </c>
      <c r="J400" s="18">
        <f>IF(OR(NOT(ISNUMBER($A400)),ROW()-2&lt;Settings!$B$11),NA(),IF(COUNT(OFFSET(G400,1-Settings!$B$11,0,Settings!$B$11,1))&lt;Settings!$B$11,NA(),STDEV(OFFSET(G400,1-Settings!$B$11,0,Settings!$B$11,1))*SQRT(Settings!$B$13)))</f>
        <v/>
      </c>
      <c r="K400" s="18">
        <f>IF(OR(NOT(ISNUMBER($A400)),ROW()-2&lt;Settings!$B$12),NA(),IF(COUNT(OFFSET(G400,1-Settings!$B$12,0,Settings!$B$12,1))&lt;Settings!$B$12,NA(),STDEV(OFFSET(G400,1-Settings!$B$12,0,Settings!$B$12,1))*SQRT(Settings!$B$13)))</f>
        <v/>
      </c>
      <c r="L400" s="18">
        <f>IF(AND(ISNUMBER(D400),ISNUMBER(H400)),D400-H400,NA())</f>
        <v/>
      </c>
      <c r="M400" s="18">
        <f>IF(AND(ISNUMBER(E400),ISNUMBER(K400)),E400-K400,NA())</f>
        <v/>
      </c>
      <c r="N400" s="18">
        <f>IF(NOT(ISNUMBER($A400)),NA(),IF(COUNT(OFFSET(G400,1,0,Settings!$B$12,1))&lt;Settings!$B$12,NA(),STDEV(OFFSET(G400,1,0,Settings!$B$12,1))*SQRT(Settings!$B$13)))</f>
        <v/>
      </c>
      <c r="O400" s="18">
        <f>IF(AND(ISNUMBER(E400),ISNUMBER(N400)),E400-N400,NA())</f>
        <v/>
      </c>
      <c r="P400" s="17">
        <f>IF(NOT(ISNUMBER($A400)),NA(),IF(OR($A400&lt;MIN(KW_TP!$A$2:$A$2501),$A400&gt;MAX(KW_TP!$A$2:$A$2501)),NA(),INDEX(KW_TP!$C$2:$C$2501,MATCH($A400,KW_TP!$A$2:$A$2501,1))))</f>
        <v/>
      </c>
    </row>
    <row r="401">
      <c r="A401" s="15">
        <f>IF(ISNUMBER(BBG_Data!A401),BBG_Data!A401,"")</f>
        <v/>
      </c>
      <c r="B401" s="16">
        <f>IF(AND(ISNUMBER($A401),ISNUMBER(BBG_Data!B401)),BBG_Data!B401,NA())</f>
        <v/>
      </c>
      <c r="C401" s="16">
        <f>IF(AND(ISNUMBER($A401),ISNUMBER(BBG_Data!C401)),BBG_Data!C401,NA())</f>
        <v/>
      </c>
      <c r="D401" s="17">
        <f>IF(AND(ISNUMBER($A401),ISNUMBER(BBG_Data!D401)),BBG_Data!D401,NA())</f>
        <v/>
      </c>
      <c r="E401" s="17">
        <f>IF(AND(ISNUMBER($A401),ISNUMBER(BBG_Data!E401)),BBG_Data!E401,NA())</f>
        <v/>
      </c>
      <c r="F401" s="18">
        <f>IF(AND(ISNUMBER(B401),ISNUMBER(B400)),(B401-B400)*100,"")</f>
        <v/>
      </c>
      <c r="G401" s="18">
        <f>IF(AND(ISNUMBER(C401),ISNUMBER(C400)),(C401-C400)*100,"")</f>
        <v/>
      </c>
      <c r="H401" s="18">
        <f>IF(OR(NOT(ISNUMBER($A401)),ROW()-2&lt;Settings!$B$11),NA(),IF(COUNT(OFFSET(F401,1-Settings!$B$11,0,Settings!$B$11,1))&lt;Settings!$B$11,NA(),STDEV(OFFSET(F401,1-Settings!$B$11,0,Settings!$B$11,1))*SQRT(Settings!$B$13)))</f>
        <v/>
      </c>
      <c r="I401" s="18">
        <f>IF(OR(NOT(ISNUMBER($A401)),ROW()-2&lt;Settings!$B$12),NA(),IF(COUNT(OFFSET(F401,1-Settings!$B$12,0,Settings!$B$12,1))&lt;Settings!$B$12,NA(),STDEV(OFFSET(F401,1-Settings!$B$12,0,Settings!$B$12,1))*SQRT(Settings!$B$13)))</f>
        <v/>
      </c>
      <c r="J401" s="18">
        <f>IF(OR(NOT(ISNUMBER($A401)),ROW()-2&lt;Settings!$B$11),NA(),IF(COUNT(OFFSET(G401,1-Settings!$B$11,0,Settings!$B$11,1))&lt;Settings!$B$11,NA(),STDEV(OFFSET(G401,1-Settings!$B$11,0,Settings!$B$11,1))*SQRT(Settings!$B$13)))</f>
        <v/>
      </c>
      <c r="K401" s="18">
        <f>IF(OR(NOT(ISNUMBER($A401)),ROW()-2&lt;Settings!$B$12),NA(),IF(COUNT(OFFSET(G401,1-Settings!$B$12,0,Settings!$B$12,1))&lt;Settings!$B$12,NA(),STDEV(OFFSET(G401,1-Settings!$B$12,0,Settings!$B$12,1))*SQRT(Settings!$B$13)))</f>
        <v/>
      </c>
      <c r="L401" s="18">
        <f>IF(AND(ISNUMBER(D401),ISNUMBER(H401)),D401-H401,NA())</f>
        <v/>
      </c>
      <c r="M401" s="18">
        <f>IF(AND(ISNUMBER(E401),ISNUMBER(K401)),E401-K401,NA())</f>
        <v/>
      </c>
      <c r="N401" s="18">
        <f>IF(NOT(ISNUMBER($A401)),NA(),IF(COUNT(OFFSET(G401,1,0,Settings!$B$12,1))&lt;Settings!$B$12,NA(),STDEV(OFFSET(G401,1,0,Settings!$B$12,1))*SQRT(Settings!$B$13)))</f>
        <v/>
      </c>
      <c r="O401" s="18">
        <f>IF(AND(ISNUMBER(E401),ISNUMBER(N401)),E401-N401,NA())</f>
        <v/>
      </c>
      <c r="P401" s="17">
        <f>IF(NOT(ISNUMBER($A401)),NA(),IF(OR($A401&lt;MIN(KW_TP!$A$2:$A$2501),$A401&gt;MAX(KW_TP!$A$2:$A$2501)),NA(),INDEX(KW_TP!$C$2:$C$2501,MATCH($A401,KW_TP!$A$2:$A$2501,1))))</f>
        <v/>
      </c>
    </row>
    <row r="402">
      <c r="A402" s="15">
        <f>IF(ISNUMBER(BBG_Data!A402),BBG_Data!A402,"")</f>
        <v/>
      </c>
      <c r="B402" s="16">
        <f>IF(AND(ISNUMBER($A402),ISNUMBER(BBG_Data!B402)),BBG_Data!B402,NA())</f>
        <v/>
      </c>
      <c r="C402" s="16">
        <f>IF(AND(ISNUMBER($A402),ISNUMBER(BBG_Data!C402)),BBG_Data!C402,NA())</f>
        <v/>
      </c>
      <c r="D402" s="17">
        <f>IF(AND(ISNUMBER($A402),ISNUMBER(BBG_Data!D402)),BBG_Data!D402,NA())</f>
        <v/>
      </c>
      <c r="E402" s="17">
        <f>IF(AND(ISNUMBER($A402),ISNUMBER(BBG_Data!E402)),BBG_Data!E402,NA())</f>
        <v/>
      </c>
      <c r="F402" s="18">
        <f>IF(AND(ISNUMBER(B402),ISNUMBER(B401)),(B402-B401)*100,"")</f>
        <v/>
      </c>
      <c r="G402" s="18">
        <f>IF(AND(ISNUMBER(C402),ISNUMBER(C401)),(C402-C401)*100,"")</f>
        <v/>
      </c>
      <c r="H402" s="18">
        <f>IF(OR(NOT(ISNUMBER($A402)),ROW()-2&lt;Settings!$B$11),NA(),IF(COUNT(OFFSET(F402,1-Settings!$B$11,0,Settings!$B$11,1))&lt;Settings!$B$11,NA(),STDEV(OFFSET(F402,1-Settings!$B$11,0,Settings!$B$11,1))*SQRT(Settings!$B$13)))</f>
        <v/>
      </c>
      <c r="I402" s="18">
        <f>IF(OR(NOT(ISNUMBER($A402)),ROW()-2&lt;Settings!$B$12),NA(),IF(COUNT(OFFSET(F402,1-Settings!$B$12,0,Settings!$B$12,1))&lt;Settings!$B$12,NA(),STDEV(OFFSET(F402,1-Settings!$B$12,0,Settings!$B$12,1))*SQRT(Settings!$B$13)))</f>
        <v/>
      </c>
      <c r="J402" s="18">
        <f>IF(OR(NOT(ISNUMBER($A402)),ROW()-2&lt;Settings!$B$11),NA(),IF(COUNT(OFFSET(G402,1-Settings!$B$11,0,Settings!$B$11,1))&lt;Settings!$B$11,NA(),STDEV(OFFSET(G402,1-Settings!$B$11,0,Settings!$B$11,1))*SQRT(Settings!$B$13)))</f>
        <v/>
      </c>
      <c r="K402" s="18">
        <f>IF(OR(NOT(ISNUMBER($A402)),ROW()-2&lt;Settings!$B$12),NA(),IF(COUNT(OFFSET(G402,1-Settings!$B$12,0,Settings!$B$12,1))&lt;Settings!$B$12,NA(),STDEV(OFFSET(G402,1-Settings!$B$12,0,Settings!$B$12,1))*SQRT(Settings!$B$13)))</f>
        <v/>
      </c>
      <c r="L402" s="18">
        <f>IF(AND(ISNUMBER(D402),ISNUMBER(H402)),D402-H402,NA())</f>
        <v/>
      </c>
      <c r="M402" s="18">
        <f>IF(AND(ISNUMBER(E402),ISNUMBER(K402)),E402-K402,NA())</f>
        <v/>
      </c>
      <c r="N402" s="18">
        <f>IF(NOT(ISNUMBER($A402)),NA(),IF(COUNT(OFFSET(G402,1,0,Settings!$B$12,1))&lt;Settings!$B$12,NA(),STDEV(OFFSET(G402,1,0,Settings!$B$12,1))*SQRT(Settings!$B$13)))</f>
        <v/>
      </c>
      <c r="O402" s="18">
        <f>IF(AND(ISNUMBER(E402),ISNUMBER(N402)),E402-N402,NA())</f>
        <v/>
      </c>
      <c r="P402" s="17">
        <f>IF(NOT(ISNUMBER($A402)),NA(),IF(OR($A402&lt;MIN(KW_TP!$A$2:$A$2501),$A402&gt;MAX(KW_TP!$A$2:$A$2501)),NA(),INDEX(KW_TP!$C$2:$C$2501,MATCH($A402,KW_TP!$A$2:$A$2501,1))))</f>
        <v/>
      </c>
    </row>
    <row r="403">
      <c r="A403" s="15">
        <f>IF(ISNUMBER(BBG_Data!A403),BBG_Data!A403,"")</f>
        <v/>
      </c>
      <c r="B403" s="16">
        <f>IF(AND(ISNUMBER($A403),ISNUMBER(BBG_Data!B403)),BBG_Data!B403,NA())</f>
        <v/>
      </c>
      <c r="C403" s="16">
        <f>IF(AND(ISNUMBER($A403),ISNUMBER(BBG_Data!C403)),BBG_Data!C403,NA())</f>
        <v/>
      </c>
      <c r="D403" s="17">
        <f>IF(AND(ISNUMBER($A403),ISNUMBER(BBG_Data!D403)),BBG_Data!D403,NA())</f>
        <v/>
      </c>
      <c r="E403" s="17">
        <f>IF(AND(ISNUMBER($A403),ISNUMBER(BBG_Data!E403)),BBG_Data!E403,NA())</f>
        <v/>
      </c>
      <c r="F403" s="18">
        <f>IF(AND(ISNUMBER(B403),ISNUMBER(B402)),(B403-B402)*100,"")</f>
        <v/>
      </c>
      <c r="G403" s="18">
        <f>IF(AND(ISNUMBER(C403),ISNUMBER(C402)),(C403-C402)*100,"")</f>
        <v/>
      </c>
      <c r="H403" s="18">
        <f>IF(OR(NOT(ISNUMBER($A403)),ROW()-2&lt;Settings!$B$11),NA(),IF(COUNT(OFFSET(F403,1-Settings!$B$11,0,Settings!$B$11,1))&lt;Settings!$B$11,NA(),STDEV(OFFSET(F403,1-Settings!$B$11,0,Settings!$B$11,1))*SQRT(Settings!$B$13)))</f>
        <v/>
      </c>
      <c r="I403" s="18">
        <f>IF(OR(NOT(ISNUMBER($A403)),ROW()-2&lt;Settings!$B$12),NA(),IF(COUNT(OFFSET(F403,1-Settings!$B$12,0,Settings!$B$12,1))&lt;Settings!$B$12,NA(),STDEV(OFFSET(F403,1-Settings!$B$12,0,Settings!$B$12,1))*SQRT(Settings!$B$13)))</f>
        <v/>
      </c>
      <c r="J403" s="18">
        <f>IF(OR(NOT(ISNUMBER($A403)),ROW()-2&lt;Settings!$B$11),NA(),IF(COUNT(OFFSET(G403,1-Settings!$B$11,0,Settings!$B$11,1))&lt;Settings!$B$11,NA(),STDEV(OFFSET(G403,1-Settings!$B$11,0,Settings!$B$11,1))*SQRT(Settings!$B$13)))</f>
        <v/>
      </c>
      <c r="K403" s="18">
        <f>IF(OR(NOT(ISNUMBER($A403)),ROW()-2&lt;Settings!$B$12),NA(),IF(COUNT(OFFSET(G403,1-Settings!$B$12,0,Settings!$B$12,1))&lt;Settings!$B$12,NA(),STDEV(OFFSET(G403,1-Settings!$B$12,0,Settings!$B$12,1))*SQRT(Settings!$B$13)))</f>
        <v/>
      </c>
      <c r="L403" s="18">
        <f>IF(AND(ISNUMBER(D403),ISNUMBER(H403)),D403-H403,NA())</f>
        <v/>
      </c>
      <c r="M403" s="18">
        <f>IF(AND(ISNUMBER(E403),ISNUMBER(K403)),E403-K403,NA())</f>
        <v/>
      </c>
      <c r="N403" s="18">
        <f>IF(NOT(ISNUMBER($A403)),NA(),IF(COUNT(OFFSET(G403,1,0,Settings!$B$12,1))&lt;Settings!$B$12,NA(),STDEV(OFFSET(G403,1,0,Settings!$B$12,1))*SQRT(Settings!$B$13)))</f>
        <v/>
      </c>
      <c r="O403" s="18">
        <f>IF(AND(ISNUMBER(E403),ISNUMBER(N403)),E403-N403,NA())</f>
        <v/>
      </c>
      <c r="P403" s="17">
        <f>IF(NOT(ISNUMBER($A403)),NA(),IF(OR($A403&lt;MIN(KW_TP!$A$2:$A$2501),$A403&gt;MAX(KW_TP!$A$2:$A$2501)),NA(),INDEX(KW_TP!$C$2:$C$2501,MATCH($A403,KW_TP!$A$2:$A$2501,1))))</f>
        <v/>
      </c>
    </row>
    <row r="404">
      <c r="A404" s="15">
        <f>IF(ISNUMBER(BBG_Data!A404),BBG_Data!A404,"")</f>
        <v/>
      </c>
      <c r="B404" s="16">
        <f>IF(AND(ISNUMBER($A404),ISNUMBER(BBG_Data!B404)),BBG_Data!B404,NA())</f>
        <v/>
      </c>
      <c r="C404" s="16">
        <f>IF(AND(ISNUMBER($A404),ISNUMBER(BBG_Data!C404)),BBG_Data!C404,NA())</f>
        <v/>
      </c>
      <c r="D404" s="17">
        <f>IF(AND(ISNUMBER($A404),ISNUMBER(BBG_Data!D404)),BBG_Data!D404,NA())</f>
        <v/>
      </c>
      <c r="E404" s="17">
        <f>IF(AND(ISNUMBER($A404),ISNUMBER(BBG_Data!E404)),BBG_Data!E404,NA())</f>
        <v/>
      </c>
      <c r="F404" s="18">
        <f>IF(AND(ISNUMBER(B404),ISNUMBER(B403)),(B404-B403)*100,"")</f>
        <v/>
      </c>
      <c r="G404" s="18">
        <f>IF(AND(ISNUMBER(C404),ISNUMBER(C403)),(C404-C403)*100,"")</f>
        <v/>
      </c>
      <c r="H404" s="18">
        <f>IF(OR(NOT(ISNUMBER($A404)),ROW()-2&lt;Settings!$B$11),NA(),IF(COUNT(OFFSET(F404,1-Settings!$B$11,0,Settings!$B$11,1))&lt;Settings!$B$11,NA(),STDEV(OFFSET(F404,1-Settings!$B$11,0,Settings!$B$11,1))*SQRT(Settings!$B$13)))</f>
        <v/>
      </c>
      <c r="I404" s="18">
        <f>IF(OR(NOT(ISNUMBER($A404)),ROW()-2&lt;Settings!$B$12),NA(),IF(COUNT(OFFSET(F404,1-Settings!$B$12,0,Settings!$B$12,1))&lt;Settings!$B$12,NA(),STDEV(OFFSET(F404,1-Settings!$B$12,0,Settings!$B$12,1))*SQRT(Settings!$B$13)))</f>
        <v/>
      </c>
      <c r="J404" s="18">
        <f>IF(OR(NOT(ISNUMBER($A404)),ROW()-2&lt;Settings!$B$11),NA(),IF(COUNT(OFFSET(G404,1-Settings!$B$11,0,Settings!$B$11,1))&lt;Settings!$B$11,NA(),STDEV(OFFSET(G404,1-Settings!$B$11,0,Settings!$B$11,1))*SQRT(Settings!$B$13)))</f>
        <v/>
      </c>
      <c r="K404" s="18">
        <f>IF(OR(NOT(ISNUMBER($A404)),ROW()-2&lt;Settings!$B$12),NA(),IF(COUNT(OFFSET(G404,1-Settings!$B$12,0,Settings!$B$12,1))&lt;Settings!$B$12,NA(),STDEV(OFFSET(G404,1-Settings!$B$12,0,Settings!$B$12,1))*SQRT(Settings!$B$13)))</f>
        <v/>
      </c>
      <c r="L404" s="18">
        <f>IF(AND(ISNUMBER(D404),ISNUMBER(H404)),D404-H404,NA())</f>
        <v/>
      </c>
      <c r="M404" s="18">
        <f>IF(AND(ISNUMBER(E404),ISNUMBER(K404)),E404-K404,NA())</f>
        <v/>
      </c>
      <c r="N404" s="18">
        <f>IF(NOT(ISNUMBER($A404)),NA(),IF(COUNT(OFFSET(G404,1,0,Settings!$B$12,1))&lt;Settings!$B$12,NA(),STDEV(OFFSET(G404,1,0,Settings!$B$12,1))*SQRT(Settings!$B$13)))</f>
        <v/>
      </c>
      <c r="O404" s="18">
        <f>IF(AND(ISNUMBER(E404),ISNUMBER(N404)),E404-N404,NA())</f>
        <v/>
      </c>
      <c r="P404" s="17">
        <f>IF(NOT(ISNUMBER($A404)),NA(),IF(OR($A404&lt;MIN(KW_TP!$A$2:$A$2501),$A404&gt;MAX(KW_TP!$A$2:$A$2501)),NA(),INDEX(KW_TP!$C$2:$C$2501,MATCH($A404,KW_TP!$A$2:$A$2501,1))))</f>
        <v/>
      </c>
    </row>
    <row r="405">
      <c r="A405" s="15">
        <f>IF(ISNUMBER(BBG_Data!A405),BBG_Data!A405,"")</f>
        <v/>
      </c>
      <c r="B405" s="16">
        <f>IF(AND(ISNUMBER($A405),ISNUMBER(BBG_Data!B405)),BBG_Data!B405,NA())</f>
        <v/>
      </c>
      <c r="C405" s="16">
        <f>IF(AND(ISNUMBER($A405),ISNUMBER(BBG_Data!C405)),BBG_Data!C405,NA())</f>
        <v/>
      </c>
      <c r="D405" s="17">
        <f>IF(AND(ISNUMBER($A405),ISNUMBER(BBG_Data!D405)),BBG_Data!D405,NA())</f>
        <v/>
      </c>
      <c r="E405" s="17">
        <f>IF(AND(ISNUMBER($A405),ISNUMBER(BBG_Data!E405)),BBG_Data!E405,NA())</f>
        <v/>
      </c>
      <c r="F405" s="18">
        <f>IF(AND(ISNUMBER(B405),ISNUMBER(B404)),(B405-B404)*100,"")</f>
        <v/>
      </c>
      <c r="G405" s="18">
        <f>IF(AND(ISNUMBER(C405),ISNUMBER(C404)),(C405-C404)*100,"")</f>
        <v/>
      </c>
      <c r="H405" s="18">
        <f>IF(OR(NOT(ISNUMBER($A405)),ROW()-2&lt;Settings!$B$11),NA(),IF(COUNT(OFFSET(F405,1-Settings!$B$11,0,Settings!$B$11,1))&lt;Settings!$B$11,NA(),STDEV(OFFSET(F405,1-Settings!$B$11,0,Settings!$B$11,1))*SQRT(Settings!$B$13)))</f>
        <v/>
      </c>
      <c r="I405" s="18">
        <f>IF(OR(NOT(ISNUMBER($A405)),ROW()-2&lt;Settings!$B$12),NA(),IF(COUNT(OFFSET(F405,1-Settings!$B$12,0,Settings!$B$12,1))&lt;Settings!$B$12,NA(),STDEV(OFFSET(F405,1-Settings!$B$12,0,Settings!$B$12,1))*SQRT(Settings!$B$13)))</f>
        <v/>
      </c>
      <c r="J405" s="18">
        <f>IF(OR(NOT(ISNUMBER($A405)),ROW()-2&lt;Settings!$B$11),NA(),IF(COUNT(OFFSET(G405,1-Settings!$B$11,0,Settings!$B$11,1))&lt;Settings!$B$11,NA(),STDEV(OFFSET(G405,1-Settings!$B$11,0,Settings!$B$11,1))*SQRT(Settings!$B$13)))</f>
        <v/>
      </c>
      <c r="K405" s="18">
        <f>IF(OR(NOT(ISNUMBER($A405)),ROW()-2&lt;Settings!$B$12),NA(),IF(COUNT(OFFSET(G405,1-Settings!$B$12,0,Settings!$B$12,1))&lt;Settings!$B$12,NA(),STDEV(OFFSET(G405,1-Settings!$B$12,0,Settings!$B$12,1))*SQRT(Settings!$B$13)))</f>
        <v/>
      </c>
      <c r="L405" s="18">
        <f>IF(AND(ISNUMBER(D405),ISNUMBER(H405)),D405-H405,NA())</f>
        <v/>
      </c>
      <c r="M405" s="18">
        <f>IF(AND(ISNUMBER(E405),ISNUMBER(K405)),E405-K405,NA())</f>
        <v/>
      </c>
      <c r="N405" s="18">
        <f>IF(NOT(ISNUMBER($A405)),NA(),IF(COUNT(OFFSET(G405,1,0,Settings!$B$12,1))&lt;Settings!$B$12,NA(),STDEV(OFFSET(G405,1,0,Settings!$B$12,1))*SQRT(Settings!$B$13)))</f>
        <v/>
      </c>
      <c r="O405" s="18">
        <f>IF(AND(ISNUMBER(E405),ISNUMBER(N405)),E405-N405,NA())</f>
        <v/>
      </c>
      <c r="P405" s="17">
        <f>IF(NOT(ISNUMBER($A405)),NA(),IF(OR($A405&lt;MIN(KW_TP!$A$2:$A$2501),$A405&gt;MAX(KW_TP!$A$2:$A$2501)),NA(),INDEX(KW_TP!$C$2:$C$2501,MATCH($A405,KW_TP!$A$2:$A$2501,1))))</f>
        <v/>
      </c>
    </row>
    <row r="406">
      <c r="A406" s="15">
        <f>IF(ISNUMBER(BBG_Data!A406),BBG_Data!A406,"")</f>
        <v/>
      </c>
      <c r="B406" s="16">
        <f>IF(AND(ISNUMBER($A406),ISNUMBER(BBG_Data!B406)),BBG_Data!B406,NA())</f>
        <v/>
      </c>
      <c r="C406" s="16">
        <f>IF(AND(ISNUMBER($A406),ISNUMBER(BBG_Data!C406)),BBG_Data!C406,NA())</f>
        <v/>
      </c>
      <c r="D406" s="17">
        <f>IF(AND(ISNUMBER($A406),ISNUMBER(BBG_Data!D406)),BBG_Data!D406,NA())</f>
        <v/>
      </c>
      <c r="E406" s="17">
        <f>IF(AND(ISNUMBER($A406),ISNUMBER(BBG_Data!E406)),BBG_Data!E406,NA())</f>
        <v/>
      </c>
      <c r="F406" s="18">
        <f>IF(AND(ISNUMBER(B406),ISNUMBER(B405)),(B406-B405)*100,"")</f>
        <v/>
      </c>
      <c r="G406" s="18">
        <f>IF(AND(ISNUMBER(C406),ISNUMBER(C405)),(C406-C405)*100,"")</f>
        <v/>
      </c>
      <c r="H406" s="18">
        <f>IF(OR(NOT(ISNUMBER($A406)),ROW()-2&lt;Settings!$B$11),NA(),IF(COUNT(OFFSET(F406,1-Settings!$B$11,0,Settings!$B$11,1))&lt;Settings!$B$11,NA(),STDEV(OFFSET(F406,1-Settings!$B$11,0,Settings!$B$11,1))*SQRT(Settings!$B$13)))</f>
        <v/>
      </c>
      <c r="I406" s="18">
        <f>IF(OR(NOT(ISNUMBER($A406)),ROW()-2&lt;Settings!$B$12),NA(),IF(COUNT(OFFSET(F406,1-Settings!$B$12,0,Settings!$B$12,1))&lt;Settings!$B$12,NA(),STDEV(OFFSET(F406,1-Settings!$B$12,0,Settings!$B$12,1))*SQRT(Settings!$B$13)))</f>
        <v/>
      </c>
      <c r="J406" s="18">
        <f>IF(OR(NOT(ISNUMBER($A406)),ROW()-2&lt;Settings!$B$11),NA(),IF(COUNT(OFFSET(G406,1-Settings!$B$11,0,Settings!$B$11,1))&lt;Settings!$B$11,NA(),STDEV(OFFSET(G406,1-Settings!$B$11,0,Settings!$B$11,1))*SQRT(Settings!$B$13)))</f>
        <v/>
      </c>
      <c r="K406" s="18">
        <f>IF(OR(NOT(ISNUMBER($A406)),ROW()-2&lt;Settings!$B$12),NA(),IF(COUNT(OFFSET(G406,1-Settings!$B$12,0,Settings!$B$12,1))&lt;Settings!$B$12,NA(),STDEV(OFFSET(G406,1-Settings!$B$12,0,Settings!$B$12,1))*SQRT(Settings!$B$13)))</f>
        <v/>
      </c>
      <c r="L406" s="18">
        <f>IF(AND(ISNUMBER(D406),ISNUMBER(H406)),D406-H406,NA())</f>
        <v/>
      </c>
      <c r="M406" s="18">
        <f>IF(AND(ISNUMBER(E406),ISNUMBER(K406)),E406-K406,NA())</f>
        <v/>
      </c>
      <c r="N406" s="18">
        <f>IF(NOT(ISNUMBER($A406)),NA(),IF(COUNT(OFFSET(G406,1,0,Settings!$B$12,1))&lt;Settings!$B$12,NA(),STDEV(OFFSET(G406,1,0,Settings!$B$12,1))*SQRT(Settings!$B$13)))</f>
        <v/>
      </c>
      <c r="O406" s="18">
        <f>IF(AND(ISNUMBER(E406),ISNUMBER(N406)),E406-N406,NA())</f>
        <v/>
      </c>
      <c r="P406" s="17">
        <f>IF(NOT(ISNUMBER($A406)),NA(),IF(OR($A406&lt;MIN(KW_TP!$A$2:$A$2501),$A406&gt;MAX(KW_TP!$A$2:$A$2501)),NA(),INDEX(KW_TP!$C$2:$C$2501,MATCH($A406,KW_TP!$A$2:$A$2501,1))))</f>
        <v/>
      </c>
    </row>
    <row r="407">
      <c r="A407" s="15">
        <f>IF(ISNUMBER(BBG_Data!A407),BBG_Data!A407,"")</f>
        <v/>
      </c>
      <c r="B407" s="16">
        <f>IF(AND(ISNUMBER($A407),ISNUMBER(BBG_Data!B407)),BBG_Data!B407,NA())</f>
        <v/>
      </c>
      <c r="C407" s="16">
        <f>IF(AND(ISNUMBER($A407),ISNUMBER(BBG_Data!C407)),BBG_Data!C407,NA())</f>
        <v/>
      </c>
      <c r="D407" s="17">
        <f>IF(AND(ISNUMBER($A407),ISNUMBER(BBG_Data!D407)),BBG_Data!D407,NA())</f>
        <v/>
      </c>
      <c r="E407" s="17">
        <f>IF(AND(ISNUMBER($A407),ISNUMBER(BBG_Data!E407)),BBG_Data!E407,NA())</f>
        <v/>
      </c>
      <c r="F407" s="18">
        <f>IF(AND(ISNUMBER(B407),ISNUMBER(B406)),(B407-B406)*100,"")</f>
        <v/>
      </c>
      <c r="G407" s="18">
        <f>IF(AND(ISNUMBER(C407),ISNUMBER(C406)),(C407-C406)*100,"")</f>
        <v/>
      </c>
      <c r="H407" s="18">
        <f>IF(OR(NOT(ISNUMBER($A407)),ROW()-2&lt;Settings!$B$11),NA(),IF(COUNT(OFFSET(F407,1-Settings!$B$11,0,Settings!$B$11,1))&lt;Settings!$B$11,NA(),STDEV(OFFSET(F407,1-Settings!$B$11,0,Settings!$B$11,1))*SQRT(Settings!$B$13)))</f>
        <v/>
      </c>
      <c r="I407" s="18">
        <f>IF(OR(NOT(ISNUMBER($A407)),ROW()-2&lt;Settings!$B$12),NA(),IF(COUNT(OFFSET(F407,1-Settings!$B$12,0,Settings!$B$12,1))&lt;Settings!$B$12,NA(),STDEV(OFFSET(F407,1-Settings!$B$12,0,Settings!$B$12,1))*SQRT(Settings!$B$13)))</f>
        <v/>
      </c>
      <c r="J407" s="18">
        <f>IF(OR(NOT(ISNUMBER($A407)),ROW()-2&lt;Settings!$B$11),NA(),IF(COUNT(OFFSET(G407,1-Settings!$B$11,0,Settings!$B$11,1))&lt;Settings!$B$11,NA(),STDEV(OFFSET(G407,1-Settings!$B$11,0,Settings!$B$11,1))*SQRT(Settings!$B$13)))</f>
        <v/>
      </c>
      <c r="K407" s="18">
        <f>IF(OR(NOT(ISNUMBER($A407)),ROW()-2&lt;Settings!$B$12),NA(),IF(COUNT(OFFSET(G407,1-Settings!$B$12,0,Settings!$B$12,1))&lt;Settings!$B$12,NA(),STDEV(OFFSET(G407,1-Settings!$B$12,0,Settings!$B$12,1))*SQRT(Settings!$B$13)))</f>
        <v/>
      </c>
      <c r="L407" s="18">
        <f>IF(AND(ISNUMBER(D407),ISNUMBER(H407)),D407-H407,NA())</f>
        <v/>
      </c>
      <c r="M407" s="18">
        <f>IF(AND(ISNUMBER(E407),ISNUMBER(K407)),E407-K407,NA())</f>
        <v/>
      </c>
      <c r="N407" s="18">
        <f>IF(NOT(ISNUMBER($A407)),NA(),IF(COUNT(OFFSET(G407,1,0,Settings!$B$12,1))&lt;Settings!$B$12,NA(),STDEV(OFFSET(G407,1,0,Settings!$B$12,1))*SQRT(Settings!$B$13)))</f>
        <v/>
      </c>
      <c r="O407" s="18">
        <f>IF(AND(ISNUMBER(E407),ISNUMBER(N407)),E407-N407,NA())</f>
        <v/>
      </c>
      <c r="P407" s="17">
        <f>IF(NOT(ISNUMBER($A407)),NA(),IF(OR($A407&lt;MIN(KW_TP!$A$2:$A$2501),$A407&gt;MAX(KW_TP!$A$2:$A$2501)),NA(),INDEX(KW_TP!$C$2:$C$2501,MATCH($A407,KW_TP!$A$2:$A$2501,1))))</f>
        <v/>
      </c>
    </row>
    <row r="408">
      <c r="A408" s="15">
        <f>IF(ISNUMBER(BBG_Data!A408),BBG_Data!A408,"")</f>
        <v/>
      </c>
      <c r="B408" s="16">
        <f>IF(AND(ISNUMBER($A408),ISNUMBER(BBG_Data!B408)),BBG_Data!B408,NA())</f>
        <v/>
      </c>
      <c r="C408" s="16">
        <f>IF(AND(ISNUMBER($A408),ISNUMBER(BBG_Data!C408)),BBG_Data!C408,NA())</f>
        <v/>
      </c>
      <c r="D408" s="17">
        <f>IF(AND(ISNUMBER($A408),ISNUMBER(BBG_Data!D408)),BBG_Data!D408,NA())</f>
        <v/>
      </c>
      <c r="E408" s="17">
        <f>IF(AND(ISNUMBER($A408),ISNUMBER(BBG_Data!E408)),BBG_Data!E408,NA())</f>
        <v/>
      </c>
      <c r="F408" s="18">
        <f>IF(AND(ISNUMBER(B408),ISNUMBER(B407)),(B408-B407)*100,"")</f>
        <v/>
      </c>
      <c r="G408" s="18">
        <f>IF(AND(ISNUMBER(C408),ISNUMBER(C407)),(C408-C407)*100,"")</f>
        <v/>
      </c>
      <c r="H408" s="18">
        <f>IF(OR(NOT(ISNUMBER($A408)),ROW()-2&lt;Settings!$B$11),NA(),IF(COUNT(OFFSET(F408,1-Settings!$B$11,0,Settings!$B$11,1))&lt;Settings!$B$11,NA(),STDEV(OFFSET(F408,1-Settings!$B$11,0,Settings!$B$11,1))*SQRT(Settings!$B$13)))</f>
        <v/>
      </c>
      <c r="I408" s="18">
        <f>IF(OR(NOT(ISNUMBER($A408)),ROW()-2&lt;Settings!$B$12),NA(),IF(COUNT(OFFSET(F408,1-Settings!$B$12,0,Settings!$B$12,1))&lt;Settings!$B$12,NA(),STDEV(OFFSET(F408,1-Settings!$B$12,0,Settings!$B$12,1))*SQRT(Settings!$B$13)))</f>
        <v/>
      </c>
      <c r="J408" s="18">
        <f>IF(OR(NOT(ISNUMBER($A408)),ROW()-2&lt;Settings!$B$11),NA(),IF(COUNT(OFFSET(G408,1-Settings!$B$11,0,Settings!$B$11,1))&lt;Settings!$B$11,NA(),STDEV(OFFSET(G408,1-Settings!$B$11,0,Settings!$B$11,1))*SQRT(Settings!$B$13)))</f>
        <v/>
      </c>
      <c r="K408" s="18">
        <f>IF(OR(NOT(ISNUMBER($A408)),ROW()-2&lt;Settings!$B$12),NA(),IF(COUNT(OFFSET(G408,1-Settings!$B$12,0,Settings!$B$12,1))&lt;Settings!$B$12,NA(),STDEV(OFFSET(G408,1-Settings!$B$12,0,Settings!$B$12,1))*SQRT(Settings!$B$13)))</f>
        <v/>
      </c>
      <c r="L408" s="18">
        <f>IF(AND(ISNUMBER(D408),ISNUMBER(H408)),D408-H408,NA())</f>
        <v/>
      </c>
      <c r="M408" s="18">
        <f>IF(AND(ISNUMBER(E408),ISNUMBER(K408)),E408-K408,NA())</f>
        <v/>
      </c>
      <c r="N408" s="18">
        <f>IF(NOT(ISNUMBER($A408)),NA(),IF(COUNT(OFFSET(G408,1,0,Settings!$B$12,1))&lt;Settings!$B$12,NA(),STDEV(OFFSET(G408,1,0,Settings!$B$12,1))*SQRT(Settings!$B$13)))</f>
        <v/>
      </c>
      <c r="O408" s="18">
        <f>IF(AND(ISNUMBER(E408),ISNUMBER(N408)),E408-N408,NA())</f>
        <v/>
      </c>
      <c r="P408" s="17">
        <f>IF(NOT(ISNUMBER($A408)),NA(),IF(OR($A408&lt;MIN(KW_TP!$A$2:$A$2501),$A408&gt;MAX(KW_TP!$A$2:$A$2501)),NA(),INDEX(KW_TP!$C$2:$C$2501,MATCH($A408,KW_TP!$A$2:$A$2501,1))))</f>
        <v/>
      </c>
    </row>
    <row r="409">
      <c r="A409" s="15">
        <f>IF(ISNUMBER(BBG_Data!A409),BBG_Data!A409,"")</f>
        <v/>
      </c>
      <c r="B409" s="16">
        <f>IF(AND(ISNUMBER($A409),ISNUMBER(BBG_Data!B409)),BBG_Data!B409,NA())</f>
        <v/>
      </c>
      <c r="C409" s="16">
        <f>IF(AND(ISNUMBER($A409),ISNUMBER(BBG_Data!C409)),BBG_Data!C409,NA())</f>
        <v/>
      </c>
      <c r="D409" s="17">
        <f>IF(AND(ISNUMBER($A409),ISNUMBER(BBG_Data!D409)),BBG_Data!D409,NA())</f>
        <v/>
      </c>
      <c r="E409" s="17">
        <f>IF(AND(ISNUMBER($A409),ISNUMBER(BBG_Data!E409)),BBG_Data!E409,NA())</f>
        <v/>
      </c>
      <c r="F409" s="18">
        <f>IF(AND(ISNUMBER(B409),ISNUMBER(B408)),(B409-B408)*100,"")</f>
        <v/>
      </c>
      <c r="G409" s="18">
        <f>IF(AND(ISNUMBER(C409),ISNUMBER(C408)),(C409-C408)*100,"")</f>
        <v/>
      </c>
      <c r="H409" s="18">
        <f>IF(OR(NOT(ISNUMBER($A409)),ROW()-2&lt;Settings!$B$11),NA(),IF(COUNT(OFFSET(F409,1-Settings!$B$11,0,Settings!$B$11,1))&lt;Settings!$B$11,NA(),STDEV(OFFSET(F409,1-Settings!$B$11,0,Settings!$B$11,1))*SQRT(Settings!$B$13)))</f>
        <v/>
      </c>
      <c r="I409" s="18">
        <f>IF(OR(NOT(ISNUMBER($A409)),ROW()-2&lt;Settings!$B$12),NA(),IF(COUNT(OFFSET(F409,1-Settings!$B$12,0,Settings!$B$12,1))&lt;Settings!$B$12,NA(),STDEV(OFFSET(F409,1-Settings!$B$12,0,Settings!$B$12,1))*SQRT(Settings!$B$13)))</f>
        <v/>
      </c>
      <c r="J409" s="18">
        <f>IF(OR(NOT(ISNUMBER($A409)),ROW()-2&lt;Settings!$B$11),NA(),IF(COUNT(OFFSET(G409,1-Settings!$B$11,0,Settings!$B$11,1))&lt;Settings!$B$11,NA(),STDEV(OFFSET(G409,1-Settings!$B$11,0,Settings!$B$11,1))*SQRT(Settings!$B$13)))</f>
        <v/>
      </c>
      <c r="K409" s="18">
        <f>IF(OR(NOT(ISNUMBER($A409)),ROW()-2&lt;Settings!$B$12),NA(),IF(COUNT(OFFSET(G409,1-Settings!$B$12,0,Settings!$B$12,1))&lt;Settings!$B$12,NA(),STDEV(OFFSET(G409,1-Settings!$B$12,0,Settings!$B$12,1))*SQRT(Settings!$B$13)))</f>
        <v/>
      </c>
      <c r="L409" s="18">
        <f>IF(AND(ISNUMBER(D409),ISNUMBER(H409)),D409-H409,NA())</f>
        <v/>
      </c>
      <c r="M409" s="18">
        <f>IF(AND(ISNUMBER(E409),ISNUMBER(K409)),E409-K409,NA())</f>
        <v/>
      </c>
      <c r="N409" s="18">
        <f>IF(NOT(ISNUMBER($A409)),NA(),IF(COUNT(OFFSET(G409,1,0,Settings!$B$12,1))&lt;Settings!$B$12,NA(),STDEV(OFFSET(G409,1,0,Settings!$B$12,1))*SQRT(Settings!$B$13)))</f>
        <v/>
      </c>
      <c r="O409" s="18">
        <f>IF(AND(ISNUMBER(E409),ISNUMBER(N409)),E409-N409,NA())</f>
        <v/>
      </c>
      <c r="P409" s="17">
        <f>IF(NOT(ISNUMBER($A409)),NA(),IF(OR($A409&lt;MIN(KW_TP!$A$2:$A$2501),$A409&gt;MAX(KW_TP!$A$2:$A$2501)),NA(),INDEX(KW_TP!$C$2:$C$2501,MATCH($A409,KW_TP!$A$2:$A$2501,1))))</f>
        <v/>
      </c>
    </row>
    <row r="410">
      <c r="A410" s="15">
        <f>IF(ISNUMBER(BBG_Data!A410),BBG_Data!A410,"")</f>
        <v/>
      </c>
      <c r="B410" s="16">
        <f>IF(AND(ISNUMBER($A410),ISNUMBER(BBG_Data!B410)),BBG_Data!B410,NA())</f>
        <v/>
      </c>
      <c r="C410" s="16">
        <f>IF(AND(ISNUMBER($A410),ISNUMBER(BBG_Data!C410)),BBG_Data!C410,NA())</f>
        <v/>
      </c>
      <c r="D410" s="17">
        <f>IF(AND(ISNUMBER($A410),ISNUMBER(BBG_Data!D410)),BBG_Data!D410,NA())</f>
        <v/>
      </c>
      <c r="E410" s="17">
        <f>IF(AND(ISNUMBER($A410),ISNUMBER(BBG_Data!E410)),BBG_Data!E410,NA())</f>
        <v/>
      </c>
      <c r="F410" s="18">
        <f>IF(AND(ISNUMBER(B410),ISNUMBER(B409)),(B410-B409)*100,"")</f>
        <v/>
      </c>
      <c r="G410" s="18">
        <f>IF(AND(ISNUMBER(C410),ISNUMBER(C409)),(C410-C409)*100,"")</f>
        <v/>
      </c>
      <c r="H410" s="18">
        <f>IF(OR(NOT(ISNUMBER($A410)),ROW()-2&lt;Settings!$B$11),NA(),IF(COUNT(OFFSET(F410,1-Settings!$B$11,0,Settings!$B$11,1))&lt;Settings!$B$11,NA(),STDEV(OFFSET(F410,1-Settings!$B$11,0,Settings!$B$11,1))*SQRT(Settings!$B$13)))</f>
        <v/>
      </c>
      <c r="I410" s="18">
        <f>IF(OR(NOT(ISNUMBER($A410)),ROW()-2&lt;Settings!$B$12),NA(),IF(COUNT(OFFSET(F410,1-Settings!$B$12,0,Settings!$B$12,1))&lt;Settings!$B$12,NA(),STDEV(OFFSET(F410,1-Settings!$B$12,0,Settings!$B$12,1))*SQRT(Settings!$B$13)))</f>
        <v/>
      </c>
      <c r="J410" s="18">
        <f>IF(OR(NOT(ISNUMBER($A410)),ROW()-2&lt;Settings!$B$11),NA(),IF(COUNT(OFFSET(G410,1-Settings!$B$11,0,Settings!$B$11,1))&lt;Settings!$B$11,NA(),STDEV(OFFSET(G410,1-Settings!$B$11,0,Settings!$B$11,1))*SQRT(Settings!$B$13)))</f>
        <v/>
      </c>
      <c r="K410" s="18">
        <f>IF(OR(NOT(ISNUMBER($A410)),ROW()-2&lt;Settings!$B$12),NA(),IF(COUNT(OFFSET(G410,1-Settings!$B$12,0,Settings!$B$12,1))&lt;Settings!$B$12,NA(),STDEV(OFFSET(G410,1-Settings!$B$12,0,Settings!$B$12,1))*SQRT(Settings!$B$13)))</f>
        <v/>
      </c>
      <c r="L410" s="18">
        <f>IF(AND(ISNUMBER(D410),ISNUMBER(H410)),D410-H410,NA())</f>
        <v/>
      </c>
      <c r="M410" s="18">
        <f>IF(AND(ISNUMBER(E410),ISNUMBER(K410)),E410-K410,NA())</f>
        <v/>
      </c>
      <c r="N410" s="18">
        <f>IF(NOT(ISNUMBER($A410)),NA(),IF(COUNT(OFFSET(G410,1,0,Settings!$B$12,1))&lt;Settings!$B$12,NA(),STDEV(OFFSET(G410,1,0,Settings!$B$12,1))*SQRT(Settings!$B$13)))</f>
        <v/>
      </c>
      <c r="O410" s="18">
        <f>IF(AND(ISNUMBER(E410),ISNUMBER(N410)),E410-N410,NA())</f>
        <v/>
      </c>
      <c r="P410" s="17">
        <f>IF(NOT(ISNUMBER($A410)),NA(),IF(OR($A410&lt;MIN(KW_TP!$A$2:$A$2501),$A410&gt;MAX(KW_TP!$A$2:$A$2501)),NA(),INDEX(KW_TP!$C$2:$C$2501,MATCH($A410,KW_TP!$A$2:$A$2501,1))))</f>
        <v/>
      </c>
    </row>
    <row r="411">
      <c r="A411" s="15">
        <f>IF(ISNUMBER(BBG_Data!A411),BBG_Data!A411,"")</f>
        <v/>
      </c>
      <c r="B411" s="16">
        <f>IF(AND(ISNUMBER($A411),ISNUMBER(BBG_Data!B411)),BBG_Data!B411,NA())</f>
        <v/>
      </c>
      <c r="C411" s="16">
        <f>IF(AND(ISNUMBER($A411),ISNUMBER(BBG_Data!C411)),BBG_Data!C411,NA())</f>
        <v/>
      </c>
      <c r="D411" s="17">
        <f>IF(AND(ISNUMBER($A411),ISNUMBER(BBG_Data!D411)),BBG_Data!D411,NA())</f>
        <v/>
      </c>
      <c r="E411" s="17">
        <f>IF(AND(ISNUMBER($A411),ISNUMBER(BBG_Data!E411)),BBG_Data!E411,NA())</f>
        <v/>
      </c>
      <c r="F411" s="18">
        <f>IF(AND(ISNUMBER(B411),ISNUMBER(B410)),(B411-B410)*100,"")</f>
        <v/>
      </c>
      <c r="G411" s="18">
        <f>IF(AND(ISNUMBER(C411),ISNUMBER(C410)),(C411-C410)*100,"")</f>
        <v/>
      </c>
      <c r="H411" s="18">
        <f>IF(OR(NOT(ISNUMBER($A411)),ROW()-2&lt;Settings!$B$11),NA(),IF(COUNT(OFFSET(F411,1-Settings!$B$11,0,Settings!$B$11,1))&lt;Settings!$B$11,NA(),STDEV(OFFSET(F411,1-Settings!$B$11,0,Settings!$B$11,1))*SQRT(Settings!$B$13)))</f>
        <v/>
      </c>
      <c r="I411" s="18">
        <f>IF(OR(NOT(ISNUMBER($A411)),ROW()-2&lt;Settings!$B$12),NA(),IF(COUNT(OFFSET(F411,1-Settings!$B$12,0,Settings!$B$12,1))&lt;Settings!$B$12,NA(),STDEV(OFFSET(F411,1-Settings!$B$12,0,Settings!$B$12,1))*SQRT(Settings!$B$13)))</f>
        <v/>
      </c>
      <c r="J411" s="18">
        <f>IF(OR(NOT(ISNUMBER($A411)),ROW()-2&lt;Settings!$B$11),NA(),IF(COUNT(OFFSET(G411,1-Settings!$B$11,0,Settings!$B$11,1))&lt;Settings!$B$11,NA(),STDEV(OFFSET(G411,1-Settings!$B$11,0,Settings!$B$11,1))*SQRT(Settings!$B$13)))</f>
        <v/>
      </c>
      <c r="K411" s="18">
        <f>IF(OR(NOT(ISNUMBER($A411)),ROW()-2&lt;Settings!$B$12),NA(),IF(COUNT(OFFSET(G411,1-Settings!$B$12,0,Settings!$B$12,1))&lt;Settings!$B$12,NA(),STDEV(OFFSET(G411,1-Settings!$B$12,0,Settings!$B$12,1))*SQRT(Settings!$B$13)))</f>
        <v/>
      </c>
      <c r="L411" s="18">
        <f>IF(AND(ISNUMBER(D411),ISNUMBER(H411)),D411-H411,NA())</f>
        <v/>
      </c>
      <c r="M411" s="18">
        <f>IF(AND(ISNUMBER(E411),ISNUMBER(K411)),E411-K411,NA())</f>
        <v/>
      </c>
      <c r="N411" s="18">
        <f>IF(NOT(ISNUMBER($A411)),NA(),IF(COUNT(OFFSET(G411,1,0,Settings!$B$12,1))&lt;Settings!$B$12,NA(),STDEV(OFFSET(G411,1,0,Settings!$B$12,1))*SQRT(Settings!$B$13)))</f>
        <v/>
      </c>
      <c r="O411" s="18">
        <f>IF(AND(ISNUMBER(E411),ISNUMBER(N411)),E411-N411,NA())</f>
        <v/>
      </c>
      <c r="P411" s="17">
        <f>IF(NOT(ISNUMBER($A411)),NA(),IF(OR($A411&lt;MIN(KW_TP!$A$2:$A$2501),$A411&gt;MAX(KW_TP!$A$2:$A$2501)),NA(),INDEX(KW_TP!$C$2:$C$2501,MATCH($A411,KW_TP!$A$2:$A$2501,1))))</f>
        <v/>
      </c>
    </row>
    <row r="412">
      <c r="A412" s="15">
        <f>IF(ISNUMBER(BBG_Data!A412),BBG_Data!A412,"")</f>
        <v/>
      </c>
      <c r="B412" s="16">
        <f>IF(AND(ISNUMBER($A412),ISNUMBER(BBG_Data!B412)),BBG_Data!B412,NA())</f>
        <v/>
      </c>
      <c r="C412" s="16">
        <f>IF(AND(ISNUMBER($A412),ISNUMBER(BBG_Data!C412)),BBG_Data!C412,NA())</f>
        <v/>
      </c>
      <c r="D412" s="17">
        <f>IF(AND(ISNUMBER($A412),ISNUMBER(BBG_Data!D412)),BBG_Data!D412,NA())</f>
        <v/>
      </c>
      <c r="E412" s="17">
        <f>IF(AND(ISNUMBER($A412),ISNUMBER(BBG_Data!E412)),BBG_Data!E412,NA())</f>
        <v/>
      </c>
      <c r="F412" s="18">
        <f>IF(AND(ISNUMBER(B412),ISNUMBER(B411)),(B412-B411)*100,"")</f>
        <v/>
      </c>
      <c r="G412" s="18">
        <f>IF(AND(ISNUMBER(C412),ISNUMBER(C411)),(C412-C411)*100,"")</f>
        <v/>
      </c>
      <c r="H412" s="18">
        <f>IF(OR(NOT(ISNUMBER($A412)),ROW()-2&lt;Settings!$B$11),NA(),IF(COUNT(OFFSET(F412,1-Settings!$B$11,0,Settings!$B$11,1))&lt;Settings!$B$11,NA(),STDEV(OFFSET(F412,1-Settings!$B$11,0,Settings!$B$11,1))*SQRT(Settings!$B$13)))</f>
        <v/>
      </c>
      <c r="I412" s="18">
        <f>IF(OR(NOT(ISNUMBER($A412)),ROW()-2&lt;Settings!$B$12),NA(),IF(COUNT(OFFSET(F412,1-Settings!$B$12,0,Settings!$B$12,1))&lt;Settings!$B$12,NA(),STDEV(OFFSET(F412,1-Settings!$B$12,0,Settings!$B$12,1))*SQRT(Settings!$B$13)))</f>
        <v/>
      </c>
      <c r="J412" s="18">
        <f>IF(OR(NOT(ISNUMBER($A412)),ROW()-2&lt;Settings!$B$11),NA(),IF(COUNT(OFFSET(G412,1-Settings!$B$11,0,Settings!$B$11,1))&lt;Settings!$B$11,NA(),STDEV(OFFSET(G412,1-Settings!$B$11,0,Settings!$B$11,1))*SQRT(Settings!$B$13)))</f>
        <v/>
      </c>
      <c r="K412" s="18">
        <f>IF(OR(NOT(ISNUMBER($A412)),ROW()-2&lt;Settings!$B$12),NA(),IF(COUNT(OFFSET(G412,1-Settings!$B$12,0,Settings!$B$12,1))&lt;Settings!$B$12,NA(),STDEV(OFFSET(G412,1-Settings!$B$12,0,Settings!$B$12,1))*SQRT(Settings!$B$13)))</f>
        <v/>
      </c>
      <c r="L412" s="18">
        <f>IF(AND(ISNUMBER(D412),ISNUMBER(H412)),D412-H412,NA())</f>
        <v/>
      </c>
      <c r="M412" s="18">
        <f>IF(AND(ISNUMBER(E412),ISNUMBER(K412)),E412-K412,NA())</f>
        <v/>
      </c>
      <c r="N412" s="18">
        <f>IF(NOT(ISNUMBER($A412)),NA(),IF(COUNT(OFFSET(G412,1,0,Settings!$B$12,1))&lt;Settings!$B$12,NA(),STDEV(OFFSET(G412,1,0,Settings!$B$12,1))*SQRT(Settings!$B$13)))</f>
        <v/>
      </c>
      <c r="O412" s="18">
        <f>IF(AND(ISNUMBER(E412),ISNUMBER(N412)),E412-N412,NA())</f>
        <v/>
      </c>
      <c r="P412" s="17">
        <f>IF(NOT(ISNUMBER($A412)),NA(),IF(OR($A412&lt;MIN(KW_TP!$A$2:$A$2501),$A412&gt;MAX(KW_TP!$A$2:$A$2501)),NA(),INDEX(KW_TP!$C$2:$C$2501,MATCH($A412,KW_TP!$A$2:$A$2501,1))))</f>
        <v/>
      </c>
    </row>
    <row r="413">
      <c r="A413" s="15">
        <f>IF(ISNUMBER(BBG_Data!A413),BBG_Data!A413,"")</f>
        <v/>
      </c>
      <c r="B413" s="16">
        <f>IF(AND(ISNUMBER($A413),ISNUMBER(BBG_Data!B413)),BBG_Data!B413,NA())</f>
        <v/>
      </c>
      <c r="C413" s="16">
        <f>IF(AND(ISNUMBER($A413),ISNUMBER(BBG_Data!C413)),BBG_Data!C413,NA())</f>
        <v/>
      </c>
      <c r="D413" s="17">
        <f>IF(AND(ISNUMBER($A413),ISNUMBER(BBG_Data!D413)),BBG_Data!D413,NA())</f>
        <v/>
      </c>
      <c r="E413" s="17">
        <f>IF(AND(ISNUMBER($A413),ISNUMBER(BBG_Data!E413)),BBG_Data!E413,NA())</f>
        <v/>
      </c>
      <c r="F413" s="18">
        <f>IF(AND(ISNUMBER(B413),ISNUMBER(B412)),(B413-B412)*100,"")</f>
        <v/>
      </c>
      <c r="G413" s="18">
        <f>IF(AND(ISNUMBER(C413),ISNUMBER(C412)),(C413-C412)*100,"")</f>
        <v/>
      </c>
      <c r="H413" s="18">
        <f>IF(OR(NOT(ISNUMBER($A413)),ROW()-2&lt;Settings!$B$11),NA(),IF(COUNT(OFFSET(F413,1-Settings!$B$11,0,Settings!$B$11,1))&lt;Settings!$B$11,NA(),STDEV(OFFSET(F413,1-Settings!$B$11,0,Settings!$B$11,1))*SQRT(Settings!$B$13)))</f>
        <v/>
      </c>
      <c r="I413" s="18">
        <f>IF(OR(NOT(ISNUMBER($A413)),ROW()-2&lt;Settings!$B$12),NA(),IF(COUNT(OFFSET(F413,1-Settings!$B$12,0,Settings!$B$12,1))&lt;Settings!$B$12,NA(),STDEV(OFFSET(F413,1-Settings!$B$12,0,Settings!$B$12,1))*SQRT(Settings!$B$13)))</f>
        <v/>
      </c>
      <c r="J413" s="18">
        <f>IF(OR(NOT(ISNUMBER($A413)),ROW()-2&lt;Settings!$B$11),NA(),IF(COUNT(OFFSET(G413,1-Settings!$B$11,0,Settings!$B$11,1))&lt;Settings!$B$11,NA(),STDEV(OFFSET(G413,1-Settings!$B$11,0,Settings!$B$11,1))*SQRT(Settings!$B$13)))</f>
        <v/>
      </c>
      <c r="K413" s="18">
        <f>IF(OR(NOT(ISNUMBER($A413)),ROW()-2&lt;Settings!$B$12),NA(),IF(COUNT(OFFSET(G413,1-Settings!$B$12,0,Settings!$B$12,1))&lt;Settings!$B$12,NA(),STDEV(OFFSET(G413,1-Settings!$B$12,0,Settings!$B$12,1))*SQRT(Settings!$B$13)))</f>
        <v/>
      </c>
      <c r="L413" s="18">
        <f>IF(AND(ISNUMBER(D413),ISNUMBER(H413)),D413-H413,NA())</f>
        <v/>
      </c>
      <c r="M413" s="18">
        <f>IF(AND(ISNUMBER(E413),ISNUMBER(K413)),E413-K413,NA())</f>
        <v/>
      </c>
      <c r="N413" s="18">
        <f>IF(NOT(ISNUMBER($A413)),NA(),IF(COUNT(OFFSET(G413,1,0,Settings!$B$12,1))&lt;Settings!$B$12,NA(),STDEV(OFFSET(G413,1,0,Settings!$B$12,1))*SQRT(Settings!$B$13)))</f>
        <v/>
      </c>
      <c r="O413" s="18">
        <f>IF(AND(ISNUMBER(E413),ISNUMBER(N413)),E413-N413,NA())</f>
        <v/>
      </c>
      <c r="P413" s="17">
        <f>IF(NOT(ISNUMBER($A413)),NA(),IF(OR($A413&lt;MIN(KW_TP!$A$2:$A$2501),$A413&gt;MAX(KW_TP!$A$2:$A$2501)),NA(),INDEX(KW_TP!$C$2:$C$2501,MATCH($A413,KW_TP!$A$2:$A$2501,1))))</f>
        <v/>
      </c>
    </row>
    <row r="414">
      <c r="A414" s="15">
        <f>IF(ISNUMBER(BBG_Data!A414),BBG_Data!A414,"")</f>
        <v/>
      </c>
      <c r="B414" s="16">
        <f>IF(AND(ISNUMBER($A414),ISNUMBER(BBG_Data!B414)),BBG_Data!B414,NA())</f>
        <v/>
      </c>
      <c r="C414" s="16">
        <f>IF(AND(ISNUMBER($A414),ISNUMBER(BBG_Data!C414)),BBG_Data!C414,NA())</f>
        <v/>
      </c>
      <c r="D414" s="17">
        <f>IF(AND(ISNUMBER($A414),ISNUMBER(BBG_Data!D414)),BBG_Data!D414,NA())</f>
        <v/>
      </c>
      <c r="E414" s="17">
        <f>IF(AND(ISNUMBER($A414),ISNUMBER(BBG_Data!E414)),BBG_Data!E414,NA())</f>
        <v/>
      </c>
      <c r="F414" s="18">
        <f>IF(AND(ISNUMBER(B414),ISNUMBER(B413)),(B414-B413)*100,"")</f>
        <v/>
      </c>
      <c r="G414" s="18">
        <f>IF(AND(ISNUMBER(C414),ISNUMBER(C413)),(C414-C413)*100,"")</f>
        <v/>
      </c>
      <c r="H414" s="18">
        <f>IF(OR(NOT(ISNUMBER($A414)),ROW()-2&lt;Settings!$B$11),NA(),IF(COUNT(OFFSET(F414,1-Settings!$B$11,0,Settings!$B$11,1))&lt;Settings!$B$11,NA(),STDEV(OFFSET(F414,1-Settings!$B$11,0,Settings!$B$11,1))*SQRT(Settings!$B$13)))</f>
        <v/>
      </c>
      <c r="I414" s="18">
        <f>IF(OR(NOT(ISNUMBER($A414)),ROW()-2&lt;Settings!$B$12),NA(),IF(COUNT(OFFSET(F414,1-Settings!$B$12,0,Settings!$B$12,1))&lt;Settings!$B$12,NA(),STDEV(OFFSET(F414,1-Settings!$B$12,0,Settings!$B$12,1))*SQRT(Settings!$B$13)))</f>
        <v/>
      </c>
      <c r="J414" s="18">
        <f>IF(OR(NOT(ISNUMBER($A414)),ROW()-2&lt;Settings!$B$11),NA(),IF(COUNT(OFFSET(G414,1-Settings!$B$11,0,Settings!$B$11,1))&lt;Settings!$B$11,NA(),STDEV(OFFSET(G414,1-Settings!$B$11,0,Settings!$B$11,1))*SQRT(Settings!$B$13)))</f>
        <v/>
      </c>
      <c r="K414" s="18">
        <f>IF(OR(NOT(ISNUMBER($A414)),ROW()-2&lt;Settings!$B$12),NA(),IF(COUNT(OFFSET(G414,1-Settings!$B$12,0,Settings!$B$12,1))&lt;Settings!$B$12,NA(),STDEV(OFFSET(G414,1-Settings!$B$12,0,Settings!$B$12,1))*SQRT(Settings!$B$13)))</f>
        <v/>
      </c>
      <c r="L414" s="18">
        <f>IF(AND(ISNUMBER(D414),ISNUMBER(H414)),D414-H414,NA())</f>
        <v/>
      </c>
      <c r="M414" s="18">
        <f>IF(AND(ISNUMBER(E414),ISNUMBER(K414)),E414-K414,NA())</f>
        <v/>
      </c>
      <c r="N414" s="18">
        <f>IF(NOT(ISNUMBER($A414)),NA(),IF(COUNT(OFFSET(G414,1,0,Settings!$B$12,1))&lt;Settings!$B$12,NA(),STDEV(OFFSET(G414,1,0,Settings!$B$12,1))*SQRT(Settings!$B$13)))</f>
        <v/>
      </c>
      <c r="O414" s="18">
        <f>IF(AND(ISNUMBER(E414),ISNUMBER(N414)),E414-N414,NA())</f>
        <v/>
      </c>
      <c r="P414" s="17">
        <f>IF(NOT(ISNUMBER($A414)),NA(),IF(OR($A414&lt;MIN(KW_TP!$A$2:$A$2501),$A414&gt;MAX(KW_TP!$A$2:$A$2501)),NA(),INDEX(KW_TP!$C$2:$C$2501,MATCH($A414,KW_TP!$A$2:$A$2501,1))))</f>
        <v/>
      </c>
    </row>
    <row r="415">
      <c r="A415" s="15">
        <f>IF(ISNUMBER(BBG_Data!A415),BBG_Data!A415,"")</f>
        <v/>
      </c>
      <c r="B415" s="16">
        <f>IF(AND(ISNUMBER($A415),ISNUMBER(BBG_Data!B415)),BBG_Data!B415,NA())</f>
        <v/>
      </c>
      <c r="C415" s="16">
        <f>IF(AND(ISNUMBER($A415),ISNUMBER(BBG_Data!C415)),BBG_Data!C415,NA())</f>
        <v/>
      </c>
      <c r="D415" s="17">
        <f>IF(AND(ISNUMBER($A415),ISNUMBER(BBG_Data!D415)),BBG_Data!D415,NA())</f>
        <v/>
      </c>
      <c r="E415" s="17">
        <f>IF(AND(ISNUMBER($A415),ISNUMBER(BBG_Data!E415)),BBG_Data!E415,NA())</f>
        <v/>
      </c>
      <c r="F415" s="18">
        <f>IF(AND(ISNUMBER(B415),ISNUMBER(B414)),(B415-B414)*100,"")</f>
        <v/>
      </c>
      <c r="G415" s="18">
        <f>IF(AND(ISNUMBER(C415),ISNUMBER(C414)),(C415-C414)*100,"")</f>
        <v/>
      </c>
      <c r="H415" s="18">
        <f>IF(OR(NOT(ISNUMBER($A415)),ROW()-2&lt;Settings!$B$11),NA(),IF(COUNT(OFFSET(F415,1-Settings!$B$11,0,Settings!$B$11,1))&lt;Settings!$B$11,NA(),STDEV(OFFSET(F415,1-Settings!$B$11,0,Settings!$B$11,1))*SQRT(Settings!$B$13)))</f>
        <v/>
      </c>
      <c r="I415" s="18">
        <f>IF(OR(NOT(ISNUMBER($A415)),ROW()-2&lt;Settings!$B$12),NA(),IF(COUNT(OFFSET(F415,1-Settings!$B$12,0,Settings!$B$12,1))&lt;Settings!$B$12,NA(),STDEV(OFFSET(F415,1-Settings!$B$12,0,Settings!$B$12,1))*SQRT(Settings!$B$13)))</f>
        <v/>
      </c>
      <c r="J415" s="18">
        <f>IF(OR(NOT(ISNUMBER($A415)),ROW()-2&lt;Settings!$B$11),NA(),IF(COUNT(OFFSET(G415,1-Settings!$B$11,0,Settings!$B$11,1))&lt;Settings!$B$11,NA(),STDEV(OFFSET(G415,1-Settings!$B$11,0,Settings!$B$11,1))*SQRT(Settings!$B$13)))</f>
        <v/>
      </c>
      <c r="K415" s="18">
        <f>IF(OR(NOT(ISNUMBER($A415)),ROW()-2&lt;Settings!$B$12),NA(),IF(COUNT(OFFSET(G415,1-Settings!$B$12,0,Settings!$B$12,1))&lt;Settings!$B$12,NA(),STDEV(OFFSET(G415,1-Settings!$B$12,0,Settings!$B$12,1))*SQRT(Settings!$B$13)))</f>
        <v/>
      </c>
      <c r="L415" s="18">
        <f>IF(AND(ISNUMBER(D415),ISNUMBER(H415)),D415-H415,NA())</f>
        <v/>
      </c>
      <c r="M415" s="18">
        <f>IF(AND(ISNUMBER(E415),ISNUMBER(K415)),E415-K415,NA())</f>
        <v/>
      </c>
      <c r="N415" s="18">
        <f>IF(NOT(ISNUMBER($A415)),NA(),IF(COUNT(OFFSET(G415,1,0,Settings!$B$12,1))&lt;Settings!$B$12,NA(),STDEV(OFFSET(G415,1,0,Settings!$B$12,1))*SQRT(Settings!$B$13)))</f>
        <v/>
      </c>
      <c r="O415" s="18">
        <f>IF(AND(ISNUMBER(E415),ISNUMBER(N415)),E415-N415,NA())</f>
        <v/>
      </c>
      <c r="P415" s="17">
        <f>IF(NOT(ISNUMBER($A415)),NA(),IF(OR($A415&lt;MIN(KW_TP!$A$2:$A$2501),$A415&gt;MAX(KW_TP!$A$2:$A$2501)),NA(),INDEX(KW_TP!$C$2:$C$2501,MATCH($A415,KW_TP!$A$2:$A$2501,1))))</f>
        <v/>
      </c>
    </row>
    <row r="416">
      <c r="A416" s="15">
        <f>IF(ISNUMBER(BBG_Data!A416),BBG_Data!A416,"")</f>
        <v/>
      </c>
      <c r="B416" s="16">
        <f>IF(AND(ISNUMBER($A416),ISNUMBER(BBG_Data!B416)),BBG_Data!B416,NA())</f>
        <v/>
      </c>
      <c r="C416" s="16">
        <f>IF(AND(ISNUMBER($A416),ISNUMBER(BBG_Data!C416)),BBG_Data!C416,NA())</f>
        <v/>
      </c>
      <c r="D416" s="17">
        <f>IF(AND(ISNUMBER($A416),ISNUMBER(BBG_Data!D416)),BBG_Data!D416,NA())</f>
        <v/>
      </c>
      <c r="E416" s="17">
        <f>IF(AND(ISNUMBER($A416),ISNUMBER(BBG_Data!E416)),BBG_Data!E416,NA())</f>
        <v/>
      </c>
      <c r="F416" s="18">
        <f>IF(AND(ISNUMBER(B416),ISNUMBER(B415)),(B416-B415)*100,"")</f>
        <v/>
      </c>
      <c r="G416" s="18">
        <f>IF(AND(ISNUMBER(C416),ISNUMBER(C415)),(C416-C415)*100,"")</f>
        <v/>
      </c>
      <c r="H416" s="18">
        <f>IF(OR(NOT(ISNUMBER($A416)),ROW()-2&lt;Settings!$B$11),NA(),IF(COUNT(OFFSET(F416,1-Settings!$B$11,0,Settings!$B$11,1))&lt;Settings!$B$11,NA(),STDEV(OFFSET(F416,1-Settings!$B$11,0,Settings!$B$11,1))*SQRT(Settings!$B$13)))</f>
        <v/>
      </c>
      <c r="I416" s="18">
        <f>IF(OR(NOT(ISNUMBER($A416)),ROW()-2&lt;Settings!$B$12),NA(),IF(COUNT(OFFSET(F416,1-Settings!$B$12,0,Settings!$B$12,1))&lt;Settings!$B$12,NA(),STDEV(OFFSET(F416,1-Settings!$B$12,0,Settings!$B$12,1))*SQRT(Settings!$B$13)))</f>
        <v/>
      </c>
      <c r="J416" s="18">
        <f>IF(OR(NOT(ISNUMBER($A416)),ROW()-2&lt;Settings!$B$11),NA(),IF(COUNT(OFFSET(G416,1-Settings!$B$11,0,Settings!$B$11,1))&lt;Settings!$B$11,NA(),STDEV(OFFSET(G416,1-Settings!$B$11,0,Settings!$B$11,1))*SQRT(Settings!$B$13)))</f>
        <v/>
      </c>
      <c r="K416" s="18">
        <f>IF(OR(NOT(ISNUMBER($A416)),ROW()-2&lt;Settings!$B$12),NA(),IF(COUNT(OFFSET(G416,1-Settings!$B$12,0,Settings!$B$12,1))&lt;Settings!$B$12,NA(),STDEV(OFFSET(G416,1-Settings!$B$12,0,Settings!$B$12,1))*SQRT(Settings!$B$13)))</f>
        <v/>
      </c>
      <c r="L416" s="18">
        <f>IF(AND(ISNUMBER(D416),ISNUMBER(H416)),D416-H416,NA())</f>
        <v/>
      </c>
      <c r="M416" s="18">
        <f>IF(AND(ISNUMBER(E416),ISNUMBER(K416)),E416-K416,NA())</f>
        <v/>
      </c>
      <c r="N416" s="18">
        <f>IF(NOT(ISNUMBER($A416)),NA(),IF(COUNT(OFFSET(G416,1,0,Settings!$B$12,1))&lt;Settings!$B$12,NA(),STDEV(OFFSET(G416,1,0,Settings!$B$12,1))*SQRT(Settings!$B$13)))</f>
        <v/>
      </c>
      <c r="O416" s="18">
        <f>IF(AND(ISNUMBER(E416),ISNUMBER(N416)),E416-N416,NA())</f>
        <v/>
      </c>
      <c r="P416" s="17">
        <f>IF(NOT(ISNUMBER($A416)),NA(),IF(OR($A416&lt;MIN(KW_TP!$A$2:$A$2501),$A416&gt;MAX(KW_TP!$A$2:$A$2501)),NA(),INDEX(KW_TP!$C$2:$C$2501,MATCH($A416,KW_TP!$A$2:$A$2501,1))))</f>
        <v/>
      </c>
    </row>
    <row r="417">
      <c r="A417" s="15">
        <f>IF(ISNUMBER(BBG_Data!A417),BBG_Data!A417,"")</f>
        <v/>
      </c>
      <c r="B417" s="16">
        <f>IF(AND(ISNUMBER($A417),ISNUMBER(BBG_Data!B417)),BBG_Data!B417,NA())</f>
        <v/>
      </c>
      <c r="C417" s="16">
        <f>IF(AND(ISNUMBER($A417),ISNUMBER(BBG_Data!C417)),BBG_Data!C417,NA())</f>
        <v/>
      </c>
      <c r="D417" s="17">
        <f>IF(AND(ISNUMBER($A417),ISNUMBER(BBG_Data!D417)),BBG_Data!D417,NA())</f>
        <v/>
      </c>
      <c r="E417" s="17">
        <f>IF(AND(ISNUMBER($A417),ISNUMBER(BBG_Data!E417)),BBG_Data!E417,NA())</f>
        <v/>
      </c>
      <c r="F417" s="18">
        <f>IF(AND(ISNUMBER(B417),ISNUMBER(B416)),(B417-B416)*100,"")</f>
        <v/>
      </c>
      <c r="G417" s="18">
        <f>IF(AND(ISNUMBER(C417),ISNUMBER(C416)),(C417-C416)*100,"")</f>
        <v/>
      </c>
      <c r="H417" s="18">
        <f>IF(OR(NOT(ISNUMBER($A417)),ROW()-2&lt;Settings!$B$11),NA(),IF(COUNT(OFFSET(F417,1-Settings!$B$11,0,Settings!$B$11,1))&lt;Settings!$B$11,NA(),STDEV(OFFSET(F417,1-Settings!$B$11,0,Settings!$B$11,1))*SQRT(Settings!$B$13)))</f>
        <v/>
      </c>
      <c r="I417" s="18">
        <f>IF(OR(NOT(ISNUMBER($A417)),ROW()-2&lt;Settings!$B$12),NA(),IF(COUNT(OFFSET(F417,1-Settings!$B$12,0,Settings!$B$12,1))&lt;Settings!$B$12,NA(),STDEV(OFFSET(F417,1-Settings!$B$12,0,Settings!$B$12,1))*SQRT(Settings!$B$13)))</f>
        <v/>
      </c>
      <c r="J417" s="18">
        <f>IF(OR(NOT(ISNUMBER($A417)),ROW()-2&lt;Settings!$B$11),NA(),IF(COUNT(OFFSET(G417,1-Settings!$B$11,0,Settings!$B$11,1))&lt;Settings!$B$11,NA(),STDEV(OFFSET(G417,1-Settings!$B$11,0,Settings!$B$11,1))*SQRT(Settings!$B$13)))</f>
        <v/>
      </c>
      <c r="K417" s="18">
        <f>IF(OR(NOT(ISNUMBER($A417)),ROW()-2&lt;Settings!$B$12),NA(),IF(COUNT(OFFSET(G417,1-Settings!$B$12,0,Settings!$B$12,1))&lt;Settings!$B$12,NA(),STDEV(OFFSET(G417,1-Settings!$B$12,0,Settings!$B$12,1))*SQRT(Settings!$B$13)))</f>
        <v/>
      </c>
      <c r="L417" s="18">
        <f>IF(AND(ISNUMBER(D417),ISNUMBER(H417)),D417-H417,NA())</f>
        <v/>
      </c>
      <c r="M417" s="18">
        <f>IF(AND(ISNUMBER(E417),ISNUMBER(K417)),E417-K417,NA())</f>
        <v/>
      </c>
      <c r="N417" s="18">
        <f>IF(NOT(ISNUMBER($A417)),NA(),IF(COUNT(OFFSET(G417,1,0,Settings!$B$12,1))&lt;Settings!$B$12,NA(),STDEV(OFFSET(G417,1,0,Settings!$B$12,1))*SQRT(Settings!$B$13)))</f>
        <v/>
      </c>
      <c r="O417" s="18">
        <f>IF(AND(ISNUMBER(E417),ISNUMBER(N417)),E417-N417,NA())</f>
        <v/>
      </c>
      <c r="P417" s="17">
        <f>IF(NOT(ISNUMBER($A417)),NA(),IF(OR($A417&lt;MIN(KW_TP!$A$2:$A$2501),$A417&gt;MAX(KW_TP!$A$2:$A$2501)),NA(),INDEX(KW_TP!$C$2:$C$2501,MATCH($A417,KW_TP!$A$2:$A$2501,1))))</f>
        <v/>
      </c>
    </row>
    <row r="418">
      <c r="A418" s="15">
        <f>IF(ISNUMBER(BBG_Data!A418),BBG_Data!A418,"")</f>
        <v/>
      </c>
      <c r="B418" s="16">
        <f>IF(AND(ISNUMBER($A418),ISNUMBER(BBG_Data!B418)),BBG_Data!B418,NA())</f>
        <v/>
      </c>
      <c r="C418" s="16">
        <f>IF(AND(ISNUMBER($A418),ISNUMBER(BBG_Data!C418)),BBG_Data!C418,NA())</f>
        <v/>
      </c>
      <c r="D418" s="17">
        <f>IF(AND(ISNUMBER($A418),ISNUMBER(BBG_Data!D418)),BBG_Data!D418,NA())</f>
        <v/>
      </c>
      <c r="E418" s="17">
        <f>IF(AND(ISNUMBER($A418),ISNUMBER(BBG_Data!E418)),BBG_Data!E418,NA())</f>
        <v/>
      </c>
      <c r="F418" s="18">
        <f>IF(AND(ISNUMBER(B418),ISNUMBER(B417)),(B418-B417)*100,"")</f>
        <v/>
      </c>
      <c r="G418" s="18">
        <f>IF(AND(ISNUMBER(C418),ISNUMBER(C417)),(C418-C417)*100,"")</f>
        <v/>
      </c>
      <c r="H418" s="18">
        <f>IF(OR(NOT(ISNUMBER($A418)),ROW()-2&lt;Settings!$B$11),NA(),IF(COUNT(OFFSET(F418,1-Settings!$B$11,0,Settings!$B$11,1))&lt;Settings!$B$11,NA(),STDEV(OFFSET(F418,1-Settings!$B$11,0,Settings!$B$11,1))*SQRT(Settings!$B$13)))</f>
        <v/>
      </c>
      <c r="I418" s="18">
        <f>IF(OR(NOT(ISNUMBER($A418)),ROW()-2&lt;Settings!$B$12),NA(),IF(COUNT(OFFSET(F418,1-Settings!$B$12,0,Settings!$B$12,1))&lt;Settings!$B$12,NA(),STDEV(OFFSET(F418,1-Settings!$B$12,0,Settings!$B$12,1))*SQRT(Settings!$B$13)))</f>
        <v/>
      </c>
      <c r="J418" s="18">
        <f>IF(OR(NOT(ISNUMBER($A418)),ROW()-2&lt;Settings!$B$11),NA(),IF(COUNT(OFFSET(G418,1-Settings!$B$11,0,Settings!$B$11,1))&lt;Settings!$B$11,NA(),STDEV(OFFSET(G418,1-Settings!$B$11,0,Settings!$B$11,1))*SQRT(Settings!$B$13)))</f>
        <v/>
      </c>
      <c r="K418" s="18">
        <f>IF(OR(NOT(ISNUMBER($A418)),ROW()-2&lt;Settings!$B$12),NA(),IF(COUNT(OFFSET(G418,1-Settings!$B$12,0,Settings!$B$12,1))&lt;Settings!$B$12,NA(),STDEV(OFFSET(G418,1-Settings!$B$12,0,Settings!$B$12,1))*SQRT(Settings!$B$13)))</f>
        <v/>
      </c>
      <c r="L418" s="18">
        <f>IF(AND(ISNUMBER(D418),ISNUMBER(H418)),D418-H418,NA())</f>
        <v/>
      </c>
      <c r="M418" s="18">
        <f>IF(AND(ISNUMBER(E418),ISNUMBER(K418)),E418-K418,NA())</f>
        <v/>
      </c>
      <c r="N418" s="18">
        <f>IF(NOT(ISNUMBER($A418)),NA(),IF(COUNT(OFFSET(G418,1,0,Settings!$B$12,1))&lt;Settings!$B$12,NA(),STDEV(OFFSET(G418,1,0,Settings!$B$12,1))*SQRT(Settings!$B$13)))</f>
        <v/>
      </c>
      <c r="O418" s="18">
        <f>IF(AND(ISNUMBER(E418),ISNUMBER(N418)),E418-N418,NA())</f>
        <v/>
      </c>
      <c r="P418" s="17">
        <f>IF(NOT(ISNUMBER($A418)),NA(),IF(OR($A418&lt;MIN(KW_TP!$A$2:$A$2501),$A418&gt;MAX(KW_TP!$A$2:$A$2501)),NA(),INDEX(KW_TP!$C$2:$C$2501,MATCH($A418,KW_TP!$A$2:$A$2501,1))))</f>
        <v/>
      </c>
    </row>
    <row r="419">
      <c r="A419" s="15">
        <f>IF(ISNUMBER(BBG_Data!A419),BBG_Data!A419,"")</f>
        <v/>
      </c>
      <c r="B419" s="16">
        <f>IF(AND(ISNUMBER($A419),ISNUMBER(BBG_Data!B419)),BBG_Data!B419,NA())</f>
        <v/>
      </c>
      <c r="C419" s="16">
        <f>IF(AND(ISNUMBER($A419),ISNUMBER(BBG_Data!C419)),BBG_Data!C419,NA())</f>
        <v/>
      </c>
      <c r="D419" s="17">
        <f>IF(AND(ISNUMBER($A419),ISNUMBER(BBG_Data!D419)),BBG_Data!D419,NA())</f>
        <v/>
      </c>
      <c r="E419" s="17">
        <f>IF(AND(ISNUMBER($A419),ISNUMBER(BBG_Data!E419)),BBG_Data!E419,NA())</f>
        <v/>
      </c>
      <c r="F419" s="18">
        <f>IF(AND(ISNUMBER(B419),ISNUMBER(B418)),(B419-B418)*100,"")</f>
        <v/>
      </c>
      <c r="G419" s="18">
        <f>IF(AND(ISNUMBER(C419),ISNUMBER(C418)),(C419-C418)*100,"")</f>
        <v/>
      </c>
      <c r="H419" s="18">
        <f>IF(OR(NOT(ISNUMBER($A419)),ROW()-2&lt;Settings!$B$11),NA(),IF(COUNT(OFFSET(F419,1-Settings!$B$11,0,Settings!$B$11,1))&lt;Settings!$B$11,NA(),STDEV(OFFSET(F419,1-Settings!$B$11,0,Settings!$B$11,1))*SQRT(Settings!$B$13)))</f>
        <v/>
      </c>
      <c r="I419" s="18">
        <f>IF(OR(NOT(ISNUMBER($A419)),ROW()-2&lt;Settings!$B$12),NA(),IF(COUNT(OFFSET(F419,1-Settings!$B$12,0,Settings!$B$12,1))&lt;Settings!$B$12,NA(),STDEV(OFFSET(F419,1-Settings!$B$12,0,Settings!$B$12,1))*SQRT(Settings!$B$13)))</f>
        <v/>
      </c>
      <c r="J419" s="18">
        <f>IF(OR(NOT(ISNUMBER($A419)),ROW()-2&lt;Settings!$B$11),NA(),IF(COUNT(OFFSET(G419,1-Settings!$B$11,0,Settings!$B$11,1))&lt;Settings!$B$11,NA(),STDEV(OFFSET(G419,1-Settings!$B$11,0,Settings!$B$11,1))*SQRT(Settings!$B$13)))</f>
        <v/>
      </c>
      <c r="K419" s="18">
        <f>IF(OR(NOT(ISNUMBER($A419)),ROW()-2&lt;Settings!$B$12),NA(),IF(COUNT(OFFSET(G419,1-Settings!$B$12,0,Settings!$B$12,1))&lt;Settings!$B$12,NA(),STDEV(OFFSET(G419,1-Settings!$B$12,0,Settings!$B$12,1))*SQRT(Settings!$B$13)))</f>
        <v/>
      </c>
      <c r="L419" s="18">
        <f>IF(AND(ISNUMBER(D419),ISNUMBER(H419)),D419-H419,NA())</f>
        <v/>
      </c>
      <c r="M419" s="18">
        <f>IF(AND(ISNUMBER(E419),ISNUMBER(K419)),E419-K419,NA())</f>
        <v/>
      </c>
      <c r="N419" s="18">
        <f>IF(NOT(ISNUMBER($A419)),NA(),IF(COUNT(OFFSET(G419,1,0,Settings!$B$12,1))&lt;Settings!$B$12,NA(),STDEV(OFFSET(G419,1,0,Settings!$B$12,1))*SQRT(Settings!$B$13)))</f>
        <v/>
      </c>
      <c r="O419" s="18">
        <f>IF(AND(ISNUMBER(E419),ISNUMBER(N419)),E419-N419,NA())</f>
        <v/>
      </c>
      <c r="P419" s="17">
        <f>IF(NOT(ISNUMBER($A419)),NA(),IF(OR($A419&lt;MIN(KW_TP!$A$2:$A$2501),$A419&gt;MAX(KW_TP!$A$2:$A$2501)),NA(),INDEX(KW_TP!$C$2:$C$2501,MATCH($A419,KW_TP!$A$2:$A$2501,1))))</f>
        <v/>
      </c>
    </row>
    <row r="420">
      <c r="A420" s="15">
        <f>IF(ISNUMBER(BBG_Data!A420),BBG_Data!A420,"")</f>
        <v/>
      </c>
      <c r="B420" s="16">
        <f>IF(AND(ISNUMBER($A420),ISNUMBER(BBG_Data!B420)),BBG_Data!B420,NA())</f>
        <v/>
      </c>
      <c r="C420" s="16">
        <f>IF(AND(ISNUMBER($A420),ISNUMBER(BBG_Data!C420)),BBG_Data!C420,NA())</f>
        <v/>
      </c>
      <c r="D420" s="17">
        <f>IF(AND(ISNUMBER($A420),ISNUMBER(BBG_Data!D420)),BBG_Data!D420,NA())</f>
        <v/>
      </c>
      <c r="E420" s="17">
        <f>IF(AND(ISNUMBER($A420),ISNUMBER(BBG_Data!E420)),BBG_Data!E420,NA())</f>
        <v/>
      </c>
      <c r="F420" s="18">
        <f>IF(AND(ISNUMBER(B420),ISNUMBER(B419)),(B420-B419)*100,"")</f>
        <v/>
      </c>
      <c r="G420" s="18">
        <f>IF(AND(ISNUMBER(C420),ISNUMBER(C419)),(C420-C419)*100,"")</f>
        <v/>
      </c>
      <c r="H420" s="18">
        <f>IF(OR(NOT(ISNUMBER($A420)),ROW()-2&lt;Settings!$B$11),NA(),IF(COUNT(OFFSET(F420,1-Settings!$B$11,0,Settings!$B$11,1))&lt;Settings!$B$11,NA(),STDEV(OFFSET(F420,1-Settings!$B$11,0,Settings!$B$11,1))*SQRT(Settings!$B$13)))</f>
        <v/>
      </c>
      <c r="I420" s="18">
        <f>IF(OR(NOT(ISNUMBER($A420)),ROW()-2&lt;Settings!$B$12),NA(),IF(COUNT(OFFSET(F420,1-Settings!$B$12,0,Settings!$B$12,1))&lt;Settings!$B$12,NA(),STDEV(OFFSET(F420,1-Settings!$B$12,0,Settings!$B$12,1))*SQRT(Settings!$B$13)))</f>
        <v/>
      </c>
      <c r="J420" s="18">
        <f>IF(OR(NOT(ISNUMBER($A420)),ROW()-2&lt;Settings!$B$11),NA(),IF(COUNT(OFFSET(G420,1-Settings!$B$11,0,Settings!$B$11,1))&lt;Settings!$B$11,NA(),STDEV(OFFSET(G420,1-Settings!$B$11,0,Settings!$B$11,1))*SQRT(Settings!$B$13)))</f>
        <v/>
      </c>
      <c r="K420" s="18">
        <f>IF(OR(NOT(ISNUMBER($A420)),ROW()-2&lt;Settings!$B$12),NA(),IF(COUNT(OFFSET(G420,1-Settings!$B$12,0,Settings!$B$12,1))&lt;Settings!$B$12,NA(),STDEV(OFFSET(G420,1-Settings!$B$12,0,Settings!$B$12,1))*SQRT(Settings!$B$13)))</f>
        <v/>
      </c>
      <c r="L420" s="18">
        <f>IF(AND(ISNUMBER(D420),ISNUMBER(H420)),D420-H420,NA())</f>
        <v/>
      </c>
      <c r="M420" s="18">
        <f>IF(AND(ISNUMBER(E420),ISNUMBER(K420)),E420-K420,NA())</f>
        <v/>
      </c>
      <c r="N420" s="18">
        <f>IF(NOT(ISNUMBER($A420)),NA(),IF(COUNT(OFFSET(G420,1,0,Settings!$B$12,1))&lt;Settings!$B$12,NA(),STDEV(OFFSET(G420,1,0,Settings!$B$12,1))*SQRT(Settings!$B$13)))</f>
        <v/>
      </c>
      <c r="O420" s="18">
        <f>IF(AND(ISNUMBER(E420),ISNUMBER(N420)),E420-N420,NA())</f>
        <v/>
      </c>
      <c r="P420" s="17">
        <f>IF(NOT(ISNUMBER($A420)),NA(),IF(OR($A420&lt;MIN(KW_TP!$A$2:$A$2501),$A420&gt;MAX(KW_TP!$A$2:$A$2501)),NA(),INDEX(KW_TP!$C$2:$C$2501,MATCH($A420,KW_TP!$A$2:$A$2501,1))))</f>
        <v/>
      </c>
    </row>
    <row r="421">
      <c r="A421" s="15">
        <f>IF(ISNUMBER(BBG_Data!A421),BBG_Data!A421,"")</f>
        <v/>
      </c>
      <c r="B421" s="16">
        <f>IF(AND(ISNUMBER($A421),ISNUMBER(BBG_Data!B421)),BBG_Data!B421,NA())</f>
        <v/>
      </c>
      <c r="C421" s="16">
        <f>IF(AND(ISNUMBER($A421),ISNUMBER(BBG_Data!C421)),BBG_Data!C421,NA())</f>
        <v/>
      </c>
      <c r="D421" s="17">
        <f>IF(AND(ISNUMBER($A421),ISNUMBER(BBG_Data!D421)),BBG_Data!D421,NA())</f>
        <v/>
      </c>
      <c r="E421" s="17">
        <f>IF(AND(ISNUMBER($A421),ISNUMBER(BBG_Data!E421)),BBG_Data!E421,NA())</f>
        <v/>
      </c>
      <c r="F421" s="18">
        <f>IF(AND(ISNUMBER(B421),ISNUMBER(B420)),(B421-B420)*100,"")</f>
        <v/>
      </c>
      <c r="G421" s="18">
        <f>IF(AND(ISNUMBER(C421),ISNUMBER(C420)),(C421-C420)*100,"")</f>
        <v/>
      </c>
      <c r="H421" s="18">
        <f>IF(OR(NOT(ISNUMBER($A421)),ROW()-2&lt;Settings!$B$11),NA(),IF(COUNT(OFFSET(F421,1-Settings!$B$11,0,Settings!$B$11,1))&lt;Settings!$B$11,NA(),STDEV(OFFSET(F421,1-Settings!$B$11,0,Settings!$B$11,1))*SQRT(Settings!$B$13)))</f>
        <v/>
      </c>
      <c r="I421" s="18">
        <f>IF(OR(NOT(ISNUMBER($A421)),ROW()-2&lt;Settings!$B$12),NA(),IF(COUNT(OFFSET(F421,1-Settings!$B$12,0,Settings!$B$12,1))&lt;Settings!$B$12,NA(),STDEV(OFFSET(F421,1-Settings!$B$12,0,Settings!$B$12,1))*SQRT(Settings!$B$13)))</f>
        <v/>
      </c>
      <c r="J421" s="18">
        <f>IF(OR(NOT(ISNUMBER($A421)),ROW()-2&lt;Settings!$B$11),NA(),IF(COUNT(OFFSET(G421,1-Settings!$B$11,0,Settings!$B$11,1))&lt;Settings!$B$11,NA(),STDEV(OFFSET(G421,1-Settings!$B$11,0,Settings!$B$11,1))*SQRT(Settings!$B$13)))</f>
        <v/>
      </c>
      <c r="K421" s="18">
        <f>IF(OR(NOT(ISNUMBER($A421)),ROW()-2&lt;Settings!$B$12),NA(),IF(COUNT(OFFSET(G421,1-Settings!$B$12,0,Settings!$B$12,1))&lt;Settings!$B$12,NA(),STDEV(OFFSET(G421,1-Settings!$B$12,0,Settings!$B$12,1))*SQRT(Settings!$B$13)))</f>
        <v/>
      </c>
      <c r="L421" s="18">
        <f>IF(AND(ISNUMBER(D421),ISNUMBER(H421)),D421-H421,NA())</f>
        <v/>
      </c>
      <c r="M421" s="18">
        <f>IF(AND(ISNUMBER(E421),ISNUMBER(K421)),E421-K421,NA())</f>
        <v/>
      </c>
      <c r="N421" s="18">
        <f>IF(NOT(ISNUMBER($A421)),NA(),IF(COUNT(OFFSET(G421,1,0,Settings!$B$12,1))&lt;Settings!$B$12,NA(),STDEV(OFFSET(G421,1,0,Settings!$B$12,1))*SQRT(Settings!$B$13)))</f>
        <v/>
      </c>
      <c r="O421" s="18">
        <f>IF(AND(ISNUMBER(E421),ISNUMBER(N421)),E421-N421,NA())</f>
        <v/>
      </c>
      <c r="P421" s="17">
        <f>IF(NOT(ISNUMBER($A421)),NA(),IF(OR($A421&lt;MIN(KW_TP!$A$2:$A$2501),$A421&gt;MAX(KW_TP!$A$2:$A$2501)),NA(),INDEX(KW_TP!$C$2:$C$2501,MATCH($A421,KW_TP!$A$2:$A$2501,1))))</f>
        <v/>
      </c>
    </row>
    <row r="422">
      <c r="A422" s="15">
        <f>IF(ISNUMBER(BBG_Data!A422),BBG_Data!A422,"")</f>
        <v/>
      </c>
      <c r="B422" s="16">
        <f>IF(AND(ISNUMBER($A422),ISNUMBER(BBG_Data!B422)),BBG_Data!B422,NA())</f>
        <v/>
      </c>
      <c r="C422" s="16">
        <f>IF(AND(ISNUMBER($A422),ISNUMBER(BBG_Data!C422)),BBG_Data!C422,NA())</f>
        <v/>
      </c>
      <c r="D422" s="17">
        <f>IF(AND(ISNUMBER($A422),ISNUMBER(BBG_Data!D422)),BBG_Data!D422,NA())</f>
        <v/>
      </c>
      <c r="E422" s="17">
        <f>IF(AND(ISNUMBER($A422),ISNUMBER(BBG_Data!E422)),BBG_Data!E422,NA())</f>
        <v/>
      </c>
      <c r="F422" s="18">
        <f>IF(AND(ISNUMBER(B422),ISNUMBER(B421)),(B422-B421)*100,"")</f>
        <v/>
      </c>
      <c r="G422" s="18">
        <f>IF(AND(ISNUMBER(C422),ISNUMBER(C421)),(C422-C421)*100,"")</f>
        <v/>
      </c>
      <c r="H422" s="18">
        <f>IF(OR(NOT(ISNUMBER($A422)),ROW()-2&lt;Settings!$B$11),NA(),IF(COUNT(OFFSET(F422,1-Settings!$B$11,0,Settings!$B$11,1))&lt;Settings!$B$11,NA(),STDEV(OFFSET(F422,1-Settings!$B$11,0,Settings!$B$11,1))*SQRT(Settings!$B$13)))</f>
        <v/>
      </c>
      <c r="I422" s="18">
        <f>IF(OR(NOT(ISNUMBER($A422)),ROW()-2&lt;Settings!$B$12),NA(),IF(COUNT(OFFSET(F422,1-Settings!$B$12,0,Settings!$B$12,1))&lt;Settings!$B$12,NA(),STDEV(OFFSET(F422,1-Settings!$B$12,0,Settings!$B$12,1))*SQRT(Settings!$B$13)))</f>
        <v/>
      </c>
      <c r="J422" s="18">
        <f>IF(OR(NOT(ISNUMBER($A422)),ROW()-2&lt;Settings!$B$11),NA(),IF(COUNT(OFFSET(G422,1-Settings!$B$11,0,Settings!$B$11,1))&lt;Settings!$B$11,NA(),STDEV(OFFSET(G422,1-Settings!$B$11,0,Settings!$B$11,1))*SQRT(Settings!$B$13)))</f>
        <v/>
      </c>
      <c r="K422" s="18">
        <f>IF(OR(NOT(ISNUMBER($A422)),ROW()-2&lt;Settings!$B$12),NA(),IF(COUNT(OFFSET(G422,1-Settings!$B$12,0,Settings!$B$12,1))&lt;Settings!$B$12,NA(),STDEV(OFFSET(G422,1-Settings!$B$12,0,Settings!$B$12,1))*SQRT(Settings!$B$13)))</f>
        <v/>
      </c>
      <c r="L422" s="18">
        <f>IF(AND(ISNUMBER(D422),ISNUMBER(H422)),D422-H422,NA())</f>
        <v/>
      </c>
      <c r="M422" s="18">
        <f>IF(AND(ISNUMBER(E422),ISNUMBER(K422)),E422-K422,NA())</f>
        <v/>
      </c>
      <c r="N422" s="18">
        <f>IF(NOT(ISNUMBER($A422)),NA(),IF(COUNT(OFFSET(G422,1,0,Settings!$B$12,1))&lt;Settings!$B$12,NA(),STDEV(OFFSET(G422,1,0,Settings!$B$12,1))*SQRT(Settings!$B$13)))</f>
        <v/>
      </c>
      <c r="O422" s="18">
        <f>IF(AND(ISNUMBER(E422),ISNUMBER(N422)),E422-N422,NA())</f>
        <v/>
      </c>
      <c r="P422" s="17">
        <f>IF(NOT(ISNUMBER($A422)),NA(),IF(OR($A422&lt;MIN(KW_TP!$A$2:$A$2501),$A422&gt;MAX(KW_TP!$A$2:$A$2501)),NA(),INDEX(KW_TP!$C$2:$C$2501,MATCH($A422,KW_TP!$A$2:$A$2501,1))))</f>
        <v/>
      </c>
    </row>
    <row r="423">
      <c r="A423" s="15">
        <f>IF(ISNUMBER(BBG_Data!A423),BBG_Data!A423,"")</f>
        <v/>
      </c>
      <c r="B423" s="16">
        <f>IF(AND(ISNUMBER($A423),ISNUMBER(BBG_Data!B423)),BBG_Data!B423,NA())</f>
        <v/>
      </c>
      <c r="C423" s="16">
        <f>IF(AND(ISNUMBER($A423),ISNUMBER(BBG_Data!C423)),BBG_Data!C423,NA())</f>
        <v/>
      </c>
      <c r="D423" s="17">
        <f>IF(AND(ISNUMBER($A423),ISNUMBER(BBG_Data!D423)),BBG_Data!D423,NA())</f>
        <v/>
      </c>
      <c r="E423" s="17">
        <f>IF(AND(ISNUMBER($A423),ISNUMBER(BBG_Data!E423)),BBG_Data!E423,NA())</f>
        <v/>
      </c>
      <c r="F423" s="18">
        <f>IF(AND(ISNUMBER(B423),ISNUMBER(B422)),(B423-B422)*100,"")</f>
        <v/>
      </c>
      <c r="G423" s="18">
        <f>IF(AND(ISNUMBER(C423),ISNUMBER(C422)),(C423-C422)*100,"")</f>
        <v/>
      </c>
      <c r="H423" s="18">
        <f>IF(OR(NOT(ISNUMBER($A423)),ROW()-2&lt;Settings!$B$11),NA(),IF(COUNT(OFFSET(F423,1-Settings!$B$11,0,Settings!$B$11,1))&lt;Settings!$B$11,NA(),STDEV(OFFSET(F423,1-Settings!$B$11,0,Settings!$B$11,1))*SQRT(Settings!$B$13)))</f>
        <v/>
      </c>
      <c r="I423" s="18">
        <f>IF(OR(NOT(ISNUMBER($A423)),ROW()-2&lt;Settings!$B$12),NA(),IF(COUNT(OFFSET(F423,1-Settings!$B$12,0,Settings!$B$12,1))&lt;Settings!$B$12,NA(),STDEV(OFFSET(F423,1-Settings!$B$12,0,Settings!$B$12,1))*SQRT(Settings!$B$13)))</f>
        <v/>
      </c>
      <c r="J423" s="18">
        <f>IF(OR(NOT(ISNUMBER($A423)),ROW()-2&lt;Settings!$B$11),NA(),IF(COUNT(OFFSET(G423,1-Settings!$B$11,0,Settings!$B$11,1))&lt;Settings!$B$11,NA(),STDEV(OFFSET(G423,1-Settings!$B$11,0,Settings!$B$11,1))*SQRT(Settings!$B$13)))</f>
        <v/>
      </c>
      <c r="K423" s="18">
        <f>IF(OR(NOT(ISNUMBER($A423)),ROW()-2&lt;Settings!$B$12),NA(),IF(COUNT(OFFSET(G423,1-Settings!$B$12,0,Settings!$B$12,1))&lt;Settings!$B$12,NA(),STDEV(OFFSET(G423,1-Settings!$B$12,0,Settings!$B$12,1))*SQRT(Settings!$B$13)))</f>
        <v/>
      </c>
      <c r="L423" s="18">
        <f>IF(AND(ISNUMBER(D423),ISNUMBER(H423)),D423-H423,NA())</f>
        <v/>
      </c>
      <c r="M423" s="18">
        <f>IF(AND(ISNUMBER(E423),ISNUMBER(K423)),E423-K423,NA())</f>
        <v/>
      </c>
      <c r="N423" s="18">
        <f>IF(NOT(ISNUMBER($A423)),NA(),IF(COUNT(OFFSET(G423,1,0,Settings!$B$12,1))&lt;Settings!$B$12,NA(),STDEV(OFFSET(G423,1,0,Settings!$B$12,1))*SQRT(Settings!$B$13)))</f>
        <v/>
      </c>
      <c r="O423" s="18">
        <f>IF(AND(ISNUMBER(E423),ISNUMBER(N423)),E423-N423,NA())</f>
        <v/>
      </c>
      <c r="P423" s="17">
        <f>IF(NOT(ISNUMBER($A423)),NA(),IF(OR($A423&lt;MIN(KW_TP!$A$2:$A$2501),$A423&gt;MAX(KW_TP!$A$2:$A$2501)),NA(),INDEX(KW_TP!$C$2:$C$2501,MATCH($A423,KW_TP!$A$2:$A$2501,1))))</f>
        <v/>
      </c>
    </row>
    <row r="424">
      <c r="A424" s="15">
        <f>IF(ISNUMBER(BBG_Data!A424),BBG_Data!A424,"")</f>
        <v/>
      </c>
      <c r="B424" s="16">
        <f>IF(AND(ISNUMBER($A424),ISNUMBER(BBG_Data!B424)),BBG_Data!B424,NA())</f>
        <v/>
      </c>
      <c r="C424" s="16">
        <f>IF(AND(ISNUMBER($A424),ISNUMBER(BBG_Data!C424)),BBG_Data!C424,NA())</f>
        <v/>
      </c>
      <c r="D424" s="17">
        <f>IF(AND(ISNUMBER($A424),ISNUMBER(BBG_Data!D424)),BBG_Data!D424,NA())</f>
        <v/>
      </c>
      <c r="E424" s="17">
        <f>IF(AND(ISNUMBER($A424),ISNUMBER(BBG_Data!E424)),BBG_Data!E424,NA())</f>
        <v/>
      </c>
      <c r="F424" s="18">
        <f>IF(AND(ISNUMBER(B424),ISNUMBER(B423)),(B424-B423)*100,"")</f>
        <v/>
      </c>
      <c r="G424" s="18">
        <f>IF(AND(ISNUMBER(C424),ISNUMBER(C423)),(C424-C423)*100,"")</f>
        <v/>
      </c>
      <c r="H424" s="18">
        <f>IF(OR(NOT(ISNUMBER($A424)),ROW()-2&lt;Settings!$B$11),NA(),IF(COUNT(OFFSET(F424,1-Settings!$B$11,0,Settings!$B$11,1))&lt;Settings!$B$11,NA(),STDEV(OFFSET(F424,1-Settings!$B$11,0,Settings!$B$11,1))*SQRT(Settings!$B$13)))</f>
        <v/>
      </c>
      <c r="I424" s="18">
        <f>IF(OR(NOT(ISNUMBER($A424)),ROW()-2&lt;Settings!$B$12),NA(),IF(COUNT(OFFSET(F424,1-Settings!$B$12,0,Settings!$B$12,1))&lt;Settings!$B$12,NA(),STDEV(OFFSET(F424,1-Settings!$B$12,0,Settings!$B$12,1))*SQRT(Settings!$B$13)))</f>
        <v/>
      </c>
      <c r="J424" s="18">
        <f>IF(OR(NOT(ISNUMBER($A424)),ROW()-2&lt;Settings!$B$11),NA(),IF(COUNT(OFFSET(G424,1-Settings!$B$11,0,Settings!$B$11,1))&lt;Settings!$B$11,NA(),STDEV(OFFSET(G424,1-Settings!$B$11,0,Settings!$B$11,1))*SQRT(Settings!$B$13)))</f>
        <v/>
      </c>
      <c r="K424" s="18">
        <f>IF(OR(NOT(ISNUMBER($A424)),ROW()-2&lt;Settings!$B$12),NA(),IF(COUNT(OFFSET(G424,1-Settings!$B$12,0,Settings!$B$12,1))&lt;Settings!$B$12,NA(),STDEV(OFFSET(G424,1-Settings!$B$12,0,Settings!$B$12,1))*SQRT(Settings!$B$13)))</f>
        <v/>
      </c>
      <c r="L424" s="18">
        <f>IF(AND(ISNUMBER(D424),ISNUMBER(H424)),D424-H424,NA())</f>
        <v/>
      </c>
      <c r="M424" s="18">
        <f>IF(AND(ISNUMBER(E424),ISNUMBER(K424)),E424-K424,NA())</f>
        <v/>
      </c>
      <c r="N424" s="18">
        <f>IF(NOT(ISNUMBER($A424)),NA(),IF(COUNT(OFFSET(G424,1,0,Settings!$B$12,1))&lt;Settings!$B$12,NA(),STDEV(OFFSET(G424,1,0,Settings!$B$12,1))*SQRT(Settings!$B$13)))</f>
        <v/>
      </c>
      <c r="O424" s="18">
        <f>IF(AND(ISNUMBER(E424),ISNUMBER(N424)),E424-N424,NA())</f>
        <v/>
      </c>
      <c r="P424" s="17">
        <f>IF(NOT(ISNUMBER($A424)),NA(),IF(OR($A424&lt;MIN(KW_TP!$A$2:$A$2501),$A424&gt;MAX(KW_TP!$A$2:$A$2501)),NA(),INDEX(KW_TP!$C$2:$C$2501,MATCH($A424,KW_TP!$A$2:$A$2501,1))))</f>
        <v/>
      </c>
    </row>
    <row r="425">
      <c r="A425" s="15">
        <f>IF(ISNUMBER(BBG_Data!A425),BBG_Data!A425,"")</f>
        <v/>
      </c>
      <c r="B425" s="16">
        <f>IF(AND(ISNUMBER($A425),ISNUMBER(BBG_Data!B425)),BBG_Data!B425,NA())</f>
        <v/>
      </c>
      <c r="C425" s="16">
        <f>IF(AND(ISNUMBER($A425),ISNUMBER(BBG_Data!C425)),BBG_Data!C425,NA())</f>
        <v/>
      </c>
      <c r="D425" s="17">
        <f>IF(AND(ISNUMBER($A425),ISNUMBER(BBG_Data!D425)),BBG_Data!D425,NA())</f>
        <v/>
      </c>
      <c r="E425" s="17">
        <f>IF(AND(ISNUMBER($A425),ISNUMBER(BBG_Data!E425)),BBG_Data!E425,NA())</f>
        <v/>
      </c>
      <c r="F425" s="18">
        <f>IF(AND(ISNUMBER(B425),ISNUMBER(B424)),(B425-B424)*100,"")</f>
        <v/>
      </c>
      <c r="G425" s="18">
        <f>IF(AND(ISNUMBER(C425),ISNUMBER(C424)),(C425-C424)*100,"")</f>
        <v/>
      </c>
      <c r="H425" s="18">
        <f>IF(OR(NOT(ISNUMBER($A425)),ROW()-2&lt;Settings!$B$11),NA(),IF(COUNT(OFFSET(F425,1-Settings!$B$11,0,Settings!$B$11,1))&lt;Settings!$B$11,NA(),STDEV(OFFSET(F425,1-Settings!$B$11,0,Settings!$B$11,1))*SQRT(Settings!$B$13)))</f>
        <v/>
      </c>
      <c r="I425" s="18">
        <f>IF(OR(NOT(ISNUMBER($A425)),ROW()-2&lt;Settings!$B$12),NA(),IF(COUNT(OFFSET(F425,1-Settings!$B$12,0,Settings!$B$12,1))&lt;Settings!$B$12,NA(),STDEV(OFFSET(F425,1-Settings!$B$12,0,Settings!$B$12,1))*SQRT(Settings!$B$13)))</f>
        <v/>
      </c>
      <c r="J425" s="18">
        <f>IF(OR(NOT(ISNUMBER($A425)),ROW()-2&lt;Settings!$B$11),NA(),IF(COUNT(OFFSET(G425,1-Settings!$B$11,0,Settings!$B$11,1))&lt;Settings!$B$11,NA(),STDEV(OFFSET(G425,1-Settings!$B$11,0,Settings!$B$11,1))*SQRT(Settings!$B$13)))</f>
        <v/>
      </c>
      <c r="K425" s="18">
        <f>IF(OR(NOT(ISNUMBER($A425)),ROW()-2&lt;Settings!$B$12),NA(),IF(COUNT(OFFSET(G425,1-Settings!$B$12,0,Settings!$B$12,1))&lt;Settings!$B$12,NA(),STDEV(OFFSET(G425,1-Settings!$B$12,0,Settings!$B$12,1))*SQRT(Settings!$B$13)))</f>
        <v/>
      </c>
      <c r="L425" s="18">
        <f>IF(AND(ISNUMBER(D425),ISNUMBER(H425)),D425-H425,NA())</f>
        <v/>
      </c>
      <c r="M425" s="18">
        <f>IF(AND(ISNUMBER(E425),ISNUMBER(K425)),E425-K425,NA())</f>
        <v/>
      </c>
      <c r="N425" s="18">
        <f>IF(NOT(ISNUMBER($A425)),NA(),IF(COUNT(OFFSET(G425,1,0,Settings!$B$12,1))&lt;Settings!$B$12,NA(),STDEV(OFFSET(G425,1,0,Settings!$B$12,1))*SQRT(Settings!$B$13)))</f>
        <v/>
      </c>
      <c r="O425" s="18">
        <f>IF(AND(ISNUMBER(E425),ISNUMBER(N425)),E425-N425,NA())</f>
        <v/>
      </c>
      <c r="P425" s="17">
        <f>IF(NOT(ISNUMBER($A425)),NA(),IF(OR($A425&lt;MIN(KW_TP!$A$2:$A$2501),$A425&gt;MAX(KW_TP!$A$2:$A$2501)),NA(),INDEX(KW_TP!$C$2:$C$2501,MATCH($A425,KW_TP!$A$2:$A$2501,1))))</f>
        <v/>
      </c>
    </row>
    <row r="426">
      <c r="A426" s="15">
        <f>IF(ISNUMBER(BBG_Data!A426),BBG_Data!A426,"")</f>
        <v/>
      </c>
      <c r="B426" s="16">
        <f>IF(AND(ISNUMBER($A426),ISNUMBER(BBG_Data!B426)),BBG_Data!B426,NA())</f>
        <v/>
      </c>
      <c r="C426" s="16">
        <f>IF(AND(ISNUMBER($A426),ISNUMBER(BBG_Data!C426)),BBG_Data!C426,NA())</f>
        <v/>
      </c>
      <c r="D426" s="17">
        <f>IF(AND(ISNUMBER($A426),ISNUMBER(BBG_Data!D426)),BBG_Data!D426,NA())</f>
        <v/>
      </c>
      <c r="E426" s="17">
        <f>IF(AND(ISNUMBER($A426),ISNUMBER(BBG_Data!E426)),BBG_Data!E426,NA())</f>
        <v/>
      </c>
      <c r="F426" s="18">
        <f>IF(AND(ISNUMBER(B426),ISNUMBER(B425)),(B426-B425)*100,"")</f>
        <v/>
      </c>
      <c r="G426" s="18">
        <f>IF(AND(ISNUMBER(C426),ISNUMBER(C425)),(C426-C425)*100,"")</f>
        <v/>
      </c>
      <c r="H426" s="18">
        <f>IF(OR(NOT(ISNUMBER($A426)),ROW()-2&lt;Settings!$B$11),NA(),IF(COUNT(OFFSET(F426,1-Settings!$B$11,0,Settings!$B$11,1))&lt;Settings!$B$11,NA(),STDEV(OFFSET(F426,1-Settings!$B$11,0,Settings!$B$11,1))*SQRT(Settings!$B$13)))</f>
        <v/>
      </c>
      <c r="I426" s="18">
        <f>IF(OR(NOT(ISNUMBER($A426)),ROW()-2&lt;Settings!$B$12),NA(),IF(COUNT(OFFSET(F426,1-Settings!$B$12,0,Settings!$B$12,1))&lt;Settings!$B$12,NA(),STDEV(OFFSET(F426,1-Settings!$B$12,0,Settings!$B$12,1))*SQRT(Settings!$B$13)))</f>
        <v/>
      </c>
      <c r="J426" s="18">
        <f>IF(OR(NOT(ISNUMBER($A426)),ROW()-2&lt;Settings!$B$11),NA(),IF(COUNT(OFFSET(G426,1-Settings!$B$11,0,Settings!$B$11,1))&lt;Settings!$B$11,NA(),STDEV(OFFSET(G426,1-Settings!$B$11,0,Settings!$B$11,1))*SQRT(Settings!$B$13)))</f>
        <v/>
      </c>
      <c r="K426" s="18">
        <f>IF(OR(NOT(ISNUMBER($A426)),ROW()-2&lt;Settings!$B$12),NA(),IF(COUNT(OFFSET(G426,1-Settings!$B$12,0,Settings!$B$12,1))&lt;Settings!$B$12,NA(),STDEV(OFFSET(G426,1-Settings!$B$12,0,Settings!$B$12,1))*SQRT(Settings!$B$13)))</f>
        <v/>
      </c>
      <c r="L426" s="18">
        <f>IF(AND(ISNUMBER(D426),ISNUMBER(H426)),D426-H426,NA())</f>
        <v/>
      </c>
      <c r="M426" s="18">
        <f>IF(AND(ISNUMBER(E426),ISNUMBER(K426)),E426-K426,NA())</f>
        <v/>
      </c>
      <c r="N426" s="18">
        <f>IF(NOT(ISNUMBER($A426)),NA(),IF(COUNT(OFFSET(G426,1,0,Settings!$B$12,1))&lt;Settings!$B$12,NA(),STDEV(OFFSET(G426,1,0,Settings!$B$12,1))*SQRT(Settings!$B$13)))</f>
        <v/>
      </c>
      <c r="O426" s="18">
        <f>IF(AND(ISNUMBER(E426),ISNUMBER(N426)),E426-N426,NA())</f>
        <v/>
      </c>
      <c r="P426" s="17">
        <f>IF(NOT(ISNUMBER($A426)),NA(),IF(OR($A426&lt;MIN(KW_TP!$A$2:$A$2501),$A426&gt;MAX(KW_TP!$A$2:$A$2501)),NA(),INDEX(KW_TP!$C$2:$C$2501,MATCH($A426,KW_TP!$A$2:$A$2501,1))))</f>
        <v/>
      </c>
    </row>
    <row r="427">
      <c r="A427" s="15">
        <f>IF(ISNUMBER(BBG_Data!A427),BBG_Data!A427,"")</f>
        <v/>
      </c>
      <c r="B427" s="16">
        <f>IF(AND(ISNUMBER($A427),ISNUMBER(BBG_Data!B427)),BBG_Data!B427,NA())</f>
        <v/>
      </c>
      <c r="C427" s="16">
        <f>IF(AND(ISNUMBER($A427),ISNUMBER(BBG_Data!C427)),BBG_Data!C427,NA())</f>
        <v/>
      </c>
      <c r="D427" s="17">
        <f>IF(AND(ISNUMBER($A427),ISNUMBER(BBG_Data!D427)),BBG_Data!D427,NA())</f>
        <v/>
      </c>
      <c r="E427" s="17">
        <f>IF(AND(ISNUMBER($A427),ISNUMBER(BBG_Data!E427)),BBG_Data!E427,NA())</f>
        <v/>
      </c>
      <c r="F427" s="18">
        <f>IF(AND(ISNUMBER(B427),ISNUMBER(B426)),(B427-B426)*100,"")</f>
        <v/>
      </c>
      <c r="G427" s="18">
        <f>IF(AND(ISNUMBER(C427),ISNUMBER(C426)),(C427-C426)*100,"")</f>
        <v/>
      </c>
      <c r="H427" s="18">
        <f>IF(OR(NOT(ISNUMBER($A427)),ROW()-2&lt;Settings!$B$11),NA(),IF(COUNT(OFFSET(F427,1-Settings!$B$11,0,Settings!$B$11,1))&lt;Settings!$B$11,NA(),STDEV(OFFSET(F427,1-Settings!$B$11,0,Settings!$B$11,1))*SQRT(Settings!$B$13)))</f>
        <v/>
      </c>
      <c r="I427" s="18">
        <f>IF(OR(NOT(ISNUMBER($A427)),ROW()-2&lt;Settings!$B$12),NA(),IF(COUNT(OFFSET(F427,1-Settings!$B$12,0,Settings!$B$12,1))&lt;Settings!$B$12,NA(),STDEV(OFFSET(F427,1-Settings!$B$12,0,Settings!$B$12,1))*SQRT(Settings!$B$13)))</f>
        <v/>
      </c>
      <c r="J427" s="18">
        <f>IF(OR(NOT(ISNUMBER($A427)),ROW()-2&lt;Settings!$B$11),NA(),IF(COUNT(OFFSET(G427,1-Settings!$B$11,0,Settings!$B$11,1))&lt;Settings!$B$11,NA(),STDEV(OFFSET(G427,1-Settings!$B$11,0,Settings!$B$11,1))*SQRT(Settings!$B$13)))</f>
        <v/>
      </c>
      <c r="K427" s="18">
        <f>IF(OR(NOT(ISNUMBER($A427)),ROW()-2&lt;Settings!$B$12),NA(),IF(COUNT(OFFSET(G427,1-Settings!$B$12,0,Settings!$B$12,1))&lt;Settings!$B$12,NA(),STDEV(OFFSET(G427,1-Settings!$B$12,0,Settings!$B$12,1))*SQRT(Settings!$B$13)))</f>
        <v/>
      </c>
      <c r="L427" s="18">
        <f>IF(AND(ISNUMBER(D427),ISNUMBER(H427)),D427-H427,NA())</f>
        <v/>
      </c>
      <c r="M427" s="18">
        <f>IF(AND(ISNUMBER(E427),ISNUMBER(K427)),E427-K427,NA())</f>
        <v/>
      </c>
      <c r="N427" s="18">
        <f>IF(NOT(ISNUMBER($A427)),NA(),IF(COUNT(OFFSET(G427,1,0,Settings!$B$12,1))&lt;Settings!$B$12,NA(),STDEV(OFFSET(G427,1,0,Settings!$B$12,1))*SQRT(Settings!$B$13)))</f>
        <v/>
      </c>
      <c r="O427" s="18">
        <f>IF(AND(ISNUMBER(E427),ISNUMBER(N427)),E427-N427,NA())</f>
        <v/>
      </c>
      <c r="P427" s="17">
        <f>IF(NOT(ISNUMBER($A427)),NA(),IF(OR($A427&lt;MIN(KW_TP!$A$2:$A$2501),$A427&gt;MAX(KW_TP!$A$2:$A$2501)),NA(),INDEX(KW_TP!$C$2:$C$2501,MATCH($A427,KW_TP!$A$2:$A$2501,1))))</f>
        <v/>
      </c>
    </row>
    <row r="428">
      <c r="A428" s="15">
        <f>IF(ISNUMBER(BBG_Data!A428),BBG_Data!A428,"")</f>
        <v/>
      </c>
      <c r="B428" s="16">
        <f>IF(AND(ISNUMBER($A428),ISNUMBER(BBG_Data!B428)),BBG_Data!B428,NA())</f>
        <v/>
      </c>
      <c r="C428" s="16">
        <f>IF(AND(ISNUMBER($A428),ISNUMBER(BBG_Data!C428)),BBG_Data!C428,NA())</f>
        <v/>
      </c>
      <c r="D428" s="17">
        <f>IF(AND(ISNUMBER($A428),ISNUMBER(BBG_Data!D428)),BBG_Data!D428,NA())</f>
        <v/>
      </c>
      <c r="E428" s="17">
        <f>IF(AND(ISNUMBER($A428),ISNUMBER(BBG_Data!E428)),BBG_Data!E428,NA())</f>
        <v/>
      </c>
      <c r="F428" s="18">
        <f>IF(AND(ISNUMBER(B428),ISNUMBER(B427)),(B428-B427)*100,"")</f>
        <v/>
      </c>
      <c r="G428" s="18">
        <f>IF(AND(ISNUMBER(C428),ISNUMBER(C427)),(C428-C427)*100,"")</f>
        <v/>
      </c>
      <c r="H428" s="18">
        <f>IF(OR(NOT(ISNUMBER($A428)),ROW()-2&lt;Settings!$B$11),NA(),IF(COUNT(OFFSET(F428,1-Settings!$B$11,0,Settings!$B$11,1))&lt;Settings!$B$11,NA(),STDEV(OFFSET(F428,1-Settings!$B$11,0,Settings!$B$11,1))*SQRT(Settings!$B$13)))</f>
        <v/>
      </c>
      <c r="I428" s="18">
        <f>IF(OR(NOT(ISNUMBER($A428)),ROW()-2&lt;Settings!$B$12),NA(),IF(COUNT(OFFSET(F428,1-Settings!$B$12,0,Settings!$B$12,1))&lt;Settings!$B$12,NA(),STDEV(OFFSET(F428,1-Settings!$B$12,0,Settings!$B$12,1))*SQRT(Settings!$B$13)))</f>
        <v/>
      </c>
      <c r="J428" s="18">
        <f>IF(OR(NOT(ISNUMBER($A428)),ROW()-2&lt;Settings!$B$11),NA(),IF(COUNT(OFFSET(G428,1-Settings!$B$11,0,Settings!$B$11,1))&lt;Settings!$B$11,NA(),STDEV(OFFSET(G428,1-Settings!$B$11,0,Settings!$B$11,1))*SQRT(Settings!$B$13)))</f>
        <v/>
      </c>
      <c r="K428" s="18">
        <f>IF(OR(NOT(ISNUMBER($A428)),ROW()-2&lt;Settings!$B$12),NA(),IF(COUNT(OFFSET(G428,1-Settings!$B$12,0,Settings!$B$12,1))&lt;Settings!$B$12,NA(),STDEV(OFFSET(G428,1-Settings!$B$12,0,Settings!$B$12,1))*SQRT(Settings!$B$13)))</f>
        <v/>
      </c>
      <c r="L428" s="18">
        <f>IF(AND(ISNUMBER(D428),ISNUMBER(H428)),D428-H428,NA())</f>
        <v/>
      </c>
      <c r="M428" s="18">
        <f>IF(AND(ISNUMBER(E428),ISNUMBER(K428)),E428-K428,NA())</f>
        <v/>
      </c>
      <c r="N428" s="18">
        <f>IF(NOT(ISNUMBER($A428)),NA(),IF(COUNT(OFFSET(G428,1,0,Settings!$B$12,1))&lt;Settings!$B$12,NA(),STDEV(OFFSET(G428,1,0,Settings!$B$12,1))*SQRT(Settings!$B$13)))</f>
        <v/>
      </c>
      <c r="O428" s="18">
        <f>IF(AND(ISNUMBER(E428),ISNUMBER(N428)),E428-N428,NA())</f>
        <v/>
      </c>
      <c r="P428" s="17">
        <f>IF(NOT(ISNUMBER($A428)),NA(),IF(OR($A428&lt;MIN(KW_TP!$A$2:$A$2501),$A428&gt;MAX(KW_TP!$A$2:$A$2501)),NA(),INDEX(KW_TP!$C$2:$C$2501,MATCH($A428,KW_TP!$A$2:$A$2501,1))))</f>
        <v/>
      </c>
    </row>
    <row r="429">
      <c r="A429" s="15">
        <f>IF(ISNUMBER(BBG_Data!A429),BBG_Data!A429,"")</f>
        <v/>
      </c>
      <c r="B429" s="16">
        <f>IF(AND(ISNUMBER($A429),ISNUMBER(BBG_Data!B429)),BBG_Data!B429,NA())</f>
        <v/>
      </c>
      <c r="C429" s="16">
        <f>IF(AND(ISNUMBER($A429),ISNUMBER(BBG_Data!C429)),BBG_Data!C429,NA())</f>
        <v/>
      </c>
      <c r="D429" s="17">
        <f>IF(AND(ISNUMBER($A429),ISNUMBER(BBG_Data!D429)),BBG_Data!D429,NA())</f>
        <v/>
      </c>
      <c r="E429" s="17">
        <f>IF(AND(ISNUMBER($A429),ISNUMBER(BBG_Data!E429)),BBG_Data!E429,NA())</f>
        <v/>
      </c>
      <c r="F429" s="18">
        <f>IF(AND(ISNUMBER(B429),ISNUMBER(B428)),(B429-B428)*100,"")</f>
        <v/>
      </c>
      <c r="G429" s="18">
        <f>IF(AND(ISNUMBER(C429),ISNUMBER(C428)),(C429-C428)*100,"")</f>
        <v/>
      </c>
      <c r="H429" s="18">
        <f>IF(OR(NOT(ISNUMBER($A429)),ROW()-2&lt;Settings!$B$11),NA(),IF(COUNT(OFFSET(F429,1-Settings!$B$11,0,Settings!$B$11,1))&lt;Settings!$B$11,NA(),STDEV(OFFSET(F429,1-Settings!$B$11,0,Settings!$B$11,1))*SQRT(Settings!$B$13)))</f>
        <v/>
      </c>
      <c r="I429" s="18">
        <f>IF(OR(NOT(ISNUMBER($A429)),ROW()-2&lt;Settings!$B$12),NA(),IF(COUNT(OFFSET(F429,1-Settings!$B$12,0,Settings!$B$12,1))&lt;Settings!$B$12,NA(),STDEV(OFFSET(F429,1-Settings!$B$12,0,Settings!$B$12,1))*SQRT(Settings!$B$13)))</f>
        <v/>
      </c>
      <c r="J429" s="18">
        <f>IF(OR(NOT(ISNUMBER($A429)),ROW()-2&lt;Settings!$B$11),NA(),IF(COUNT(OFFSET(G429,1-Settings!$B$11,0,Settings!$B$11,1))&lt;Settings!$B$11,NA(),STDEV(OFFSET(G429,1-Settings!$B$11,0,Settings!$B$11,1))*SQRT(Settings!$B$13)))</f>
        <v/>
      </c>
      <c r="K429" s="18">
        <f>IF(OR(NOT(ISNUMBER($A429)),ROW()-2&lt;Settings!$B$12),NA(),IF(COUNT(OFFSET(G429,1-Settings!$B$12,0,Settings!$B$12,1))&lt;Settings!$B$12,NA(),STDEV(OFFSET(G429,1-Settings!$B$12,0,Settings!$B$12,1))*SQRT(Settings!$B$13)))</f>
        <v/>
      </c>
      <c r="L429" s="18">
        <f>IF(AND(ISNUMBER(D429),ISNUMBER(H429)),D429-H429,NA())</f>
        <v/>
      </c>
      <c r="M429" s="18">
        <f>IF(AND(ISNUMBER(E429),ISNUMBER(K429)),E429-K429,NA())</f>
        <v/>
      </c>
      <c r="N429" s="18">
        <f>IF(NOT(ISNUMBER($A429)),NA(),IF(COUNT(OFFSET(G429,1,0,Settings!$B$12,1))&lt;Settings!$B$12,NA(),STDEV(OFFSET(G429,1,0,Settings!$B$12,1))*SQRT(Settings!$B$13)))</f>
        <v/>
      </c>
      <c r="O429" s="18">
        <f>IF(AND(ISNUMBER(E429),ISNUMBER(N429)),E429-N429,NA())</f>
        <v/>
      </c>
      <c r="P429" s="17">
        <f>IF(NOT(ISNUMBER($A429)),NA(),IF(OR($A429&lt;MIN(KW_TP!$A$2:$A$2501),$A429&gt;MAX(KW_TP!$A$2:$A$2501)),NA(),INDEX(KW_TP!$C$2:$C$2501,MATCH($A429,KW_TP!$A$2:$A$2501,1))))</f>
        <v/>
      </c>
    </row>
    <row r="430">
      <c r="A430" s="15">
        <f>IF(ISNUMBER(BBG_Data!A430),BBG_Data!A430,"")</f>
        <v/>
      </c>
      <c r="B430" s="16">
        <f>IF(AND(ISNUMBER($A430),ISNUMBER(BBG_Data!B430)),BBG_Data!B430,NA())</f>
        <v/>
      </c>
      <c r="C430" s="16">
        <f>IF(AND(ISNUMBER($A430),ISNUMBER(BBG_Data!C430)),BBG_Data!C430,NA())</f>
        <v/>
      </c>
      <c r="D430" s="17">
        <f>IF(AND(ISNUMBER($A430),ISNUMBER(BBG_Data!D430)),BBG_Data!D430,NA())</f>
        <v/>
      </c>
      <c r="E430" s="17">
        <f>IF(AND(ISNUMBER($A430),ISNUMBER(BBG_Data!E430)),BBG_Data!E430,NA())</f>
        <v/>
      </c>
      <c r="F430" s="18">
        <f>IF(AND(ISNUMBER(B430),ISNUMBER(B429)),(B430-B429)*100,"")</f>
        <v/>
      </c>
      <c r="G430" s="18">
        <f>IF(AND(ISNUMBER(C430),ISNUMBER(C429)),(C430-C429)*100,"")</f>
        <v/>
      </c>
      <c r="H430" s="18">
        <f>IF(OR(NOT(ISNUMBER($A430)),ROW()-2&lt;Settings!$B$11),NA(),IF(COUNT(OFFSET(F430,1-Settings!$B$11,0,Settings!$B$11,1))&lt;Settings!$B$11,NA(),STDEV(OFFSET(F430,1-Settings!$B$11,0,Settings!$B$11,1))*SQRT(Settings!$B$13)))</f>
        <v/>
      </c>
      <c r="I430" s="18">
        <f>IF(OR(NOT(ISNUMBER($A430)),ROW()-2&lt;Settings!$B$12),NA(),IF(COUNT(OFFSET(F430,1-Settings!$B$12,0,Settings!$B$12,1))&lt;Settings!$B$12,NA(),STDEV(OFFSET(F430,1-Settings!$B$12,0,Settings!$B$12,1))*SQRT(Settings!$B$13)))</f>
        <v/>
      </c>
      <c r="J430" s="18">
        <f>IF(OR(NOT(ISNUMBER($A430)),ROW()-2&lt;Settings!$B$11),NA(),IF(COUNT(OFFSET(G430,1-Settings!$B$11,0,Settings!$B$11,1))&lt;Settings!$B$11,NA(),STDEV(OFFSET(G430,1-Settings!$B$11,0,Settings!$B$11,1))*SQRT(Settings!$B$13)))</f>
        <v/>
      </c>
      <c r="K430" s="18">
        <f>IF(OR(NOT(ISNUMBER($A430)),ROW()-2&lt;Settings!$B$12),NA(),IF(COUNT(OFFSET(G430,1-Settings!$B$12,0,Settings!$B$12,1))&lt;Settings!$B$12,NA(),STDEV(OFFSET(G430,1-Settings!$B$12,0,Settings!$B$12,1))*SQRT(Settings!$B$13)))</f>
        <v/>
      </c>
      <c r="L430" s="18">
        <f>IF(AND(ISNUMBER(D430),ISNUMBER(H430)),D430-H430,NA())</f>
        <v/>
      </c>
      <c r="M430" s="18">
        <f>IF(AND(ISNUMBER(E430),ISNUMBER(K430)),E430-K430,NA())</f>
        <v/>
      </c>
      <c r="N430" s="18">
        <f>IF(NOT(ISNUMBER($A430)),NA(),IF(COUNT(OFFSET(G430,1,0,Settings!$B$12,1))&lt;Settings!$B$12,NA(),STDEV(OFFSET(G430,1,0,Settings!$B$12,1))*SQRT(Settings!$B$13)))</f>
        <v/>
      </c>
      <c r="O430" s="18">
        <f>IF(AND(ISNUMBER(E430),ISNUMBER(N430)),E430-N430,NA())</f>
        <v/>
      </c>
      <c r="P430" s="17">
        <f>IF(NOT(ISNUMBER($A430)),NA(),IF(OR($A430&lt;MIN(KW_TP!$A$2:$A$2501),$A430&gt;MAX(KW_TP!$A$2:$A$2501)),NA(),INDEX(KW_TP!$C$2:$C$2501,MATCH($A430,KW_TP!$A$2:$A$2501,1))))</f>
        <v/>
      </c>
    </row>
    <row r="431">
      <c r="A431" s="15">
        <f>IF(ISNUMBER(BBG_Data!A431),BBG_Data!A431,"")</f>
        <v/>
      </c>
      <c r="B431" s="16">
        <f>IF(AND(ISNUMBER($A431),ISNUMBER(BBG_Data!B431)),BBG_Data!B431,NA())</f>
        <v/>
      </c>
      <c r="C431" s="16">
        <f>IF(AND(ISNUMBER($A431),ISNUMBER(BBG_Data!C431)),BBG_Data!C431,NA())</f>
        <v/>
      </c>
      <c r="D431" s="17">
        <f>IF(AND(ISNUMBER($A431),ISNUMBER(BBG_Data!D431)),BBG_Data!D431,NA())</f>
        <v/>
      </c>
      <c r="E431" s="17">
        <f>IF(AND(ISNUMBER($A431),ISNUMBER(BBG_Data!E431)),BBG_Data!E431,NA())</f>
        <v/>
      </c>
      <c r="F431" s="18">
        <f>IF(AND(ISNUMBER(B431),ISNUMBER(B430)),(B431-B430)*100,"")</f>
        <v/>
      </c>
      <c r="G431" s="18">
        <f>IF(AND(ISNUMBER(C431),ISNUMBER(C430)),(C431-C430)*100,"")</f>
        <v/>
      </c>
      <c r="H431" s="18">
        <f>IF(OR(NOT(ISNUMBER($A431)),ROW()-2&lt;Settings!$B$11),NA(),IF(COUNT(OFFSET(F431,1-Settings!$B$11,0,Settings!$B$11,1))&lt;Settings!$B$11,NA(),STDEV(OFFSET(F431,1-Settings!$B$11,0,Settings!$B$11,1))*SQRT(Settings!$B$13)))</f>
        <v/>
      </c>
      <c r="I431" s="18">
        <f>IF(OR(NOT(ISNUMBER($A431)),ROW()-2&lt;Settings!$B$12),NA(),IF(COUNT(OFFSET(F431,1-Settings!$B$12,0,Settings!$B$12,1))&lt;Settings!$B$12,NA(),STDEV(OFFSET(F431,1-Settings!$B$12,0,Settings!$B$12,1))*SQRT(Settings!$B$13)))</f>
        <v/>
      </c>
      <c r="J431" s="18">
        <f>IF(OR(NOT(ISNUMBER($A431)),ROW()-2&lt;Settings!$B$11),NA(),IF(COUNT(OFFSET(G431,1-Settings!$B$11,0,Settings!$B$11,1))&lt;Settings!$B$11,NA(),STDEV(OFFSET(G431,1-Settings!$B$11,0,Settings!$B$11,1))*SQRT(Settings!$B$13)))</f>
        <v/>
      </c>
      <c r="K431" s="18">
        <f>IF(OR(NOT(ISNUMBER($A431)),ROW()-2&lt;Settings!$B$12),NA(),IF(COUNT(OFFSET(G431,1-Settings!$B$12,0,Settings!$B$12,1))&lt;Settings!$B$12,NA(),STDEV(OFFSET(G431,1-Settings!$B$12,0,Settings!$B$12,1))*SQRT(Settings!$B$13)))</f>
        <v/>
      </c>
      <c r="L431" s="18">
        <f>IF(AND(ISNUMBER(D431),ISNUMBER(H431)),D431-H431,NA())</f>
        <v/>
      </c>
      <c r="M431" s="18">
        <f>IF(AND(ISNUMBER(E431),ISNUMBER(K431)),E431-K431,NA())</f>
        <v/>
      </c>
      <c r="N431" s="18">
        <f>IF(NOT(ISNUMBER($A431)),NA(),IF(COUNT(OFFSET(G431,1,0,Settings!$B$12,1))&lt;Settings!$B$12,NA(),STDEV(OFFSET(G431,1,0,Settings!$B$12,1))*SQRT(Settings!$B$13)))</f>
        <v/>
      </c>
      <c r="O431" s="18">
        <f>IF(AND(ISNUMBER(E431),ISNUMBER(N431)),E431-N431,NA())</f>
        <v/>
      </c>
      <c r="P431" s="17">
        <f>IF(NOT(ISNUMBER($A431)),NA(),IF(OR($A431&lt;MIN(KW_TP!$A$2:$A$2501),$A431&gt;MAX(KW_TP!$A$2:$A$2501)),NA(),INDEX(KW_TP!$C$2:$C$2501,MATCH($A431,KW_TP!$A$2:$A$2501,1))))</f>
        <v/>
      </c>
    </row>
    <row r="432">
      <c r="A432" s="15">
        <f>IF(ISNUMBER(BBG_Data!A432),BBG_Data!A432,"")</f>
        <v/>
      </c>
      <c r="B432" s="16">
        <f>IF(AND(ISNUMBER($A432),ISNUMBER(BBG_Data!B432)),BBG_Data!B432,NA())</f>
        <v/>
      </c>
      <c r="C432" s="16">
        <f>IF(AND(ISNUMBER($A432),ISNUMBER(BBG_Data!C432)),BBG_Data!C432,NA())</f>
        <v/>
      </c>
      <c r="D432" s="17">
        <f>IF(AND(ISNUMBER($A432),ISNUMBER(BBG_Data!D432)),BBG_Data!D432,NA())</f>
        <v/>
      </c>
      <c r="E432" s="17">
        <f>IF(AND(ISNUMBER($A432),ISNUMBER(BBG_Data!E432)),BBG_Data!E432,NA())</f>
        <v/>
      </c>
      <c r="F432" s="18">
        <f>IF(AND(ISNUMBER(B432),ISNUMBER(B431)),(B432-B431)*100,"")</f>
        <v/>
      </c>
      <c r="G432" s="18">
        <f>IF(AND(ISNUMBER(C432),ISNUMBER(C431)),(C432-C431)*100,"")</f>
        <v/>
      </c>
      <c r="H432" s="18">
        <f>IF(OR(NOT(ISNUMBER($A432)),ROW()-2&lt;Settings!$B$11),NA(),IF(COUNT(OFFSET(F432,1-Settings!$B$11,0,Settings!$B$11,1))&lt;Settings!$B$11,NA(),STDEV(OFFSET(F432,1-Settings!$B$11,0,Settings!$B$11,1))*SQRT(Settings!$B$13)))</f>
        <v/>
      </c>
      <c r="I432" s="18">
        <f>IF(OR(NOT(ISNUMBER($A432)),ROW()-2&lt;Settings!$B$12),NA(),IF(COUNT(OFFSET(F432,1-Settings!$B$12,0,Settings!$B$12,1))&lt;Settings!$B$12,NA(),STDEV(OFFSET(F432,1-Settings!$B$12,0,Settings!$B$12,1))*SQRT(Settings!$B$13)))</f>
        <v/>
      </c>
      <c r="J432" s="18">
        <f>IF(OR(NOT(ISNUMBER($A432)),ROW()-2&lt;Settings!$B$11),NA(),IF(COUNT(OFFSET(G432,1-Settings!$B$11,0,Settings!$B$11,1))&lt;Settings!$B$11,NA(),STDEV(OFFSET(G432,1-Settings!$B$11,0,Settings!$B$11,1))*SQRT(Settings!$B$13)))</f>
        <v/>
      </c>
      <c r="K432" s="18">
        <f>IF(OR(NOT(ISNUMBER($A432)),ROW()-2&lt;Settings!$B$12),NA(),IF(COUNT(OFFSET(G432,1-Settings!$B$12,0,Settings!$B$12,1))&lt;Settings!$B$12,NA(),STDEV(OFFSET(G432,1-Settings!$B$12,0,Settings!$B$12,1))*SQRT(Settings!$B$13)))</f>
        <v/>
      </c>
      <c r="L432" s="18">
        <f>IF(AND(ISNUMBER(D432),ISNUMBER(H432)),D432-H432,NA())</f>
        <v/>
      </c>
      <c r="M432" s="18">
        <f>IF(AND(ISNUMBER(E432),ISNUMBER(K432)),E432-K432,NA())</f>
        <v/>
      </c>
      <c r="N432" s="18">
        <f>IF(NOT(ISNUMBER($A432)),NA(),IF(COUNT(OFFSET(G432,1,0,Settings!$B$12,1))&lt;Settings!$B$12,NA(),STDEV(OFFSET(G432,1,0,Settings!$B$12,1))*SQRT(Settings!$B$13)))</f>
        <v/>
      </c>
      <c r="O432" s="18">
        <f>IF(AND(ISNUMBER(E432),ISNUMBER(N432)),E432-N432,NA())</f>
        <v/>
      </c>
      <c r="P432" s="17">
        <f>IF(NOT(ISNUMBER($A432)),NA(),IF(OR($A432&lt;MIN(KW_TP!$A$2:$A$2501),$A432&gt;MAX(KW_TP!$A$2:$A$2501)),NA(),INDEX(KW_TP!$C$2:$C$2501,MATCH($A432,KW_TP!$A$2:$A$2501,1))))</f>
        <v/>
      </c>
    </row>
    <row r="433">
      <c r="A433" s="15">
        <f>IF(ISNUMBER(BBG_Data!A433),BBG_Data!A433,"")</f>
        <v/>
      </c>
      <c r="B433" s="16">
        <f>IF(AND(ISNUMBER($A433),ISNUMBER(BBG_Data!B433)),BBG_Data!B433,NA())</f>
        <v/>
      </c>
      <c r="C433" s="16">
        <f>IF(AND(ISNUMBER($A433),ISNUMBER(BBG_Data!C433)),BBG_Data!C433,NA())</f>
        <v/>
      </c>
      <c r="D433" s="17">
        <f>IF(AND(ISNUMBER($A433),ISNUMBER(BBG_Data!D433)),BBG_Data!D433,NA())</f>
        <v/>
      </c>
      <c r="E433" s="17">
        <f>IF(AND(ISNUMBER($A433),ISNUMBER(BBG_Data!E433)),BBG_Data!E433,NA())</f>
        <v/>
      </c>
      <c r="F433" s="18">
        <f>IF(AND(ISNUMBER(B433),ISNUMBER(B432)),(B433-B432)*100,"")</f>
        <v/>
      </c>
      <c r="G433" s="18">
        <f>IF(AND(ISNUMBER(C433),ISNUMBER(C432)),(C433-C432)*100,"")</f>
        <v/>
      </c>
      <c r="H433" s="18">
        <f>IF(OR(NOT(ISNUMBER($A433)),ROW()-2&lt;Settings!$B$11),NA(),IF(COUNT(OFFSET(F433,1-Settings!$B$11,0,Settings!$B$11,1))&lt;Settings!$B$11,NA(),STDEV(OFFSET(F433,1-Settings!$B$11,0,Settings!$B$11,1))*SQRT(Settings!$B$13)))</f>
        <v/>
      </c>
      <c r="I433" s="18">
        <f>IF(OR(NOT(ISNUMBER($A433)),ROW()-2&lt;Settings!$B$12),NA(),IF(COUNT(OFFSET(F433,1-Settings!$B$12,0,Settings!$B$12,1))&lt;Settings!$B$12,NA(),STDEV(OFFSET(F433,1-Settings!$B$12,0,Settings!$B$12,1))*SQRT(Settings!$B$13)))</f>
        <v/>
      </c>
      <c r="J433" s="18">
        <f>IF(OR(NOT(ISNUMBER($A433)),ROW()-2&lt;Settings!$B$11),NA(),IF(COUNT(OFFSET(G433,1-Settings!$B$11,0,Settings!$B$11,1))&lt;Settings!$B$11,NA(),STDEV(OFFSET(G433,1-Settings!$B$11,0,Settings!$B$11,1))*SQRT(Settings!$B$13)))</f>
        <v/>
      </c>
      <c r="K433" s="18">
        <f>IF(OR(NOT(ISNUMBER($A433)),ROW()-2&lt;Settings!$B$12),NA(),IF(COUNT(OFFSET(G433,1-Settings!$B$12,0,Settings!$B$12,1))&lt;Settings!$B$12,NA(),STDEV(OFFSET(G433,1-Settings!$B$12,0,Settings!$B$12,1))*SQRT(Settings!$B$13)))</f>
        <v/>
      </c>
      <c r="L433" s="18">
        <f>IF(AND(ISNUMBER(D433),ISNUMBER(H433)),D433-H433,NA())</f>
        <v/>
      </c>
      <c r="M433" s="18">
        <f>IF(AND(ISNUMBER(E433),ISNUMBER(K433)),E433-K433,NA())</f>
        <v/>
      </c>
      <c r="N433" s="18">
        <f>IF(NOT(ISNUMBER($A433)),NA(),IF(COUNT(OFFSET(G433,1,0,Settings!$B$12,1))&lt;Settings!$B$12,NA(),STDEV(OFFSET(G433,1,0,Settings!$B$12,1))*SQRT(Settings!$B$13)))</f>
        <v/>
      </c>
      <c r="O433" s="18">
        <f>IF(AND(ISNUMBER(E433),ISNUMBER(N433)),E433-N433,NA())</f>
        <v/>
      </c>
      <c r="P433" s="17">
        <f>IF(NOT(ISNUMBER($A433)),NA(),IF(OR($A433&lt;MIN(KW_TP!$A$2:$A$2501),$A433&gt;MAX(KW_TP!$A$2:$A$2501)),NA(),INDEX(KW_TP!$C$2:$C$2501,MATCH($A433,KW_TP!$A$2:$A$2501,1))))</f>
        <v/>
      </c>
    </row>
    <row r="434">
      <c r="A434" s="15">
        <f>IF(ISNUMBER(BBG_Data!A434),BBG_Data!A434,"")</f>
        <v/>
      </c>
      <c r="B434" s="16">
        <f>IF(AND(ISNUMBER($A434),ISNUMBER(BBG_Data!B434)),BBG_Data!B434,NA())</f>
        <v/>
      </c>
      <c r="C434" s="16">
        <f>IF(AND(ISNUMBER($A434),ISNUMBER(BBG_Data!C434)),BBG_Data!C434,NA())</f>
        <v/>
      </c>
      <c r="D434" s="17">
        <f>IF(AND(ISNUMBER($A434),ISNUMBER(BBG_Data!D434)),BBG_Data!D434,NA())</f>
        <v/>
      </c>
      <c r="E434" s="17">
        <f>IF(AND(ISNUMBER($A434),ISNUMBER(BBG_Data!E434)),BBG_Data!E434,NA())</f>
        <v/>
      </c>
      <c r="F434" s="18">
        <f>IF(AND(ISNUMBER(B434),ISNUMBER(B433)),(B434-B433)*100,"")</f>
        <v/>
      </c>
      <c r="G434" s="18">
        <f>IF(AND(ISNUMBER(C434),ISNUMBER(C433)),(C434-C433)*100,"")</f>
        <v/>
      </c>
      <c r="H434" s="18">
        <f>IF(OR(NOT(ISNUMBER($A434)),ROW()-2&lt;Settings!$B$11),NA(),IF(COUNT(OFFSET(F434,1-Settings!$B$11,0,Settings!$B$11,1))&lt;Settings!$B$11,NA(),STDEV(OFFSET(F434,1-Settings!$B$11,0,Settings!$B$11,1))*SQRT(Settings!$B$13)))</f>
        <v/>
      </c>
      <c r="I434" s="18">
        <f>IF(OR(NOT(ISNUMBER($A434)),ROW()-2&lt;Settings!$B$12),NA(),IF(COUNT(OFFSET(F434,1-Settings!$B$12,0,Settings!$B$12,1))&lt;Settings!$B$12,NA(),STDEV(OFFSET(F434,1-Settings!$B$12,0,Settings!$B$12,1))*SQRT(Settings!$B$13)))</f>
        <v/>
      </c>
      <c r="J434" s="18">
        <f>IF(OR(NOT(ISNUMBER($A434)),ROW()-2&lt;Settings!$B$11),NA(),IF(COUNT(OFFSET(G434,1-Settings!$B$11,0,Settings!$B$11,1))&lt;Settings!$B$11,NA(),STDEV(OFFSET(G434,1-Settings!$B$11,0,Settings!$B$11,1))*SQRT(Settings!$B$13)))</f>
        <v/>
      </c>
      <c r="K434" s="18">
        <f>IF(OR(NOT(ISNUMBER($A434)),ROW()-2&lt;Settings!$B$12),NA(),IF(COUNT(OFFSET(G434,1-Settings!$B$12,0,Settings!$B$12,1))&lt;Settings!$B$12,NA(),STDEV(OFFSET(G434,1-Settings!$B$12,0,Settings!$B$12,1))*SQRT(Settings!$B$13)))</f>
        <v/>
      </c>
      <c r="L434" s="18">
        <f>IF(AND(ISNUMBER(D434),ISNUMBER(H434)),D434-H434,NA())</f>
        <v/>
      </c>
      <c r="M434" s="18">
        <f>IF(AND(ISNUMBER(E434),ISNUMBER(K434)),E434-K434,NA())</f>
        <v/>
      </c>
      <c r="N434" s="18">
        <f>IF(NOT(ISNUMBER($A434)),NA(),IF(COUNT(OFFSET(G434,1,0,Settings!$B$12,1))&lt;Settings!$B$12,NA(),STDEV(OFFSET(G434,1,0,Settings!$B$12,1))*SQRT(Settings!$B$13)))</f>
        <v/>
      </c>
      <c r="O434" s="18">
        <f>IF(AND(ISNUMBER(E434),ISNUMBER(N434)),E434-N434,NA())</f>
        <v/>
      </c>
      <c r="P434" s="17">
        <f>IF(NOT(ISNUMBER($A434)),NA(),IF(OR($A434&lt;MIN(KW_TP!$A$2:$A$2501),$A434&gt;MAX(KW_TP!$A$2:$A$2501)),NA(),INDEX(KW_TP!$C$2:$C$2501,MATCH($A434,KW_TP!$A$2:$A$2501,1))))</f>
        <v/>
      </c>
    </row>
    <row r="435">
      <c r="A435" s="15">
        <f>IF(ISNUMBER(BBG_Data!A435),BBG_Data!A435,"")</f>
        <v/>
      </c>
      <c r="B435" s="16">
        <f>IF(AND(ISNUMBER($A435),ISNUMBER(BBG_Data!B435)),BBG_Data!B435,NA())</f>
        <v/>
      </c>
      <c r="C435" s="16">
        <f>IF(AND(ISNUMBER($A435),ISNUMBER(BBG_Data!C435)),BBG_Data!C435,NA())</f>
        <v/>
      </c>
      <c r="D435" s="17">
        <f>IF(AND(ISNUMBER($A435),ISNUMBER(BBG_Data!D435)),BBG_Data!D435,NA())</f>
        <v/>
      </c>
      <c r="E435" s="17">
        <f>IF(AND(ISNUMBER($A435),ISNUMBER(BBG_Data!E435)),BBG_Data!E435,NA())</f>
        <v/>
      </c>
      <c r="F435" s="18">
        <f>IF(AND(ISNUMBER(B435),ISNUMBER(B434)),(B435-B434)*100,"")</f>
        <v/>
      </c>
      <c r="G435" s="18">
        <f>IF(AND(ISNUMBER(C435),ISNUMBER(C434)),(C435-C434)*100,"")</f>
        <v/>
      </c>
      <c r="H435" s="18">
        <f>IF(OR(NOT(ISNUMBER($A435)),ROW()-2&lt;Settings!$B$11),NA(),IF(COUNT(OFFSET(F435,1-Settings!$B$11,0,Settings!$B$11,1))&lt;Settings!$B$11,NA(),STDEV(OFFSET(F435,1-Settings!$B$11,0,Settings!$B$11,1))*SQRT(Settings!$B$13)))</f>
        <v/>
      </c>
      <c r="I435" s="18">
        <f>IF(OR(NOT(ISNUMBER($A435)),ROW()-2&lt;Settings!$B$12),NA(),IF(COUNT(OFFSET(F435,1-Settings!$B$12,0,Settings!$B$12,1))&lt;Settings!$B$12,NA(),STDEV(OFFSET(F435,1-Settings!$B$12,0,Settings!$B$12,1))*SQRT(Settings!$B$13)))</f>
        <v/>
      </c>
      <c r="J435" s="18">
        <f>IF(OR(NOT(ISNUMBER($A435)),ROW()-2&lt;Settings!$B$11),NA(),IF(COUNT(OFFSET(G435,1-Settings!$B$11,0,Settings!$B$11,1))&lt;Settings!$B$11,NA(),STDEV(OFFSET(G435,1-Settings!$B$11,0,Settings!$B$11,1))*SQRT(Settings!$B$13)))</f>
        <v/>
      </c>
      <c r="K435" s="18">
        <f>IF(OR(NOT(ISNUMBER($A435)),ROW()-2&lt;Settings!$B$12),NA(),IF(COUNT(OFFSET(G435,1-Settings!$B$12,0,Settings!$B$12,1))&lt;Settings!$B$12,NA(),STDEV(OFFSET(G435,1-Settings!$B$12,0,Settings!$B$12,1))*SQRT(Settings!$B$13)))</f>
        <v/>
      </c>
      <c r="L435" s="18">
        <f>IF(AND(ISNUMBER(D435),ISNUMBER(H435)),D435-H435,NA())</f>
        <v/>
      </c>
      <c r="M435" s="18">
        <f>IF(AND(ISNUMBER(E435),ISNUMBER(K435)),E435-K435,NA())</f>
        <v/>
      </c>
      <c r="N435" s="18">
        <f>IF(NOT(ISNUMBER($A435)),NA(),IF(COUNT(OFFSET(G435,1,0,Settings!$B$12,1))&lt;Settings!$B$12,NA(),STDEV(OFFSET(G435,1,0,Settings!$B$12,1))*SQRT(Settings!$B$13)))</f>
        <v/>
      </c>
      <c r="O435" s="18">
        <f>IF(AND(ISNUMBER(E435),ISNUMBER(N435)),E435-N435,NA())</f>
        <v/>
      </c>
      <c r="P435" s="17">
        <f>IF(NOT(ISNUMBER($A435)),NA(),IF(OR($A435&lt;MIN(KW_TP!$A$2:$A$2501),$A435&gt;MAX(KW_TP!$A$2:$A$2501)),NA(),INDEX(KW_TP!$C$2:$C$2501,MATCH($A435,KW_TP!$A$2:$A$2501,1))))</f>
        <v/>
      </c>
    </row>
    <row r="436">
      <c r="A436" s="15">
        <f>IF(ISNUMBER(BBG_Data!A436),BBG_Data!A436,"")</f>
        <v/>
      </c>
      <c r="B436" s="16">
        <f>IF(AND(ISNUMBER($A436),ISNUMBER(BBG_Data!B436)),BBG_Data!B436,NA())</f>
        <v/>
      </c>
      <c r="C436" s="16">
        <f>IF(AND(ISNUMBER($A436),ISNUMBER(BBG_Data!C436)),BBG_Data!C436,NA())</f>
        <v/>
      </c>
      <c r="D436" s="17">
        <f>IF(AND(ISNUMBER($A436),ISNUMBER(BBG_Data!D436)),BBG_Data!D436,NA())</f>
        <v/>
      </c>
      <c r="E436" s="17">
        <f>IF(AND(ISNUMBER($A436),ISNUMBER(BBG_Data!E436)),BBG_Data!E436,NA())</f>
        <v/>
      </c>
      <c r="F436" s="18">
        <f>IF(AND(ISNUMBER(B436),ISNUMBER(B435)),(B436-B435)*100,"")</f>
        <v/>
      </c>
      <c r="G436" s="18">
        <f>IF(AND(ISNUMBER(C436),ISNUMBER(C435)),(C436-C435)*100,"")</f>
        <v/>
      </c>
      <c r="H436" s="18">
        <f>IF(OR(NOT(ISNUMBER($A436)),ROW()-2&lt;Settings!$B$11),NA(),IF(COUNT(OFFSET(F436,1-Settings!$B$11,0,Settings!$B$11,1))&lt;Settings!$B$11,NA(),STDEV(OFFSET(F436,1-Settings!$B$11,0,Settings!$B$11,1))*SQRT(Settings!$B$13)))</f>
        <v/>
      </c>
      <c r="I436" s="18">
        <f>IF(OR(NOT(ISNUMBER($A436)),ROW()-2&lt;Settings!$B$12),NA(),IF(COUNT(OFFSET(F436,1-Settings!$B$12,0,Settings!$B$12,1))&lt;Settings!$B$12,NA(),STDEV(OFFSET(F436,1-Settings!$B$12,0,Settings!$B$12,1))*SQRT(Settings!$B$13)))</f>
        <v/>
      </c>
      <c r="J436" s="18">
        <f>IF(OR(NOT(ISNUMBER($A436)),ROW()-2&lt;Settings!$B$11),NA(),IF(COUNT(OFFSET(G436,1-Settings!$B$11,0,Settings!$B$11,1))&lt;Settings!$B$11,NA(),STDEV(OFFSET(G436,1-Settings!$B$11,0,Settings!$B$11,1))*SQRT(Settings!$B$13)))</f>
        <v/>
      </c>
      <c r="K436" s="18">
        <f>IF(OR(NOT(ISNUMBER($A436)),ROW()-2&lt;Settings!$B$12),NA(),IF(COUNT(OFFSET(G436,1-Settings!$B$12,0,Settings!$B$12,1))&lt;Settings!$B$12,NA(),STDEV(OFFSET(G436,1-Settings!$B$12,0,Settings!$B$12,1))*SQRT(Settings!$B$13)))</f>
        <v/>
      </c>
      <c r="L436" s="18">
        <f>IF(AND(ISNUMBER(D436),ISNUMBER(H436)),D436-H436,NA())</f>
        <v/>
      </c>
      <c r="M436" s="18">
        <f>IF(AND(ISNUMBER(E436),ISNUMBER(K436)),E436-K436,NA())</f>
        <v/>
      </c>
      <c r="N436" s="18">
        <f>IF(NOT(ISNUMBER($A436)),NA(),IF(COUNT(OFFSET(G436,1,0,Settings!$B$12,1))&lt;Settings!$B$12,NA(),STDEV(OFFSET(G436,1,0,Settings!$B$12,1))*SQRT(Settings!$B$13)))</f>
        <v/>
      </c>
      <c r="O436" s="18">
        <f>IF(AND(ISNUMBER(E436),ISNUMBER(N436)),E436-N436,NA())</f>
        <v/>
      </c>
      <c r="P436" s="17">
        <f>IF(NOT(ISNUMBER($A436)),NA(),IF(OR($A436&lt;MIN(KW_TP!$A$2:$A$2501),$A436&gt;MAX(KW_TP!$A$2:$A$2501)),NA(),INDEX(KW_TP!$C$2:$C$2501,MATCH($A436,KW_TP!$A$2:$A$2501,1))))</f>
        <v/>
      </c>
    </row>
    <row r="437">
      <c r="A437" s="15">
        <f>IF(ISNUMBER(BBG_Data!A437),BBG_Data!A437,"")</f>
        <v/>
      </c>
      <c r="B437" s="16">
        <f>IF(AND(ISNUMBER($A437),ISNUMBER(BBG_Data!B437)),BBG_Data!B437,NA())</f>
        <v/>
      </c>
      <c r="C437" s="16">
        <f>IF(AND(ISNUMBER($A437),ISNUMBER(BBG_Data!C437)),BBG_Data!C437,NA())</f>
        <v/>
      </c>
      <c r="D437" s="17">
        <f>IF(AND(ISNUMBER($A437),ISNUMBER(BBG_Data!D437)),BBG_Data!D437,NA())</f>
        <v/>
      </c>
      <c r="E437" s="17">
        <f>IF(AND(ISNUMBER($A437),ISNUMBER(BBG_Data!E437)),BBG_Data!E437,NA())</f>
        <v/>
      </c>
      <c r="F437" s="18">
        <f>IF(AND(ISNUMBER(B437),ISNUMBER(B436)),(B437-B436)*100,"")</f>
        <v/>
      </c>
      <c r="G437" s="18">
        <f>IF(AND(ISNUMBER(C437),ISNUMBER(C436)),(C437-C436)*100,"")</f>
        <v/>
      </c>
      <c r="H437" s="18">
        <f>IF(OR(NOT(ISNUMBER($A437)),ROW()-2&lt;Settings!$B$11),NA(),IF(COUNT(OFFSET(F437,1-Settings!$B$11,0,Settings!$B$11,1))&lt;Settings!$B$11,NA(),STDEV(OFFSET(F437,1-Settings!$B$11,0,Settings!$B$11,1))*SQRT(Settings!$B$13)))</f>
        <v/>
      </c>
      <c r="I437" s="18">
        <f>IF(OR(NOT(ISNUMBER($A437)),ROW()-2&lt;Settings!$B$12),NA(),IF(COUNT(OFFSET(F437,1-Settings!$B$12,0,Settings!$B$12,1))&lt;Settings!$B$12,NA(),STDEV(OFFSET(F437,1-Settings!$B$12,0,Settings!$B$12,1))*SQRT(Settings!$B$13)))</f>
        <v/>
      </c>
      <c r="J437" s="18">
        <f>IF(OR(NOT(ISNUMBER($A437)),ROW()-2&lt;Settings!$B$11),NA(),IF(COUNT(OFFSET(G437,1-Settings!$B$11,0,Settings!$B$11,1))&lt;Settings!$B$11,NA(),STDEV(OFFSET(G437,1-Settings!$B$11,0,Settings!$B$11,1))*SQRT(Settings!$B$13)))</f>
        <v/>
      </c>
      <c r="K437" s="18">
        <f>IF(OR(NOT(ISNUMBER($A437)),ROW()-2&lt;Settings!$B$12),NA(),IF(COUNT(OFFSET(G437,1-Settings!$B$12,0,Settings!$B$12,1))&lt;Settings!$B$12,NA(),STDEV(OFFSET(G437,1-Settings!$B$12,0,Settings!$B$12,1))*SQRT(Settings!$B$13)))</f>
        <v/>
      </c>
      <c r="L437" s="18">
        <f>IF(AND(ISNUMBER(D437),ISNUMBER(H437)),D437-H437,NA())</f>
        <v/>
      </c>
      <c r="M437" s="18">
        <f>IF(AND(ISNUMBER(E437),ISNUMBER(K437)),E437-K437,NA())</f>
        <v/>
      </c>
      <c r="N437" s="18">
        <f>IF(NOT(ISNUMBER($A437)),NA(),IF(COUNT(OFFSET(G437,1,0,Settings!$B$12,1))&lt;Settings!$B$12,NA(),STDEV(OFFSET(G437,1,0,Settings!$B$12,1))*SQRT(Settings!$B$13)))</f>
        <v/>
      </c>
      <c r="O437" s="18">
        <f>IF(AND(ISNUMBER(E437),ISNUMBER(N437)),E437-N437,NA())</f>
        <v/>
      </c>
      <c r="P437" s="17">
        <f>IF(NOT(ISNUMBER($A437)),NA(),IF(OR($A437&lt;MIN(KW_TP!$A$2:$A$2501),$A437&gt;MAX(KW_TP!$A$2:$A$2501)),NA(),INDEX(KW_TP!$C$2:$C$2501,MATCH($A437,KW_TP!$A$2:$A$2501,1))))</f>
        <v/>
      </c>
    </row>
    <row r="438">
      <c r="A438" s="15">
        <f>IF(ISNUMBER(BBG_Data!A438),BBG_Data!A438,"")</f>
        <v/>
      </c>
      <c r="B438" s="16">
        <f>IF(AND(ISNUMBER($A438),ISNUMBER(BBG_Data!B438)),BBG_Data!B438,NA())</f>
        <v/>
      </c>
      <c r="C438" s="16">
        <f>IF(AND(ISNUMBER($A438),ISNUMBER(BBG_Data!C438)),BBG_Data!C438,NA())</f>
        <v/>
      </c>
      <c r="D438" s="17">
        <f>IF(AND(ISNUMBER($A438),ISNUMBER(BBG_Data!D438)),BBG_Data!D438,NA())</f>
        <v/>
      </c>
      <c r="E438" s="17">
        <f>IF(AND(ISNUMBER($A438),ISNUMBER(BBG_Data!E438)),BBG_Data!E438,NA())</f>
        <v/>
      </c>
      <c r="F438" s="18">
        <f>IF(AND(ISNUMBER(B438),ISNUMBER(B437)),(B438-B437)*100,"")</f>
        <v/>
      </c>
      <c r="G438" s="18">
        <f>IF(AND(ISNUMBER(C438),ISNUMBER(C437)),(C438-C437)*100,"")</f>
        <v/>
      </c>
      <c r="H438" s="18">
        <f>IF(OR(NOT(ISNUMBER($A438)),ROW()-2&lt;Settings!$B$11),NA(),IF(COUNT(OFFSET(F438,1-Settings!$B$11,0,Settings!$B$11,1))&lt;Settings!$B$11,NA(),STDEV(OFFSET(F438,1-Settings!$B$11,0,Settings!$B$11,1))*SQRT(Settings!$B$13)))</f>
        <v/>
      </c>
      <c r="I438" s="18">
        <f>IF(OR(NOT(ISNUMBER($A438)),ROW()-2&lt;Settings!$B$12),NA(),IF(COUNT(OFFSET(F438,1-Settings!$B$12,0,Settings!$B$12,1))&lt;Settings!$B$12,NA(),STDEV(OFFSET(F438,1-Settings!$B$12,0,Settings!$B$12,1))*SQRT(Settings!$B$13)))</f>
        <v/>
      </c>
      <c r="J438" s="18">
        <f>IF(OR(NOT(ISNUMBER($A438)),ROW()-2&lt;Settings!$B$11),NA(),IF(COUNT(OFFSET(G438,1-Settings!$B$11,0,Settings!$B$11,1))&lt;Settings!$B$11,NA(),STDEV(OFFSET(G438,1-Settings!$B$11,0,Settings!$B$11,1))*SQRT(Settings!$B$13)))</f>
        <v/>
      </c>
      <c r="K438" s="18">
        <f>IF(OR(NOT(ISNUMBER($A438)),ROW()-2&lt;Settings!$B$12),NA(),IF(COUNT(OFFSET(G438,1-Settings!$B$12,0,Settings!$B$12,1))&lt;Settings!$B$12,NA(),STDEV(OFFSET(G438,1-Settings!$B$12,0,Settings!$B$12,1))*SQRT(Settings!$B$13)))</f>
        <v/>
      </c>
      <c r="L438" s="18">
        <f>IF(AND(ISNUMBER(D438),ISNUMBER(H438)),D438-H438,NA())</f>
        <v/>
      </c>
      <c r="M438" s="18">
        <f>IF(AND(ISNUMBER(E438),ISNUMBER(K438)),E438-K438,NA())</f>
        <v/>
      </c>
      <c r="N438" s="18">
        <f>IF(NOT(ISNUMBER($A438)),NA(),IF(COUNT(OFFSET(G438,1,0,Settings!$B$12,1))&lt;Settings!$B$12,NA(),STDEV(OFFSET(G438,1,0,Settings!$B$12,1))*SQRT(Settings!$B$13)))</f>
        <v/>
      </c>
      <c r="O438" s="18">
        <f>IF(AND(ISNUMBER(E438),ISNUMBER(N438)),E438-N438,NA())</f>
        <v/>
      </c>
      <c r="P438" s="17">
        <f>IF(NOT(ISNUMBER($A438)),NA(),IF(OR($A438&lt;MIN(KW_TP!$A$2:$A$2501),$A438&gt;MAX(KW_TP!$A$2:$A$2501)),NA(),INDEX(KW_TP!$C$2:$C$2501,MATCH($A438,KW_TP!$A$2:$A$2501,1))))</f>
        <v/>
      </c>
    </row>
    <row r="439">
      <c r="A439" s="15">
        <f>IF(ISNUMBER(BBG_Data!A439),BBG_Data!A439,"")</f>
        <v/>
      </c>
      <c r="B439" s="16">
        <f>IF(AND(ISNUMBER($A439),ISNUMBER(BBG_Data!B439)),BBG_Data!B439,NA())</f>
        <v/>
      </c>
      <c r="C439" s="16">
        <f>IF(AND(ISNUMBER($A439),ISNUMBER(BBG_Data!C439)),BBG_Data!C439,NA())</f>
        <v/>
      </c>
      <c r="D439" s="17">
        <f>IF(AND(ISNUMBER($A439),ISNUMBER(BBG_Data!D439)),BBG_Data!D439,NA())</f>
        <v/>
      </c>
      <c r="E439" s="17">
        <f>IF(AND(ISNUMBER($A439),ISNUMBER(BBG_Data!E439)),BBG_Data!E439,NA())</f>
        <v/>
      </c>
      <c r="F439" s="18">
        <f>IF(AND(ISNUMBER(B439),ISNUMBER(B438)),(B439-B438)*100,"")</f>
        <v/>
      </c>
      <c r="G439" s="18">
        <f>IF(AND(ISNUMBER(C439),ISNUMBER(C438)),(C439-C438)*100,"")</f>
        <v/>
      </c>
      <c r="H439" s="18">
        <f>IF(OR(NOT(ISNUMBER($A439)),ROW()-2&lt;Settings!$B$11),NA(),IF(COUNT(OFFSET(F439,1-Settings!$B$11,0,Settings!$B$11,1))&lt;Settings!$B$11,NA(),STDEV(OFFSET(F439,1-Settings!$B$11,0,Settings!$B$11,1))*SQRT(Settings!$B$13)))</f>
        <v/>
      </c>
      <c r="I439" s="18">
        <f>IF(OR(NOT(ISNUMBER($A439)),ROW()-2&lt;Settings!$B$12),NA(),IF(COUNT(OFFSET(F439,1-Settings!$B$12,0,Settings!$B$12,1))&lt;Settings!$B$12,NA(),STDEV(OFFSET(F439,1-Settings!$B$12,0,Settings!$B$12,1))*SQRT(Settings!$B$13)))</f>
        <v/>
      </c>
      <c r="J439" s="18">
        <f>IF(OR(NOT(ISNUMBER($A439)),ROW()-2&lt;Settings!$B$11),NA(),IF(COUNT(OFFSET(G439,1-Settings!$B$11,0,Settings!$B$11,1))&lt;Settings!$B$11,NA(),STDEV(OFFSET(G439,1-Settings!$B$11,0,Settings!$B$11,1))*SQRT(Settings!$B$13)))</f>
        <v/>
      </c>
      <c r="K439" s="18">
        <f>IF(OR(NOT(ISNUMBER($A439)),ROW()-2&lt;Settings!$B$12),NA(),IF(COUNT(OFFSET(G439,1-Settings!$B$12,0,Settings!$B$12,1))&lt;Settings!$B$12,NA(),STDEV(OFFSET(G439,1-Settings!$B$12,0,Settings!$B$12,1))*SQRT(Settings!$B$13)))</f>
        <v/>
      </c>
      <c r="L439" s="18">
        <f>IF(AND(ISNUMBER(D439),ISNUMBER(H439)),D439-H439,NA())</f>
        <v/>
      </c>
      <c r="M439" s="18">
        <f>IF(AND(ISNUMBER(E439),ISNUMBER(K439)),E439-K439,NA())</f>
        <v/>
      </c>
      <c r="N439" s="18">
        <f>IF(NOT(ISNUMBER($A439)),NA(),IF(COUNT(OFFSET(G439,1,0,Settings!$B$12,1))&lt;Settings!$B$12,NA(),STDEV(OFFSET(G439,1,0,Settings!$B$12,1))*SQRT(Settings!$B$13)))</f>
        <v/>
      </c>
      <c r="O439" s="18">
        <f>IF(AND(ISNUMBER(E439),ISNUMBER(N439)),E439-N439,NA())</f>
        <v/>
      </c>
      <c r="P439" s="17">
        <f>IF(NOT(ISNUMBER($A439)),NA(),IF(OR($A439&lt;MIN(KW_TP!$A$2:$A$2501),$A439&gt;MAX(KW_TP!$A$2:$A$2501)),NA(),INDEX(KW_TP!$C$2:$C$2501,MATCH($A439,KW_TP!$A$2:$A$2501,1))))</f>
        <v/>
      </c>
    </row>
    <row r="440">
      <c r="A440" s="15">
        <f>IF(ISNUMBER(BBG_Data!A440),BBG_Data!A440,"")</f>
        <v/>
      </c>
      <c r="B440" s="16">
        <f>IF(AND(ISNUMBER($A440),ISNUMBER(BBG_Data!B440)),BBG_Data!B440,NA())</f>
        <v/>
      </c>
      <c r="C440" s="16">
        <f>IF(AND(ISNUMBER($A440),ISNUMBER(BBG_Data!C440)),BBG_Data!C440,NA())</f>
        <v/>
      </c>
      <c r="D440" s="17">
        <f>IF(AND(ISNUMBER($A440),ISNUMBER(BBG_Data!D440)),BBG_Data!D440,NA())</f>
        <v/>
      </c>
      <c r="E440" s="17">
        <f>IF(AND(ISNUMBER($A440),ISNUMBER(BBG_Data!E440)),BBG_Data!E440,NA())</f>
        <v/>
      </c>
      <c r="F440" s="18">
        <f>IF(AND(ISNUMBER(B440),ISNUMBER(B439)),(B440-B439)*100,"")</f>
        <v/>
      </c>
      <c r="G440" s="18">
        <f>IF(AND(ISNUMBER(C440),ISNUMBER(C439)),(C440-C439)*100,"")</f>
        <v/>
      </c>
      <c r="H440" s="18">
        <f>IF(OR(NOT(ISNUMBER($A440)),ROW()-2&lt;Settings!$B$11),NA(),IF(COUNT(OFFSET(F440,1-Settings!$B$11,0,Settings!$B$11,1))&lt;Settings!$B$11,NA(),STDEV(OFFSET(F440,1-Settings!$B$11,0,Settings!$B$11,1))*SQRT(Settings!$B$13)))</f>
        <v/>
      </c>
      <c r="I440" s="18">
        <f>IF(OR(NOT(ISNUMBER($A440)),ROW()-2&lt;Settings!$B$12),NA(),IF(COUNT(OFFSET(F440,1-Settings!$B$12,0,Settings!$B$12,1))&lt;Settings!$B$12,NA(),STDEV(OFFSET(F440,1-Settings!$B$12,0,Settings!$B$12,1))*SQRT(Settings!$B$13)))</f>
        <v/>
      </c>
      <c r="J440" s="18">
        <f>IF(OR(NOT(ISNUMBER($A440)),ROW()-2&lt;Settings!$B$11),NA(),IF(COUNT(OFFSET(G440,1-Settings!$B$11,0,Settings!$B$11,1))&lt;Settings!$B$11,NA(),STDEV(OFFSET(G440,1-Settings!$B$11,0,Settings!$B$11,1))*SQRT(Settings!$B$13)))</f>
        <v/>
      </c>
      <c r="K440" s="18">
        <f>IF(OR(NOT(ISNUMBER($A440)),ROW()-2&lt;Settings!$B$12),NA(),IF(COUNT(OFFSET(G440,1-Settings!$B$12,0,Settings!$B$12,1))&lt;Settings!$B$12,NA(),STDEV(OFFSET(G440,1-Settings!$B$12,0,Settings!$B$12,1))*SQRT(Settings!$B$13)))</f>
        <v/>
      </c>
      <c r="L440" s="18">
        <f>IF(AND(ISNUMBER(D440),ISNUMBER(H440)),D440-H440,NA())</f>
        <v/>
      </c>
      <c r="M440" s="18">
        <f>IF(AND(ISNUMBER(E440),ISNUMBER(K440)),E440-K440,NA())</f>
        <v/>
      </c>
      <c r="N440" s="18">
        <f>IF(NOT(ISNUMBER($A440)),NA(),IF(COUNT(OFFSET(G440,1,0,Settings!$B$12,1))&lt;Settings!$B$12,NA(),STDEV(OFFSET(G440,1,0,Settings!$B$12,1))*SQRT(Settings!$B$13)))</f>
        <v/>
      </c>
      <c r="O440" s="18">
        <f>IF(AND(ISNUMBER(E440),ISNUMBER(N440)),E440-N440,NA())</f>
        <v/>
      </c>
      <c r="P440" s="17">
        <f>IF(NOT(ISNUMBER($A440)),NA(),IF(OR($A440&lt;MIN(KW_TP!$A$2:$A$2501),$A440&gt;MAX(KW_TP!$A$2:$A$2501)),NA(),INDEX(KW_TP!$C$2:$C$2501,MATCH($A440,KW_TP!$A$2:$A$2501,1))))</f>
        <v/>
      </c>
    </row>
    <row r="441">
      <c r="A441" s="15">
        <f>IF(ISNUMBER(BBG_Data!A441),BBG_Data!A441,"")</f>
        <v/>
      </c>
      <c r="B441" s="16">
        <f>IF(AND(ISNUMBER($A441),ISNUMBER(BBG_Data!B441)),BBG_Data!B441,NA())</f>
        <v/>
      </c>
      <c r="C441" s="16">
        <f>IF(AND(ISNUMBER($A441),ISNUMBER(BBG_Data!C441)),BBG_Data!C441,NA())</f>
        <v/>
      </c>
      <c r="D441" s="17">
        <f>IF(AND(ISNUMBER($A441),ISNUMBER(BBG_Data!D441)),BBG_Data!D441,NA())</f>
        <v/>
      </c>
      <c r="E441" s="17">
        <f>IF(AND(ISNUMBER($A441),ISNUMBER(BBG_Data!E441)),BBG_Data!E441,NA())</f>
        <v/>
      </c>
      <c r="F441" s="18">
        <f>IF(AND(ISNUMBER(B441),ISNUMBER(B440)),(B441-B440)*100,"")</f>
        <v/>
      </c>
      <c r="G441" s="18">
        <f>IF(AND(ISNUMBER(C441),ISNUMBER(C440)),(C441-C440)*100,"")</f>
        <v/>
      </c>
      <c r="H441" s="18">
        <f>IF(OR(NOT(ISNUMBER($A441)),ROW()-2&lt;Settings!$B$11),NA(),IF(COUNT(OFFSET(F441,1-Settings!$B$11,0,Settings!$B$11,1))&lt;Settings!$B$11,NA(),STDEV(OFFSET(F441,1-Settings!$B$11,0,Settings!$B$11,1))*SQRT(Settings!$B$13)))</f>
        <v/>
      </c>
      <c r="I441" s="18">
        <f>IF(OR(NOT(ISNUMBER($A441)),ROW()-2&lt;Settings!$B$12),NA(),IF(COUNT(OFFSET(F441,1-Settings!$B$12,0,Settings!$B$12,1))&lt;Settings!$B$12,NA(),STDEV(OFFSET(F441,1-Settings!$B$12,0,Settings!$B$12,1))*SQRT(Settings!$B$13)))</f>
        <v/>
      </c>
      <c r="J441" s="18">
        <f>IF(OR(NOT(ISNUMBER($A441)),ROW()-2&lt;Settings!$B$11),NA(),IF(COUNT(OFFSET(G441,1-Settings!$B$11,0,Settings!$B$11,1))&lt;Settings!$B$11,NA(),STDEV(OFFSET(G441,1-Settings!$B$11,0,Settings!$B$11,1))*SQRT(Settings!$B$13)))</f>
        <v/>
      </c>
      <c r="K441" s="18">
        <f>IF(OR(NOT(ISNUMBER($A441)),ROW()-2&lt;Settings!$B$12),NA(),IF(COUNT(OFFSET(G441,1-Settings!$B$12,0,Settings!$B$12,1))&lt;Settings!$B$12,NA(),STDEV(OFFSET(G441,1-Settings!$B$12,0,Settings!$B$12,1))*SQRT(Settings!$B$13)))</f>
        <v/>
      </c>
      <c r="L441" s="18">
        <f>IF(AND(ISNUMBER(D441),ISNUMBER(H441)),D441-H441,NA())</f>
        <v/>
      </c>
      <c r="M441" s="18">
        <f>IF(AND(ISNUMBER(E441),ISNUMBER(K441)),E441-K441,NA())</f>
        <v/>
      </c>
      <c r="N441" s="18">
        <f>IF(NOT(ISNUMBER($A441)),NA(),IF(COUNT(OFFSET(G441,1,0,Settings!$B$12,1))&lt;Settings!$B$12,NA(),STDEV(OFFSET(G441,1,0,Settings!$B$12,1))*SQRT(Settings!$B$13)))</f>
        <v/>
      </c>
      <c r="O441" s="18">
        <f>IF(AND(ISNUMBER(E441),ISNUMBER(N441)),E441-N441,NA())</f>
        <v/>
      </c>
      <c r="P441" s="17">
        <f>IF(NOT(ISNUMBER($A441)),NA(),IF(OR($A441&lt;MIN(KW_TP!$A$2:$A$2501),$A441&gt;MAX(KW_TP!$A$2:$A$2501)),NA(),INDEX(KW_TP!$C$2:$C$2501,MATCH($A441,KW_TP!$A$2:$A$2501,1))))</f>
        <v/>
      </c>
    </row>
    <row r="442">
      <c r="A442" s="15">
        <f>IF(ISNUMBER(BBG_Data!A442),BBG_Data!A442,"")</f>
        <v/>
      </c>
      <c r="B442" s="16">
        <f>IF(AND(ISNUMBER($A442),ISNUMBER(BBG_Data!B442)),BBG_Data!B442,NA())</f>
        <v/>
      </c>
      <c r="C442" s="16">
        <f>IF(AND(ISNUMBER($A442),ISNUMBER(BBG_Data!C442)),BBG_Data!C442,NA())</f>
        <v/>
      </c>
      <c r="D442" s="17">
        <f>IF(AND(ISNUMBER($A442),ISNUMBER(BBG_Data!D442)),BBG_Data!D442,NA())</f>
        <v/>
      </c>
      <c r="E442" s="17">
        <f>IF(AND(ISNUMBER($A442),ISNUMBER(BBG_Data!E442)),BBG_Data!E442,NA())</f>
        <v/>
      </c>
      <c r="F442" s="18">
        <f>IF(AND(ISNUMBER(B442),ISNUMBER(B441)),(B442-B441)*100,"")</f>
        <v/>
      </c>
      <c r="G442" s="18">
        <f>IF(AND(ISNUMBER(C442),ISNUMBER(C441)),(C442-C441)*100,"")</f>
        <v/>
      </c>
      <c r="H442" s="18">
        <f>IF(OR(NOT(ISNUMBER($A442)),ROW()-2&lt;Settings!$B$11),NA(),IF(COUNT(OFFSET(F442,1-Settings!$B$11,0,Settings!$B$11,1))&lt;Settings!$B$11,NA(),STDEV(OFFSET(F442,1-Settings!$B$11,0,Settings!$B$11,1))*SQRT(Settings!$B$13)))</f>
        <v/>
      </c>
      <c r="I442" s="18">
        <f>IF(OR(NOT(ISNUMBER($A442)),ROW()-2&lt;Settings!$B$12),NA(),IF(COUNT(OFFSET(F442,1-Settings!$B$12,0,Settings!$B$12,1))&lt;Settings!$B$12,NA(),STDEV(OFFSET(F442,1-Settings!$B$12,0,Settings!$B$12,1))*SQRT(Settings!$B$13)))</f>
        <v/>
      </c>
      <c r="J442" s="18">
        <f>IF(OR(NOT(ISNUMBER($A442)),ROW()-2&lt;Settings!$B$11),NA(),IF(COUNT(OFFSET(G442,1-Settings!$B$11,0,Settings!$B$11,1))&lt;Settings!$B$11,NA(),STDEV(OFFSET(G442,1-Settings!$B$11,0,Settings!$B$11,1))*SQRT(Settings!$B$13)))</f>
        <v/>
      </c>
      <c r="K442" s="18">
        <f>IF(OR(NOT(ISNUMBER($A442)),ROW()-2&lt;Settings!$B$12),NA(),IF(COUNT(OFFSET(G442,1-Settings!$B$12,0,Settings!$B$12,1))&lt;Settings!$B$12,NA(),STDEV(OFFSET(G442,1-Settings!$B$12,0,Settings!$B$12,1))*SQRT(Settings!$B$13)))</f>
        <v/>
      </c>
      <c r="L442" s="18">
        <f>IF(AND(ISNUMBER(D442),ISNUMBER(H442)),D442-H442,NA())</f>
        <v/>
      </c>
      <c r="M442" s="18">
        <f>IF(AND(ISNUMBER(E442),ISNUMBER(K442)),E442-K442,NA())</f>
        <v/>
      </c>
      <c r="N442" s="18">
        <f>IF(NOT(ISNUMBER($A442)),NA(),IF(COUNT(OFFSET(G442,1,0,Settings!$B$12,1))&lt;Settings!$B$12,NA(),STDEV(OFFSET(G442,1,0,Settings!$B$12,1))*SQRT(Settings!$B$13)))</f>
        <v/>
      </c>
      <c r="O442" s="18">
        <f>IF(AND(ISNUMBER(E442),ISNUMBER(N442)),E442-N442,NA())</f>
        <v/>
      </c>
      <c r="P442" s="17">
        <f>IF(NOT(ISNUMBER($A442)),NA(),IF(OR($A442&lt;MIN(KW_TP!$A$2:$A$2501),$A442&gt;MAX(KW_TP!$A$2:$A$2501)),NA(),INDEX(KW_TP!$C$2:$C$2501,MATCH($A442,KW_TP!$A$2:$A$2501,1))))</f>
        <v/>
      </c>
    </row>
    <row r="443">
      <c r="A443" s="15">
        <f>IF(ISNUMBER(BBG_Data!A443),BBG_Data!A443,"")</f>
        <v/>
      </c>
      <c r="B443" s="16">
        <f>IF(AND(ISNUMBER($A443),ISNUMBER(BBG_Data!B443)),BBG_Data!B443,NA())</f>
        <v/>
      </c>
      <c r="C443" s="16">
        <f>IF(AND(ISNUMBER($A443),ISNUMBER(BBG_Data!C443)),BBG_Data!C443,NA())</f>
        <v/>
      </c>
      <c r="D443" s="17">
        <f>IF(AND(ISNUMBER($A443),ISNUMBER(BBG_Data!D443)),BBG_Data!D443,NA())</f>
        <v/>
      </c>
      <c r="E443" s="17">
        <f>IF(AND(ISNUMBER($A443),ISNUMBER(BBG_Data!E443)),BBG_Data!E443,NA())</f>
        <v/>
      </c>
      <c r="F443" s="18">
        <f>IF(AND(ISNUMBER(B443),ISNUMBER(B442)),(B443-B442)*100,"")</f>
        <v/>
      </c>
      <c r="G443" s="18">
        <f>IF(AND(ISNUMBER(C443),ISNUMBER(C442)),(C443-C442)*100,"")</f>
        <v/>
      </c>
      <c r="H443" s="18">
        <f>IF(OR(NOT(ISNUMBER($A443)),ROW()-2&lt;Settings!$B$11),NA(),IF(COUNT(OFFSET(F443,1-Settings!$B$11,0,Settings!$B$11,1))&lt;Settings!$B$11,NA(),STDEV(OFFSET(F443,1-Settings!$B$11,0,Settings!$B$11,1))*SQRT(Settings!$B$13)))</f>
        <v/>
      </c>
      <c r="I443" s="18">
        <f>IF(OR(NOT(ISNUMBER($A443)),ROW()-2&lt;Settings!$B$12),NA(),IF(COUNT(OFFSET(F443,1-Settings!$B$12,0,Settings!$B$12,1))&lt;Settings!$B$12,NA(),STDEV(OFFSET(F443,1-Settings!$B$12,0,Settings!$B$12,1))*SQRT(Settings!$B$13)))</f>
        <v/>
      </c>
      <c r="J443" s="18">
        <f>IF(OR(NOT(ISNUMBER($A443)),ROW()-2&lt;Settings!$B$11),NA(),IF(COUNT(OFFSET(G443,1-Settings!$B$11,0,Settings!$B$11,1))&lt;Settings!$B$11,NA(),STDEV(OFFSET(G443,1-Settings!$B$11,0,Settings!$B$11,1))*SQRT(Settings!$B$13)))</f>
        <v/>
      </c>
      <c r="K443" s="18">
        <f>IF(OR(NOT(ISNUMBER($A443)),ROW()-2&lt;Settings!$B$12),NA(),IF(COUNT(OFFSET(G443,1-Settings!$B$12,0,Settings!$B$12,1))&lt;Settings!$B$12,NA(),STDEV(OFFSET(G443,1-Settings!$B$12,0,Settings!$B$12,1))*SQRT(Settings!$B$13)))</f>
        <v/>
      </c>
      <c r="L443" s="18">
        <f>IF(AND(ISNUMBER(D443),ISNUMBER(H443)),D443-H443,NA())</f>
        <v/>
      </c>
      <c r="M443" s="18">
        <f>IF(AND(ISNUMBER(E443),ISNUMBER(K443)),E443-K443,NA())</f>
        <v/>
      </c>
      <c r="N443" s="18">
        <f>IF(NOT(ISNUMBER($A443)),NA(),IF(COUNT(OFFSET(G443,1,0,Settings!$B$12,1))&lt;Settings!$B$12,NA(),STDEV(OFFSET(G443,1,0,Settings!$B$12,1))*SQRT(Settings!$B$13)))</f>
        <v/>
      </c>
      <c r="O443" s="18">
        <f>IF(AND(ISNUMBER(E443),ISNUMBER(N443)),E443-N443,NA())</f>
        <v/>
      </c>
      <c r="P443" s="17">
        <f>IF(NOT(ISNUMBER($A443)),NA(),IF(OR($A443&lt;MIN(KW_TP!$A$2:$A$2501),$A443&gt;MAX(KW_TP!$A$2:$A$2501)),NA(),INDEX(KW_TP!$C$2:$C$2501,MATCH($A443,KW_TP!$A$2:$A$2501,1))))</f>
        <v/>
      </c>
    </row>
    <row r="444">
      <c r="A444" s="15">
        <f>IF(ISNUMBER(BBG_Data!A444),BBG_Data!A444,"")</f>
        <v/>
      </c>
      <c r="B444" s="16">
        <f>IF(AND(ISNUMBER($A444),ISNUMBER(BBG_Data!B444)),BBG_Data!B444,NA())</f>
        <v/>
      </c>
      <c r="C444" s="16">
        <f>IF(AND(ISNUMBER($A444),ISNUMBER(BBG_Data!C444)),BBG_Data!C444,NA())</f>
        <v/>
      </c>
      <c r="D444" s="17">
        <f>IF(AND(ISNUMBER($A444),ISNUMBER(BBG_Data!D444)),BBG_Data!D444,NA())</f>
        <v/>
      </c>
      <c r="E444" s="17">
        <f>IF(AND(ISNUMBER($A444),ISNUMBER(BBG_Data!E444)),BBG_Data!E444,NA())</f>
        <v/>
      </c>
      <c r="F444" s="18">
        <f>IF(AND(ISNUMBER(B444),ISNUMBER(B443)),(B444-B443)*100,"")</f>
        <v/>
      </c>
      <c r="G444" s="18">
        <f>IF(AND(ISNUMBER(C444),ISNUMBER(C443)),(C444-C443)*100,"")</f>
        <v/>
      </c>
      <c r="H444" s="18">
        <f>IF(OR(NOT(ISNUMBER($A444)),ROW()-2&lt;Settings!$B$11),NA(),IF(COUNT(OFFSET(F444,1-Settings!$B$11,0,Settings!$B$11,1))&lt;Settings!$B$11,NA(),STDEV(OFFSET(F444,1-Settings!$B$11,0,Settings!$B$11,1))*SQRT(Settings!$B$13)))</f>
        <v/>
      </c>
      <c r="I444" s="18">
        <f>IF(OR(NOT(ISNUMBER($A444)),ROW()-2&lt;Settings!$B$12),NA(),IF(COUNT(OFFSET(F444,1-Settings!$B$12,0,Settings!$B$12,1))&lt;Settings!$B$12,NA(),STDEV(OFFSET(F444,1-Settings!$B$12,0,Settings!$B$12,1))*SQRT(Settings!$B$13)))</f>
        <v/>
      </c>
      <c r="J444" s="18">
        <f>IF(OR(NOT(ISNUMBER($A444)),ROW()-2&lt;Settings!$B$11),NA(),IF(COUNT(OFFSET(G444,1-Settings!$B$11,0,Settings!$B$11,1))&lt;Settings!$B$11,NA(),STDEV(OFFSET(G444,1-Settings!$B$11,0,Settings!$B$11,1))*SQRT(Settings!$B$13)))</f>
        <v/>
      </c>
      <c r="K444" s="18">
        <f>IF(OR(NOT(ISNUMBER($A444)),ROW()-2&lt;Settings!$B$12),NA(),IF(COUNT(OFFSET(G444,1-Settings!$B$12,0,Settings!$B$12,1))&lt;Settings!$B$12,NA(),STDEV(OFFSET(G444,1-Settings!$B$12,0,Settings!$B$12,1))*SQRT(Settings!$B$13)))</f>
        <v/>
      </c>
      <c r="L444" s="18">
        <f>IF(AND(ISNUMBER(D444),ISNUMBER(H444)),D444-H444,NA())</f>
        <v/>
      </c>
      <c r="M444" s="18">
        <f>IF(AND(ISNUMBER(E444),ISNUMBER(K444)),E444-K444,NA())</f>
        <v/>
      </c>
      <c r="N444" s="18">
        <f>IF(NOT(ISNUMBER($A444)),NA(),IF(COUNT(OFFSET(G444,1,0,Settings!$B$12,1))&lt;Settings!$B$12,NA(),STDEV(OFFSET(G444,1,0,Settings!$B$12,1))*SQRT(Settings!$B$13)))</f>
        <v/>
      </c>
      <c r="O444" s="18">
        <f>IF(AND(ISNUMBER(E444),ISNUMBER(N444)),E444-N444,NA())</f>
        <v/>
      </c>
      <c r="P444" s="17">
        <f>IF(NOT(ISNUMBER($A444)),NA(),IF(OR($A444&lt;MIN(KW_TP!$A$2:$A$2501),$A444&gt;MAX(KW_TP!$A$2:$A$2501)),NA(),INDEX(KW_TP!$C$2:$C$2501,MATCH($A444,KW_TP!$A$2:$A$2501,1))))</f>
        <v/>
      </c>
    </row>
    <row r="445">
      <c r="A445" s="15">
        <f>IF(ISNUMBER(BBG_Data!A445),BBG_Data!A445,"")</f>
        <v/>
      </c>
      <c r="B445" s="16">
        <f>IF(AND(ISNUMBER($A445),ISNUMBER(BBG_Data!B445)),BBG_Data!B445,NA())</f>
        <v/>
      </c>
      <c r="C445" s="16">
        <f>IF(AND(ISNUMBER($A445),ISNUMBER(BBG_Data!C445)),BBG_Data!C445,NA())</f>
        <v/>
      </c>
      <c r="D445" s="17">
        <f>IF(AND(ISNUMBER($A445),ISNUMBER(BBG_Data!D445)),BBG_Data!D445,NA())</f>
        <v/>
      </c>
      <c r="E445" s="17">
        <f>IF(AND(ISNUMBER($A445),ISNUMBER(BBG_Data!E445)),BBG_Data!E445,NA())</f>
        <v/>
      </c>
      <c r="F445" s="18">
        <f>IF(AND(ISNUMBER(B445),ISNUMBER(B444)),(B445-B444)*100,"")</f>
        <v/>
      </c>
      <c r="G445" s="18">
        <f>IF(AND(ISNUMBER(C445),ISNUMBER(C444)),(C445-C444)*100,"")</f>
        <v/>
      </c>
      <c r="H445" s="18">
        <f>IF(OR(NOT(ISNUMBER($A445)),ROW()-2&lt;Settings!$B$11),NA(),IF(COUNT(OFFSET(F445,1-Settings!$B$11,0,Settings!$B$11,1))&lt;Settings!$B$11,NA(),STDEV(OFFSET(F445,1-Settings!$B$11,0,Settings!$B$11,1))*SQRT(Settings!$B$13)))</f>
        <v/>
      </c>
      <c r="I445" s="18">
        <f>IF(OR(NOT(ISNUMBER($A445)),ROW()-2&lt;Settings!$B$12),NA(),IF(COUNT(OFFSET(F445,1-Settings!$B$12,0,Settings!$B$12,1))&lt;Settings!$B$12,NA(),STDEV(OFFSET(F445,1-Settings!$B$12,0,Settings!$B$12,1))*SQRT(Settings!$B$13)))</f>
        <v/>
      </c>
      <c r="J445" s="18">
        <f>IF(OR(NOT(ISNUMBER($A445)),ROW()-2&lt;Settings!$B$11),NA(),IF(COUNT(OFFSET(G445,1-Settings!$B$11,0,Settings!$B$11,1))&lt;Settings!$B$11,NA(),STDEV(OFFSET(G445,1-Settings!$B$11,0,Settings!$B$11,1))*SQRT(Settings!$B$13)))</f>
        <v/>
      </c>
      <c r="K445" s="18">
        <f>IF(OR(NOT(ISNUMBER($A445)),ROW()-2&lt;Settings!$B$12),NA(),IF(COUNT(OFFSET(G445,1-Settings!$B$12,0,Settings!$B$12,1))&lt;Settings!$B$12,NA(),STDEV(OFFSET(G445,1-Settings!$B$12,0,Settings!$B$12,1))*SQRT(Settings!$B$13)))</f>
        <v/>
      </c>
      <c r="L445" s="18">
        <f>IF(AND(ISNUMBER(D445),ISNUMBER(H445)),D445-H445,NA())</f>
        <v/>
      </c>
      <c r="M445" s="18">
        <f>IF(AND(ISNUMBER(E445),ISNUMBER(K445)),E445-K445,NA())</f>
        <v/>
      </c>
      <c r="N445" s="18">
        <f>IF(NOT(ISNUMBER($A445)),NA(),IF(COUNT(OFFSET(G445,1,0,Settings!$B$12,1))&lt;Settings!$B$12,NA(),STDEV(OFFSET(G445,1,0,Settings!$B$12,1))*SQRT(Settings!$B$13)))</f>
        <v/>
      </c>
      <c r="O445" s="18">
        <f>IF(AND(ISNUMBER(E445),ISNUMBER(N445)),E445-N445,NA())</f>
        <v/>
      </c>
      <c r="P445" s="17">
        <f>IF(NOT(ISNUMBER($A445)),NA(),IF(OR($A445&lt;MIN(KW_TP!$A$2:$A$2501),$A445&gt;MAX(KW_TP!$A$2:$A$2501)),NA(),INDEX(KW_TP!$C$2:$C$2501,MATCH($A445,KW_TP!$A$2:$A$2501,1))))</f>
        <v/>
      </c>
    </row>
    <row r="446">
      <c r="A446" s="15">
        <f>IF(ISNUMBER(BBG_Data!A446),BBG_Data!A446,"")</f>
        <v/>
      </c>
      <c r="B446" s="16">
        <f>IF(AND(ISNUMBER($A446),ISNUMBER(BBG_Data!B446)),BBG_Data!B446,NA())</f>
        <v/>
      </c>
      <c r="C446" s="16">
        <f>IF(AND(ISNUMBER($A446),ISNUMBER(BBG_Data!C446)),BBG_Data!C446,NA())</f>
        <v/>
      </c>
      <c r="D446" s="17">
        <f>IF(AND(ISNUMBER($A446),ISNUMBER(BBG_Data!D446)),BBG_Data!D446,NA())</f>
        <v/>
      </c>
      <c r="E446" s="17">
        <f>IF(AND(ISNUMBER($A446),ISNUMBER(BBG_Data!E446)),BBG_Data!E446,NA())</f>
        <v/>
      </c>
      <c r="F446" s="18">
        <f>IF(AND(ISNUMBER(B446),ISNUMBER(B445)),(B446-B445)*100,"")</f>
        <v/>
      </c>
      <c r="G446" s="18">
        <f>IF(AND(ISNUMBER(C446),ISNUMBER(C445)),(C446-C445)*100,"")</f>
        <v/>
      </c>
      <c r="H446" s="18">
        <f>IF(OR(NOT(ISNUMBER($A446)),ROW()-2&lt;Settings!$B$11),NA(),IF(COUNT(OFFSET(F446,1-Settings!$B$11,0,Settings!$B$11,1))&lt;Settings!$B$11,NA(),STDEV(OFFSET(F446,1-Settings!$B$11,0,Settings!$B$11,1))*SQRT(Settings!$B$13)))</f>
        <v/>
      </c>
      <c r="I446" s="18">
        <f>IF(OR(NOT(ISNUMBER($A446)),ROW()-2&lt;Settings!$B$12),NA(),IF(COUNT(OFFSET(F446,1-Settings!$B$12,0,Settings!$B$12,1))&lt;Settings!$B$12,NA(),STDEV(OFFSET(F446,1-Settings!$B$12,0,Settings!$B$12,1))*SQRT(Settings!$B$13)))</f>
        <v/>
      </c>
      <c r="J446" s="18">
        <f>IF(OR(NOT(ISNUMBER($A446)),ROW()-2&lt;Settings!$B$11),NA(),IF(COUNT(OFFSET(G446,1-Settings!$B$11,0,Settings!$B$11,1))&lt;Settings!$B$11,NA(),STDEV(OFFSET(G446,1-Settings!$B$11,0,Settings!$B$11,1))*SQRT(Settings!$B$13)))</f>
        <v/>
      </c>
      <c r="K446" s="18">
        <f>IF(OR(NOT(ISNUMBER($A446)),ROW()-2&lt;Settings!$B$12),NA(),IF(COUNT(OFFSET(G446,1-Settings!$B$12,0,Settings!$B$12,1))&lt;Settings!$B$12,NA(),STDEV(OFFSET(G446,1-Settings!$B$12,0,Settings!$B$12,1))*SQRT(Settings!$B$13)))</f>
        <v/>
      </c>
      <c r="L446" s="18">
        <f>IF(AND(ISNUMBER(D446),ISNUMBER(H446)),D446-H446,NA())</f>
        <v/>
      </c>
      <c r="M446" s="18">
        <f>IF(AND(ISNUMBER(E446),ISNUMBER(K446)),E446-K446,NA())</f>
        <v/>
      </c>
      <c r="N446" s="18">
        <f>IF(NOT(ISNUMBER($A446)),NA(),IF(COUNT(OFFSET(G446,1,0,Settings!$B$12,1))&lt;Settings!$B$12,NA(),STDEV(OFFSET(G446,1,0,Settings!$B$12,1))*SQRT(Settings!$B$13)))</f>
        <v/>
      </c>
      <c r="O446" s="18">
        <f>IF(AND(ISNUMBER(E446),ISNUMBER(N446)),E446-N446,NA())</f>
        <v/>
      </c>
      <c r="P446" s="17">
        <f>IF(NOT(ISNUMBER($A446)),NA(),IF(OR($A446&lt;MIN(KW_TP!$A$2:$A$2501),$A446&gt;MAX(KW_TP!$A$2:$A$2501)),NA(),INDEX(KW_TP!$C$2:$C$2501,MATCH($A446,KW_TP!$A$2:$A$2501,1))))</f>
        <v/>
      </c>
    </row>
    <row r="447">
      <c r="A447" s="15">
        <f>IF(ISNUMBER(BBG_Data!A447),BBG_Data!A447,"")</f>
        <v/>
      </c>
      <c r="B447" s="16">
        <f>IF(AND(ISNUMBER($A447),ISNUMBER(BBG_Data!B447)),BBG_Data!B447,NA())</f>
        <v/>
      </c>
      <c r="C447" s="16">
        <f>IF(AND(ISNUMBER($A447),ISNUMBER(BBG_Data!C447)),BBG_Data!C447,NA())</f>
        <v/>
      </c>
      <c r="D447" s="17">
        <f>IF(AND(ISNUMBER($A447),ISNUMBER(BBG_Data!D447)),BBG_Data!D447,NA())</f>
        <v/>
      </c>
      <c r="E447" s="17">
        <f>IF(AND(ISNUMBER($A447),ISNUMBER(BBG_Data!E447)),BBG_Data!E447,NA())</f>
        <v/>
      </c>
      <c r="F447" s="18">
        <f>IF(AND(ISNUMBER(B447),ISNUMBER(B446)),(B447-B446)*100,"")</f>
        <v/>
      </c>
      <c r="G447" s="18">
        <f>IF(AND(ISNUMBER(C447),ISNUMBER(C446)),(C447-C446)*100,"")</f>
        <v/>
      </c>
      <c r="H447" s="18">
        <f>IF(OR(NOT(ISNUMBER($A447)),ROW()-2&lt;Settings!$B$11),NA(),IF(COUNT(OFFSET(F447,1-Settings!$B$11,0,Settings!$B$11,1))&lt;Settings!$B$11,NA(),STDEV(OFFSET(F447,1-Settings!$B$11,0,Settings!$B$11,1))*SQRT(Settings!$B$13)))</f>
        <v/>
      </c>
      <c r="I447" s="18">
        <f>IF(OR(NOT(ISNUMBER($A447)),ROW()-2&lt;Settings!$B$12),NA(),IF(COUNT(OFFSET(F447,1-Settings!$B$12,0,Settings!$B$12,1))&lt;Settings!$B$12,NA(),STDEV(OFFSET(F447,1-Settings!$B$12,0,Settings!$B$12,1))*SQRT(Settings!$B$13)))</f>
        <v/>
      </c>
      <c r="J447" s="18">
        <f>IF(OR(NOT(ISNUMBER($A447)),ROW()-2&lt;Settings!$B$11),NA(),IF(COUNT(OFFSET(G447,1-Settings!$B$11,0,Settings!$B$11,1))&lt;Settings!$B$11,NA(),STDEV(OFFSET(G447,1-Settings!$B$11,0,Settings!$B$11,1))*SQRT(Settings!$B$13)))</f>
        <v/>
      </c>
      <c r="K447" s="18">
        <f>IF(OR(NOT(ISNUMBER($A447)),ROW()-2&lt;Settings!$B$12),NA(),IF(COUNT(OFFSET(G447,1-Settings!$B$12,0,Settings!$B$12,1))&lt;Settings!$B$12,NA(),STDEV(OFFSET(G447,1-Settings!$B$12,0,Settings!$B$12,1))*SQRT(Settings!$B$13)))</f>
        <v/>
      </c>
      <c r="L447" s="18">
        <f>IF(AND(ISNUMBER(D447),ISNUMBER(H447)),D447-H447,NA())</f>
        <v/>
      </c>
      <c r="M447" s="18">
        <f>IF(AND(ISNUMBER(E447),ISNUMBER(K447)),E447-K447,NA())</f>
        <v/>
      </c>
      <c r="N447" s="18">
        <f>IF(NOT(ISNUMBER($A447)),NA(),IF(COUNT(OFFSET(G447,1,0,Settings!$B$12,1))&lt;Settings!$B$12,NA(),STDEV(OFFSET(G447,1,0,Settings!$B$12,1))*SQRT(Settings!$B$13)))</f>
        <v/>
      </c>
      <c r="O447" s="18">
        <f>IF(AND(ISNUMBER(E447),ISNUMBER(N447)),E447-N447,NA())</f>
        <v/>
      </c>
      <c r="P447" s="17">
        <f>IF(NOT(ISNUMBER($A447)),NA(),IF(OR($A447&lt;MIN(KW_TP!$A$2:$A$2501),$A447&gt;MAX(KW_TP!$A$2:$A$2501)),NA(),INDEX(KW_TP!$C$2:$C$2501,MATCH($A447,KW_TP!$A$2:$A$2501,1))))</f>
        <v/>
      </c>
    </row>
    <row r="448">
      <c r="A448" s="15">
        <f>IF(ISNUMBER(BBG_Data!A448),BBG_Data!A448,"")</f>
        <v/>
      </c>
      <c r="B448" s="16">
        <f>IF(AND(ISNUMBER($A448),ISNUMBER(BBG_Data!B448)),BBG_Data!B448,NA())</f>
        <v/>
      </c>
      <c r="C448" s="16">
        <f>IF(AND(ISNUMBER($A448),ISNUMBER(BBG_Data!C448)),BBG_Data!C448,NA())</f>
        <v/>
      </c>
      <c r="D448" s="17">
        <f>IF(AND(ISNUMBER($A448),ISNUMBER(BBG_Data!D448)),BBG_Data!D448,NA())</f>
        <v/>
      </c>
      <c r="E448" s="17">
        <f>IF(AND(ISNUMBER($A448),ISNUMBER(BBG_Data!E448)),BBG_Data!E448,NA())</f>
        <v/>
      </c>
      <c r="F448" s="18">
        <f>IF(AND(ISNUMBER(B448),ISNUMBER(B447)),(B448-B447)*100,"")</f>
        <v/>
      </c>
      <c r="G448" s="18">
        <f>IF(AND(ISNUMBER(C448),ISNUMBER(C447)),(C448-C447)*100,"")</f>
        <v/>
      </c>
      <c r="H448" s="18">
        <f>IF(OR(NOT(ISNUMBER($A448)),ROW()-2&lt;Settings!$B$11),NA(),IF(COUNT(OFFSET(F448,1-Settings!$B$11,0,Settings!$B$11,1))&lt;Settings!$B$11,NA(),STDEV(OFFSET(F448,1-Settings!$B$11,0,Settings!$B$11,1))*SQRT(Settings!$B$13)))</f>
        <v/>
      </c>
      <c r="I448" s="18">
        <f>IF(OR(NOT(ISNUMBER($A448)),ROW()-2&lt;Settings!$B$12),NA(),IF(COUNT(OFFSET(F448,1-Settings!$B$12,0,Settings!$B$12,1))&lt;Settings!$B$12,NA(),STDEV(OFFSET(F448,1-Settings!$B$12,0,Settings!$B$12,1))*SQRT(Settings!$B$13)))</f>
        <v/>
      </c>
      <c r="J448" s="18">
        <f>IF(OR(NOT(ISNUMBER($A448)),ROW()-2&lt;Settings!$B$11),NA(),IF(COUNT(OFFSET(G448,1-Settings!$B$11,0,Settings!$B$11,1))&lt;Settings!$B$11,NA(),STDEV(OFFSET(G448,1-Settings!$B$11,0,Settings!$B$11,1))*SQRT(Settings!$B$13)))</f>
        <v/>
      </c>
      <c r="K448" s="18">
        <f>IF(OR(NOT(ISNUMBER($A448)),ROW()-2&lt;Settings!$B$12),NA(),IF(COUNT(OFFSET(G448,1-Settings!$B$12,0,Settings!$B$12,1))&lt;Settings!$B$12,NA(),STDEV(OFFSET(G448,1-Settings!$B$12,0,Settings!$B$12,1))*SQRT(Settings!$B$13)))</f>
        <v/>
      </c>
      <c r="L448" s="18">
        <f>IF(AND(ISNUMBER(D448),ISNUMBER(H448)),D448-H448,NA())</f>
        <v/>
      </c>
      <c r="M448" s="18">
        <f>IF(AND(ISNUMBER(E448),ISNUMBER(K448)),E448-K448,NA())</f>
        <v/>
      </c>
      <c r="N448" s="18">
        <f>IF(NOT(ISNUMBER($A448)),NA(),IF(COUNT(OFFSET(G448,1,0,Settings!$B$12,1))&lt;Settings!$B$12,NA(),STDEV(OFFSET(G448,1,0,Settings!$B$12,1))*SQRT(Settings!$B$13)))</f>
        <v/>
      </c>
      <c r="O448" s="18">
        <f>IF(AND(ISNUMBER(E448),ISNUMBER(N448)),E448-N448,NA())</f>
        <v/>
      </c>
      <c r="P448" s="17">
        <f>IF(NOT(ISNUMBER($A448)),NA(),IF(OR($A448&lt;MIN(KW_TP!$A$2:$A$2501),$A448&gt;MAX(KW_TP!$A$2:$A$2501)),NA(),INDEX(KW_TP!$C$2:$C$2501,MATCH($A448,KW_TP!$A$2:$A$2501,1))))</f>
        <v/>
      </c>
    </row>
    <row r="449">
      <c r="A449" s="15">
        <f>IF(ISNUMBER(BBG_Data!A449),BBG_Data!A449,"")</f>
        <v/>
      </c>
      <c r="B449" s="16">
        <f>IF(AND(ISNUMBER($A449),ISNUMBER(BBG_Data!B449)),BBG_Data!B449,NA())</f>
        <v/>
      </c>
      <c r="C449" s="16">
        <f>IF(AND(ISNUMBER($A449),ISNUMBER(BBG_Data!C449)),BBG_Data!C449,NA())</f>
        <v/>
      </c>
      <c r="D449" s="17">
        <f>IF(AND(ISNUMBER($A449),ISNUMBER(BBG_Data!D449)),BBG_Data!D449,NA())</f>
        <v/>
      </c>
      <c r="E449" s="17">
        <f>IF(AND(ISNUMBER($A449),ISNUMBER(BBG_Data!E449)),BBG_Data!E449,NA())</f>
        <v/>
      </c>
      <c r="F449" s="18">
        <f>IF(AND(ISNUMBER(B449),ISNUMBER(B448)),(B449-B448)*100,"")</f>
        <v/>
      </c>
      <c r="G449" s="18">
        <f>IF(AND(ISNUMBER(C449),ISNUMBER(C448)),(C449-C448)*100,"")</f>
        <v/>
      </c>
      <c r="H449" s="18">
        <f>IF(OR(NOT(ISNUMBER($A449)),ROW()-2&lt;Settings!$B$11),NA(),IF(COUNT(OFFSET(F449,1-Settings!$B$11,0,Settings!$B$11,1))&lt;Settings!$B$11,NA(),STDEV(OFFSET(F449,1-Settings!$B$11,0,Settings!$B$11,1))*SQRT(Settings!$B$13)))</f>
        <v/>
      </c>
      <c r="I449" s="18">
        <f>IF(OR(NOT(ISNUMBER($A449)),ROW()-2&lt;Settings!$B$12),NA(),IF(COUNT(OFFSET(F449,1-Settings!$B$12,0,Settings!$B$12,1))&lt;Settings!$B$12,NA(),STDEV(OFFSET(F449,1-Settings!$B$12,0,Settings!$B$12,1))*SQRT(Settings!$B$13)))</f>
        <v/>
      </c>
      <c r="J449" s="18">
        <f>IF(OR(NOT(ISNUMBER($A449)),ROW()-2&lt;Settings!$B$11),NA(),IF(COUNT(OFFSET(G449,1-Settings!$B$11,0,Settings!$B$11,1))&lt;Settings!$B$11,NA(),STDEV(OFFSET(G449,1-Settings!$B$11,0,Settings!$B$11,1))*SQRT(Settings!$B$13)))</f>
        <v/>
      </c>
      <c r="K449" s="18">
        <f>IF(OR(NOT(ISNUMBER($A449)),ROW()-2&lt;Settings!$B$12),NA(),IF(COUNT(OFFSET(G449,1-Settings!$B$12,0,Settings!$B$12,1))&lt;Settings!$B$12,NA(),STDEV(OFFSET(G449,1-Settings!$B$12,0,Settings!$B$12,1))*SQRT(Settings!$B$13)))</f>
        <v/>
      </c>
      <c r="L449" s="18">
        <f>IF(AND(ISNUMBER(D449),ISNUMBER(H449)),D449-H449,NA())</f>
        <v/>
      </c>
      <c r="M449" s="18">
        <f>IF(AND(ISNUMBER(E449),ISNUMBER(K449)),E449-K449,NA())</f>
        <v/>
      </c>
      <c r="N449" s="18">
        <f>IF(NOT(ISNUMBER($A449)),NA(),IF(COUNT(OFFSET(G449,1,0,Settings!$B$12,1))&lt;Settings!$B$12,NA(),STDEV(OFFSET(G449,1,0,Settings!$B$12,1))*SQRT(Settings!$B$13)))</f>
        <v/>
      </c>
      <c r="O449" s="18">
        <f>IF(AND(ISNUMBER(E449),ISNUMBER(N449)),E449-N449,NA())</f>
        <v/>
      </c>
      <c r="P449" s="17">
        <f>IF(NOT(ISNUMBER($A449)),NA(),IF(OR($A449&lt;MIN(KW_TP!$A$2:$A$2501),$A449&gt;MAX(KW_TP!$A$2:$A$2501)),NA(),INDEX(KW_TP!$C$2:$C$2501,MATCH($A449,KW_TP!$A$2:$A$2501,1))))</f>
        <v/>
      </c>
    </row>
    <row r="450">
      <c r="A450" s="15">
        <f>IF(ISNUMBER(BBG_Data!A450),BBG_Data!A450,"")</f>
        <v/>
      </c>
      <c r="B450" s="16">
        <f>IF(AND(ISNUMBER($A450),ISNUMBER(BBG_Data!B450)),BBG_Data!B450,NA())</f>
        <v/>
      </c>
      <c r="C450" s="16">
        <f>IF(AND(ISNUMBER($A450),ISNUMBER(BBG_Data!C450)),BBG_Data!C450,NA())</f>
        <v/>
      </c>
      <c r="D450" s="17">
        <f>IF(AND(ISNUMBER($A450),ISNUMBER(BBG_Data!D450)),BBG_Data!D450,NA())</f>
        <v/>
      </c>
      <c r="E450" s="17">
        <f>IF(AND(ISNUMBER($A450),ISNUMBER(BBG_Data!E450)),BBG_Data!E450,NA())</f>
        <v/>
      </c>
      <c r="F450" s="18">
        <f>IF(AND(ISNUMBER(B450),ISNUMBER(B449)),(B450-B449)*100,"")</f>
        <v/>
      </c>
      <c r="G450" s="18">
        <f>IF(AND(ISNUMBER(C450),ISNUMBER(C449)),(C450-C449)*100,"")</f>
        <v/>
      </c>
      <c r="H450" s="18">
        <f>IF(OR(NOT(ISNUMBER($A450)),ROW()-2&lt;Settings!$B$11),NA(),IF(COUNT(OFFSET(F450,1-Settings!$B$11,0,Settings!$B$11,1))&lt;Settings!$B$11,NA(),STDEV(OFFSET(F450,1-Settings!$B$11,0,Settings!$B$11,1))*SQRT(Settings!$B$13)))</f>
        <v/>
      </c>
      <c r="I450" s="18">
        <f>IF(OR(NOT(ISNUMBER($A450)),ROW()-2&lt;Settings!$B$12),NA(),IF(COUNT(OFFSET(F450,1-Settings!$B$12,0,Settings!$B$12,1))&lt;Settings!$B$12,NA(),STDEV(OFFSET(F450,1-Settings!$B$12,0,Settings!$B$12,1))*SQRT(Settings!$B$13)))</f>
        <v/>
      </c>
      <c r="J450" s="18">
        <f>IF(OR(NOT(ISNUMBER($A450)),ROW()-2&lt;Settings!$B$11),NA(),IF(COUNT(OFFSET(G450,1-Settings!$B$11,0,Settings!$B$11,1))&lt;Settings!$B$11,NA(),STDEV(OFFSET(G450,1-Settings!$B$11,0,Settings!$B$11,1))*SQRT(Settings!$B$13)))</f>
        <v/>
      </c>
      <c r="K450" s="18">
        <f>IF(OR(NOT(ISNUMBER($A450)),ROW()-2&lt;Settings!$B$12),NA(),IF(COUNT(OFFSET(G450,1-Settings!$B$12,0,Settings!$B$12,1))&lt;Settings!$B$12,NA(),STDEV(OFFSET(G450,1-Settings!$B$12,0,Settings!$B$12,1))*SQRT(Settings!$B$13)))</f>
        <v/>
      </c>
      <c r="L450" s="18">
        <f>IF(AND(ISNUMBER(D450),ISNUMBER(H450)),D450-H450,NA())</f>
        <v/>
      </c>
      <c r="M450" s="18">
        <f>IF(AND(ISNUMBER(E450),ISNUMBER(K450)),E450-K450,NA())</f>
        <v/>
      </c>
      <c r="N450" s="18">
        <f>IF(NOT(ISNUMBER($A450)),NA(),IF(COUNT(OFFSET(G450,1,0,Settings!$B$12,1))&lt;Settings!$B$12,NA(),STDEV(OFFSET(G450,1,0,Settings!$B$12,1))*SQRT(Settings!$B$13)))</f>
        <v/>
      </c>
      <c r="O450" s="18">
        <f>IF(AND(ISNUMBER(E450),ISNUMBER(N450)),E450-N450,NA())</f>
        <v/>
      </c>
      <c r="P450" s="17">
        <f>IF(NOT(ISNUMBER($A450)),NA(),IF(OR($A450&lt;MIN(KW_TP!$A$2:$A$2501),$A450&gt;MAX(KW_TP!$A$2:$A$2501)),NA(),INDEX(KW_TP!$C$2:$C$2501,MATCH($A450,KW_TP!$A$2:$A$2501,1))))</f>
        <v/>
      </c>
    </row>
    <row r="451">
      <c r="A451" s="15">
        <f>IF(ISNUMBER(BBG_Data!A451),BBG_Data!A451,"")</f>
        <v/>
      </c>
      <c r="B451" s="16">
        <f>IF(AND(ISNUMBER($A451),ISNUMBER(BBG_Data!B451)),BBG_Data!B451,NA())</f>
        <v/>
      </c>
      <c r="C451" s="16">
        <f>IF(AND(ISNUMBER($A451),ISNUMBER(BBG_Data!C451)),BBG_Data!C451,NA())</f>
        <v/>
      </c>
      <c r="D451" s="17">
        <f>IF(AND(ISNUMBER($A451),ISNUMBER(BBG_Data!D451)),BBG_Data!D451,NA())</f>
        <v/>
      </c>
      <c r="E451" s="17">
        <f>IF(AND(ISNUMBER($A451),ISNUMBER(BBG_Data!E451)),BBG_Data!E451,NA())</f>
        <v/>
      </c>
      <c r="F451" s="18">
        <f>IF(AND(ISNUMBER(B451),ISNUMBER(B450)),(B451-B450)*100,"")</f>
        <v/>
      </c>
      <c r="G451" s="18">
        <f>IF(AND(ISNUMBER(C451),ISNUMBER(C450)),(C451-C450)*100,"")</f>
        <v/>
      </c>
      <c r="H451" s="18">
        <f>IF(OR(NOT(ISNUMBER($A451)),ROW()-2&lt;Settings!$B$11),NA(),IF(COUNT(OFFSET(F451,1-Settings!$B$11,0,Settings!$B$11,1))&lt;Settings!$B$11,NA(),STDEV(OFFSET(F451,1-Settings!$B$11,0,Settings!$B$11,1))*SQRT(Settings!$B$13)))</f>
        <v/>
      </c>
      <c r="I451" s="18">
        <f>IF(OR(NOT(ISNUMBER($A451)),ROW()-2&lt;Settings!$B$12),NA(),IF(COUNT(OFFSET(F451,1-Settings!$B$12,0,Settings!$B$12,1))&lt;Settings!$B$12,NA(),STDEV(OFFSET(F451,1-Settings!$B$12,0,Settings!$B$12,1))*SQRT(Settings!$B$13)))</f>
        <v/>
      </c>
      <c r="J451" s="18">
        <f>IF(OR(NOT(ISNUMBER($A451)),ROW()-2&lt;Settings!$B$11),NA(),IF(COUNT(OFFSET(G451,1-Settings!$B$11,0,Settings!$B$11,1))&lt;Settings!$B$11,NA(),STDEV(OFFSET(G451,1-Settings!$B$11,0,Settings!$B$11,1))*SQRT(Settings!$B$13)))</f>
        <v/>
      </c>
      <c r="K451" s="18">
        <f>IF(OR(NOT(ISNUMBER($A451)),ROW()-2&lt;Settings!$B$12),NA(),IF(COUNT(OFFSET(G451,1-Settings!$B$12,0,Settings!$B$12,1))&lt;Settings!$B$12,NA(),STDEV(OFFSET(G451,1-Settings!$B$12,0,Settings!$B$12,1))*SQRT(Settings!$B$13)))</f>
        <v/>
      </c>
      <c r="L451" s="18">
        <f>IF(AND(ISNUMBER(D451),ISNUMBER(H451)),D451-H451,NA())</f>
        <v/>
      </c>
      <c r="M451" s="18">
        <f>IF(AND(ISNUMBER(E451),ISNUMBER(K451)),E451-K451,NA())</f>
        <v/>
      </c>
      <c r="N451" s="18">
        <f>IF(NOT(ISNUMBER($A451)),NA(),IF(COUNT(OFFSET(G451,1,0,Settings!$B$12,1))&lt;Settings!$B$12,NA(),STDEV(OFFSET(G451,1,0,Settings!$B$12,1))*SQRT(Settings!$B$13)))</f>
        <v/>
      </c>
      <c r="O451" s="18">
        <f>IF(AND(ISNUMBER(E451),ISNUMBER(N451)),E451-N451,NA())</f>
        <v/>
      </c>
      <c r="P451" s="17">
        <f>IF(NOT(ISNUMBER($A451)),NA(),IF(OR($A451&lt;MIN(KW_TP!$A$2:$A$2501),$A451&gt;MAX(KW_TP!$A$2:$A$2501)),NA(),INDEX(KW_TP!$C$2:$C$2501,MATCH($A451,KW_TP!$A$2:$A$2501,1))))</f>
        <v/>
      </c>
    </row>
    <row r="452">
      <c r="A452" s="15">
        <f>IF(ISNUMBER(BBG_Data!A452),BBG_Data!A452,"")</f>
        <v/>
      </c>
      <c r="B452" s="16">
        <f>IF(AND(ISNUMBER($A452),ISNUMBER(BBG_Data!B452)),BBG_Data!B452,NA())</f>
        <v/>
      </c>
      <c r="C452" s="16">
        <f>IF(AND(ISNUMBER($A452),ISNUMBER(BBG_Data!C452)),BBG_Data!C452,NA())</f>
        <v/>
      </c>
      <c r="D452" s="17">
        <f>IF(AND(ISNUMBER($A452),ISNUMBER(BBG_Data!D452)),BBG_Data!D452,NA())</f>
        <v/>
      </c>
      <c r="E452" s="17">
        <f>IF(AND(ISNUMBER($A452),ISNUMBER(BBG_Data!E452)),BBG_Data!E452,NA())</f>
        <v/>
      </c>
      <c r="F452" s="18">
        <f>IF(AND(ISNUMBER(B452),ISNUMBER(B451)),(B452-B451)*100,"")</f>
        <v/>
      </c>
      <c r="G452" s="18">
        <f>IF(AND(ISNUMBER(C452),ISNUMBER(C451)),(C452-C451)*100,"")</f>
        <v/>
      </c>
      <c r="H452" s="18">
        <f>IF(OR(NOT(ISNUMBER($A452)),ROW()-2&lt;Settings!$B$11),NA(),IF(COUNT(OFFSET(F452,1-Settings!$B$11,0,Settings!$B$11,1))&lt;Settings!$B$11,NA(),STDEV(OFFSET(F452,1-Settings!$B$11,0,Settings!$B$11,1))*SQRT(Settings!$B$13)))</f>
        <v/>
      </c>
      <c r="I452" s="18">
        <f>IF(OR(NOT(ISNUMBER($A452)),ROW()-2&lt;Settings!$B$12),NA(),IF(COUNT(OFFSET(F452,1-Settings!$B$12,0,Settings!$B$12,1))&lt;Settings!$B$12,NA(),STDEV(OFFSET(F452,1-Settings!$B$12,0,Settings!$B$12,1))*SQRT(Settings!$B$13)))</f>
        <v/>
      </c>
      <c r="J452" s="18">
        <f>IF(OR(NOT(ISNUMBER($A452)),ROW()-2&lt;Settings!$B$11),NA(),IF(COUNT(OFFSET(G452,1-Settings!$B$11,0,Settings!$B$11,1))&lt;Settings!$B$11,NA(),STDEV(OFFSET(G452,1-Settings!$B$11,0,Settings!$B$11,1))*SQRT(Settings!$B$13)))</f>
        <v/>
      </c>
      <c r="K452" s="18">
        <f>IF(OR(NOT(ISNUMBER($A452)),ROW()-2&lt;Settings!$B$12),NA(),IF(COUNT(OFFSET(G452,1-Settings!$B$12,0,Settings!$B$12,1))&lt;Settings!$B$12,NA(),STDEV(OFFSET(G452,1-Settings!$B$12,0,Settings!$B$12,1))*SQRT(Settings!$B$13)))</f>
        <v/>
      </c>
      <c r="L452" s="18">
        <f>IF(AND(ISNUMBER(D452),ISNUMBER(H452)),D452-H452,NA())</f>
        <v/>
      </c>
      <c r="M452" s="18">
        <f>IF(AND(ISNUMBER(E452),ISNUMBER(K452)),E452-K452,NA())</f>
        <v/>
      </c>
      <c r="N452" s="18">
        <f>IF(NOT(ISNUMBER($A452)),NA(),IF(COUNT(OFFSET(G452,1,0,Settings!$B$12,1))&lt;Settings!$B$12,NA(),STDEV(OFFSET(G452,1,0,Settings!$B$12,1))*SQRT(Settings!$B$13)))</f>
        <v/>
      </c>
      <c r="O452" s="18">
        <f>IF(AND(ISNUMBER(E452),ISNUMBER(N452)),E452-N452,NA())</f>
        <v/>
      </c>
      <c r="P452" s="17">
        <f>IF(NOT(ISNUMBER($A452)),NA(),IF(OR($A452&lt;MIN(KW_TP!$A$2:$A$2501),$A452&gt;MAX(KW_TP!$A$2:$A$2501)),NA(),INDEX(KW_TP!$C$2:$C$2501,MATCH($A452,KW_TP!$A$2:$A$2501,1))))</f>
        <v/>
      </c>
    </row>
    <row r="453">
      <c r="A453" s="15">
        <f>IF(ISNUMBER(BBG_Data!A453),BBG_Data!A453,"")</f>
        <v/>
      </c>
      <c r="B453" s="16">
        <f>IF(AND(ISNUMBER($A453),ISNUMBER(BBG_Data!B453)),BBG_Data!B453,NA())</f>
        <v/>
      </c>
      <c r="C453" s="16">
        <f>IF(AND(ISNUMBER($A453),ISNUMBER(BBG_Data!C453)),BBG_Data!C453,NA())</f>
        <v/>
      </c>
      <c r="D453" s="17">
        <f>IF(AND(ISNUMBER($A453),ISNUMBER(BBG_Data!D453)),BBG_Data!D453,NA())</f>
        <v/>
      </c>
      <c r="E453" s="17">
        <f>IF(AND(ISNUMBER($A453),ISNUMBER(BBG_Data!E453)),BBG_Data!E453,NA())</f>
        <v/>
      </c>
      <c r="F453" s="18">
        <f>IF(AND(ISNUMBER(B453),ISNUMBER(B452)),(B453-B452)*100,"")</f>
        <v/>
      </c>
      <c r="G453" s="18">
        <f>IF(AND(ISNUMBER(C453),ISNUMBER(C452)),(C453-C452)*100,"")</f>
        <v/>
      </c>
      <c r="H453" s="18">
        <f>IF(OR(NOT(ISNUMBER($A453)),ROW()-2&lt;Settings!$B$11),NA(),IF(COUNT(OFFSET(F453,1-Settings!$B$11,0,Settings!$B$11,1))&lt;Settings!$B$11,NA(),STDEV(OFFSET(F453,1-Settings!$B$11,0,Settings!$B$11,1))*SQRT(Settings!$B$13)))</f>
        <v/>
      </c>
      <c r="I453" s="18">
        <f>IF(OR(NOT(ISNUMBER($A453)),ROW()-2&lt;Settings!$B$12),NA(),IF(COUNT(OFFSET(F453,1-Settings!$B$12,0,Settings!$B$12,1))&lt;Settings!$B$12,NA(),STDEV(OFFSET(F453,1-Settings!$B$12,0,Settings!$B$12,1))*SQRT(Settings!$B$13)))</f>
        <v/>
      </c>
      <c r="J453" s="18">
        <f>IF(OR(NOT(ISNUMBER($A453)),ROW()-2&lt;Settings!$B$11),NA(),IF(COUNT(OFFSET(G453,1-Settings!$B$11,0,Settings!$B$11,1))&lt;Settings!$B$11,NA(),STDEV(OFFSET(G453,1-Settings!$B$11,0,Settings!$B$11,1))*SQRT(Settings!$B$13)))</f>
        <v/>
      </c>
      <c r="K453" s="18">
        <f>IF(OR(NOT(ISNUMBER($A453)),ROW()-2&lt;Settings!$B$12),NA(),IF(COUNT(OFFSET(G453,1-Settings!$B$12,0,Settings!$B$12,1))&lt;Settings!$B$12,NA(),STDEV(OFFSET(G453,1-Settings!$B$12,0,Settings!$B$12,1))*SQRT(Settings!$B$13)))</f>
        <v/>
      </c>
      <c r="L453" s="18">
        <f>IF(AND(ISNUMBER(D453),ISNUMBER(H453)),D453-H453,NA())</f>
        <v/>
      </c>
      <c r="M453" s="18">
        <f>IF(AND(ISNUMBER(E453),ISNUMBER(K453)),E453-K453,NA())</f>
        <v/>
      </c>
      <c r="N453" s="18">
        <f>IF(NOT(ISNUMBER($A453)),NA(),IF(COUNT(OFFSET(G453,1,0,Settings!$B$12,1))&lt;Settings!$B$12,NA(),STDEV(OFFSET(G453,1,0,Settings!$B$12,1))*SQRT(Settings!$B$13)))</f>
        <v/>
      </c>
      <c r="O453" s="18">
        <f>IF(AND(ISNUMBER(E453),ISNUMBER(N453)),E453-N453,NA())</f>
        <v/>
      </c>
      <c r="P453" s="17">
        <f>IF(NOT(ISNUMBER($A453)),NA(),IF(OR($A453&lt;MIN(KW_TP!$A$2:$A$2501),$A453&gt;MAX(KW_TP!$A$2:$A$2501)),NA(),INDEX(KW_TP!$C$2:$C$2501,MATCH($A453,KW_TP!$A$2:$A$2501,1))))</f>
        <v/>
      </c>
    </row>
    <row r="454">
      <c r="A454" s="15">
        <f>IF(ISNUMBER(BBG_Data!A454),BBG_Data!A454,"")</f>
        <v/>
      </c>
      <c r="B454" s="16">
        <f>IF(AND(ISNUMBER($A454),ISNUMBER(BBG_Data!B454)),BBG_Data!B454,NA())</f>
        <v/>
      </c>
      <c r="C454" s="16">
        <f>IF(AND(ISNUMBER($A454),ISNUMBER(BBG_Data!C454)),BBG_Data!C454,NA())</f>
        <v/>
      </c>
      <c r="D454" s="17">
        <f>IF(AND(ISNUMBER($A454),ISNUMBER(BBG_Data!D454)),BBG_Data!D454,NA())</f>
        <v/>
      </c>
      <c r="E454" s="17">
        <f>IF(AND(ISNUMBER($A454),ISNUMBER(BBG_Data!E454)),BBG_Data!E454,NA())</f>
        <v/>
      </c>
      <c r="F454" s="18">
        <f>IF(AND(ISNUMBER(B454),ISNUMBER(B453)),(B454-B453)*100,"")</f>
        <v/>
      </c>
      <c r="G454" s="18">
        <f>IF(AND(ISNUMBER(C454),ISNUMBER(C453)),(C454-C453)*100,"")</f>
        <v/>
      </c>
      <c r="H454" s="18">
        <f>IF(OR(NOT(ISNUMBER($A454)),ROW()-2&lt;Settings!$B$11),NA(),IF(COUNT(OFFSET(F454,1-Settings!$B$11,0,Settings!$B$11,1))&lt;Settings!$B$11,NA(),STDEV(OFFSET(F454,1-Settings!$B$11,0,Settings!$B$11,1))*SQRT(Settings!$B$13)))</f>
        <v/>
      </c>
      <c r="I454" s="18">
        <f>IF(OR(NOT(ISNUMBER($A454)),ROW()-2&lt;Settings!$B$12),NA(),IF(COUNT(OFFSET(F454,1-Settings!$B$12,0,Settings!$B$12,1))&lt;Settings!$B$12,NA(),STDEV(OFFSET(F454,1-Settings!$B$12,0,Settings!$B$12,1))*SQRT(Settings!$B$13)))</f>
        <v/>
      </c>
      <c r="J454" s="18">
        <f>IF(OR(NOT(ISNUMBER($A454)),ROW()-2&lt;Settings!$B$11),NA(),IF(COUNT(OFFSET(G454,1-Settings!$B$11,0,Settings!$B$11,1))&lt;Settings!$B$11,NA(),STDEV(OFFSET(G454,1-Settings!$B$11,0,Settings!$B$11,1))*SQRT(Settings!$B$13)))</f>
        <v/>
      </c>
      <c r="K454" s="18">
        <f>IF(OR(NOT(ISNUMBER($A454)),ROW()-2&lt;Settings!$B$12),NA(),IF(COUNT(OFFSET(G454,1-Settings!$B$12,0,Settings!$B$12,1))&lt;Settings!$B$12,NA(),STDEV(OFFSET(G454,1-Settings!$B$12,0,Settings!$B$12,1))*SQRT(Settings!$B$13)))</f>
        <v/>
      </c>
      <c r="L454" s="18">
        <f>IF(AND(ISNUMBER(D454),ISNUMBER(H454)),D454-H454,NA())</f>
        <v/>
      </c>
      <c r="M454" s="18">
        <f>IF(AND(ISNUMBER(E454),ISNUMBER(K454)),E454-K454,NA())</f>
        <v/>
      </c>
      <c r="N454" s="18">
        <f>IF(NOT(ISNUMBER($A454)),NA(),IF(COUNT(OFFSET(G454,1,0,Settings!$B$12,1))&lt;Settings!$B$12,NA(),STDEV(OFFSET(G454,1,0,Settings!$B$12,1))*SQRT(Settings!$B$13)))</f>
        <v/>
      </c>
      <c r="O454" s="18">
        <f>IF(AND(ISNUMBER(E454),ISNUMBER(N454)),E454-N454,NA())</f>
        <v/>
      </c>
      <c r="P454" s="17">
        <f>IF(NOT(ISNUMBER($A454)),NA(),IF(OR($A454&lt;MIN(KW_TP!$A$2:$A$2501),$A454&gt;MAX(KW_TP!$A$2:$A$2501)),NA(),INDEX(KW_TP!$C$2:$C$2501,MATCH($A454,KW_TP!$A$2:$A$2501,1))))</f>
        <v/>
      </c>
    </row>
    <row r="455">
      <c r="A455" s="15">
        <f>IF(ISNUMBER(BBG_Data!A455),BBG_Data!A455,"")</f>
        <v/>
      </c>
      <c r="B455" s="16">
        <f>IF(AND(ISNUMBER($A455),ISNUMBER(BBG_Data!B455)),BBG_Data!B455,NA())</f>
        <v/>
      </c>
      <c r="C455" s="16">
        <f>IF(AND(ISNUMBER($A455),ISNUMBER(BBG_Data!C455)),BBG_Data!C455,NA())</f>
        <v/>
      </c>
      <c r="D455" s="17">
        <f>IF(AND(ISNUMBER($A455),ISNUMBER(BBG_Data!D455)),BBG_Data!D455,NA())</f>
        <v/>
      </c>
      <c r="E455" s="17">
        <f>IF(AND(ISNUMBER($A455),ISNUMBER(BBG_Data!E455)),BBG_Data!E455,NA())</f>
        <v/>
      </c>
      <c r="F455" s="18">
        <f>IF(AND(ISNUMBER(B455),ISNUMBER(B454)),(B455-B454)*100,"")</f>
        <v/>
      </c>
      <c r="G455" s="18">
        <f>IF(AND(ISNUMBER(C455),ISNUMBER(C454)),(C455-C454)*100,"")</f>
        <v/>
      </c>
      <c r="H455" s="18">
        <f>IF(OR(NOT(ISNUMBER($A455)),ROW()-2&lt;Settings!$B$11),NA(),IF(COUNT(OFFSET(F455,1-Settings!$B$11,0,Settings!$B$11,1))&lt;Settings!$B$11,NA(),STDEV(OFFSET(F455,1-Settings!$B$11,0,Settings!$B$11,1))*SQRT(Settings!$B$13)))</f>
        <v/>
      </c>
      <c r="I455" s="18">
        <f>IF(OR(NOT(ISNUMBER($A455)),ROW()-2&lt;Settings!$B$12),NA(),IF(COUNT(OFFSET(F455,1-Settings!$B$12,0,Settings!$B$12,1))&lt;Settings!$B$12,NA(),STDEV(OFFSET(F455,1-Settings!$B$12,0,Settings!$B$12,1))*SQRT(Settings!$B$13)))</f>
        <v/>
      </c>
      <c r="J455" s="18">
        <f>IF(OR(NOT(ISNUMBER($A455)),ROW()-2&lt;Settings!$B$11),NA(),IF(COUNT(OFFSET(G455,1-Settings!$B$11,0,Settings!$B$11,1))&lt;Settings!$B$11,NA(),STDEV(OFFSET(G455,1-Settings!$B$11,0,Settings!$B$11,1))*SQRT(Settings!$B$13)))</f>
        <v/>
      </c>
      <c r="K455" s="18">
        <f>IF(OR(NOT(ISNUMBER($A455)),ROW()-2&lt;Settings!$B$12),NA(),IF(COUNT(OFFSET(G455,1-Settings!$B$12,0,Settings!$B$12,1))&lt;Settings!$B$12,NA(),STDEV(OFFSET(G455,1-Settings!$B$12,0,Settings!$B$12,1))*SQRT(Settings!$B$13)))</f>
        <v/>
      </c>
      <c r="L455" s="18">
        <f>IF(AND(ISNUMBER(D455),ISNUMBER(H455)),D455-H455,NA())</f>
        <v/>
      </c>
      <c r="M455" s="18">
        <f>IF(AND(ISNUMBER(E455),ISNUMBER(K455)),E455-K455,NA())</f>
        <v/>
      </c>
      <c r="N455" s="18">
        <f>IF(NOT(ISNUMBER($A455)),NA(),IF(COUNT(OFFSET(G455,1,0,Settings!$B$12,1))&lt;Settings!$B$12,NA(),STDEV(OFFSET(G455,1,0,Settings!$B$12,1))*SQRT(Settings!$B$13)))</f>
        <v/>
      </c>
      <c r="O455" s="18">
        <f>IF(AND(ISNUMBER(E455),ISNUMBER(N455)),E455-N455,NA())</f>
        <v/>
      </c>
      <c r="P455" s="17">
        <f>IF(NOT(ISNUMBER($A455)),NA(),IF(OR($A455&lt;MIN(KW_TP!$A$2:$A$2501),$A455&gt;MAX(KW_TP!$A$2:$A$2501)),NA(),INDEX(KW_TP!$C$2:$C$2501,MATCH($A455,KW_TP!$A$2:$A$2501,1))))</f>
        <v/>
      </c>
    </row>
    <row r="456">
      <c r="A456" s="15">
        <f>IF(ISNUMBER(BBG_Data!A456),BBG_Data!A456,"")</f>
        <v/>
      </c>
      <c r="B456" s="16">
        <f>IF(AND(ISNUMBER($A456),ISNUMBER(BBG_Data!B456)),BBG_Data!B456,NA())</f>
        <v/>
      </c>
      <c r="C456" s="16">
        <f>IF(AND(ISNUMBER($A456),ISNUMBER(BBG_Data!C456)),BBG_Data!C456,NA())</f>
        <v/>
      </c>
      <c r="D456" s="17">
        <f>IF(AND(ISNUMBER($A456),ISNUMBER(BBG_Data!D456)),BBG_Data!D456,NA())</f>
        <v/>
      </c>
      <c r="E456" s="17">
        <f>IF(AND(ISNUMBER($A456),ISNUMBER(BBG_Data!E456)),BBG_Data!E456,NA())</f>
        <v/>
      </c>
      <c r="F456" s="18">
        <f>IF(AND(ISNUMBER(B456),ISNUMBER(B455)),(B456-B455)*100,"")</f>
        <v/>
      </c>
      <c r="G456" s="18">
        <f>IF(AND(ISNUMBER(C456),ISNUMBER(C455)),(C456-C455)*100,"")</f>
        <v/>
      </c>
      <c r="H456" s="18">
        <f>IF(OR(NOT(ISNUMBER($A456)),ROW()-2&lt;Settings!$B$11),NA(),IF(COUNT(OFFSET(F456,1-Settings!$B$11,0,Settings!$B$11,1))&lt;Settings!$B$11,NA(),STDEV(OFFSET(F456,1-Settings!$B$11,0,Settings!$B$11,1))*SQRT(Settings!$B$13)))</f>
        <v/>
      </c>
      <c r="I456" s="18">
        <f>IF(OR(NOT(ISNUMBER($A456)),ROW()-2&lt;Settings!$B$12),NA(),IF(COUNT(OFFSET(F456,1-Settings!$B$12,0,Settings!$B$12,1))&lt;Settings!$B$12,NA(),STDEV(OFFSET(F456,1-Settings!$B$12,0,Settings!$B$12,1))*SQRT(Settings!$B$13)))</f>
        <v/>
      </c>
      <c r="J456" s="18">
        <f>IF(OR(NOT(ISNUMBER($A456)),ROW()-2&lt;Settings!$B$11),NA(),IF(COUNT(OFFSET(G456,1-Settings!$B$11,0,Settings!$B$11,1))&lt;Settings!$B$11,NA(),STDEV(OFFSET(G456,1-Settings!$B$11,0,Settings!$B$11,1))*SQRT(Settings!$B$13)))</f>
        <v/>
      </c>
      <c r="K456" s="18">
        <f>IF(OR(NOT(ISNUMBER($A456)),ROW()-2&lt;Settings!$B$12),NA(),IF(COUNT(OFFSET(G456,1-Settings!$B$12,0,Settings!$B$12,1))&lt;Settings!$B$12,NA(),STDEV(OFFSET(G456,1-Settings!$B$12,0,Settings!$B$12,1))*SQRT(Settings!$B$13)))</f>
        <v/>
      </c>
      <c r="L456" s="18">
        <f>IF(AND(ISNUMBER(D456),ISNUMBER(H456)),D456-H456,NA())</f>
        <v/>
      </c>
      <c r="M456" s="18">
        <f>IF(AND(ISNUMBER(E456),ISNUMBER(K456)),E456-K456,NA())</f>
        <v/>
      </c>
      <c r="N456" s="18">
        <f>IF(NOT(ISNUMBER($A456)),NA(),IF(COUNT(OFFSET(G456,1,0,Settings!$B$12,1))&lt;Settings!$B$12,NA(),STDEV(OFFSET(G456,1,0,Settings!$B$12,1))*SQRT(Settings!$B$13)))</f>
        <v/>
      </c>
      <c r="O456" s="18">
        <f>IF(AND(ISNUMBER(E456),ISNUMBER(N456)),E456-N456,NA())</f>
        <v/>
      </c>
      <c r="P456" s="17">
        <f>IF(NOT(ISNUMBER($A456)),NA(),IF(OR($A456&lt;MIN(KW_TP!$A$2:$A$2501),$A456&gt;MAX(KW_TP!$A$2:$A$2501)),NA(),INDEX(KW_TP!$C$2:$C$2501,MATCH($A456,KW_TP!$A$2:$A$2501,1))))</f>
        <v/>
      </c>
    </row>
    <row r="457">
      <c r="A457" s="15">
        <f>IF(ISNUMBER(BBG_Data!A457),BBG_Data!A457,"")</f>
        <v/>
      </c>
      <c r="B457" s="16">
        <f>IF(AND(ISNUMBER($A457),ISNUMBER(BBG_Data!B457)),BBG_Data!B457,NA())</f>
        <v/>
      </c>
      <c r="C457" s="16">
        <f>IF(AND(ISNUMBER($A457),ISNUMBER(BBG_Data!C457)),BBG_Data!C457,NA())</f>
        <v/>
      </c>
      <c r="D457" s="17">
        <f>IF(AND(ISNUMBER($A457),ISNUMBER(BBG_Data!D457)),BBG_Data!D457,NA())</f>
        <v/>
      </c>
      <c r="E457" s="17">
        <f>IF(AND(ISNUMBER($A457),ISNUMBER(BBG_Data!E457)),BBG_Data!E457,NA())</f>
        <v/>
      </c>
      <c r="F457" s="18">
        <f>IF(AND(ISNUMBER(B457),ISNUMBER(B456)),(B457-B456)*100,"")</f>
        <v/>
      </c>
      <c r="G457" s="18">
        <f>IF(AND(ISNUMBER(C457),ISNUMBER(C456)),(C457-C456)*100,"")</f>
        <v/>
      </c>
      <c r="H457" s="18">
        <f>IF(OR(NOT(ISNUMBER($A457)),ROW()-2&lt;Settings!$B$11),NA(),IF(COUNT(OFFSET(F457,1-Settings!$B$11,0,Settings!$B$11,1))&lt;Settings!$B$11,NA(),STDEV(OFFSET(F457,1-Settings!$B$11,0,Settings!$B$11,1))*SQRT(Settings!$B$13)))</f>
        <v/>
      </c>
      <c r="I457" s="18">
        <f>IF(OR(NOT(ISNUMBER($A457)),ROW()-2&lt;Settings!$B$12),NA(),IF(COUNT(OFFSET(F457,1-Settings!$B$12,0,Settings!$B$12,1))&lt;Settings!$B$12,NA(),STDEV(OFFSET(F457,1-Settings!$B$12,0,Settings!$B$12,1))*SQRT(Settings!$B$13)))</f>
        <v/>
      </c>
      <c r="J457" s="18">
        <f>IF(OR(NOT(ISNUMBER($A457)),ROW()-2&lt;Settings!$B$11),NA(),IF(COUNT(OFFSET(G457,1-Settings!$B$11,0,Settings!$B$11,1))&lt;Settings!$B$11,NA(),STDEV(OFFSET(G457,1-Settings!$B$11,0,Settings!$B$11,1))*SQRT(Settings!$B$13)))</f>
        <v/>
      </c>
      <c r="K457" s="18">
        <f>IF(OR(NOT(ISNUMBER($A457)),ROW()-2&lt;Settings!$B$12),NA(),IF(COUNT(OFFSET(G457,1-Settings!$B$12,0,Settings!$B$12,1))&lt;Settings!$B$12,NA(),STDEV(OFFSET(G457,1-Settings!$B$12,0,Settings!$B$12,1))*SQRT(Settings!$B$13)))</f>
        <v/>
      </c>
      <c r="L457" s="18">
        <f>IF(AND(ISNUMBER(D457),ISNUMBER(H457)),D457-H457,NA())</f>
        <v/>
      </c>
      <c r="M457" s="18">
        <f>IF(AND(ISNUMBER(E457),ISNUMBER(K457)),E457-K457,NA())</f>
        <v/>
      </c>
      <c r="N457" s="18">
        <f>IF(NOT(ISNUMBER($A457)),NA(),IF(COUNT(OFFSET(G457,1,0,Settings!$B$12,1))&lt;Settings!$B$12,NA(),STDEV(OFFSET(G457,1,0,Settings!$B$12,1))*SQRT(Settings!$B$13)))</f>
        <v/>
      </c>
      <c r="O457" s="18">
        <f>IF(AND(ISNUMBER(E457),ISNUMBER(N457)),E457-N457,NA())</f>
        <v/>
      </c>
      <c r="P457" s="17">
        <f>IF(NOT(ISNUMBER($A457)),NA(),IF(OR($A457&lt;MIN(KW_TP!$A$2:$A$2501),$A457&gt;MAX(KW_TP!$A$2:$A$2501)),NA(),INDEX(KW_TP!$C$2:$C$2501,MATCH($A457,KW_TP!$A$2:$A$2501,1))))</f>
        <v/>
      </c>
    </row>
    <row r="458">
      <c r="A458" s="15">
        <f>IF(ISNUMBER(BBG_Data!A458),BBG_Data!A458,"")</f>
        <v/>
      </c>
      <c r="B458" s="16">
        <f>IF(AND(ISNUMBER($A458),ISNUMBER(BBG_Data!B458)),BBG_Data!B458,NA())</f>
        <v/>
      </c>
      <c r="C458" s="16">
        <f>IF(AND(ISNUMBER($A458),ISNUMBER(BBG_Data!C458)),BBG_Data!C458,NA())</f>
        <v/>
      </c>
      <c r="D458" s="17">
        <f>IF(AND(ISNUMBER($A458),ISNUMBER(BBG_Data!D458)),BBG_Data!D458,NA())</f>
        <v/>
      </c>
      <c r="E458" s="17">
        <f>IF(AND(ISNUMBER($A458),ISNUMBER(BBG_Data!E458)),BBG_Data!E458,NA())</f>
        <v/>
      </c>
      <c r="F458" s="18">
        <f>IF(AND(ISNUMBER(B458),ISNUMBER(B457)),(B458-B457)*100,"")</f>
        <v/>
      </c>
      <c r="G458" s="18">
        <f>IF(AND(ISNUMBER(C458),ISNUMBER(C457)),(C458-C457)*100,"")</f>
        <v/>
      </c>
      <c r="H458" s="18">
        <f>IF(OR(NOT(ISNUMBER($A458)),ROW()-2&lt;Settings!$B$11),NA(),IF(COUNT(OFFSET(F458,1-Settings!$B$11,0,Settings!$B$11,1))&lt;Settings!$B$11,NA(),STDEV(OFFSET(F458,1-Settings!$B$11,0,Settings!$B$11,1))*SQRT(Settings!$B$13)))</f>
        <v/>
      </c>
      <c r="I458" s="18">
        <f>IF(OR(NOT(ISNUMBER($A458)),ROW()-2&lt;Settings!$B$12),NA(),IF(COUNT(OFFSET(F458,1-Settings!$B$12,0,Settings!$B$12,1))&lt;Settings!$B$12,NA(),STDEV(OFFSET(F458,1-Settings!$B$12,0,Settings!$B$12,1))*SQRT(Settings!$B$13)))</f>
        <v/>
      </c>
      <c r="J458" s="18">
        <f>IF(OR(NOT(ISNUMBER($A458)),ROW()-2&lt;Settings!$B$11),NA(),IF(COUNT(OFFSET(G458,1-Settings!$B$11,0,Settings!$B$11,1))&lt;Settings!$B$11,NA(),STDEV(OFFSET(G458,1-Settings!$B$11,0,Settings!$B$11,1))*SQRT(Settings!$B$13)))</f>
        <v/>
      </c>
      <c r="K458" s="18">
        <f>IF(OR(NOT(ISNUMBER($A458)),ROW()-2&lt;Settings!$B$12),NA(),IF(COUNT(OFFSET(G458,1-Settings!$B$12,0,Settings!$B$12,1))&lt;Settings!$B$12,NA(),STDEV(OFFSET(G458,1-Settings!$B$12,0,Settings!$B$12,1))*SQRT(Settings!$B$13)))</f>
        <v/>
      </c>
      <c r="L458" s="18">
        <f>IF(AND(ISNUMBER(D458),ISNUMBER(H458)),D458-H458,NA())</f>
        <v/>
      </c>
      <c r="M458" s="18">
        <f>IF(AND(ISNUMBER(E458),ISNUMBER(K458)),E458-K458,NA())</f>
        <v/>
      </c>
      <c r="N458" s="18">
        <f>IF(NOT(ISNUMBER($A458)),NA(),IF(COUNT(OFFSET(G458,1,0,Settings!$B$12,1))&lt;Settings!$B$12,NA(),STDEV(OFFSET(G458,1,0,Settings!$B$12,1))*SQRT(Settings!$B$13)))</f>
        <v/>
      </c>
      <c r="O458" s="18">
        <f>IF(AND(ISNUMBER(E458),ISNUMBER(N458)),E458-N458,NA())</f>
        <v/>
      </c>
      <c r="P458" s="17">
        <f>IF(NOT(ISNUMBER($A458)),NA(),IF(OR($A458&lt;MIN(KW_TP!$A$2:$A$2501),$A458&gt;MAX(KW_TP!$A$2:$A$2501)),NA(),INDEX(KW_TP!$C$2:$C$2501,MATCH($A458,KW_TP!$A$2:$A$2501,1))))</f>
        <v/>
      </c>
    </row>
    <row r="459">
      <c r="A459" s="15">
        <f>IF(ISNUMBER(BBG_Data!A459),BBG_Data!A459,"")</f>
        <v/>
      </c>
      <c r="B459" s="16">
        <f>IF(AND(ISNUMBER($A459),ISNUMBER(BBG_Data!B459)),BBG_Data!B459,NA())</f>
        <v/>
      </c>
      <c r="C459" s="16">
        <f>IF(AND(ISNUMBER($A459),ISNUMBER(BBG_Data!C459)),BBG_Data!C459,NA())</f>
        <v/>
      </c>
      <c r="D459" s="17">
        <f>IF(AND(ISNUMBER($A459),ISNUMBER(BBG_Data!D459)),BBG_Data!D459,NA())</f>
        <v/>
      </c>
      <c r="E459" s="17">
        <f>IF(AND(ISNUMBER($A459),ISNUMBER(BBG_Data!E459)),BBG_Data!E459,NA())</f>
        <v/>
      </c>
      <c r="F459" s="18">
        <f>IF(AND(ISNUMBER(B459),ISNUMBER(B458)),(B459-B458)*100,"")</f>
        <v/>
      </c>
      <c r="G459" s="18">
        <f>IF(AND(ISNUMBER(C459),ISNUMBER(C458)),(C459-C458)*100,"")</f>
        <v/>
      </c>
      <c r="H459" s="18">
        <f>IF(OR(NOT(ISNUMBER($A459)),ROW()-2&lt;Settings!$B$11),NA(),IF(COUNT(OFFSET(F459,1-Settings!$B$11,0,Settings!$B$11,1))&lt;Settings!$B$11,NA(),STDEV(OFFSET(F459,1-Settings!$B$11,0,Settings!$B$11,1))*SQRT(Settings!$B$13)))</f>
        <v/>
      </c>
      <c r="I459" s="18">
        <f>IF(OR(NOT(ISNUMBER($A459)),ROW()-2&lt;Settings!$B$12),NA(),IF(COUNT(OFFSET(F459,1-Settings!$B$12,0,Settings!$B$12,1))&lt;Settings!$B$12,NA(),STDEV(OFFSET(F459,1-Settings!$B$12,0,Settings!$B$12,1))*SQRT(Settings!$B$13)))</f>
        <v/>
      </c>
      <c r="J459" s="18">
        <f>IF(OR(NOT(ISNUMBER($A459)),ROW()-2&lt;Settings!$B$11),NA(),IF(COUNT(OFFSET(G459,1-Settings!$B$11,0,Settings!$B$11,1))&lt;Settings!$B$11,NA(),STDEV(OFFSET(G459,1-Settings!$B$11,0,Settings!$B$11,1))*SQRT(Settings!$B$13)))</f>
        <v/>
      </c>
      <c r="K459" s="18">
        <f>IF(OR(NOT(ISNUMBER($A459)),ROW()-2&lt;Settings!$B$12),NA(),IF(COUNT(OFFSET(G459,1-Settings!$B$12,0,Settings!$B$12,1))&lt;Settings!$B$12,NA(),STDEV(OFFSET(G459,1-Settings!$B$12,0,Settings!$B$12,1))*SQRT(Settings!$B$13)))</f>
        <v/>
      </c>
      <c r="L459" s="18">
        <f>IF(AND(ISNUMBER(D459),ISNUMBER(H459)),D459-H459,NA())</f>
        <v/>
      </c>
      <c r="M459" s="18">
        <f>IF(AND(ISNUMBER(E459),ISNUMBER(K459)),E459-K459,NA())</f>
        <v/>
      </c>
      <c r="N459" s="18">
        <f>IF(NOT(ISNUMBER($A459)),NA(),IF(COUNT(OFFSET(G459,1,0,Settings!$B$12,1))&lt;Settings!$B$12,NA(),STDEV(OFFSET(G459,1,0,Settings!$B$12,1))*SQRT(Settings!$B$13)))</f>
        <v/>
      </c>
      <c r="O459" s="18">
        <f>IF(AND(ISNUMBER(E459),ISNUMBER(N459)),E459-N459,NA())</f>
        <v/>
      </c>
      <c r="P459" s="17">
        <f>IF(NOT(ISNUMBER($A459)),NA(),IF(OR($A459&lt;MIN(KW_TP!$A$2:$A$2501),$A459&gt;MAX(KW_TP!$A$2:$A$2501)),NA(),INDEX(KW_TP!$C$2:$C$2501,MATCH($A459,KW_TP!$A$2:$A$2501,1))))</f>
        <v/>
      </c>
    </row>
    <row r="460">
      <c r="A460" s="15">
        <f>IF(ISNUMBER(BBG_Data!A460),BBG_Data!A460,"")</f>
        <v/>
      </c>
      <c r="B460" s="16">
        <f>IF(AND(ISNUMBER($A460),ISNUMBER(BBG_Data!B460)),BBG_Data!B460,NA())</f>
        <v/>
      </c>
      <c r="C460" s="16">
        <f>IF(AND(ISNUMBER($A460),ISNUMBER(BBG_Data!C460)),BBG_Data!C460,NA())</f>
        <v/>
      </c>
      <c r="D460" s="17">
        <f>IF(AND(ISNUMBER($A460),ISNUMBER(BBG_Data!D460)),BBG_Data!D460,NA())</f>
        <v/>
      </c>
      <c r="E460" s="17">
        <f>IF(AND(ISNUMBER($A460),ISNUMBER(BBG_Data!E460)),BBG_Data!E460,NA())</f>
        <v/>
      </c>
      <c r="F460" s="18">
        <f>IF(AND(ISNUMBER(B460),ISNUMBER(B459)),(B460-B459)*100,"")</f>
        <v/>
      </c>
      <c r="G460" s="18">
        <f>IF(AND(ISNUMBER(C460),ISNUMBER(C459)),(C460-C459)*100,"")</f>
        <v/>
      </c>
      <c r="H460" s="18">
        <f>IF(OR(NOT(ISNUMBER($A460)),ROW()-2&lt;Settings!$B$11),NA(),IF(COUNT(OFFSET(F460,1-Settings!$B$11,0,Settings!$B$11,1))&lt;Settings!$B$11,NA(),STDEV(OFFSET(F460,1-Settings!$B$11,0,Settings!$B$11,1))*SQRT(Settings!$B$13)))</f>
        <v/>
      </c>
      <c r="I460" s="18">
        <f>IF(OR(NOT(ISNUMBER($A460)),ROW()-2&lt;Settings!$B$12),NA(),IF(COUNT(OFFSET(F460,1-Settings!$B$12,0,Settings!$B$12,1))&lt;Settings!$B$12,NA(),STDEV(OFFSET(F460,1-Settings!$B$12,0,Settings!$B$12,1))*SQRT(Settings!$B$13)))</f>
        <v/>
      </c>
      <c r="J460" s="18">
        <f>IF(OR(NOT(ISNUMBER($A460)),ROW()-2&lt;Settings!$B$11),NA(),IF(COUNT(OFFSET(G460,1-Settings!$B$11,0,Settings!$B$11,1))&lt;Settings!$B$11,NA(),STDEV(OFFSET(G460,1-Settings!$B$11,0,Settings!$B$11,1))*SQRT(Settings!$B$13)))</f>
        <v/>
      </c>
      <c r="K460" s="18">
        <f>IF(OR(NOT(ISNUMBER($A460)),ROW()-2&lt;Settings!$B$12),NA(),IF(COUNT(OFFSET(G460,1-Settings!$B$12,0,Settings!$B$12,1))&lt;Settings!$B$12,NA(),STDEV(OFFSET(G460,1-Settings!$B$12,0,Settings!$B$12,1))*SQRT(Settings!$B$13)))</f>
        <v/>
      </c>
      <c r="L460" s="18">
        <f>IF(AND(ISNUMBER(D460),ISNUMBER(H460)),D460-H460,NA())</f>
        <v/>
      </c>
      <c r="M460" s="18">
        <f>IF(AND(ISNUMBER(E460),ISNUMBER(K460)),E460-K460,NA())</f>
        <v/>
      </c>
      <c r="N460" s="18">
        <f>IF(NOT(ISNUMBER($A460)),NA(),IF(COUNT(OFFSET(G460,1,0,Settings!$B$12,1))&lt;Settings!$B$12,NA(),STDEV(OFFSET(G460,1,0,Settings!$B$12,1))*SQRT(Settings!$B$13)))</f>
        <v/>
      </c>
      <c r="O460" s="18">
        <f>IF(AND(ISNUMBER(E460),ISNUMBER(N460)),E460-N460,NA())</f>
        <v/>
      </c>
      <c r="P460" s="17">
        <f>IF(NOT(ISNUMBER($A460)),NA(),IF(OR($A460&lt;MIN(KW_TP!$A$2:$A$2501),$A460&gt;MAX(KW_TP!$A$2:$A$2501)),NA(),INDEX(KW_TP!$C$2:$C$2501,MATCH($A460,KW_TP!$A$2:$A$2501,1))))</f>
        <v/>
      </c>
    </row>
    <row r="461">
      <c r="A461" s="15">
        <f>IF(ISNUMBER(BBG_Data!A461),BBG_Data!A461,"")</f>
        <v/>
      </c>
      <c r="B461" s="16">
        <f>IF(AND(ISNUMBER($A461),ISNUMBER(BBG_Data!B461)),BBG_Data!B461,NA())</f>
        <v/>
      </c>
      <c r="C461" s="16">
        <f>IF(AND(ISNUMBER($A461),ISNUMBER(BBG_Data!C461)),BBG_Data!C461,NA())</f>
        <v/>
      </c>
      <c r="D461" s="17">
        <f>IF(AND(ISNUMBER($A461),ISNUMBER(BBG_Data!D461)),BBG_Data!D461,NA())</f>
        <v/>
      </c>
      <c r="E461" s="17">
        <f>IF(AND(ISNUMBER($A461),ISNUMBER(BBG_Data!E461)),BBG_Data!E461,NA())</f>
        <v/>
      </c>
      <c r="F461" s="18">
        <f>IF(AND(ISNUMBER(B461),ISNUMBER(B460)),(B461-B460)*100,"")</f>
        <v/>
      </c>
      <c r="G461" s="18">
        <f>IF(AND(ISNUMBER(C461),ISNUMBER(C460)),(C461-C460)*100,"")</f>
        <v/>
      </c>
      <c r="H461" s="18">
        <f>IF(OR(NOT(ISNUMBER($A461)),ROW()-2&lt;Settings!$B$11),NA(),IF(COUNT(OFFSET(F461,1-Settings!$B$11,0,Settings!$B$11,1))&lt;Settings!$B$11,NA(),STDEV(OFFSET(F461,1-Settings!$B$11,0,Settings!$B$11,1))*SQRT(Settings!$B$13)))</f>
        <v/>
      </c>
      <c r="I461" s="18">
        <f>IF(OR(NOT(ISNUMBER($A461)),ROW()-2&lt;Settings!$B$12),NA(),IF(COUNT(OFFSET(F461,1-Settings!$B$12,0,Settings!$B$12,1))&lt;Settings!$B$12,NA(),STDEV(OFFSET(F461,1-Settings!$B$12,0,Settings!$B$12,1))*SQRT(Settings!$B$13)))</f>
        <v/>
      </c>
      <c r="J461" s="18">
        <f>IF(OR(NOT(ISNUMBER($A461)),ROW()-2&lt;Settings!$B$11),NA(),IF(COUNT(OFFSET(G461,1-Settings!$B$11,0,Settings!$B$11,1))&lt;Settings!$B$11,NA(),STDEV(OFFSET(G461,1-Settings!$B$11,0,Settings!$B$11,1))*SQRT(Settings!$B$13)))</f>
        <v/>
      </c>
      <c r="K461" s="18">
        <f>IF(OR(NOT(ISNUMBER($A461)),ROW()-2&lt;Settings!$B$12),NA(),IF(COUNT(OFFSET(G461,1-Settings!$B$12,0,Settings!$B$12,1))&lt;Settings!$B$12,NA(),STDEV(OFFSET(G461,1-Settings!$B$12,0,Settings!$B$12,1))*SQRT(Settings!$B$13)))</f>
        <v/>
      </c>
      <c r="L461" s="18">
        <f>IF(AND(ISNUMBER(D461),ISNUMBER(H461)),D461-H461,NA())</f>
        <v/>
      </c>
      <c r="M461" s="18">
        <f>IF(AND(ISNUMBER(E461),ISNUMBER(K461)),E461-K461,NA())</f>
        <v/>
      </c>
      <c r="N461" s="18">
        <f>IF(NOT(ISNUMBER($A461)),NA(),IF(COUNT(OFFSET(G461,1,0,Settings!$B$12,1))&lt;Settings!$B$12,NA(),STDEV(OFFSET(G461,1,0,Settings!$B$12,1))*SQRT(Settings!$B$13)))</f>
        <v/>
      </c>
      <c r="O461" s="18">
        <f>IF(AND(ISNUMBER(E461),ISNUMBER(N461)),E461-N461,NA())</f>
        <v/>
      </c>
      <c r="P461" s="17">
        <f>IF(NOT(ISNUMBER($A461)),NA(),IF(OR($A461&lt;MIN(KW_TP!$A$2:$A$2501),$A461&gt;MAX(KW_TP!$A$2:$A$2501)),NA(),INDEX(KW_TP!$C$2:$C$2501,MATCH($A461,KW_TP!$A$2:$A$2501,1))))</f>
        <v/>
      </c>
    </row>
    <row r="462">
      <c r="A462" s="15">
        <f>IF(ISNUMBER(BBG_Data!A462),BBG_Data!A462,"")</f>
        <v/>
      </c>
      <c r="B462" s="16">
        <f>IF(AND(ISNUMBER($A462),ISNUMBER(BBG_Data!B462)),BBG_Data!B462,NA())</f>
        <v/>
      </c>
      <c r="C462" s="16">
        <f>IF(AND(ISNUMBER($A462),ISNUMBER(BBG_Data!C462)),BBG_Data!C462,NA())</f>
        <v/>
      </c>
      <c r="D462" s="17">
        <f>IF(AND(ISNUMBER($A462),ISNUMBER(BBG_Data!D462)),BBG_Data!D462,NA())</f>
        <v/>
      </c>
      <c r="E462" s="17">
        <f>IF(AND(ISNUMBER($A462),ISNUMBER(BBG_Data!E462)),BBG_Data!E462,NA())</f>
        <v/>
      </c>
      <c r="F462" s="18">
        <f>IF(AND(ISNUMBER(B462),ISNUMBER(B461)),(B462-B461)*100,"")</f>
        <v/>
      </c>
      <c r="G462" s="18">
        <f>IF(AND(ISNUMBER(C462),ISNUMBER(C461)),(C462-C461)*100,"")</f>
        <v/>
      </c>
      <c r="H462" s="18">
        <f>IF(OR(NOT(ISNUMBER($A462)),ROW()-2&lt;Settings!$B$11),NA(),IF(COUNT(OFFSET(F462,1-Settings!$B$11,0,Settings!$B$11,1))&lt;Settings!$B$11,NA(),STDEV(OFFSET(F462,1-Settings!$B$11,0,Settings!$B$11,1))*SQRT(Settings!$B$13)))</f>
        <v/>
      </c>
      <c r="I462" s="18">
        <f>IF(OR(NOT(ISNUMBER($A462)),ROW()-2&lt;Settings!$B$12),NA(),IF(COUNT(OFFSET(F462,1-Settings!$B$12,0,Settings!$B$12,1))&lt;Settings!$B$12,NA(),STDEV(OFFSET(F462,1-Settings!$B$12,0,Settings!$B$12,1))*SQRT(Settings!$B$13)))</f>
        <v/>
      </c>
      <c r="J462" s="18">
        <f>IF(OR(NOT(ISNUMBER($A462)),ROW()-2&lt;Settings!$B$11),NA(),IF(COUNT(OFFSET(G462,1-Settings!$B$11,0,Settings!$B$11,1))&lt;Settings!$B$11,NA(),STDEV(OFFSET(G462,1-Settings!$B$11,0,Settings!$B$11,1))*SQRT(Settings!$B$13)))</f>
        <v/>
      </c>
      <c r="K462" s="18">
        <f>IF(OR(NOT(ISNUMBER($A462)),ROW()-2&lt;Settings!$B$12),NA(),IF(COUNT(OFFSET(G462,1-Settings!$B$12,0,Settings!$B$12,1))&lt;Settings!$B$12,NA(),STDEV(OFFSET(G462,1-Settings!$B$12,0,Settings!$B$12,1))*SQRT(Settings!$B$13)))</f>
        <v/>
      </c>
      <c r="L462" s="18">
        <f>IF(AND(ISNUMBER(D462),ISNUMBER(H462)),D462-H462,NA())</f>
        <v/>
      </c>
      <c r="M462" s="18">
        <f>IF(AND(ISNUMBER(E462),ISNUMBER(K462)),E462-K462,NA())</f>
        <v/>
      </c>
      <c r="N462" s="18">
        <f>IF(NOT(ISNUMBER($A462)),NA(),IF(COUNT(OFFSET(G462,1,0,Settings!$B$12,1))&lt;Settings!$B$12,NA(),STDEV(OFFSET(G462,1,0,Settings!$B$12,1))*SQRT(Settings!$B$13)))</f>
        <v/>
      </c>
      <c r="O462" s="18">
        <f>IF(AND(ISNUMBER(E462),ISNUMBER(N462)),E462-N462,NA())</f>
        <v/>
      </c>
      <c r="P462" s="17">
        <f>IF(NOT(ISNUMBER($A462)),NA(),IF(OR($A462&lt;MIN(KW_TP!$A$2:$A$2501),$A462&gt;MAX(KW_TP!$A$2:$A$2501)),NA(),INDEX(KW_TP!$C$2:$C$2501,MATCH($A462,KW_TP!$A$2:$A$2501,1))))</f>
        <v/>
      </c>
    </row>
    <row r="463">
      <c r="A463" s="15">
        <f>IF(ISNUMBER(BBG_Data!A463),BBG_Data!A463,"")</f>
        <v/>
      </c>
      <c r="B463" s="16">
        <f>IF(AND(ISNUMBER($A463),ISNUMBER(BBG_Data!B463)),BBG_Data!B463,NA())</f>
        <v/>
      </c>
      <c r="C463" s="16">
        <f>IF(AND(ISNUMBER($A463),ISNUMBER(BBG_Data!C463)),BBG_Data!C463,NA())</f>
        <v/>
      </c>
      <c r="D463" s="17">
        <f>IF(AND(ISNUMBER($A463),ISNUMBER(BBG_Data!D463)),BBG_Data!D463,NA())</f>
        <v/>
      </c>
      <c r="E463" s="17">
        <f>IF(AND(ISNUMBER($A463),ISNUMBER(BBG_Data!E463)),BBG_Data!E463,NA())</f>
        <v/>
      </c>
      <c r="F463" s="18">
        <f>IF(AND(ISNUMBER(B463),ISNUMBER(B462)),(B463-B462)*100,"")</f>
        <v/>
      </c>
      <c r="G463" s="18">
        <f>IF(AND(ISNUMBER(C463),ISNUMBER(C462)),(C463-C462)*100,"")</f>
        <v/>
      </c>
      <c r="H463" s="18">
        <f>IF(OR(NOT(ISNUMBER($A463)),ROW()-2&lt;Settings!$B$11),NA(),IF(COUNT(OFFSET(F463,1-Settings!$B$11,0,Settings!$B$11,1))&lt;Settings!$B$11,NA(),STDEV(OFFSET(F463,1-Settings!$B$11,0,Settings!$B$11,1))*SQRT(Settings!$B$13)))</f>
        <v/>
      </c>
      <c r="I463" s="18">
        <f>IF(OR(NOT(ISNUMBER($A463)),ROW()-2&lt;Settings!$B$12),NA(),IF(COUNT(OFFSET(F463,1-Settings!$B$12,0,Settings!$B$12,1))&lt;Settings!$B$12,NA(),STDEV(OFFSET(F463,1-Settings!$B$12,0,Settings!$B$12,1))*SQRT(Settings!$B$13)))</f>
        <v/>
      </c>
      <c r="J463" s="18">
        <f>IF(OR(NOT(ISNUMBER($A463)),ROW()-2&lt;Settings!$B$11),NA(),IF(COUNT(OFFSET(G463,1-Settings!$B$11,0,Settings!$B$11,1))&lt;Settings!$B$11,NA(),STDEV(OFFSET(G463,1-Settings!$B$11,0,Settings!$B$11,1))*SQRT(Settings!$B$13)))</f>
        <v/>
      </c>
      <c r="K463" s="18">
        <f>IF(OR(NOT(ISNUMBER($A463)),ROW()-2&lt;Settings!$B$12),NA(),IF(COUNT(OFFSET(G463,1-Settings!$B$12,0,Settings!$B$12,1))&lt;Settings!$B$12,NA(),STDEV(OFFSET(G463,1-Settings!$B$12,0,Settings!$B$12,1))*SQRT(Settings!$B$13)))</f>
        <v/>
      </c>
      <c r="L463" s="18">
        <f>IF(AND(ISNUMBER(D463),ISNUMBER(H463)),D463-H463,NA())</f>
        <v/>
      </c>
      <c r="M463" s="18">
        <f>IF(AND(ISNUMBER(E463),ISNUMBER(K463)),E463-K463,NA())</f>
        <v/>
      </c>
      <c r="N463" s="18">
        <f>IF(NOT(ISNUMBER($A463)),NA(),IF(COUNT(OFFSET(G463,1,0,Settings!$B$12,1))&lt;Settings!$B$12,NA(),STDEV(OFFSET(G463,1,0,Settings!$B$12,1))*SQRT(Settings!$B$13)))</f>
        <v/>
      </c>
      <c r="O463" s="18">
        <f>IF(AND(ISNUMBER(E463),ISNUMBER(N463)),E463-N463,NA())</f>
        <v/>
      </c>
      <c r="P463" s="17">
        <f>IF(NOT(ISNUMBER($A463)),NA(),IF(OR($A463&lt;MIN(KW_TP!$A$2:$A$2501),$A463&gt;MAX(KW_TP!$A$2:$A$2501)),NA(),INDEX(KW_TP!$C$2:$C$2501,MATCH($A463,KW_TP!$A$2:$A$2501,1))))</f>
        <v/>
      </c>
    </row>
    <row r="464">
      <c r="A464" s="15">
        <f>IF(ISNUMBER(BBG_Data!A464),BBG_Data!A464,"")</f>
        <v/>
      </c>
      <c r="B464" s="16">
        <f>IF(AND(ISNUMBER($A464),ISNUMBER(BBG_Data!B464)),BBG_Data!B464,NA())</f>
        <v/>
      </c>
      <c r="C464" s="16">
        <f>IF(AND(ISNUMBER($A464),ISNUMBER(BBG_Data!C464)),BBG_Data!C464,NA())</f>
        <v/>
      </c>
      <c r="D464" s="17">
        <f>IF(AND(ISNUMBER($A464),ISNUMBER(BBG_Data!D464)),BBG_Data!D464,NA())</f>
        <v/>
      </c>
      <c r="E464" s="17">
        <f>IF(AND(ISNUMBER($A464),ISNUMBER(BBG_Data!E464)),BBG_Data!E464,NA())</f>
        <v/>
      </c>
      <c r="F464" s="18">
        <f>IF(AND(ISNUMBER(B464),ISNUMBER(B463)),(B464-B463)*100,"")</f>
        <v/>
      </c>
      <c r="G464" s="18">
        <f>IF(AND(ISNUMBER(C464),ISNUMBER(C463)),(C464-C463)*100,"")</f>
        <v/>
      </c>
      <c r="H464" s="18">
        <f>IF(OR(NOT(ISNUMBER($A464)),ROW()-2&lt;Settings!$B$11),NA(),IF(COUNT(OFFSET(F464,1-Settings!$B$11,0,Settings!$B$11,1))&lt;Settings!$B$11,NA(),STDEV(OFFSET(F464,1-Settings!$B$11,0,Settings!$B$11,1))*SQRT(Settings!$B$13)))</f>
        <v/>
      </c>
      <c r="I464" s="18">
        <f>IF(OR(NOT(ISNUMBER($A464)),ROW()-2&lt;Settings!$B$12),NA(),IF(COUNT(OFFSET(F464,1-Settings!$B$12,0,Settings!$B$12,1))&lt;Settings!$B$12,NA(),STDEV(OFFSET(F464,1-Settings!$B$12,0,Settings!$B$12,1))*SQRT(Settings!$B$13)))</f>
        <v/>
      </c>
      <c r="J464" s="18">
        <f>IF(OR(NOT(ISNUMBER($A464)),ROW()-2&lt;Settings!$B$11),NA(),IF(COUNT(OFFSET(G464,1-Settings!$B$11,0,Settings!$B$11,1))&lt;Settings!$B$11,NA(),STDEV(OFFSET(G464,1-Settings!$B$11,0,Settings!$B$11,1))*SQRT(Settings!$B$13)))</f>
        <v/>
      </c>
      <c r="K464" s="18">
        <f>IF(OR(NOT(ISNUMBER($A464)),ROW()-2&lt;Settings!$B$12),NA(),IF(COUNT(OFFSET(G464,1-Settings!$B$12,0,Settings!$B$12,1))&lt;Settings!$B$12,NA(),STDEV(OFFSET(G464,1-Settings!$B$12,0,Settings!$B$12,1))*SQRT(Settings!$B$13)))</f>
        <v/>
      </c>
      <c r="L464" s="18">
        <f>IF(AND(ISNUMBER(D464),ISNUMBER(H464)),D464-H464,NA())</f>
        <v/>
      </c>
      <c r="M464" s="18">
        <f>IF(AND(ISNUMBER(E464),ISNUMBER(K464)),E464-K464,NA())</f>
        <v/>
      </c>
      <c r="N464" s="18">
        <f>IF(NOT(ISNUMBER($A464)),NA(),IF(COUNT(OFFSET(G464,1,0,Settings!$B$12,1))&lt;Settings!$B$12,NA(),STDEV(OFFSET(G464,1,0,Settings!$B$12,1))*SQRT(Settings!$B$13)))</f>
        <v/>
      </c>
      <c r="O464" s="18">
        <f>IF(AND(ISNUMBER(E464),ISNUMBER(N464)),E464-N464,NA())</f>
        <v/>
      </c>
      <c r="P464" s="17">
        <f>IF(NOT(ISNUMBER($A464)),NA(),IF(OR($A464&lt;MIN(KW_TP!$A$2:$A$2501),$A464&gt;MAX(KW_TP!$A$2:$A$2501)),NA(),INDEX(KW_TP!$C$2:$C$2501,MATCH($A464,KW_TP!$A$2:$A$2501,1))))</f>
        <v/>
      </c>
    </row>
    <row r="465">
      <c r="A465" s="15">
        <f>IF(ISNUMBER(BBG_Data!A465),BBG_Data!A465,"")</f>
        <v/>
      </c>
      <c r="B465" s="16">
        <f>IF(AND(ISNUMBER($A465),ISNUMBER(BBG_Data!B465)),BBG_Data!B465,NA())</f>
        <v/>
      </c>
      <c r="C465" s="16">
        <f>IF(AND(ISNUMBER($A465),ISNUMBER(BBG_Data!C465)),BBG_Data!C465,NA())</f>
        <v/>
      </c>
      <c r="D465" s="17">
        <f>IF(AND(ISNUMBER($A465),ISNUMBER(BBG_Data!D465)),BBG_Data!D465,NA())</f>
        <v/>
      </c>
      <c r="E465" s="17">
        <f>IF(AND(ISNUMBER($A465),ISNUMBER(BBG_Data!E465)),BBG_Data!E465,NA())</f>
        <v/>
      </c>
      <c r="F465" s="18">
        <f>IF(AND(ISNUMBER(B465),ISNUMBER(B464)),(B465-B464)*100,"")</f>
        <v/>
      </c>
      <c r="G465" s="18">
        <f>IF(AND(ISNUMBER(C465),ISNUMBER(C464)),(C465-C464)*100,"")</f>
        <v/>
      </c>
      <c r="H465" s="18">
        <f>IF(OR(NOT(ISNUMBER($A465)),ROW()-2&lt;Settings!$B$11),NA(),IF(COUNT(OFFSET(F465,1-Settings!$B$11,0,Settings!$B$11,1))&lt;Settings!$B$11,NA(),STDEV(OFFSET(F465,1-Settings!$B$11,0,Settings!$B$11,1))*SQRT(Settings!$B$13)))</f>
        <v/>
      </c>
      <c r="I465" s="18">
        <f>IF(OR(NOT(ISNUMBER($A465)),ROW()-2&lt;Settings!$B$12),NA(),IF(COUNT(OFFSET(F465,1-Settings!$B$12,0,Settings!$B$12,1))&lt;Settings!$B$12,NA(),STDEV(OFFSET(F465,1-Settings!$B$12,0,Settings!$B$12,1))*SQRT(Settings!$B$13)))</f>
        <v/>
      </c>
      <c r="J465" s="18">
        <f>IF(OR(NOT(ISNUMBER($A465)),ROW()-2&lt;Settings!$B$11),NA(),IF(COUNT(OFFSET(G465,1-Settings!$B$11,0,Settings!$B$11,1))&lt;Settings!$B$11,NA(),STDEV(OFFSET(G465,1-Settings!$B$11,0,Settings!$B$11,1))*SQRT(Settings!$B$13)))</f>
        <v/>
      </c>
      <c r="K465" s="18">
        <f>IF(OR(NOT(ISNUMBER($A465)),ROW()-2&lt;Settings!$B$12),NA(),IF(COUNT(OFFSET(G465,1-Settings!$B$12,0,Settings!$B$12,1))&lt;Settings!$B$12,NA(),STDEV(OFFSET(G465,1-Settings!$B$12,0,Settings!$B$12,1))*SQRT(Settings!$B$13)))</f>
        <v/>
      </c>
      <c r="L465" s="18">
        <f>IF(AND(ISNUMBER(D465),ISNUMBER(H465)),D465-H465,NA())</f>
        <v/>
      </c>
      <c r="M465" s="18">
        <f>IF(AND(ISNUMBER(E465),ISNUMBER(K465)),E465-K465,NA())</f>
        <v/>
      </c>
      <c r="N465" s="18">
        <f>IF(NOT(ISNUMBER($A465)),NA(),IF(COUNT(OFFSET(G465,1,0,Settings!$B$12,1))&lt;Settings!$B$12,NA(),STDEV(OFFSET(G465,1,0,Settings!$B$12,1))*SQRT(Settings!$B$13)))</f>
        <v/>
      </c>
      <c r="O465" s="18">
        <f>IF(AND(ISNUMBER(E465),ISNUMBER(N465)),E465-N465,NA())</f>
        <v/>
      </c>
      <c r="P465" s="17">
        <f>IF(NOT(ISNUMBER($A465)),NA(),IF(OR($A465&lt;MIN(KW_TP!$A$2:$A$2501),$A465&gt;MAX(KW_TP!$A$2:$A$2501)),NA(),INDEX(KW_TP!$C$2:$C$2501,MATCH($A465,KW_TP!$A$2:$A$2501,1))))</f>
        <v/>
      </c>
    </row>
    <row r="466">
      <c r="A466" s="15">
        <f>IF(ISNUMBER(BBG_Data!A466),BBG_Data!A466,"")</f>
        <v/>
      </c>
      <c r="B466" s="16">
        <f>IF(AND(ISNUMBER($A466),ISNUMBER(BBG_Data!B466)),BBG_Data!B466,NA())</f>
        <v/>
      </c>
      <c r="C466" s="16">
        <f>IF(AND(ISNUMBER($A466),ISNUMBER(BBG_Data!C466)),BBG_Data!C466,NA())</f>
        <v/>
      </c>
      <c r="D466" s="17">
        <f>IF(AND(ISNUMBER($A466),ISNUMBER(BBG_Data!D466)),BBG_Data!D466,NA())</f>
        <v/>
      </c>
      <c r="E466" s="17">
        <f>IF(AND(ISNUMBER($A466),ISNUMBER(BBG_Data!E466)),BBG_Data!E466,NA())</f>
        <v/>
      </c>
      <c r="F466" s="18">
        <f>IF(AND(ISNUMBER(B466),ISNUMBER(B465)),(B466-B465)*100,"")</f>
        <v/>
      </c>
      <c r="G466" s="18">
        <f>IF(AND(ISNUMBER(C466),ISNUMBER(C465)),(C466-C465)*100,"")</f>
        <v/>
      </c>
      <c r="H466" s="18">
        <f>IF(OR(NOT(ISNUMBER($A466)),ROW()-2&lt;Settings!$B$11),NA(),IF(COUNT(OFFSET(F466,1-Settings!$B$11,0,Settings!$B$11,1))&lt;Settings!$B$11,NA(),STDEV(OFFSET(F466,1-Settings!$B$11,0,Settings!$B$11,1))*SQRT(Settings!$B$13)))</f>
        <v/>
      </c>
      <c r="I466" s="18">
        <f>IF(OR(NOT(ISNUMBER($A466)),ROW()-2&lt;Settings!$B$12),NA(),IF(COUNT(OFFSET(F466,1-Settings!$B$12,0,Settings!$B$12,1))&lt;Settings!$B$12,NA(),STDEV(OFFSET(F466,1-Settings!$B$12,0,Settings!$B$12,1))*SQRT(Settings!$B$13)))</f>
        <v/>
      </c>
      <c r="J466" s="18">
        <f>IF(OR(NOT(ISNUMBER($A466)),ROW()-2&lt;Settings!$B$11),NA(),IF(COUNT(OFFSET(G466,1-Settings!$B$11,0,Settings!$B$11,1))&lt;Settings!$B$11,NA(),STDEV(OFFSET(G466,1-Settings!$B$11,0,Settings!$B$11,1))*SQRT(Settings!$B$13)))</f>
        <v/>
      </c>
      <c r="K466" s="18">
        <f>IF(OR(NOT(ISNUMBER($A466)),ROW()-2&lt;Settings!$B$12),NA(),IF(COUNT(OFFSET(G466,1-Settings!$B$12,0,Settings!$B$12,1))&lt;Settings!$B$12,NA(),STDEV(OFFSET(G466,1-Settings!$B$12,0,Settings!$B$12,1))*SQRT(Settings!$B$13)))</f>
        <v/>
      </c>
      <c r="L466" s="18">
        <f>IF(AND(ISNUMBER(D466),ISNUMBER(H466)),D466-H466,NA())</f>
        <v/>
      </c>
      <c r="M466" s="18">
        <f>IF(AND(ISNUMBER(E466),ISNUMBER(K466)),E466-K466,NA())</f>
        <v/>
      </c>
      <c r="N466" s="18">
        <f>IF(NOT(ISNUMBER($A466)),NA(),IF(COUNT(OFFSET(G466,1,0,Settings!$B$12,1))&lt;Settings!$B$12,NA(),STDEV(OFFSET(G466,1,0,Settings!$B$12,1))*SQRT(Settings!$B$13)))</f>
        <v/>
      </c>
      <c r="O466" s="18">
        <f>IF(AND(ISNUMBER(E466),ISNUMBER(N466)),E466-N466,NA())</f>
        <v/>
      </c>
      <c r="P466" s="17">
        <f>IF(NOT(ISNUMBER($A466)),NA(),IF(OR($A466&lt;MIN(KW_TP!$A$2:$A$2501),$A466&gt;MAX(KW_TP!$A$2:$A$2501)),NA(),INDEX(KW_TP!$C$2:$C$2501,MATCH($A466,KW_TP!$A$2:$A$2501,1))))</f>
        <v/>
      </c>
    </row>
    <row r="467">
      <c r="A467" s="15">
        <f>IF(ISNUMBER(BBG_Data!A467),BBG_Data!A467,"")</f>
        <v/>
      </c>
      <c r="B467" s="16">
        <f>IF(AND(ISNUMBER($A467),ISNUMBER(BBG_Data!B467)),BBG_Data!B467,NA())</f>
        <v/>
      </c>
      <c r="C467" s="16">
        <f>IF(AND(ISNUMBER($A467),ISNUMBER(BBG_Data!C467)),BBG_Data!C467,NA())</f>
        <v/>
      </c>
      <c r="D467" s="17">
        <f>IF(AND(ISNUMBER($A467),ISNUMBER(BBG_Data!D467)),BBG_Data!D467,NA())</f>
        <v/>
      </c>
      <c r="E467" s="17">
        <f>IF(AND(ISNUMBER($A467),ISNUMBER(BBG_Data!E467)),BBG_Data!E467,NA())</f>
        <v/>
      </c>
      <c r="F467" s="18">
        <f>IF(AND(ISNUMBER(B467),ISNUMBER(B466)),(B467-B466)*100,"")</f>
        <v/>
      </c>
      <c r="G467" s="18">
        <f>IF(AND(ISNUMBER(C467),ISNUMBER(C466)),(C467-C466)*100,"")</f>
        <v/>
      </c>
      <c r="H467" s="18">
        <f>IF(OR(NOT(ISNUMBER($A467)),ROW()-2&lt;Settings!$B$11),NA(),IF(COUNT(OFFSET(F467,1-Settings!$B$11,0,Settings!$B$11,1))&lt;Settings!$B$11,NA(),STDEV(OFFSET(F467,1-Settings!$B$11,0,Settings!$B$11,1))*SQRT(Settings!$B$13)))</f>
        <v/>
      </c>
      <c r="I467" s="18">
        <f>IF(OR(NOT(ISNUMBER($A467)),ROW()-2&lt;Settings!$B$12),NA(),IF(COUNT(OFFSET(F467,1-Settings!$B$12,0,Settings!$B$12,1))&lt;Settings!$B$12,NA(),STDEV(OFFSET(F467,1-Settings!$B$12,0,Settings!$B$12,1))*SQRT(Settings!$B$13)))</f>
        <v/>
      </c>
      <c r="J467" s="18">
        <f>IF(OR(NOT(ISNUMBER($A467)),ROW()-2&lt;Settings!$B$11),NA(),IF(COUNT(OFFSET(G467,1-Settings!$B$11,0,Settings!$B$11,1))&lt;Settings!$B$11,NA(),STDEV(OFFSET(G467,1-Settings!$B$11,0,Settings!$B$11,1))*SQRT(Settings!$B$13)))</f>
        <v/>
      </c>
      <c r="K467" s="18">
        <f>IF(OR(NOT(ISNUMBER($A467)),ROW()-2&lt;Settings!$B$12),NA(),IF(COUNT(OFFSET(G467,1-Settings!$B$12,0,Settings!$B$12,1))&lt;Settings!$B$12,NA(),STDEV(OFFSET(G467,1-Settings!$B$12,0,Settings!$B$12,1))*SQRT(Settings!$B$13)))</f>
        <v/>
      </c>
      <c r="L467" s="18">
        <f>IF(AND(ISNUMBER(D467),ISNUMBER(H467)),D467-H467,NA())</f>
        <v/>
      </c>
      <c r="M467" s="18">
        <f>IF(AND(ISNUMBER(E467),ISNUMBER(K467)),E467-K467,NA())</f>
        <v/>
      </c>
      <c r="N467" s="18">
        <f>IF(NOT(ISNUMBER($A467)),NA(),IF(COUNT(OFFSET(G467,1,0,Settings!$B$12,1))&lt;Settings!$B$12,NA(),STDEV(OFFSET(G467,1,0,Settings!$B$12,1))*SQRT(Settings!$B$13)))</f>
        <v/>
      </c>
      <c r="O467" s="18">
        <f>IF(AND(ISNUMBER(E467),ISNUMBER(N467)),E467-N467,NA())</f>
        <v/>
      </c>
      <c r="P467" s="17">
        <f>IF(NOT(ISNUMBER($A467)),NA(),IF(OR($A467&lt;MIN(KW_TP!$A$2:$A$2501),$A467&gt;MAX(KW_TP!$A$2:$A$2501)),NA(),INDEX(KW_TP!$C$2:$C$2501,MATCH($A467,KW_TP!$A$2:$A$2501,1))))</f>
        <v/>
      </c>
    </row>
    <row r="468">
      <c r="A468" s="15">
        <f>IF(ISNUMBER(BBG_Data!A468),BBG_Data!A468,"")</f>
        <v/>
      </c>
      <c r="B468" s="16">
        <f>IF(AND(ISNUMBER($A468),ISNUMBER(BBG_Data!B468)),BBG_Data!B468,NA())</f>
        <v/>
      </c>
      <c r="C468" s="16">
        <f>IF(AND(ISNUMBER($A468),ISNUMBER(BBG_Data!C468)),BBG_Data!C468,NA())</f>
        <v/>
      </c>
      <c r="D468" s="17">
        <f>IF(AND(ISNUMBER($A468),ISNUMBER(BBG_Data!D468)),BBG_Data!D468,NA())</f>
        <v/>
      </c>
      <c r="E468" s="17">
        <f>IF(AND(ISNUMBER($A468),ISNUMBER(BBG_Data!E468)),BBG_Data!E468,NA())</f>
        <v/>
      </c>
      <c r="F468" s="18">
        <f>IF(AND(ISNUMBER(B468),ISNUMBER(B467)),(B468-B467)*100,"")</f>
        <v/>
      </c>
      <c r="G468" s="18">
        <f>IF(AND(ISNUMBER(C468),ISNUMBER(C467)),(C468-C467)*100,"")</f>
        <v/>
      </c>
      <c r="H468" s="18">
        <f>IF(OR(NOT(ISNUMBER($A468)),ROW()-2&lt;Settings!$B$11),NA(),IF(COUNT(OFFSET(F468,1-Settings!$B$11,0,Settings!$B$11,1))&lt;Settings!$B$11,NA(),STDEV(OFFSET(F468,1-Settings!$B$11,0,Settings!$B$11,1))*SQRT(Settings!$B$13)))</f>
        <v/>
      </c>
      <c r="I468" s="18">
        <f>IF(OR(NOT(ISNUMBER($A468)),ROW()-2&lt;Settings!$B$12),NA(),IF(COUNT(OFFSET(F468,1-Settings!$B$12,0,Settings!$B$12,1))&lt;Settings!$B$12,NA(),STDEV(OFFSET(F468,1-Settings!$B$12,0,Settings!$B$12,1))*SQRT(Settings!$B$13)))</f>
        <v/>
      </c>
      <c r="J468" s="18">
        <f>IF(OR(NOT(ISNUMBER($A468)),ROW()-2&lt;Settings!$B$11),NA(),IF(COUNT(OFFSET(G468,1-Settings!$B$11,0,Settings!$B$11,1))&lt;Settings!$B$11,NA(),STDEV(OFFSET(G468,1-Settings!$B$11,0,Settings!$B$11,1))*SQRT(Settings!$B$13)))</f>
        <v/>
      </c>
      <c r="K468" s="18">
        <f>IF(OR(NOT(ISNUMBER($A468)),ROW()-2&lt;Settings!$B$12),NA(),IF(COUNT(OFFSET(G468,1-Settings!$B$12,0,Settings!$B$12,1))&lt;Settings!$B$12,NA(),STDEV(OFFSET(G468,1-Settings!$B$12,0,Settings!$B$12,1))*SQRT(Settings!$B$13)))</f>
        <v/>
      </c>
      <c r="L468" s="18">
        <f>IF(AND(ISNUMBER(D468),ISNUMBER(H468)),D468-H468,NA())</f>
        <v/>
      </c>
      <c r="M468" s="18">
        <f>IF(AND(ISNUMBER(E468),ISNUMBER(K468)),E468-K468,NA())</f>
        <v/>
      </c>
      <c r="N468" s="18">
        <f>IF(NOT(ISNUMBER($A468)),NA(),IF(COUNT(OFFSET(G468,1,0,Settings!$B$12,1))&lt;Settings!$B$12,NA(),STDEV(OFFSET(G468,1,0,Settings!$B$12,1))*SQRT(Settings!$B$13)))</f>
        <v/>
      </c>
      <c r="O468" s="18">
        <f>IF(AND(ISNUMBER(E468),ISNUMBER(N468)),E468-N468,NA())</f>
        <v/>
      </c>
      <c r="P468" s="17">
        <f>IF(NOT(ISNUMBER($A468)),NA(),IF(OR($A468&lt;MIN(KW_TP!$A$2:$A$2501),$A468&gt;MAX(KW_TP!$A$2:$A$2501)),NA(),INDEX(KW_TP!$C$2:$C$2501,MATCH($A468,KW_TP!$A$2:$A$2501,1))))</f>
        <v/>
      </c>
    </row>
    <row r="469">
      <c r="A469" s="15">
        <f>IF(ISNUMBER(BBG_Data!A469),BBG_Data!A469,"")</f>
        <v/>
      </c>
      <c r="B469" s="16">
        <f>IF(AND(ISNUMBER($A469),ISNUMBER(BBG_Data!B469)),BBG_Data!B469,NA())</f>
        <v/>
      </c>
      <c r="C469" s="16">
        <f>IF(AND(ISNUMBER($A469),ISNUMBER(BBG_Data!C469)),BBG_Data!C469,NA())</f>
        <v/>
      </c>
      <c r="D469" s="17">
        <f>IF(AND(ISNUMBER($A469),ISNUMBER(BBG_Data!D469)),BBG_Data!D469,NA())</f>
        <v/>
      </c>
      <c r="E469" s="17">
        <f>IF(AND(ISNUMBER($A469),ISNUMBER(BBG_Data!E469)),BBG_Data!E469,NA())</f>
        <v/>
      </c>
      <c r="F469" s="18">
        <f>IF(AND(ISNUMBER(B469),ISNUMBER(B468)),(B469-B468)*100,"")</f>
        <v/>
      </c>
      <c r="G469" s="18">
        <f>IF(AND(ISNUMBER(C469),ISNUMBER(C468)),(C469-C468)*100,"")</f>
        <v/>
      </c>
      <c r="H469" s="18">
        <f>IF(OR(NOT(ISNUMBER($A469)),ROW()-2&lt;Settings!$B$11),NA(),IF(COUNT(OFFSET(F469,1-Settings!$B$11,0,Settings!$B$11,1))&lt;Settings!$B$11,NA(),STDEV(OFFSET(F469,1-Settings!$B$11,0,Settings!$B$11,1))*SQRT(Settings!$B$13)))</f>
        <v/>
      </c>
      <c r="I469" s="18">
        <f>IF(OR(NOT(ISNUMBER($A469)),ROW()-2&lt;Settings!$B$12),NA(),IF(COUNT(OFFSET(F469,1-Settings!$B$12,0,Settings!$B$12,1))&lt;Settings!$B$12,NA(),STDEV(OFFSET(F469,1-Settings!$B$12,0,Settings!$B$12,1))*SQRT(Settings!$B$13)))</f>
        <v/>
      </c>
      <c r="J469" s="18">
        <f>IF(OR(NOT(ISNUMBER($A469)),ROW()-2&lt;Settings!$B$11),NA(),IF(COUNT(OFFSET(G469,1-Settings!$B$11,0,Settings!$B$11,1))&lt;Settings!$B$11,NA(),STDEV(OFFSET(G469,1-Settings!$B$11,0,Settings!$B$11,1))*SQRT(Settings!$B$13)))</f>
        <v/>
      </c>
      <c r="K469" s="18">
        <f>IF(OR(NOT(ISNUMBER($A469)),ROW()-2&lt;Settings!$B$12),NA(),IF(COUNT(OFFSET(G469,1-Settings!$B$12,0,Settings!$B$12,1))&lt;Settings!$B$12,NA(),STDEV(OFFSET(G469,1-Settings!$B$12,0,Settings!$B$12,1))*SQRT(Settings!$B$13)))</f>
        <v/>
      </c>
      <c r="L469" s="18">
        <f>IF(AND(ISNUMBER(D469),ISNUMBER(H469)),D469-H469,NA())</f>
        <v/>
      </c>
      <c r="M469" s="18">
        <f>IF(AND(ISNUMBER(E469),ISNUMBER(K469)),E469-K469,NA())</f>
        <v/>
      </c>
      <c r="N469" s="18">
        <f>IF(NOT(ISNUMBER($A469)),NA(),IF(COUNT(OFFSET(G469,1,0,Settings!$B$12,1))&lt;Settings!$B$12,NA(),STDEV(OFFSET(G469,1,0,Settings!$B$12,1))*SQRT(Settings!$B$13)))</f>
        <v/>
      </c>
      <c r="O469" s="18">
        <f>IF(AND(ISNUMBER(E469),ISNUMBER(N469)),E469-N469,NA())</f>
        <v/>
      </c>
      <c r="P469" s="17">
        <f>IF(NOT(ISNUMBER($A469)),NA(),IF(OR($A469&lt;MIN(KW_TP!$A$2:$A$2501),$A469&gt;MAX(KW_TP!$A$2:$A$2501)),NA(),INDEX(KW_TP!$C$2:$C$2501,MATCH($A469,KW_TP!$A$2:$A$2501,1))))</f>
        <v/>
      </c>
    </row>
    <row r="470">
      <c r="A470" s="15">
        <f>IF(ISNUMBER(BBG_Data!A470),BBG_Data!A470,"")</f>
        <v/>
      </c>
      <c r="B470" s="16">
        <f>IF(AND(ISNUMBER($A470),ISNUMBER(BBG_Data!B470)),BBG_Data!B470,NA())</f>
        <v/>
      </c>
      <c r="C470" s="16">
        <f>IF(AND(ISNUMBER($A470),ISNUMBER(BBG_Data!C470)),BBG_Data!C470,NA())</f>
        <v/>
      </c>
      <c r="D470" s="17">
        <f>IF(AND(ISNUMBER($A470),ISNUMBER(BBG_Data!D470)),BBG_Data!D470,NA())</f>
        <v/>
      </c>
      <c r="E470" s="17">
        <f>IF(AND(ISNUMBER($A470),ISNUMBER(BBG_Data!E470)),BBG_Data!E470,NA())</f>
        <v/>
      </c>
      <c r="F470" s="18">
        <f>IF(AND(ISNUMBER(B470),ISNUMBER(B469)),(B470-B469)*100,"")</f>
        <v/>
      </c>
      <c r="G470" s="18">
        <f>IF(AND(ISNUMBER(C470),ISNUMBER(C469)),(C470-C469)*100,"")</f>
        <v/>
      </c>
      <c r="H470" s="18">
        <f>IF(OR(NOT(ISNUMBER($A470)),ROW()-2&lt;Settings!$B$11),NA(),IF(COUNT(OFFSET(F470,1-Settings!$B$11,0,Settings!$B$11,1))&lt;Settings!$B$11,NA(),STDEV(OFFSET(F470,1-Settings!$B$11,0,Settings!$B$11,1))*SQRT(Settings!$B$13)))</f>
        <v/>
      </c>
      <c r="I470" s="18">
        <f>IF(OR(NOT(ISNUMBER($A470)),ROW()-2&lt;Settings!$B$12),NA(),IF(COUNT(OFFSET(F470,1-Settings!$B$12,0,Settings!$B$12,1))&lt;Settings!$B$12,NA(),STDEV(OFFSET(F470,1-Settings!$B$12,0,Settings!$B$12,1))*SQRT(Settings!$B$13)))</f>
        <v/>
      </c>
      <c r="J470" s="18">
        <f>IF(OR(NOT(ISNUMBER($A470)),ROW()-2&lt;Settings!$B$11),NA(),IF(COUNT(OFFSET(G470,1-Settings!$B$11,0,Settings!$B$11,1))&lt;Settings!$B$11,NA(),STDEV(OFFSET(G470,1-Settings!$B$11,0,Settings!$B$11,1))*SQRT(Settings!$B$13)))</f>
        <v/>
      </c>
      <c r="K470" s="18">
        <f>IF(OR(NOT(ISNUMBER($A470)),ROW()-2&lt;Settings!$B$12),NA(),IF(COUNT(OFFSET(G470,1-Settings!$B$12,0,Settings!$B$12,1))&lt;Settings!$B$12,NA(),STDEV(OFFSET(G470,1-Settings!$B$12,0,Settings!$B$12,1))*SQRT(Settings!$B$13)))</f>
        <v/>
      </c>
      <c r="L470" s="18">
        <f>IF(AND(ISNUMBER(D470),ISNUMBER(H470)),D470-H470,NA())</f>
        <v/>
      </c>
      <c r="M470" s="18">
        <f>IF(AND(ISNUMBER(E470),ISNUMBER(K470)),E470-K470,NA())</f>
        <v/>
      </c>
      <c r="N470" s="18">
        <f>IF(NOT(ISNUMBER($A470)),NA(),IF(COUNT(OFFSET(G470,1,0,Settings!$B$12,1))&lt;Settings!$B$12,NA(),STDEV(OFFSET(G470,1,0,Settings!$B$12,1))*SQRT(Settings!$B$13)))</f>
        <v/>
      </c>
      <c r="O470" s="18">
        <f>IF(AND(ISNUMBER(E470),ISNUMBER(N470)),E470-N470,NA())</f>
        <v/>
      </c>
      <c r="P470" s="17">
        <f>IF(NOT(ISNUMBER($A470)),NA(),IF(OR($A470&lt;MIN(KW_TP!$A$2:$A$2501),$A470&gt;MAX(KW_TP!$A$2:$A$2501)),NA(),INDEX(KW_TP!$C$2:$C$2501,MATCH($A470,KW_TP!$A$2:$A$2501,1))))</f>
        <v/>
      </c>
    </row>
    <row r="471">
      <c r="A471" s="15">
        <f>IF(ISNUMBER(BBG_Data!A471),BBG_Data!A471,"")</f>
        <v/>
      </c>
      <c r="B471" s="16">
        <f>IF(AND(ISNUMBER($A471),ISNUMBER(BBG_Data!B471)),BBG_Data!B471,NA())</f>
        <v/>
      </c>
      <c r="C471" s="16">
        <f>IF(AND(ISNUMBER($A471),ISNUMBER(BBG_Data!C471)),BBG_Data!C471,NA())</f>
        <v/>
      </c>
      <c r="D471" s="17">
        <f>IF(AND(ISNUMBER($A471),ISNUMBER(BBG_Data!D471)),BBG_Data!D471,NA())</f>
        <v/>
      </c>
      <c r="E471" s="17">
        <f>IF(AND(ISNUMBER($A471),ISNUMBER(BBG_Data!E471)),BBG_Data!E471,NA())</f>
        <v/>
      </c>
      <c r="F471" s="18">
        <f>IF(AND(ISNUMBER(B471),ISNUMBER(B470)),(B471-B470)*100,"")</f>
        <v/>
      </c>
      <c r="G471" s="18">
        <f>IF(AND(ISNUMBER(C471),ISNUMBER(C470)),(C471-C470)*100,"")</f>
        <v/>
      </c>
      <c r="H471" s="18">
        <f>IF(OR(NOT(ISNUMBER($A471)),ROW()-2&lt;Settings!$B$11),NA(),IF(COUNT(OFFSET(F471,1-Settings!$B$11,0,Settings!$B$11,1))&lt;Settings!$B$11,NA(),STDEV(OFFSET(F471,1-Settings!$B$11,0,Settings!$B$11,1))*SQRT(Settings!$B$13)))</f>
        <v/>
      </c>
      <c r="I471" s="18">
        <f>IF(OR(NOT(ISNUMBER($A471)),ROW()-2&lt;Settings!$B$12),NA(),IF(COUNT(OFFSET(F471,1-Settings!$B$12,0,Settings!$B$12,1))&lt;Settings!$B$12,NA(),STDEV(OFFSET(F471,1-Settings!$B$12,0,Settings!$B$12,1))*SQRT(Settings!$B$13)))</f>
        <v/>
      </c>
      <c r="J471" s="18">
        <f>IF(OR(NOT(ISNUMBER($A471)),ROW()-2&lt;Settings!$B$11),NA(),IF(COUNT(OFFSET(G471,1-Settings!$B$11,0,Settings!$B$11,1))&lt;Settings!$B$11,NA(),STDEV(OFFSET(G471,1-Settings!$B$11,0,Settings!$B$11,1))*SQRT(Settings!$B$13)))</f>
        <v/>
      </c>
      <c r="K471" s="18">
        <f>IF(OR(NOT(ISNUMBER($A471)),ROW()-2&lt;Settings!$B$12),NA(),IF(COUNT(OFFSET(G471,1-Settings!$B$12,0,Settings!$B$12,1))&lt;Settings!$B$12,NA(),STDEV(OFFSET(G471,1-Settings!$B$12,0,Settings!$B$12,1))*SQRT(Settings!$B$13)))</f>
        <v/>
      </c>
      <c r="L471" s="18">
        <f>IF(AND(ISNUMBER(D471),ISNUMBER(H471)),D471-H471,NA())</f>
        <v/>
      </c>
      <c r="M471" s="18">
        <f>IF(AND(ISNUMBER(E471),ISNUMBER(K471)),E471-K471,NA())</f>
        <v/>
      </c>
      <c r="N471" s="18">
        <f>IF(NOT(ISNUMBER($A471)),NA(),IF(COUNT(OFFSET(G471,1,0,Settings!$B$12,1))&lt;Settings!$B$12,NA(),STDEV(OFFSET(G471,1,0,Settings!$B$12,1))*SQRT(Settings!$B$13)))</f>
        <v/>
      </c>
      <c r="O471" s="18">
        <f>IF(AND(ISNUMBER(E471),ISNUMBER(N471)),E471-N471,NA())</f>
        <v/>
      </c>
      <c r="P471" s="17">
        <f>IF(NOT(ISNUMBER($A471)),NA(),IF(OR($A471&lt;MIN(KW_TP!$A$2:$A$2501),$A471&gt;MAX(KW_TP!$A$2:$A$2501)),NA(),INDEX(KW_TP!$C$2:$C$2501,MATCH($A471,KW_TP!$A$2:$A$2501,1))))</f>
        <v/>
      </c>
    </row>
    <row r="472">
      <c r="A472" s="15">
        <f>IF(ISNUMBER(BBG_Data!A472),BBG_Data!A472,"")</f>
        <v/>
      </c>
      <c r="B472" s="16">
        <f>IF(AND(ISNUMBER($A472),ISNUMBER(BBG_Data!B472)),BBG_Data!B472,NA())</f>
        <v/>
      </c>
      <c r="C472" s="16">
        <f>IF(AND(ISNUMBER($A472),ISNUMBER(BBG_Data!C472)),BBG_Data!C472,NA())</f>
        <v/>
      </c>
      <c r="D472" s="17">
        <f>IF(AND(ISNUMBER($A472),ISNUMBER(BBG_Data!D472)),BBG_Data!D472,NA())</f>
        <v/>
      </c>
      <c r="E472" s="17">
        <f>IF(AND(ISNUMBER($A472),ISNUMBER(BBG_Data!E472)),BBG_Data!E472,NA())</f>
        <v/>
      </c>
      <c r="F472" s="18">
        <f>IF(AND(ISNUMBER(B472),ISNUMBER(B471)),(B472-B471)*100,"")</f>
        <v/>
      </c>
      <c r="G472" s="18">
        <f>IF(AND(ISNUMBER(C472),ISNUMBER(C471)),(C472-C471)*100,"")</f>
        <v/>
      </c>
      <c r="H472" s="18">
        <f>IF(OR(NOT(ISNUMBER($A472)),ROW()-2&lt;Settings!$B$11),NA(),IF(COUNT(OFFSET(F472,1-Settings!$B$11,0,Settings!$B$11,1))&lt;Settings!$B$11,NA(),STDEV(OFFSET(F472,1-Settings!$B$11,0,Settings!$B$11,1))*SQRT(Settings!$B$13)))</f>
        <v/>
      </c>
      <c r="I472" s="18">
        <f>IF(OR(NOT(ISNUMBER($A472)),ROW()-2&lt;Settings!$B$12),NA(),IF(COUNT(OFFSET(F472,1-Settings!$B$12,0,Settings!$B$12,1))&lt;Settings!$B$12,NA(),STDEV(OFFSET(F472,1-Settings!$B$12,0,Settings!$B$12,1))*SQRT(Settings!$B$13)))</f>
        <v/>
      </c>
      <c r="J472" s="18">
        <f>IF(OR(NOT(ISNUMBER($A472)),ROW()-2&lt;Settings!$B$11),NA(),IF(COUNT(OFFSET(G472,1-Settings!$B$11,0,Settings!$B$11,1))&lt;Settings!$B$11,NA(),STDEV(OFFSET(G472,1-Settings!$B$11,0,Settings!$B$11,1))*SQRT(Settings!$B$13)))</f>
        <v/>
      </c>
      <c r="K472" s="18">
        <f>IF(OR(NOT(ISNUMBER($A472)),ROW()-2&lt;Settings!$B$12),NA(),IF(COUNT(OFFSET(G472,1-Settings!$B$12,0,Settings!$B$12,1))&lt;Settings!$B$12,NA(),STDEV(OFFSET(G472,1-Settings!$B$12,0,Settings!$B$12,1))*SQRT(Settings!$B$13)))</f>
        <v/>
      </c>
      <c r="L472" s="18">
        <f>IF(AND(ISNUMBER(D472),ISNUMBER(H472)),D472-H472,NA())</f>
        <v/>
      </c>
      <c r="M472" s="18">
        <f>IF(AND(ISNUMBER(E472),ISNUMBER(K472)),E472-K472,NA())</f>
        <v/>
      </c>
      <c r="N472" s="18">
        <f>IF(NOT(ISNUMBER($A472)),NA(),IF(COUNT(OFFSET(G472,1,0,Settings!$B$12,1))&lt;Settings!$B$12,NA(),STDEV(OFFSET(G472,1,0,Settings!$B$12,1))*SQRT(Settings!$B$13)))</f>
        <v/>
      </c>
      <c r="O472" s="18">
        <f>IF(AND(ISNUMBER(E472),ISNUMBER(N472)),E472-N472,NA())</f>
        <v/>
      </c>
      <c r="P472" s="17">
        <f>IF(NOT(ISNUMBER($A472)),NA(),IF(OR($A472&lt;MIN(KW_TP!$A$2:$A$2501),$A472&gt;MAX(KW_TP!$A$2:$A$2501)),NA(),INDEX(KW_TP!$C$2:$C$2501,MATCH($A472,KW_TP!$A$2:$A$2501,1))))</f>
        <v/>
      </c>
    </row>
    <row r="473">
      <c r="A473" s="15">
        <f>IF(ISNUMBER(BBG_Data!A473),BBG_Data!A473,"")</f>
        <v/>
      </c>
      <c r="B473" s="16">
        <f>IF(AND(ISNUMBER($A473),ISNUMBER(BBG_Data!B473)),BBG_Data!B473,NA())</f>
        <v/>
      </c>
      <c r="C473" s="16">
        <f>IF(AND(ISNUMBER($A473),ISNUMBER(BBG_Data!C473)),BBG_Data!C473,NA())</f>
        <v/>
      </c>
      <c r="D473" s="17">
        <f>IF(AND(ISNUMBER($A473),ISNUMBER(BBG_Data!D473)),BBG_Data!D473,NA())</f>
        <v/>
      </c>
      <c r="E473" s="17">
        <f>IF(AND(ISNUMBER($A473),ISNUMBER(BBG_Data!E473)),BBG_Data!E473,NA())</f>
        <v/>
      </c>
      <c r="F473" s="18">
        <f>IF(AND(ISNUMBER(B473),ISNUMBER(B472)),(B473-B472)*100,"")</f>
        <v/>
      </c>
      <c r="G473" s="18">
        <f>IF(AND(ISNUMBER(C473),ISNUMBER(C472)),(C473-C472)*100,"")</f>
        <v/>
      </c>
      <c r="H473" s="18">
        <f>IF(OR(NOT(ISNUMBER($A473)),ROW()-2&lt;Settings!$B$11),NA(),IF(COUNT(OFFSET(F473,1-Settings!$B$11,0,Settings!$B$11,1))&lt;Settings!$B$11,NA(),STDEV(OFFSET(F473,1-Settings!$B$11,0,Settings!$B$11,1))*SQRT(Settings!$B$13)))</f>
        <v/>
      </c>
      <c r="I473" s="18">
        <f>IF(OR(NOT(ISNUMBER($A473)),ROW()-2&lt;Settings!$B$12),NA(),IF(COUNT(OFFSET(F473,1-Settings!$B$12,0,Settings!$B$12,1))&lt;Settings!$B$12,NA(),STDEV(OFFSET(F473,1-Settings!$B$12,0,Settings!$B$12,1))*SQRT(Settings!$B$13)))</f>
        <v/>
      </c>
      <c r="J473" s="18">
        <f>IF(OR(NOT(ISNUMBER($A473)),ROW()-2&lt;Settings!$B$11),NA(),IF(COUNT(OFFSET(G473,1-Settings!$B$11,0,Settings!$B$11,1))&lt;Settings!$B$11,NA(),STDEV(OFFSET(G473,1-Settings!$B$11,0,Settings!$B$11,1))*SQRT(Settings!$B$13)))</f>
        <v/>
      </c>
      <c r="K473" s="18">
        <f>IF(OR(NOT(ISNUMBER($A473)),ROW()-2&lt;Settings!$B$12),NA(),IF(COUNT(OFFSET(G473,1-Settings!$B$12,0,Settings!$B$12,1))&lt;Settings!$B$12,NA(),STDEV(OFFSET(G473,1-Settings!$B$12,0,Settings!$B$12,1))*SQRT(Settings!$B$13)))</f>
        <v/>
      </c>
      <c r="L473" s="18">
        <f>IF(AND(ISNUMBER(D473),ISNUMBER(H473)),D473-H473,NA())</f>
        <v/>
      </c>
      <c r="M473" s="18">
        <f>IF(AND(ISNUMBER(E473),ISNUMBER(K473)),E473-K473,NA())</f>
        <v/>
      </c>
      <c r="N473" s="18">
        <f>IF(NOT(ISNUMBER($A473)),NA(),IF(COUNT(OFFSET(G473,1,0,Settings!$B$12,1))&lt;Settings!$B$12,NA(),STDEV(OFFSET(G473,1,0,Settings!$B$12,1))*SQRT(Settings!$B$13)))</f>
        <v/>
      </c>
      <c r="O473" s="18">
        <f>IF(AND(ISNUMBER(E473),ISNUMBER(N473)),E473-N473,NA())</f>
        <v/>
      </c>
      <c r="P473" s="17">
        <f>IF(NOT(ISNUMBER($A473)),NA(),IF(OR($A473&lt;MIN(KW_TP!$A$2:$A$2501),$A473&gt;MAX(KW_TP!$A$2:$A$2501)),NA(),INDEX(KW_TP!$C$2:$C$2501,MATCH($A473,KW_TP!$A$2:$A$2501,1))))</f>
        <v/>
      </c>
    </row>
    <row r="474">
      <c r="A474" s="15">
        <f>IF(ISNUMBER(BBG_Data!A474),BBG_Data!A474,"")</f>
        <v/>
      </c>
      <c r="B474" s="16">
        <f>IF(AND(ISNUMBER($A474),ISNUMBER(BBG_Data!B474)),BBG_Data!B474,NA())</f>
        <v/>
      </c>
      <c r="C474" s="16">
        <f>IF(AND(ISNUMBER($A474),ISNUMBER(BBG_Data!C474)),BBG_Data!C474,NA())</f>
        <v/>
      </c>
      <c r="D474" s="17">
        <f>IF(AND(ISNUMBER($A474),ISNUMBER(BBG_Data!D474)),BBG_Data!D474,NA())</f>
        <v/>
      </c>
      <c r="E474" s="17">
        <f>IF(AND(ISNUMBER($A474),ISNUMBER(BBG_Data!E474)),BBG_Data!E474,NA())</f>
        <v/>
      </c>
      <c r="F474" s="18">
        <f>IF(AND(ISNUMBER(B474),ISNUMBER(B473)),(B474-B473)*100,"")</f>
        <v/>
      </c>
      <c r="G474" s="18">
        <f>IF(AND(ISNUMBER(C474),ISNUMBER(C473)),(C474-C473)*100,"")</f>
        <v/>
      </c>
      <c r="H474" s="18">
        <f>IF(OR(NOT(ISNUMBER($A474)),ROW()-2&lt;Settings!$B$11),NA(),IF(COUNT(OFFSET(F474,1-Settings!$B$11,0,Settings!$B$11,1))&lt;Settings!$B$11,NA(),STDEV(OFFSET(F474,1-Settings!$B$11,0,Settings!$B$11,1))*SQRT(Settings!$B$13)))</f>
        <v/>
      </c>
      <c r="I474" s="18">
        <f>IF(OR(NOT(ISNUMBER($A474)),ROW()-2&lt;Settings!$B$12),NA(),IF(COUNT(OFFSET(F474,1-Settings!$B$12,0,Settings!$B$12,1))&lt;Settings!$B$12,NA(),STDEV(OFFSET(F474,1-Settings!$B$12,0,Settings!$B$12,1))*SQRT(Settings!$B$13)))</f>
        <v/>
      </c>
      <c r="J474" s="18">
        <f>IF(OR(NOT(ISNUMBER($A474)),ROW()-2&lt;Settings!$B$11),NA(),IF(COUNT(OFFSET(G474,1-Settings!$B$11,0,Settings!$B$11,1))&lt;Settings!$B$11,NA(),STDEV(OFFSET(G474,1-Settings!$B$11,0,Settings!$B$11,1))*SQRT(Settings!$B$13)))</f>
        <v/>
      </c>
      <c r="K474" s="18">
        <f>IF(OR(NOT(ISNUMBER($A474)),ROW()-2&lt;Settings!$B$12),NA(),IF(COUNT(OFFSET(G474,1-Settings!$B$12,0,Settings!$B$12,1))&lt;Settings!$B$12,NA(),STDEV(OFFSET(G474,1-Settings!$B$12,0,Settings!$B$12,1))*SQRT(Settings!$B$13)))</f>
        <v/>
      </c>
      <c r="L474" s="18">
        <f>IF(AND(ISNUMBER(D474),ISNUMBER(H474)),D474-H474,NA())</f>
        <v/>
      </c>
      <c r="M474" s="18">
        <f>IF(AND(ISNUMBER(E474),ISNUMBER(K474)),E474-K474,NA())</f>
        <v/>
      </c>
      <c r="N474" s="18">
        <f>IF(NOT(ISNUMBER($A474)),NA(),IF(COUNT(OFFSET(G474,1,0,Settings!$B$12,1))&lt;Settings!$B$12,NA(),STDEV(OFFSET(G474,1,0,Settings!$B$12,1))*SQRT(Settings!$B$13)))</f>
        <v/>
      </c>
      <c r="O474" s="18">
        <f>IF(AND(ISNUMBER(E474),ISNUMBER(N474)),E474-N474,NA())</f>
        <v/>
      </c>
      <c r="P474" s="17">
        <f>IF(NOT(ISNUMBER($A474)),NA(),IF(OR($A474&lt;MIN(KW_TP!$A$2:$A$2501),$A474&gt;MAX(KW_TP!$A$2:$A$2501)),NA(),INDEX(KW_TP!$C$2:$C$2501,MATCH($A474,KW_TP!$A$2:$A$2501,1))))</f>
        <v/>
      </c>
    </row>
    <row r="475">
      <c r="A475" s="15">
        <f>IF(ISNUMBER(BBG_Data!A475),BBG_Data!A475,"")</f>
        <v/>
      </c>
      <c r="B475" s="16">
        <f>IF(AND(ISNUMBER($A475),ISNUMBER(BBG_Data!B475)),BBG_Data!B475,NA())</f>
        <v/>
      </c>
      <c r="C475" s="16">
        <f>IF(AND(ISNUMBER($A475),ISNUMBER(BBG_Data!C475)),BBG_Data!C475,NA())</f>
        <v/>
      </c>
      <c r="D475" s="17">
        <f>IF(AND(ISNUMBER($A475),ISNUMBER(BBG_Data!D475)),BBG_Data!D475,NA())</f>
        <v/>
      </c>
      <c r="E475" s="17">
        <f>IF(AND(ISNUMBER($A475),ISNUMBER(BBG_Data!E475)),BBG_Data!E475,NA())</f>
        <v/>
      </c>
      <c r="F475" s="18">
        <f>IF(AND(ISNUMBER(B475),ISNUMBER(B474)),(B475-B474)*100,"")</f>
        <v/>
      </c>
      <c r="G475" s="18">
        <f>IF(AND(ISNUMBER(C475),ISNUMBER(C474)),(C475-C474)*100,"")</f>
        <v/>
      </c>
      <c r="H475" s="18">
        <f>IF(OR(NOT(ISNUMBER($A475)),ROW()-2&lt;Settings!$B$11),NA(),IF(COUNT(OFFSET(F475,1-Settings!$B$11,0,Settings!$B$11,1))&lt;Settings!$B$11,NA(),STDEV(OFFSET(F475,1-Settings!$B$11,0,Settings!$B$11,1))*SQRT(Settings!$B$13)))</f>
        <v/>
      </c>
      <c r="I475" s="18">
        <f>IF(OR(NOT(ISNUMBER($A475)),ROW()-2&lt;Settings!$B$12),NA(),IF(COUNT(OFFSET(F475,1-Settings!$B$12,0,Settings!$B$12,1))&lt;Settings!$B$12,NA(),STDEV(OFFSET(F475,1-Settings!$B$12,0,Settings!$B$12,1))*SQRT(Settings!$B$13)))</f>
        <v/>
      </c>
      <c r="J475" s="18">
        <f>IF(OR(NOT(ISNUMBER($A475)),ROW()-2&lt;Settings!$B$11),NA(),IF(COUNT(OFFSET(G475,1-Settings!$B$11,0,Settings!$B$11,1))&lt;Settings!$B$11,NA(),STDEV(OFFSET(G475,1-Settings!$B$11,0,Settings!$B$11,1))*SQRT(Settings!$B$13)))</f>
        <v/>
      </c>
      <c r="K475" s="18">
        <f>IF(OR(NOT(ISNUMBER($A475)),ROW()-2&lt;Settings!$B$12),NA(),IF(COUNT(OFFSET(G475,1-Settings!$B$12,0,Settings!$B$12,1))&lt;Settings!$B$12,NA(),STDEV(OFFSET(G475,1-Settings!$B$12,0,Settings!$B$12,1))*SQRT(Settings!$B$13)))</f>
        <v/>
      </c>
      <c r="L475" s="18">
        <f>IF(AND(ISNUMBER(D475),ISNUMBER(H475)),D475-H475,NA())</f>
        <v/>
      </c>
      <c r="M475" s="18">
        <f>IF(AND(ISNUMBER(E475),ISNUMBER(K475)),E475-K475,NA())</f>
        <v/>
      </c>
      <c r="N475" s="18">
        <f>IF(NOT(ISNUMBER($A475)),NA(),IF(COUNT(OFFSET(G475,1,0,Settings!$B$12,1))&lt;Settings!$B$12,NA(),STDEV(OFFSET(G475,1,0,Settings!$B$12,1))*SQRT(Settings!$B$13)))</f>
        <v/>
      </c>
      <c r="O475" s="18">
        <f>IF(AND(ISNUMBER(E475),ISNUMBER(N475)),E475-N475,NA())</f>
        <v/>
      </c>
      <c r="P475" s="17">
        <f>IF(NOT(ISNUMBER($A475)),NA(),IF(OR($A475&lt;MIN(KW_TP!$A$2:$A$2501),$A475&gt;MAX(KW_TP!$A$2:$A$2501)),NA(),INDEX(KW_TP!$C$2:$C$2501,MATCH($A475,KW_TP!$A$2:$A$2501,1))))</f>
        <v/>
      </c>
    </row>
    <row r="476">
      <c r="A476" s="15">
        <f>IF(ISNUMBER(BBG_Data!A476),BBG_Data!A476,"")</f>
        <v/>
      </c>
      <c r="B476" s="16">
        <f>IF(AND(ISNUMBER($A476),ISNUMBER(BBG_Data!B476)),BBG_Data!B476,NA())</f>
        <v/>
      </c>
      <c r="C476" s="16">
        <f>IF(AND(ISNUMBER($A476),ISNUMBER(BBG_Data!C476)),BBG_Data!C476,NA())</f>
        <v/>
      </c>
      <c r="D476" s="17">
        <f>IF(AND(ISNUMBER($A476),ISNUMBER(BBG_Data!D476)),BBG_Data!D476,NA())</f>
        <v/>
      </c>
      <c r="E476" s="17">
        <f>IF(AND(ISNUMBER($A476),ISNUMBER(BBG_Data!E476)),BBG_Data!E476,NA())</f>
        <v/>
      </c>
      <c r="F476" s="18">
        <f>IF(AND(ISNUMBER(B476),ISNUMBER(B475)),(B476-B475)*100,"")</f>
        <v/>
      </c>
      <c r="G476" s="18">
        <f>IF(AND(ISNUMBER(C476),ISNUMBER(C475)),(C476-C475)*100,"")</f>
        <v/>
      </c>
      <c r="H476" s="18">
        <f>IF(OR(NOT(ISNUMBER($A476)),ROW()-2&lt;Settings!$B$11),NA(),IF(COUNT(OFFSET(F476,1-Settings!$B$11,0,Settings!$B$11,1))&lt;Settings!$B$11,NA(),STDEV(OFFSET(F476,1-Settings!$B$11,0,Settings!$B$11,1))*SQRT(Settings!$B$13)))</f>
        <v/>
      </c>
      <c r="I476" s="18">
        <f>IF(OR(NOT(ISNUMBER($A476)),ROW()-2&lt;Settings!$B$12),NA(),IF(COUNT(OFFSET(F476,1-Settings!$B$12,0,Settings!$B$12,1))&lt;Settings!$B$12,NA(),STDEV(OFFSET(F476,1-Settings!$B$12,0,Settings!$B$12,1))*SQRT(Settings!$B$13)))</f>
        <v/>
      </c>
      <c r="J476" s="18">
        <f>IF(OR(NOT(ISNUMBER($A476)),ROW()-2&lt;Settings!$B$11),NA(),IF(COUNT(OFFSET(G476,1-Settings!$B$11,0,Settings!$B$11,1))&lt;Settings!$B$11,NA(),STDEV(OFFSET(G476,1-Settings!$B$11,0,Settings!$B$11,1))*SQRT(Settings!$B$13)))</f>
        <v/>
      </c>
      <c r="K476" s="18">
        <f>IF(OR(NOT(ISNUMBER($A476)),ROW()-2&lt;Settings!$B$12),NA(),IF(COUNT(OFFSET(G476,1-Settings!$B$12,0,Settings!$B$12,1))&lt;Settings!$B$12,NA(),STDEV(OFFSET(G476,1-Settings!$B$12,0,Settings!$B$12,1))*SQRT(Settings!$B$13)))</f>
        <v/>
      </c>
      <c r="L476" s="18">
        <f>IF(AND(ISNUMBER(D476),ISNUMBER(H476)),D476-H476,NA())</f>
        <v/>
      </c>
      <c r="M476" s="18">
        <f>IF(AND(ISNUMBER(E476),ISNUMBER(K476)),E476-K476,NA())</f>
        <v/>
      </c>
      <c r="N476" s="18">
        <f>IF(NOT(ISNUMBER($A476)),NA(),IF(COUNT(OFFSET(G476,1,0,Settings!$B$12,1))&lt;Settings!$B$12,NA(),STDEV(OFFSET(G476,1,0,Settings!$B$12,1))*SQRT(Settings!$B$13)))</f>
        <v/>
      </c>
      <c r="O476" s="18">
        <f>IF(AND(ISNUMBER(E476),ISNUMBER(N476)),E476-N476,NA())</f>
        <v/>
      </c>
      <c r="P476" s="17">
        <f>IF(NOT(ISNUMBER($A476)),NA(),IF(OR($A476&lt;MIN(KW_TP!$A$2:$A$2501),$A476&gt;MAX(KW_TP!$A$2:$A$2501)),NA(),INDEX(KW_TP!$C$2:$C$2501,MATCH($A476,KW_TP!$A$2:$A$2501,1))))</f>
        <v/>
      </c>
    </row>
    <row r="477">
      <c r="A477" s="15">
        <f>IF(ISNUMBER(BBG_Data!A477),BBG_Data!A477,"")</f>
        <v/>
      </c>
      <c r="B477" s="16">
        <f>IF(AND(ISNUMBER($A477),ISNUMBER(BBG_Data!B477)),BBG_Data!B477,NA())</f>
        <v/>
      </c>
      <c r="C477" s="16">
        <f>IF(AND(ISNUMBER($A477),ISNUMBER(BBG_Data!C477)),BBG_Data!C477,NA())</f>
        <v/>
      </c>
      <c r="D477" s="17">
        <f>IF(AND(ISNUMBER($A477),ISNUMBER(BBG_Data!D477)),BBG_Data!D477,NA())</f>
        <v/>
      </c>
      <c r="E477" s="17">
        <f>IF(AND(ISNUMBER($A477),ISNUMBER(BBG_Data!E477)),BBG_Data!E477,NA())</f>
        <v/>
      </c>
      <c r="F477" s="18">
        <f>IF(AND(ISNUMBER(B477),ISNUMBER(B476)),(B477-B476)*100,"")</f>
        <v/>
      </c>
      <c r="G477" s="18">
        <f>IF(AND(ISNUMBER(C477),ISNUMBER(C476)),(C477-C476)*100,"")</f>
        <v/>
      </c>
      <c r="H477" s="18">
        <f>IF(OR(NOT(ISNUMBER($A477)),ROW()-2&lt;Settings!$B$11),NA(),IF(COUNT(OFFSET(F477,1-Settings!$B$11,0,Settings!$B$11,1))&lt;Settings!$B$11,NA(),STDEV(OFFSET(F477,1-Settings!$B$11,0,Settings!$B$11,1))*SQRT(Settings!$B$13)))</f>
        <v/>
      </c>
      <c r="I477" s="18">
        <f>IF(OR(NOT(ISNUMBER($A477)),ROW()-2&lt;Settings!$B$12),NA(),IF(COUNT(OFFSET(F477,1-Settings!$B$12,0,Settings!$B$12,1))&lt;Settings!$B$12,NA(),STDEV(OFFSET(F477,1-Settings!$B$12,0,Settings!$B$12,1))*SQRT(Settings!$B$13)))</f>
        <v/>
      </c>
      <c r="J477" s="18">
        <f>IF(OR(NOT(ISNUMBER($A477)),ROW()-2&lt;Settings!$B$11),NA(),IF(COUNT(OFFSET(G477,1-Settings!$B$11,0,Settings!$B$11,1))&lt;Settings!$B$11,NA(),STDEV(OFFSET(G477,1-Settings!$B$11,0,Settings!$B$11,1))*SQRT(Settings!$B$13)))</f>
        <v/>
      </c>
      <c r="K477" s="18">
        <f>IF(OR(NOT(ISNUMBER($A477)),ROW()-2&lt;Settings!$B$12),NA(),IF(COUNT(OFFSET(G477,1-Settings!$B$12,0,Settings!$B$12,1))&lt;Settings!$B$12,NA(),STDEV(OFFSET(G477,1-Settings!$B$12,0,Settings!$B$12,1))*SQRT(Settings!$B$13)))</f>
        <v/>
      </c>
      <c r="L477" s="18">
        <f>IF(AND(ISNUMBER(D477),ISNUMBER(H477)),D477-H477,NA())</f>
        <v/>
      </c>
      <c r="M477" s="18">
        <f>IF(AND(ISNUMBER(E477),ISNUMBER(K477)),E477-K477,NA())</f>
        <v/>
      </c>
      <c r="N477" s="18">
        <f>IF(NOT(ISNUMBER($A477)),NA(),IF(COUNT(OFFSET(G477,1,0,Settings!$B$12,1))&lt;Settings!$B$12,NA(),STDEV(OFFSET(G477,1,0,Settings!$B$12,1))*SQRT(Settings!$B$13)))</f>
        <v/>
      </c>
      <c r="O477" s="18">
        <f>IF(AND(ISNUMBER(E477),ISNUMBER(N477)),E477-N477,NA())</f>
        <v/>
      </c>
      <c r="P477" s="17">
        <f>IF(NOT(ISNUMBER($A477)),NA(),IF(OR($A477&lt;MIN(KW_TP!$A$2:$A$2501),$A477&gt;MAX(KW_TP!$A$2:$A$2501)),NA(),INDEX(KW_TP!$C$2:$C$2501,MATCH($A477,KW_TP!$A$2:$A$2501,1))))</f>
        <v/>
      </c>
    </row>
    <row r="478">
      <c r="A478" s="15">
        <f>IF(ISNUMBER(BBG_Data!A478),BBG_Data!A478,"")</f>
        <v/>
      </c>
      <c r="B478" s="16">
        <f>IF(AND(ISNUMBER($A478),ISNUMBER(BBG_Data!B478)),BBG_Data!B478,NA())</f>
        <v/>
      </c>
      <c r="C478" s="16">
        <f>IF(AND(ISNUMBER($A478),ISNUMBER(BBG_Data!C478)),BBG_Data!C478,NA())</f>
        <v/>
      </c>
      <c r="D478" s="17">
        <f>IF(AND(ISNUMBER($A478),ISNUMBER(BBG_Data!D478)),BBG_Data!D478,NA())</f>
        <v/>
      </c>
      <c r="E478" s="17">
        <f>IF(AND(ISNUMBER($A478),ISNUMBER(BBG_Data!E478)),BBG_Data!E478,NA())</f>
        <v/>
      </c>
      <c r="F478" s="18">
        <f>IF(AND(ISNUMBER(B478),ISNUMBER(B477)),(B478-B477)*100,"")</f>
        <v/>
      </c>
      <c r="G478" s="18">
        <f>IF(AND(ISNUMBER(C478),ISNUMBER(C477)),(C478-C477)*100,"")</f>
        <v/>
      </c>
      <c r="H478" s="18">
        <f>IF(OR(NOT(ISNUMBER($A478)),ROW()-2&lt;Settings!$B$11),NA(),IF(COUNT(OFFSET(F478,1-Settings!$B$11,0,Settings!$B$11,1))&lt;Settings!$B$11,NA(),STDEV(OFFSET(F478,1-Settings!$B$11,0,Settings!$B$11,1))*SQRT(Settings!$B$13)))</f>
        <v/>
      </c>
      <c r="I478" s="18">
        <f>IF(OR(NOT(ISNUMBER($A478)),ROW()-2&lt;Settings!$B$12),NA(),IF(COUNT(OFFSET(F478,1-Settings!$B$12,0,Settings!$B$12,1))&lt;Settings!$B$12,NA(),STDEV(OFFSET(F478,1-Settings!$B$12,0,Settings!$B$12,1))*SQRT(Settings!$B$13)))</f>
        <v/>
      </c>
      <c r="J478" s="18">
        <f>IF(OR(NOT(ISNUMBER($A478)),ROW()-2&lt;Settings!$B$11),NA(),IF(COUNT(OFFSET(G478,1-Settings!$B$11,0,Settings!$B$11,1))&lt;Settings!$B$11,NA(),STDEV(OFFSET(G478,1-Settings!$B$11,0,Settings!$B$11,1))*SQRT(Settings!$B$13)))</f>
        <v/>
      </c>
      <c r="K478" s="18">
        <f>IF(OR(NOT(ISNUMBER($A478)),ROW()-2&lt;Settings!$B$12),NA(),IF(COUNT(OFFSET(G478,1-Settings!$B$12,0,Settings!$B$12,1))&lt;Settings!$B$12,NA(),STDEV(OFFSET(G478,1-Settings!$B$12,0,Settings!$B$12,1))*SQRT(Settings!$B$13)))</f>
        <v/>
      </c>
      <c r="L478" s="18">
        <f>IF(AND(ISNUMBER(D478),ISNUMBER(H478)),D478-H478,NA())</f>
        <v/>
      </c>
      <c r="M478" s="18">
        <f>IF(AND(ISNUMBER(E478),ISNUMBER(K478)),E478-K478,NA())</f>
        <v/>
      </c>
      <c r="N478" s="18">
        <f>IF(NOT(ISNUMBER($A478)),NA(),IF(COUNT(OFFSET(G478,1,0,Settings!$B$12,1))&lt;Settings!$B$12,NA(),STDEV(OFFSET(G478,1,0,Settings!$B$12,1))*SQRT(Settings!$B$13)))</f>
        <v/>
      </c>
      <c r="O478" s="18">
        <f>IF(AND(ISNUMBER(E478),ISNUMBER(N478)),E478-N478,NA())</f>
        <v/>
      </c>
      <c r="P478" s="17">
        <f>IF(NOT(ISNUMBER($A478)),NA(),IF(OR($A478&lt;MIN(KW_TP!$A$2:$A$2501),$A478&gt;MAX(KW_TP!$A$2:$A$2501)),NA(),INDEX(KW_TP!$C$2:$C$2501,MATCH($A478,KW_TP!$A$2:$A$2501,1))))</f>
        <v/>
      </c>
    </row>
    <row r="479">
      <c r="A479" s="15">
        <f>IF(ISNUMBER(BBG_Data!A479),BBG_Data!A479,"")</f>
        <v/>
      </c>
      <c r="B479" s="16">
        <f>IF(AND(ISNUMBER($A479),ISNUMBER(BBG_Data!B479)),BBG_Data!B479,NA())</f>
        <v/>
      </c>
      <c r="C479" s="16">
        <f>IF(AND(ISNUMBER($A479),ISNUMBER(BBG_Data!C479)),BBG_Data!C479,NA())</f>
        <v/>
      </c>
      <c r="D479" s="17">
        <f>IF(AND(ISNUMBER($A479),ISNUMBER(BBG_Data!D479)),BBG_Data!D479,NA())</f>
        <v/>
      </c>
      <c r="E479" s="17">
        <f>IF(AND(ISNUMBER($A479),ISNUMBER(BBG_Data!E479)),BBG_Data!E479,NA())</f>
        <v/>
      </c>
      <c r="F479" s="18">
        <f>IF(AND(ISNUMBER(B479),ISNUMBER(B478)),(B479-B478)*100,"")</f>
        <v/>
      </c>
      <c r="G479" s="18">
        <f>IF(AND(ISNUMBER(C479),ISNUMBER(C478)),(C479-C478)*100,"")</f>
        <v/>
      </c>
      <c r="H479" s="18">
        <f>IF(OR(NOT(ISNUMBER($A479)),ROW()-2&lt;Settings!$B$11),NA(),IF(COUNT(OFFSET(F479,1-Settings!$B$11,0,Settings!$B$11,1))&lt;Settings!$B$11,NA(),STDEV(OFFSET(F479,1-Settings!$B$11,0,Settings!$B$11,1))*SQRT(Settings!$B$13)))</f>
        <v/>
      </c>
      <c r="I479" s="18">
        <f>IF(OR(NOT(ISNUMBER($A479)),ROW()-2&lt;Settings!$B$12),NA(),IF(COUNT(OFFSET(F479,1-Settings!$B$12,0,Settings!$B$12,1))&lt;Settings!$B$12,NA(),STDEV(OFFSET(F479,1-Settings!$B$12,0,Settings!$B$12,1))*SQRT(Settings!$B$13)))</f>
        <v/>
      </c>
      <c r="J479" s="18">
        <f>IF(OR(NOT(ISNUMBER($A479)),ROW()-2&lt;Settings!$B$11),NA(),IF(COUNT(OFFSET(G479,1-Settings!$B$11,0,Settings!$B$11,1))&lt;Settings!$B$11,NA(),STDEV(OFFSET(G479,1-Settings!$B$11,0,Settings!$B$11,1))*SQRT(Settings!$B$13)))</f>
        <v/>
      </c>
      <c r="K479" s="18">
        <f>IF(OR(NOT(ISNUMBER($A479)),ROW()-2&lt;Settings!$B$12),NA(),IF(COUNT(OFFSET(G479,1-Settings!$B$12,0,Settings!$B$12,1))&lt;Settings!$B$12,NA(),STDEV(OFFSET(G479,1-Settings!$B$12,0,Settings!$B$12,1))*SQRT(Settings!$B$13)))</f>
        <v/>
      </c>
      <c r="L479" s="18">
        <f>IF(AND(ISNUMBER(D479),ISNUMBER(H479)),D479-H479,NA())</f>
        <v/>
      </c>
      <c r="M479" s="18">
        <f>IF(AND(ISNUMBER(E479),ISNUMBER(K479)),E479-K479,NA())</f>
        <v/>
      </c>
      <c r="N479" s="18">
        <f>IF(NOT(ISNUMBER($A479)),NA(),IF(COUNT(OFFSET(G479,1,0,Settings!$B$12,1))&lt;Settings!$B$12,NA(),STDEV(OFFSET(G479,1,0,Settings!$B$12,1))*SQRT(Settings!$B$13)))</f>
        <v/>
      </c>
      <c r="O479" s="18">
        <f>IF(AND(ISNUMBER(E479),ISNUMBER(N479)),E479-N479,NA())</f>
        <v/>
      </c>
      <c r="P479" s="17">
        <f>IF(NOT(ISNUMBER($A479)),NA(),IF(OR($A479&lt;MIN(KW_TP!$A$2:$A$2501),$A479&gt;MAX(KW_TP!$A$2:$A$2501)),NA(),INDEX(KW_TP!$C$2:$C$2501,MATCH($A479,KW_TP!$A$2:$A$2501,1))))</f>
        <v/>
      </c>
    </row>
    <row r="480">
      <c r="A480" s="15">
        <f>IF(ISNUMBER(BBG_Data!A480),BBG_Data!A480,"")</f>
        <v/>
      </c>
      <c r="B480" s="16">
        <f>IF(AND(ISNUMBER($A480),ISNUMBER(BBG_Data!B480)),BBG_Data!B480,NA())</f>
        <v/>
      </c>
      <c r="C480" s="16">
        <f>IF(AND(ISNUMBER($A480),ISNUMBER(BBG_Data!C480)),BBG_Data!C480,NA())</f>
        <v/>
      </c>
      <c r="D480" s="17">
        <f>IF(AND(ISNUMBER($A480),ISNUMBER(BBG_Data!D480)),BBG_Data!D480,NA())</f>
        <v/>
      </c>
      <c r="E480" s="17">
        <f>IF(AND(ISNUMBER($A480),ISNUMBER(BBG_Data!E480)),BBG_Data!E480,NA())</f>
        <v/>
      </c>
      <c r="F480" s="18">
        <f>IF(AND(ISNUMBER(B480),ISNUMBER(B479)),(B480-B479)*100,"")</f>
        <v/>
      </c>
      <c r="G480" s="18">
        <f>IF(AND(ISNUMBER(C480),ISNUMBER(C479)),(C480-C479)*100,"")</f>
        <v/>
      </c>
      <c r="H480" s="18">
        <f>IF(OR(NOT(ISNUMBER($A480)),ROW()-2&lt;Settings!$B$11),NA(),IF(COUNT(OFFSET(F480,1-Settings!$B$11,0,Settings!$B$11,1))&lt;Settings!$B$11,NA(),STDEV(OFFSET(F480,1-Settings!$B$11,0,Settings!$B$11,1))*SQRT(Settings!$B$13)))</f>
        <v/>
      </c>
      <c r="I480" s="18">
        <f>IF(OR(NOT(ISNUMBER($A480)),ROW()-2&lt;Settings!$B$12),NA(),IF(COUNT(OFFSET(F480,1-Settings!$B$12,0,Settings!$B$12,1))&lt;Settings!$B$12,NA(),STDEV(OFFSET(F480,1-Settings!$B$12,0,Settings!$B$12,1))*SQRT(Settings!$B$13)))</f>
        <v/>
      </c>
      <c r="J480" s="18">
        <f>IF(OR(NOT(ISNUMBER($A480)),ROW()-2&lt;Settings!$B$11),NA(),IF(COUNT(OFFSET(G480,1-Settings!$B$11,0,Settings!$B$11,1))&lt;Settings!$B$11,NA(),STDEV(OFFSET(G480,1-Settings!$B$11,0,Settings!$B$11,1))*SQRT(Settings!$B$13)))</f>
        <v/>
      </c>
      <c r="K480" s="18">
        <f>IF(OR(NOT(ISNUMBER($A480)),ROW()-2&lt;Settings!$B$12),NA(),IF(COUNT(OFFSET(G480,1-Settings!$B$12,0,Settings!$B$12,1))&lt;Settings!$B$12,NA(),STDEV(OFFSET(G480,1-Settings!$B$12,0,Settings!$B$12,1))*SQRT(Settings!$B$13)))</f>
        <v/>
      </c>
      <c r="L480" s="18">
        <f>IF(AND(ISNUMBER(D480),ISNUMBER(H480)),D480-H480,NA())</f>
        <v/>
      </c>
      <c r="M480" s="18">
        <f>IF(AND(ISNUMBER(E480),ISNUMBER(K480)),E480-K480,NA())</f>
        <v/>
      </c>
      <c r="N480" s="18">
        <f>IF(NOT(ISNUMBER($A480)),NA(),IF(COUNT(OFFSET(G480,1,0,Settings!$B$12,1))&lt;Settings!$B$12,NA(),STDEV(OFFSET(G480,1,0,Settings!$B$12,1))*SQRT(Settings!$B$13)))</f>
        <v/>
      </c>
      <c r="O480" s="18">
        <f>IF(AND(ISNUMBER(E480),ISNUMBER(N480)),E480-N480,NA())</f>
        <v/>
      </c>
      <c r="P480" s="17">
        <f>IF(NOT(ISNUMBER($A480)),NA(),IF(OR($A480&lt;MIN(KW_TP!$A$2:$A$2501),$A480&gt;MAX(KW_TP!$A$2:$A$2501)),NA(),INDEX(KW_TP!$C$2:$C$2501,MATCH($A480,KW_TP!$A$2:$A$2501,1))))</f>
        <v/>
      </c>
    </row>
    <row r="481">
      <c r="A481" s="15">
        <f>IF(ISNUMBER(BBG_Data!A481),BBG_Data!A481,"")</f>
        <v/>
      </c>
      <c r="B481" s="16">
        <f>IF(AND(ISNUMBER($A481),ISNUMBER(BBG_Data!B481)),BBG_Data!B481,NA())</f>
        <v/>
      </c>
      <c r="C481" s="16">
        <f>IF(AND(ISNUMBER($A481),ISNUMBER(BBG_Data!C481)),BBG_Data!C481,NA())</f>
        <v/>
      </c>
      <c r="D481" s="17">
        <f>IF(AND(ISNUMBER($A481),ISNUMBER(BBG_Data!D481)),BBG_Data!D481,NA())</f>
        <v/>
      </c>
      <c r="E481" s="17">
        <f>IF(AND(ISNUMBER($A481),ISNUMBER(BBG_Data!E481)),BBG_Data!E481,NA())</f>
        <v/>
      </c>
      <c r="F481" s="18">
        <f>IF(AND(ISNUMBER(B481),ISNUMBER(B480)),(B481-B480)*100,"")</f>
        <v/>
      </c>
      <c r="G481" s="18">
        <f>IF(AND(ISNUMBER(C481),ISNUMBER(C480)),(C481-C480)*100,"")</f>
        <v/>
      </c>
      <c r="H481" s="18">
        <f>IF(OR(NOT(ISNUMBER($A481)),ROW()-2&lt;Settings!$B$11),NA(),IF(COUNT(OFFSET(F481,1-Settings!$B$11,0,Settings!$B$11,1))&lt;Settings!$B$11,NA(),STDEV(OFFSET(F481,1-Settings!$B$11,0,Settings!$B$11,1))*SQRT(Settings!$B$13)))</f>
        <v/>
      </c>
      <c r="I481" s="18">
        <f>IF(OR(NOT(ISNUMBER($A481)),ROW()-2&lt;Settings!$B$12),NA(),IF(COUNT(OFFSET(F481,1-Settings!$B$12,0,Settings!$B$12,1))&lt;Settings!$B$12,NA(),STDEV(OFFSET(F481,1-Settings!$B$12,0,Settings!$B$12,1))*SQRT(Settings!$B$13)))</f>
        <v/>
      </c>
      <c r="J481" s="18">
        <f>IF(OR(NOT(ISNUMBER($A481)),ROW()-2&lt;Settings!$B$11),NA(),IF(COUNT(OFFSET(G481,1-Settings!$B$11,0,Settings!$B$11,1))&lt;Settings!$B$11,NA(),STDEV(OFFSET(G481,1-Settings!$B$11,0,Settings!$B$11,1))*SQRT(Settings!$B$13)))</f>
        <v/>
      </c>
      <c r="K481" s="18">
        <f>IF(OR(NOT(ISNUMBER($A481)),ROW()-2&lt;Settings!$B$12),NA(),IF(COUNT(OFFSET(G481,1-Settings!$B$12,0,Settings!$B$12,1))&lt;Settings!$B$12,NA(),STDEV(OFFSET(G481,1-Settings!$B$12,0,Settings!$B$12,1))*SQRT(Settings!$B$13)))</f>
        <v/>
      </c>
      <c r="L481" s="18">
        <f>IF(AND(ISNUMBER(D481),ISNUMBER(H481)),D481-H481,NA())</f>
        <v/>
      </c>
      <c r="M481" s="18">
        <f>IF(AND(ISNUMBER(E481),ISNUMBER(K481)),E481-K481,NA())</f>
        <v/>
      </c>
      <c r="N481" s="18">
        <f>IF(NOT(ISNUMBER($A481)),NA(),IF(COUNT(OFFSET(G481,1,0,Settings!$B$12,1))&lt;Settings!$B$12,NA(),STDEV(OFFSET(G481,1,0,Settings!$B$12,1))*SQRT(Settings!$B$13)))</f>
        <v/>
      </c>
      <c r="O481" s="18">
        <f>IF(AND(ISNUMBER(E481),ISNUMBER(N481)),E481-N481,NA())</f>
        <v/>
      </c>
      <c r="P481" s="17">
        <f>IF(NOT(ISNUMBER($A481)),NA(),IF(OR($A481&lt;MIN(KW_TP!$A$2:$A$2501),$A481&gt;MAX(KW_TP!$A$2:$A$2501)),NA(),INDEX(KW_TP!$C$2:$C$2501,MATCH($A481,KW_TP!$A$2:$A$2501,1))))</f>
        <v/>
      </c>
    </row>
    <row r="482">
      <c r="A482" s="15">
        <f>IF(ISNUMBER(BBG_Data!A482),BBG_Data!A482,"")</f>
        <v/>
      </c>
      <c r="B482" s="16">
        <f>IF(AND(ISNUMBER($A482),ISNUMBER(BBG_Data!B482)),BBG_Data!B482,NA())</f>
        <v/>
      </c>
      <c r="C482" s="16">
        <f>IF(AND(ISNUMBER($A482),ISNUMBER(BBG_Data!C482)),BBG_Data!C482,NA())</f>
        <v/>
      </c>
      <c r="D482" s="17">
        <f>IF(AND(ISNUMBER($A482),ISNUMBER(BBG_Data!D482)),BBG_Data!D482,NA())</f>
        <v/>
      </c>
      <c r="E482" s="17">
        <f>IF(AND(ISNUMBER($A482),ISNUMBER(BBG_Data!E482)),BBG_Data!E482,NA())</f>
        <v/>
      </c>
      <c r="F482" s="18">
        <f>IF(AND(ISNUMBER(B482),ISNUMBER(B481)),(B482-B481)*100,"")</f>
        <v/>
      </c>
      <c r="G482" s="18">
        <f>IF(AND(ISNUMBER(C482),ISNUMBER(C481)),(C482-C481)*100,"")</f>
        <v/>
      </c>
      <c r="H482" s="18">
        <f>IF(OR(NOT(ISNUMBER($A482)),ROW()-2&lt;Settings!$B$11),NA(),IF(COUNT(OFFSET(F482,1-Settings!$B$11,0,Settings!$B$11,1))&lt;Settings!$B$11,NA(),STDEV(OFFSET(F482,1-Settings!$B$11,0,Settings!$B$11,1))*SQRT(Settings!$B$13)))</f>
        <v/>
      </c>
      <c r="I482" s="18">
        <f>IF(OR(NOT(ISNUMBER($A482)),ROW()-2&lt;Settings!$B$12),NA(),IF(COUNT(OFFSET(F482,1-Settings!$B$12,0,Settings!$B$12,1))&lt;Settings!$B$12,NA(),STDEV(OFFSET(F482,1-Settings!$B$12,0,Settings!$B$12,1))*SQRT(Settings!$B$13)))</f>
        <v/>
      </c>
      <c r="J482" s="18">
        <f>IF(OR(NOT(ISNUMBER($A482)),ROW()-2&lt;Settings!$B$11),NA(),IF(COUNT(OFFSET(G482,1-Settings!$B$11,0,Settings!$B$11,1))&lt;Settings!$B$11,NA(),STDEV(OFFSET(G482,1-Settings!$B$11,0,Settings!$B$11,1))*SQRT(Settings!$B$13)))</f>
        <v/>
      </c>
      <c r="K482" s="18">
        <f>IF(OR(NOT(ISNUMBER($A482)),ROW()-2&lt;Settings!$B$12),NA(),IF(COUNT(OFFSET(G482,1-Settings!$B$12,0,Settings!$B$12,1))&lt;Settings!$B$12,NA(),STDEV(OFFSET(G482,1-Settings!$B$12,0,Settings!$B$12,1))*SQRT(Settings!$B$13)))</f>
        <v/>
      </c>
      <c r="L482" s="18">
        <f>IF(AND(ISNUMBER(D482),ISNUMBER(H482)),D482-H482,NA())</f>
        <v/>
      </c>
      <c r="M482" s="18">
        <f>IF(AND(ISNUMBER(E482),ISNUMBER(K482)),E482-K482,NA())</f>
        <v/>
      </c>
      <c r="N482" s="18">
        <f>IF(NOT(ISNUMBER($A482)),NA(),IF(COUNT(OFFSET(G482,1,0,Settings!$B$12,1))&lt;Settings!$B$12,NA(),STDEV(OFFSET(G482,1,0,Settings!$B$12,1))*SQRT(Settings!$B$13)))</f>
        <v/>
      </c>
      <c r="O482" s="18">
        <f>IF(AND(ISNUMBER(E482),ISNUMBER(N482)),E482-N482,NA())</f>
        <v/>
      </c>
      <c r="P482" s="17">
        <f>IF(NOT(ISNUMBER($A482)),NA(),IF(OR($A482&lt;MIN(KW_TP!$A$2:$A$2501),$A482&gt;MAX(KW_TP!$A$2:$A$2501)),NA(),INDEX(KW_TP!$C$2:$C$2501,MATCH($A482,KW_TP!$A$2:$A$2501,1))))</f>
        <v/>
      </c>
    </row>
    <row r="483">
      <c r="A483" s="15">
        <f>IF(ISNUMBER(BBG_Data!A483),BBG_Data!A483,"")</f>
        <v/>
      </c>
      <c r="B483" s="16">
        <f>IF(AND(ISNUMBER($A483),ISNUMBER(BBG_Data!B483)),BBG_Data!B483,NA())</f>
        <v/>
      </c>
      <c r="C483" s="16">
        <f>IF(AND(ISNUMBER($A483),ISNUMBER(BBG_Data!C483)),BBG_Data!C483,NA())</f>
        <v/>
      </c>
      <c r="D483" s="17">
        <f>IF(AND(ISNUMBER($A483),ISNUMBER(BBG_Data!D483)),BBG_Data!D483,NA())</f>
        <v/>
      </c>
      <c r="E483" s="17">
        <f>IF(AND(ISNUMBER($A483),ISNUMBER(BBG_Data!E483)),BBG_Data!E483,NA())</f>
        <v/>
      </c>
      <c r="F483" s="18">
        <f>IF(AND(ISNUMBER(B483),ISNUMBER(B482)),(B483-B482)*100,"")</f>
        <v/>
      </c>
      <c r="G483" s="18">
        <f>IF(AND(ISNUMBER(C483),ISNUMBER(C482)),(C483-C482)*100,"")</f>
        <v/>
      </c>
      <c r="H483" s="18">
        <f>IF(OR(NOT(ISNUMBER($A483)),ROW()-2&lt;Settings!$B$11),NA(),IF(COUNT(OFFSET(F483,1-Settings!$B$11,0,Settings!$B$11,1))&lt;Settings!$B$11,NA(),STDEV(OFFSET(F483,1-Settings!$B$11,0,Settings!$B$11,1))*SQRT(Settings!$B$13)))</f>
        <v/>
      </c>
      <c r="I483" s="18">
        <f>IF(OR(NOT(ISNUMBER($A483)),ROW()-2&lt;Settings!$B$12),NA(),IF(COUNT(OFFSET(F483,1-Settings!$B$12,0,Settings!$B$12,1))&lt;Settings!$B$12,NA(),STDEV(OFFSET(F483,1-Settings!$B$12,0,Settings!$B$12,1))*SQRT(Settings!$B$13)))</f>
        <v/>
      </c>
      <c r="J483" s="18">
        <f>IF(OR(NOT(ISNUMBER($A483)),ROW()-2&lt;Settings!$B$11),NA(),IF(COUNT(OFFSET(G483,1-Settings!$B$11,0,Settings!$B$11,1))&lt;Settings!$B$11,NA(),STDEV(OFFSET(G483,1-Settings!$B$11,0,Settings!$B$11,1))*SQRT(Settings!$B$13)))</f>
        <v/>
      </c>
      <c r="K483" s="18">
        <f>IF(OR(NOT(ISNUMBER($A483)),ROW()-2&lt;Settings!$B$12),NA(),IF(COUNT(OFFSET(G483,1-Settings!$B$12,0,Settings!$B$12,1))&lt;Settings!$B$12,NA(),STDEV(OFFSET(G483,1-Settings!$B$12,0,Settings!$B$12,1))*SQRT(Settings!$B$13)))</f>
        <v/>
      </c>
      <c r="L483" s="18">
        <f>IF(AND(ISNUMBER(D483),ISNUMBER(H483)),D483-H483,NA())</f>
        <v/>
      </c>
      <c r="M483" s="18">
        <f>IF(AND(ISNUMBER(E483),ISNUMBER(K483)),E483-K483,NA())</f>
        <v/>
      </c>
      <c r="N483" s="18">
        <f>IF(NOT(ISNUMBER($A483)),NA(),IF(COUNT(OFFSET(G483,1,0,Settings!$B$12,1))&lt;Settings!$B$12,NA(),STDEV(OFFSET(G483,1,0,Settings!$B$12,1))*SQRT(Settings!$B$13)))</f>
        <v/>
      </c>
      <c r="O483" s="18">
        <f>IF(AND(ISNUMBER(E483),ISNUMBER(N483)),E483-N483,NA())</f>
        <v/>
      </c>
      <c r="P483" s="17">
        <f>IF(NOT(ISNUMBER($A483)),NA(),IF(OR($A483&lt;MIN(KW_TP!$A$2:$A$2501),$A483&gt;MAX(KW_TP!$A$2:$A$2501)),NA(),INDEX(KW_TP!$C$2:$C$2501,MATCH($A483,KW_TP!$A$2:$A$2501,1))))</f>
        <v/>
      </c>
    </row>
    <row r="484">
      <c r="A484" s="15">
        <f>IF(ISNUMBER(BBG_Data!A484),BBG_Data!A484,"")</f>
        <v/>
      </c>
      <c r="B484" s="16">
        <f>IF(AND(ISNUMBER($A484),ISNUMBER(BBG_Data!B484)),BBG_Data!B484,NA())</f>
        <v/>
      </c>
      <c r="C484" s="16">
        <f>IF(AND(ISNUMBER($A484),ISNUMBER(BBG_Data!C484)),BBG_Data!C484,NA())</f>
        <v/>
      </c>
      <c r="D484" s="17">
        <f>IF(AND(ISNUMBER($A484),ISNUMBER(BBG_Data!D484)),BBG_Data!D484,NA())</f>
        <v/>
      </c>
      <c r="E484" s="17">
        <f>IF(AND(ISNUMBER($A484),ISNUMBER(BBG_Data!E484)),BBG_Data!E484,NA())</f>
        <v/>
      </c>
      <c r="F484" s="18">
        <f>IF(AND(ISNUMBER(B484),ISNUMBER(B483)),(B484-B483)*100,"")</f>
        <v/>
      </c>
      <c r="G484" s="18">
        <f>IF(AND(ISNUMBER(C484),ISNUMBER(C483)),(C484-C483)*100,"")</f>
        <v/>
      </c>
      <c r="H484" s="18">
        <f>IF(OR(NOT(ISNUMBER($A484)),ROW()-2&lt;Settings!$B$11),NA(),IF(COUNT(OFFSET(F484,1-Settings!$B$11,0,Settings!$B$11,1))&lt;Settings!$B$11,NA(),STDEV(OFFSET(F484,1-Settings!$B$11,0,Settings!$B$11,1))*SQRT(Settings!$B$13)))</f>
        <v/>
      </c>
      <c r="I484" s="18">
        <f>IF(OR(NOT(ISNUMBER($A484)),ROW()-2&lt;Settings!$B$12),NA(),IF(COUNT(OFFSET(F484,1-Settings!$B$12,0,Settings!$B$12,1))&lt;Settings!$B$12,NA(),STDEV(OFFSET(F484,1-Settings!$B$12,0,Settings!$B$12,1))*SQRT(Settings!$B$13)))</f>
        <v/>
      </c>
      <c r="J484" s="18">
        <f>IF(OR(NOT(ISNUMBER($A484)),ROW()-2&lt;Settings!$B$11),NA(),IF(COUNT(OFFSET(G484,1-Settings!$B$11,0,Settings!$B$11,1))&lt;Settings!$B$11,NA(),STDEV(OFFSET(G484,1-Settings!$B$11,0,Settings!$B$11,1))*SQRT(Settings!$B$13)))</f>
        <v/>
      </c>
      <c r="K484" s="18">
        <f>IF(OR(NOT(ISNUMBER($A484)),ROW()-2&lt;Settings!$B$12),NA(),IF(COUNT(OFFSET(G484,1-Settings!$B$12,0,Settings!$B$12,1))&lt;Settings!$B$12,NA(),STDEV(OFFSET(G484,1-Settings!$B$12,0,Settings!$B$12,1))*SQRT(Settings!$B$13)))</f>
        <v/>
      </c>
      <c r="L484" s="18">
        <f>IF(AND(ISNUMBER(D484),ISNUMBER(H484)),D484-H484,NA())</f>
        <v/>
      </c>
      <c r="M484" s="18">
        <f>IF(AND(ISNUMBER(E484),ISNUMBER(K484)),E484-K484,NA())</f>
        <v/>
      </c>
      <c r="N484" s="18">
        <f>IF(NOT(ISNUMBER($A484)),NA(),IF(COUNT(OFFSET(G484,1,0,Settings!$B$12,1))&lt;Settings!$B$12,NA(),STDEV(OFFSET(G484,1,0,Settings!$B$12,1))*SQRT(Settings!$B$13)))</f>
        <v/>
      </c>
      <c r="O484" s="18">
        <f>IF(AND(ISNUMBER(E484),ISNUMBER(N484)),E484-N484,NA())</f>
        <v/>
      </c>
      <c r="P484" s="17">
        <f>IF(NOT(ISNUMBER($A484)),NA(),IF(OR($A484&lt;MIN(KW_TP!$A$2:$A$2501),$A484&gt;MAX(KW_TP!$A$2:$A$2501)),NA(),INDEX(KW_TP!$C$2:$C$2501,MATCH($A484,KW_TP!$A$2:$A$2501,1))))</f>
        <v/>
      </c>
    </row>
    <row r="485">
      <c r="A485" s="15">
        <f>IF(ISNUMBER(BBG_Data!A485),BBG_Data!A485,"")</f>
        <v/>
      </c>
      <c r="B485" s="16">
        <f>IF(AND(ISNUMBER($A485),ISNUMBER(BBG_Data!B485)),BBG_Data!B485,NA())</f>
        <v/>
      </c>
      <c r="C485" s="16">
        <f>IF(AND(ISNUMBER($A485),ISNUMBER(BBG_Data!C485)),BBG_Data!C485,NA())</f>
        <v/>
      </c>
      <c r="D485" s="17">
        <f>IF(AND(ISNUMBER($A485),ISNUMBER(BBG_Data!D485)),BBG_Data!D485,NA())</f>
        <v/>
      </c>
      <c r="E485" s="17">
        <f>IF(AND(ISNUMBER($A485),ISNUMBER(BBG_Data!E485)),BBG_Data!E485,NA())</f>
        <v/>
      </c>
      <c r="F485" s="18">
        <f>IF(AND(ISNUMBER(B485),ISNUMBER(B484)),(B485-B484)*100,"")</f>
        <v/>
      </c>
      <c r="G485" s="18">
        <f>IF(AND(ISNUMBER(C485),ISNUMBER(C484)),(C485-C484)*100,"")</f>
        <v/>
      </c>
      <c r="H485" s="18">
        <f>IF(OR(NOT(ISNUMBER($A485)),ROW()-2&lt;Settings!$B$11),NA(),IF(COUNT(OFFSET(F485,1-Settings!$B$11,0,Settings!$B$11,1))&lt;Settings!$B$11,NA(),STDEV(OFFSET(F485,1-Settings!$B$11,0,Settings!$B$11,1))*SQRT(Settings!$B$13)))</f>
        <v/>
      </c>
      <c r="I485" s="18">
        <f>IF(OR(NOT(ISNUMBER($A485)),ROW()-2&lt;Settings!$B$12),NA(),IF(COUNT(OFFSET(F485,1-Settings!$B$12,0,Settings!$B$12,1))&lt;Settings!$B$12,NA(),STDEV(OFFSET(F485,1-Settings!$B$12,0,Settings!$B$12,1))*SQRT(Settings!$B$13)))</f>
        <v/>
      </c>
      <c r="J485" s="18">
        <f>IF(OR(NOT(ISNUMBER($A485)),ROW()-2&lt;Settings!$B$11),NA(),IF(COUNT(OFFSET(G485,1-Settings!$B$11,0,Settings!$B$11,1))&lt;Settings!$B$11,NA(),STDEV(OFFSET(G485,1-Settings!$B$11,0,Settings!$B$11,1))*SQRT(Settings!$B$13)))</f>
        <v/>
      </c>
      <c r="K485" s="18">
        <f>IF(OR(NOT(ISNUMBER($A485)),ROW()-2&lt;Settings!$B$12),NA(),IF(COUNT(OFFSET(G485,1-Settings!$B$12,0,Settings!$B$12,1))&lt;Settings!$B$12,NA(),STDEV(OFFSET(G485,1-Settings!$B$12,0,Settings!$B$12,1))*SQRT(Settings!$B$13)))</f>
        <v/>
      </c>
      <c r="L485" s="18">
        <f>IF(AND(ISNUMBER(D485),ISNUMBER(H485)),D485-H485,NA())</f>
        <v/>
      </c>
      <c r="M485" s="18">
        <f>IF(AND(ISNUMBER(E485),ISNUMBER(K485)),E485-K485,NA())</f>
        <v/>
      </c>
      <c r="N485" s="18">
        <f>IF(NOT(ISNUMBER($A485)),NA(),IF(COUNT(OFFSET(G485,1,0,Settings!$B$12,1))&lt;Settings!$B$12,NA(),STDEV(OFFSET(G485,1,0,Settings!$B$12,1))*SQRT(Settings!$B$13)))</f>
        <v/>
      </c>
      <c r="O485" s="18">
        <f>IF(AND(ISNUMBER(E485),ISNUMBER(N485)),E485-N485,NA())</f>
        <v/>
      </c>
      <c r="P485" s="17">
        <f>IF(NOT(ISNUMBER($A485)),NA(),IF(OR($A485&lt;MIN(KW_TP!$A$2:$A$2501),$A485&gt;MAX(KW_TP!$A$2:$A$2501)),NA(),INDEX(KW_TP!$C$2:$C$2501,MATCH($A485,KW_TP!$A$2:$A$2501,1))))</f>
        <v/>
      </c>
    </row>
    <row r="486">
      <c r="A486" s="15">
        <f>IF(ISNUMBER(BBG_Data!A486),BBG_Data!A486,"")</f>
        <v/>
      </c>
      <c r="B486" s="16">
        <f>IF(AND(ISNUMBER($A486),ISNUMBER(BBG_Data!B486)),BBG_Data!B486,NA())</f>
        <v/>
      </c>
      <c r="C486" s="16">
        <f>IF(AND(ISNUMBER($A486),ISNUMBER(BBG_Data!C486)),BBG_Data!C486,NA())</f>
        <v/>
      </c>
      <c r="D486" s="17">
        <f>IF(AND(ISNUMBER($A486),ISNUMBER(BBG_Data!D486)),BBG_Data!D486,NA())</f>
        <v/>
      </c>
      <c r="E486" s="17">
        <f>IF(AND(ISNUMBER($A486),ISNUMBER(BBG_Data!E486)),BBG_Data!E486,NA())</f>
        <v/>
      </c>
      <c r="F486" s="18">
        <f>IF(AND(ISNUMBER(B486),ISNUMBER(B485)),(B486-B485)*100,"")</f>
        <v/>
      </c>
      <c r="G486" s="18">
        <f>IF(AND(ISNUMBER(C486),ISNUMBER(C485)),(C486-C485)*100,"")</f>
        <v/>
      </c>
      <c r="H486" s="18">
        <f>IF(OR(NOT(ISNUMBER($A486)),ROW()-2&lt;Settings!$B$11),NA(),IF(COUNT(OFFSET(F486,1-Settings!$B$11,0,Settings!$B$11,1))&lt;Settings!$B$11,NA(),STDEV(OFFSET(F486,1-Settings!$B$11,0,Settings!$B$11,1))*SQRT(Settings!$B$13)))</f>
        <v/>
      </c>
      <c r="I486" s="18">
        <f>IF(OR(NOT(ISNUMBER($A486)),ROW()-2&lt;Settings!$B$12),NA(),IF(COUNT(OFFSET(F486,1-Settings!$B$12,0,Settings!$B$12,1))&lt;Settings!$B$12,NA(),STDEV(OFFSET(F486,1-Settings!$B$12,0,Settings!$B$12,1))*SQRT(Settings!$B$13)))</f>
        <v/>
      </c>
      <c r="J486" s="18">
        <f>IF(OR(NOT(ISNUMBER($A486)),ROW()-2&lt;Settings!$B$11),NA(),IF(COUNT(OFFSET(G486,1-Settings!$B$11,0,Settings!$B$11,1))&lt;Settings!$B$11,NA(),STDEV(OFFSET(G486,1-Settings!$B$11,0,Settings!$B$11,1))*SQRT(Settings!$B$13)))</f>
        <v/>
      </c>
      <c r="K486" s="18">
        <f>IF(OR(NOT(ISNUMBER($A486)),ROW()-2&lt;Settings!$B$12),NA(),IF(COUNT(OFFSET(G486,1-Settings!$B$12,0,Settings!$B$12,1))&lt;Settings!$B$12,NA(),STDEV(OFFSET(G486,1-Settings!$B$12,0,Settings!$B$12,1))*SQRT(Settings!$B$13)))</f>
        <v/>
      </c>
      <c r="L486" s="18">
        <f>IF(AND(ISNUMBER(D486),ISNUMBER(H486)),D486-H486,NA())</f>
        <v/>
      </c>
      <c r="M486" s="18">
        <f>IF(AND(ISNUMBER(E486),ISNUMBER(K486)),E486-K486,NA())</f>
        <v/>
      </c>
      <c r="N486" s="18">
        <f>IF(NOT(ISNUMBER($A486)),NA(),IF(COUNT(OFFSET(G486,1,0,Settings!$B$12,1))&lt;Settings!$B$12,NA(),STDEV(OFFSET(G486,1,0,Settings!$B$12,1))*SQRT(Settings!$B$13)))</f>
        <v/>
      </c>
      <c r="O486" s="18">
        <f>IF(AND(ISNUMBER(E486),ISNUMBER(N486)),E486-N486,NA())</f>
        <v/>
      </c>
      <c r="P486" s="17">
        <f>IF(NOT(ISNUMBER($A486)),NA(),IF(OR($A486&lt;MIN(KW_TP!$A$2:$A$2501),$A486&gt;MAX(KW_TP!$A$2:$A$2501)),NA(),INDEX(KW_TP!$C$2:$C$2501,MATCH($A486,KW_TP!$A$2:$A$2501,1))))</f>
        <v/>
      </c>
    </row>
    <row r="487">
      <c r="A487" s="15">
        <f>IF(ISNUMBER(BBG_Data!A487),BBG_Data!A487,"")</f>
        <v/>
      </c>
      <c r="B487" s="16">
        <f>IF(AND(ISNUMBER($A487),ISNUMBER(BBG_Data!B487)),BBG_Data!B487,NA())</f>
        <v/>
      </c>
      <c r="C487" s="16">
        <f>IF(AND(ISNUMBER($A487),ISNUMBER(BBG_Data!C487)),BBG_Data!C487,NA())</f>
        <v/>
      </c>
      <c r="D487" s="17">
        <f>IF(AND(ISNUMBER($A487),ISNUMBER(BBG_Data!D487)),BBG_Data!D487,NA())</f>
        <v/>
      </c>
      <c r="E487" s="17">
        <f>IF(AND(ISNUMBER($A487),ISNUMBER(BBG_Data!E487)),BBG_Data!E487,NA())</f>
        <v/>
      </c>
      <c r="F487" s="18">
        <f>IF(AND(ISNUMBER(B487),ISNUMBER(B486)),(B487-B486)*100,"")</f>
        <v/>
      </c>
      <c r="G487" s="18">
        <f>IF(AND(ISNUMBER(C487),ISNUMBER(C486)),(C487-C486)*100,"")</f>
        <v/>
      </c>
      <c r="H487" s="18">
        <f>IF(OR(NOT(ISNUMBER($A487)),ROW()-2&lt;Settings!$B$11),NA(),IF(COUNT(OFFSET(F487,1-Settings!$B$11,0,Settings!$B$11,1))&lt;Settings!$B$11,NA(),STDEV(OFFSET(F487,1-Settings!$B$11,0,Settings!$B$11,1))*SQRT(Settings!$B$13)))</f>
        <v/>
      </c>
      <c r="I487" s="18">
        <f>IF(OR(NOT(ISNUMBER($A487)),ROW()-2&lt;Settings!$B$12),NA(),IF(COUNT(OFFSET(F487,1-Settings!$B$12,0,Settings!$B$12,1))&lt;Settings!$B$12,NA(),STDEV(OFFSET(F487,1-Settings!$B$12,0,Settings!$B$12,1))*SQRT(Settings!$B$13)))</f>
        <v/>
      </c>
      <c r="J487" s="18">
        <f>IF(OR(NOT(ISNUMBER($A487)),ROW()-2&lt;Settings!$B$11),NA(),IF(COUNT(OFFSET(G487,1-Settings!$B$11,0,Settings!$B$11,1))&lt;Settings!$B$11,NA(),STDEV(OFFSET(G487,1-Settings!$B$11,0,Settings!$B$11,1))*SQRT(Settings!$B$13)))</f>
        <v/>
      </c>
      <c r="K487" s="18">
        <f>IF(OR(NOT(ISNUMBER($A487)),ROW()-2&lt;Settings!$B$12),NA(),IF(COUNT(OFFSET(G487,1-Settings!$B$12,0,Settings!$B$12,1))&lt;Settings!$B$12,NA(),STDEV(OFFSET(G487,1-Settings!$B$12,0,Settings!$B$12,1))*SQRT(Settings!$B$13)))</f>
        <v/>
      </c>
      <c r="L487" s="18">
        <f>IF(AND(ISNUMBER(D487),ISNUMBER(H487)),D487-H487,NA())</f>
        <v/>
      </c>
      <c r="M487" s="18">
        <f>IF(AND(ISNUMBER(E487),ISNUMBER(K487)),E487-K487,NA())</f>
        <v/>
      </c>
      <c r="N487" s="18">
        <f>IF(NOT(ISNUMBER($A487)),NA(),IF(COUNT(OFFSET(G487,1,0,Settings!$B$12,1))&lt;Settings!$B$12,NA(),STDEV(OFFSET(G487,1,0,Settings!$B$12,1))*SQRT(Settings!$B$13)))</f>
        <v/>
      </c>
      <c r="O487" s="18">
        <f>IF(AND(ISNUMBER(E487),ISNUMBER(N487)),E487-N487,NA())</f>
        <v/>
      </c>
      <c r="P487" s="17">
        <f>IF(NOT(ISNUMBER($A487)),NA(),IF(OR($A487&lt;MIN(KW_TP!$A$2:$A$2501),$A487&gt;MAX(KW_TP!$A$2:$A$2501)),NA(),INDEX(KW_TP!$C$2:$C$2501,MATCH($A487,KW_TP!$A$2:$A$2501,1))))</f>
        <v/>
      </c>
    </row>
    <row r="488">
      <c r="A488" s="15">
        <f>IF(ISNUMBER(BBG_Data!A488),BBG_Data!A488,"")</f>
        <v/>
      </c>
      <c r="B488" s="16">
        <f>IF(AND(ISNUMBER($A488),ISNUMBER(BBG_Data!B488)),BBG_Data!B488,NA())</f>
        <v/>
      </c>
      <c r="C488" s="16">
        <f>IF(AND(ISNUMBER($A488),ISNUMBER(BBG_Data!C488)),BBG_Data!C488,NA())</f>
        <v/>
      </c>
      <c r="D488" s="17">
        <f>IF(AND(ISNUMBER($A488),ISNUMBER(BBG_Data!D488)),BBG_Data!D488,NA())</f>
        <v/>
      </c>
      <c r="E488" s="17">
        <f>IF(AND(ISNUMBER($A488),ISNUMBER(BBG_Data!E488)),BBG_Data!E488,NA())</f>
        <v/>
      </c>
      <c r="F488" s="18">
        <f>IF(AND(ISNUMBER(B488),ISNUMBER(B487)),(B488-B487)*100,"")</f>
        <v/>
      </c>
      <c r="G488" s="18">
        <f>IF(AND(ISNUMBER(C488),ISNUMBER(C487)),(C488-C487)*100,"")</f>
        <v/>
      </c>
      <c r="H488" s="18">
        <f>IF(OR(NOT(ISNUMBER($A488)),ROW()-2&lt;Settings!$B$11),NA(),IF(COUNT(OFFSET(F488,1-Settings!$B$11,0,Settings!$B$11,1))&lt;Settings!$B$11,NA(),STDEV(OFFSET(F488,1-Settings!$B$11,0,Settings!$B$11,1))*SQRT(Settings!$B$13)))</f>
        <v/>
      </c>
      <c r="I488" s="18">
        <f>IF(OR(NOT(ISNUMBER($A488)),ROW()-2&lt;Settings!$B$12),NA(),IF(COUNT(OFFSET(F488,1-Settings!$B$12,0,Settings!$B$12,1))&lt;Settings!$B$12,NA(),STDEV(OFFSET(F488,1-Settings!$B$12,0,Settings!$B$12,1))*SQRT(Settings!$B$13)))</f>
        <v/>
      </c>
      <c r="J488" s="18">
        <f>IF(OR(NOT(ISNUMBER($A488)),ROW()-2&lt;Settings!$B$11),NA(),IF(COUNT(OFFSET(G488,1-Settings!$B$11,0,Settings!$B$11,1))&lt;Settings!$B$11,NA(),STDEV(OFFSET(G488,1-Settings!$B$11,0,Settings!$B$11,1))*SQRT(Settings!$B$13)))</f>
        <v/>
      </c>
      <c r="K488" s="18">
        <f>IF(OR(NOT(ISNUMBER($A488)),ROW()-2&lt;Settings!$B$12),NA(),IF(COUNT(OFFSET(G488,1-Settings!$B$12,0,Settings!$B$12,1))&lt;Settings!$B$12,NA(),STDEV(OFFSET(G488,1-Settings!$B$12,0,Settings!$B$12,1))*SQRT(Settings!$B$13)))</f>
        <v/>
      </c>
      <c r="L488" s="18">
        <f>IF(AND(ISNUMBER(D488),ISNUMBER(H488)),D488-H488,NA())</f>
        <v/>
      </c>
      <c r="M488" s="18">
        <f>IF(AND(ISNUMBER(E488),ISNUMBER(K488)),E488-K488,NA())</f>
        <v/>
      </c>
      <c r="N488" s="18">
        <f>IF(NOT(ISNUMBER($A488)),NA(),IF(COUNT(OFFSET(G488,1,0,Settings!$B$12,1))&lt;Settings!$B$12,NA(),STDEV(OFFSET(G488,1,0,Settings!$B$12,1))*SQRT(Settings!$B$13)))</f>
        <v/>
      </c>
      <c r="O488" s="18">
        <f>IF(AND(ISNUMBER(E488),ISNUMBER(N488)),E488-N488,NA())</f>
        <v/>
      </c>
      <c r="P488" s="17">
        <f>IF(NOT(ISNUMBER($A488)),NA(),IF(OR($A488&lt;MIN(KW_TP!$A$2:$A$2501),$A488&gt;MAX(KW_TP!$A$2:$A$2501)),NA(),INDEX(KW_TP!$C$2:$C$2501,MATCH($A488,KW_TP!$A$2:$A$2501,1))))</f>
        <v/>
      </c>
    </row>
    <row r="489">
      <c r="A489" s="15">
        <f>IF(ISNUMBER(BBG_Data!A489),BBG_Data!A489,"")</f>
        <v/>
      </c>
      <c r="B489" s="16">
        <f>IF(AND(ISNUMBER($A489),ISNUMBER(BBG_Data!B489)),BBG_Data!B489,NA())</f>
        <v/>
      </c>
      <c r="C489" s="16">
        <f>IF(AND(ISNUMBER($A489),ISNUMBER(BBG_Data!C489)),BBG_Data!C489,NA())</f>
        <v/>
      </c>
      <c r="D489" s="17">
        <f>IF(AND(ISNUMBER($A489),ISNUMBER(BBG_Data!D489)),BBG_Data!D489,NA())</f>
        <v/>
      </c>
      <c r="E489" s="17">
        <f>IF(AND(ISNUMBER($A489),ISNUMBER(BBG_Data!E489)),BBG_Data!E489,NA())</f>
        <v/>
      </c>
      <c r="F489" s="18">
        <f>IF(AND(ISNUMBER(B489),ISNUMBER(B488)),(B489-B488)*100,"")</f>
        <v/>
      </c>
      <c r="G489" s="18">
        <f>IF(AND(ISNUMBER(C489),ISNUMBER(C488)),(C489-C488)*100,"")</f>
        <v/>
      </c>
      <c r="H489" s="18">
        <f>IF(OR(NOT(ISNUMBER($A489)),ROW()-2&lt;Settings!$B$11),NA(),IF(COUNT(OFFSET(F489,1-Settings!$B$11,0,Settings!$B$11,1))&lt;Settings!$B$11,NA(),STDEV(OFFSET(F489,1-Settings!$B$11,0,Settings!$B$11,1))*SQRT(Settings!$B$13)))</f>
        <v/>
      </c>
      <c r="I489" s="18">
        <f>IF(OR(NOT(ISNUMBER($A489)),ROW()-2&lt;Settings!$B$12),NA(),IF(COUNT(OFFSET(F489,1-Settings!$B$12,0,Settings!$B$12,1))&lt;Settings!$B$12,NA(),STDEV(OFFSET(F489,1-Settings!$B$12,0,Settings!$B$12,1))*SQRT(Settings!$B$13)))</f>
        <v/>
      </c>
      <c r="J489" s="18">
        <f>IF(OR(NOT(ISNUMBER($A489)),ROW()-2&lt;Settings!$B$11),NA(),IF(COUNT(OFFSET(G489,1-Settings!$B$11,0,Settings!$B$11,1))&lt;Settings!$B$11,NA(),STDEV(OFFSET(G489,1-Settings!$B$11,0,Settings!$B$11,1))*SQRT(Settings!$B$13)))</f>
        <v/>
      </c>
      <c r="K489" s="18">
        <f>IF(OR(NOT(ISNUMBER($A489)),ROW()-2&lt;Settings!$B$12),NA(),IF(COUNT(OFFSET(G489,1-Settings!$B$12,0,Settings!$B$12,1))&lt;Settings!$B$12,NA(),STDEV(OFFSET(G489,1-Settings!$B$12,0,Settings!$B$12,1))*SQRT(Settings!$B$13)))</f>
        <v/>
      </c>
      <c r="L489" s="18">
        <f>IF(AND(ISNUMBER(D489),ISNUMBER(H489)),D489-H489,NA())</f>
        <v/>
      </c>
      <c r="M489" s="18">
        <f>IF(AND(ISNUMBER(E489),ISNUMBER(K489)),E489-K489,NA())</f>
        <v/>
      </c>
      <c r="N489" s="18">
        <f>IF(NOT(ISNUMBER($A489)),NA(),IF(COUNT(OFFSET(G489,1,0,Settings!$B$12,1))&lt;Settings!$B$12,NA(),STDEV(OFFSET(G489,1,0,Settings!$B$12,1))*SQRT(Settings!$B$13)))</f>
        <v/>
      </c>
      <c r="O489" s="18">
        <f>IF(AND(ISNUMBER(E489),ISNUMBER(N489)),E489-N489,NA())</f>
        <v/>
      </c>
      <c r="P489" s="17">
        <f>IF(NOT(ISNUMBER($A489)),NA(),IF(OR($A489&lt;MIN(KW_TP!$A$2:$A$2501),$A489&gt;MAX(KW_TP!$A$2:$A$2501)),NA(),INDEX(KW_TP!$C$2:$C$2501,MATCH($A489,KW_TP!$A$2:$A$2501,1))))</f>
        <v/>
      </c>
    </row>
    <row r="490">
      <c r="A490" s="15">
        <f>IF(ISNUMBER(BBG_Data!A490),BBG_Data!A490,"")</f>
        <v/>
      </c>
      <c r="B490" s="16">
        <f>IF(AND(ISNUMBER($A490),ISNUMBER(BBG_Data!B490)),BBG_Data!B490,NA())</f>
        <v/>
      </c>
      <c r="C490" s="16">
        <f>IF(AND(ISNUMBER($A490),ISNUMBER(BBG_Data!C490)),BBG_Data!C490,NA())</f>
        <v/>
      </c>
      <c r="D490" s="17">
        <f>IF(AND(ISNUMBER($A490),ISNUMBER(BBG_Data!D490)),BBG_Data!D490,NA())</f>
        <v/>
      </c>
      <c r="E490" s="17">
        <f>IF(AND(ISNUMBER($A490),ISNUMBER(BBG_Data!E490)),BBG_Data!E490,NA())</f>
        <v/>
      </c>
      <c r="F490" s="18">
        <f>IF(AND(ISNUMBER(B490),ISNUMBER(B489)),(B490-B489)*100,"")</f>
        <v/>
      </c>
      <c r="G490" s="18">
        <f>IF(AND(ISNUMBER(C490),ISNUMBER(C489)),(C490-C489)*100,"")</f>
        <v/>
      </c>
      <c r="H490" s="18">
        <f>IF(OR(NOT(ISNUMBER($A490)),ROW()-2&lt;Settings!$B$11),NA(),IF(COUNT(OFFSET(F490,1-Settings!$B$11,0,Settings!$B$11,1))&lt;Settings!$B$11,NA(),STDEV(OFFSET(F490,1-Settings!$B$11,0,Settings!$B$11,1))*SQRT(Settings!$B$13)))</f>
        <v/>
      </c>
      <c r="I490" s="18">
        <f>IF(OR(NOT(ISNUMBER($A490)),ROW()-2&lt;Settings!$B$12),NA(),IF(COUNT(OFFSET(F490,1-Settings!$B$12,0,Settings!$B$12,1))&lt;Settings!$B$12,NA(),STDEV(OFFSET(F490,1-Settings!$B$12,0,Settings!$B$12,1))*SQRT(Settings!$B$13)))</f>
        <v/>
      </c>
      <c r="J490" s="18">
        <f>IF(OR(NOT(ISNUMBER($A490)),ROW()-2&lt;Settings!$B$11),NA(),IF(COUNT(OFFSET(G490,1-Settings!$B$11,0,Settings!$B$11,1))&lt;Settings!$B$11,NA(),STDEV(OFFSET(G490,1-Settings!$B$11,0,Settings!$B$11,1))*SQRT(Settings!$B$13)))</f>
        <v/>
      </c>
      <c r="K490" s="18">
        <f>IF(OR(NOT(ISNUMBER($A490)),ROW()-2&lt;Settings!$B$12),NA(),IF(COUNT(OFFSET(G490,1-Settings!$B$12,0,Settings!$B$12,1))&lt;Settings!$B$12,NA(),STDEV(OFFSET(G490,1-Settings!$B$12,0,Settings!$B$12,1))*SQRT(Settings!$B$13)))</f>
        <v/>
      </c>
      <c r="L490" s="18">
        <f>IF(AND(ISNUMBER(D490),ISNUMBER(H490)),D490-H490,NA())</f>
        <v/>
      </c>
      <c r="M490" s="18">
        <f>IF(AND(ISNUMBER(E490),ISNUMBER(K490)),E490-K490,NA())</f>
        <v/>
      </c>
      <c r="N490" s="18">
        <f>IF(NOT(ISNUMBER($A490)),NA(),IF(COUNT(OFFSET(G490,1,0,Settings!$B$12,1))&lt;Settings!$B$12,NA(),STDEV(OFFSET(G490,1,0,Settings!$B$12,1))*SQRT(Settings!$B$13)))</f>
        <v/>
      </c>
      <c r="O490" s="18">
        <f>IF(AND(ISNUMBER(E490),ISNUMBER(N490)),E490-N490,NA())</f>
        <v/>
      </c>
      <c r="P490" s="17">
        <f>IF(NOT(ISNUMBER($A490)),NA(),IF(OR($A490&lt;MIN(KW_TP!$A$2:$A$2501),$A490&gt;MAX(KW_TP!$A$2:$A$2501)),NA(),INDEX(KW_TP!$C$2:$C$2501,MATCH($A490,KW_TP!$A$2:$A$2501,1))))</f>
        <v/>
      </c>
    </row>
    <row r="491">
      <c r="A491" s="15">
        <f>IF(ISNUMBER(BBG_Data!A491),BBG_Data!A491,"")</f>
        <v/>
      </c>
      <c r="B491" s="16">
        <f>IF(AND(ISNUMBER($A491),ISNUMBER(BBG_Data!B491)),BBG_Data!B491,NA())</f>
        <v/>
      </c>
      <c r="C491" s="16">
        <f>IF(AND(ISNUMBER($A491),ISNUMBER(BBG_Data!C491)),BBG_Data!C491,NA())</f>
        <v/>
      </c>
      <c r="D491" s="17">
        <f>IF(AND(ISNUMBER($A491),ISNUMBER(BBG_Data!D491)),BBG_Data!D491,NA())</f>
        <v/>
      </c>
      <c r="E491" s="17">
        <f>IF(AND(ISNUMBER($A491),ISNUMBER(BBG_Data!E491)),BBG_Data!E491,NA())</f>
        <v/>
      </c>
      <c r="F491" s="18">
        <f>IF(AND(ISNUMBER(B491),ISNUMBER(B490)),(B491-B490)*100,"")</f>
        <v/>
      </c>
      <c r="G491" s="18">
        <f>IF(AND(ISNUMBER(C491),ISNUMBER(C490)),(C491-C490)*100,"")</f>
        <v/>
      </c>
      <c r="H491" s="18">
        <f>IF(OR(NOT(ISNUMBER($A491)),ROW()-2&lt;Settings!$B$11),NA(),IF(COUNT(OFFSET(F491,1-Settings!$B$11,0,Settings!$B$11,1))&lt;Settings!$B$11,NA(),STDEV(OFFSET(F491,1-Settings!$B$11,0,Settings!$B$11,1))*SQRT(Settings!$B$13)))</f>
        <v/>
      </c>
      <c r="I491" s="18">
        <f>IF(OR(NOT(ISNUMBER($A491)),ROW()-2&lt;Settings!$B$12),NA(),IF(COUNT(OFFSET(F491,1-Settings!$B$12,0,Settings!$B$12,1))&lt;Settings!$B$12,NA(),STDEV(OFFSET(F491,1-Settings!$B$12,0,Settings!$B$12,1))*SQRT(Settings!$B$13)))</f>
        <v/>
      </c>
      <c r="J491" s="18">
        <f>IF(OR(NOT(ISNUMBER($A491)),ROW()-2&lt;Settings!$B$11),NA(),IF(COUNT(OFFSET(G491,1-Settings!$B$11,0,Settings!$B$11,1))&lt;Settings!$B$11,NA(),STDEV(OFFSET(G491,1-Settings!$B$11,0,Settings!$B$11,1))*SQRT(Settings!$B$13)))</f>
        <v/>
      </c>
      <c r="K491" s="18">
        <f>IF(OR(NOT(ISNUMBER($A491)),ROW()-2&lt;Settings!$B$12),NA(),IF(COUNT(OFFSET(G491,1-Settings!$B$12,0,Settings!$B$12,1))&lt;Settings!$B$12,NA(),STDEV(OFFSET(G491,1-Settings!$B$12,0,Settings!$B$12,1))*SQRT(Settings!$B$13)))</f>
        <v/>
      </c>
      <c r="L491" s="18">
        <f>IF(AND(ISNUMBER(D491),ISNUMBER(H491)),D491-H491,NA())</f>
        <v/>
      </c>
      <c r="M491" s="18">
        <f>IF(AND(ISNUMBER(E491),ISNUMBER(K491)),E491-K491,NA())</f>
        <v/>
      </c>
      <c r="N491" s="18">
        <f>IF(NOT(ISNUMBER($A491)),NA(),IF(COUNT(OFFSET(G491,1,0,Settings!$B$12,1))&lt;Settings!$B$12,NA(),STDEV(OFFSET(G491,1,0,Settings!$B$12,1))*SQRT(Settings!$B$13)))</f>
        <v/>
      </c>
      <c r="O491" s="18">
        <f>IF(AND(ISNUMBER(E491),ISNUMBER(N491)),E491-N491,NA())</f>
        <v/>
      </c>
      <c r="P491" s="17">
        <f>IF(NOT(ISNUMBER($A491)),NA(),IF(OR($A491&lt;MIN(KW_TP!$A$2:$A$2501),$A491&gt;MAX(KW_TP!$A$2:$A$2501)),NA(),INDEX(KW_TP!$C$2:$C$2501,MATCH($A491,KW_TP!$A$2:$A$2501,1))))</f>
        <v/>
      </c>
    </row>
    <row r="492">
      <c r="A492" s="15">
        <f>IF(ISNUMBER(BBG_Data!A492),BBG_Data!A492,"")</f>
        <v/>
      </c>
      <c r="B492" s="16">
        <f>IF(AND(ISNUMBER($A492),ISNUMBER(BBG_Data!B492)),BBG_Data!B492,NA())</f>
        <v/>
      </c>
      <c r="C492" s="16">
        <f>IF(AND(ISNUMBER($A492),ISNUMBER(BBG_Data!C492)),BBG_Data!C492,NA())</f>
        <v/>
      </c>
      <c r="D492" s="17">
        <f>IF(AND(ISNUMBER($A492),ISNUMBER(BBG_Data!D492)),BBG_Data!D492,NA())</f>
        <v/>
      </c>
      <c r="E492" s="17">
        <f>IF(AND(ISNUMBER($A492),ISNUMBER(BBG_Data!E492)),BBG_Data!E492,NA())</f>
        <v/>
      </c>
      <c r="F492" s="18">
        <f>IF(AND(ISNUMBER(B492),ISNUMBER(B491)),(B492-B491)*100,"")</f>
        <v/>
      </c>
      <c r="G492" s="18">
        <f>IF(AND(ISNUMBER(C492),ISNUMBER(C491)),(C492-C491)*100,"")</f>
        <v/>
      </c>
      <c r="H492" s="18">
        <f>IF(OR(NOT(ISNUMBER($A492)),ROW()-2&lt;Settings!$B$11),NA(),IF(COUNT(OFFSET(F492,1-Settings!$B$11,0,Settings!$B$11,1))&lt;Settings!$B$11,NA(),STDEV(OFFSET(F492,1-Settings!$B$11,0,Settings!$B$11,1))*SQRT(Settings!$B$13)))</f>
        <v/>
      </c>
      <c r="I492" s="18">
        <f>IF(OR(NOT(ISNUMBER($A492)),ROW()-2&lt;Settings!$B$12),NA(),IF(COUNT(OFFSET(F492,1-Settings!$B$12,0,Settings!$B$12,1))&lt;Settings!$B$12,NA(),STDEV(OFFSET(F492,1-Settings!$B$12,0,Settings!$B$12,1))*SQRT(Settings!$B$13)))</f>
        <v/>
      </c>
      <c r="J492" s="18">
        <f>IF(OR(NOT(ISNUMBER($A492)),ROW()-2&lt;Settings!$B$11),NA(),IF(COUNT(OFFSET(G492,1-Settings!$B$11,0,Settings!$B$11,1))&lt;Settings!$B$11,NA(),STDEV(OFFSET(G492,1-Settings!$B$11,0,Settings!$B$11,1))*SQRT(Settings!$B$13)))</f>
        <v/>
      </c>
      <c r="K492" s="18">
        <f>IF(OR(NOT(ISNUMBER($A492)),ROW()-2&lt;Settings!$B$12),NA(),IF(COUNT(OFFSET(G492,1-Settings!$B$12,0,Settings!$B$12,1))&lt;Settings!$B$12,NA(),STDEV(OFFSET(G492,1-Settings!$B$12,0,Settings!$B$12,1))*SQRT(Settings!$B$13)))</f>
        <v/>
      </c>
      <c r="L492" s="18">
        <f>IF(AND(ISNUMBER(D492),ISNUMBER(H492)),D492-H492,NA())</f>
        <v/>
      </c>
      <c r="M492" s="18">
        <f>IF(AND(ISNUMBER(E492),ISNUMBER(K492)),E492-K492,NA())</f>
        <v/>
      </c>
      <c r="N492" s="18">
        <f>IF(NOT(ISNUMBER($A492)),NA(),IF(COUNT(OFFSET(G492,1,0,Settings!$B$12,1))&lt;Settings!$B$12,NA(),STDEV(OFFSET(G492,1,0,Settings!$B$12,1))*SQRT(Settings!$B$13)))</f>
        <v/>
      </c>
      <c r="O492" s="18">
        <f>IF(AND(ISNUMBER(E492),ISNUMBER(N492)),E492-N492,NA())</f>
        <v/>
      </c>
      <c r="P492" s="17">
        <f>IF(NOT(ISNUMBER($A492)),NA(),IF(OR($A492&lt;MIN(KW_TP!$A$2:$A$2501),$A492&gt;MAX(KW_TP!$A$2:$A$2501)),NA(),INDEX(KW_TP!$C$2:$C$2501,MATCH($A492,KW_TP!$A$2:$A$2501,1))))</f>
        <v/>
      </c>
    </row>
    <row r="493">
      <c r="A493" s="15">
        <f>IF(ISNUMBER(BBG_Data!A493),BBG_Data!A493,"")</f>
        <v/>
      </c>
      <c r="B493" s="16">
        <f>IF(AND(ISNUMBER($A493),ISNUMBER(BBG_Data!B493)),BBG_Data!B493,NA())</f>
        <v/>
      </c>
      <c r="C493" s="16">
        <f>IF(AND(ISNUMBER($A493),ISNUMBER(BBG_Data!C493)),BBG_Data!C493,NA())</f>
        <v/>
      </c>
      <c r="D493" s="17">
        <f>IF(AND(ISNUMBER($A493),ISNUMBER(BBG_Data!D493)),BBG_Data!D493,NA())</f>
        <v/>
      </c>
      <c r="E493" s="17">
        <f>IF(AND(ISNUMBER($A493),ISNUMBER(BBG_Data!E493)),BBG_Data!E493,NA())</f>
        <v/>
      </c>
      <c r="F493" s="18">
        <f>IF(AND(ISNUMBER(B493),ISNUMBER(B492)),(B493-B492)*100,"")</f>
        <v/>
      </c>
      <c r="G493" s="18">
        <f>IF(AND(ISNUMBER(C493),ISNUMBER(C492)),(C493-C492)*100,"")</f>
        <v/>
      </c>
      <c r="H493" s="18">
        <f>IF(OR(NOT(ISNUMBER($A493)),ROW()-2&lt;Settings!$B$11),NA(),IF(COUNT(OFFSET(F493,1-Settings!$B$11,0,Settings!$B$11,1))&lt;Settings!$B$11,NA(),STDEV(OFFSET(F493,1-Settings!$B$11,0,Settings!$B$11,1))*SQRT(Settings!$B$13)))</f>
        <v/>
      </c>
      <c r="I493" s="18">
        <f>IF(OR(NOT(ISNUMBER($A493)),ROW()-2&lt;Settings!$B$12),NA(),IF(COUNT(OFFSET(F493,1-Settings!$B$12,0,Settings!$B$12,1))&lt;Settings!$B$12,NA(),STDEV(OFFSET(F493,1-Settings!$B$12,0,Settings!$B$12,1))*SQRT(Settings!$B$13)))</f>
        <v/>
      </c>
      <c r="J493" s="18">
        <f>IF(OR(NOT(ISNUMBER($A493)),ROW()-2&lt;Settings!$B$11),NA(),IF(COUNT(OFFSET(G493,1-Settings!$B$11,0,Settings!$B$11,1))&lt;Settings!$B$11,NA(),STDEV(OFFSET(G493,1-Settings!$B$11,0,Settings!$B$11,1))*SQRT(Settings!$B$13)))</f>
        <v/>
      </c>
      <c r="K493" s="18">
        <f>IF(OR(NOT(ISNUMBER($A493)),ROW()-2&lt;Settings!$B$12),NA(),IF(COUNT(OFFSET(G493,1-Settings!$B$12,0,Settings!$B$12,1))&lt;Settings!$B$12,NA(),STDEV(OFFSET(G493,1-Settings!$B$12,0,Settings!$B$12,1))*SQRT(Settings!$B$13)))</f>
        <v/>
      </c>
      <c r="L493" s="18">
        <f>IF(AND(ISNUMBER(D493),ISNUMBER(H493)),D493-H493,NA())</f>
        <v/>
      </c>
      <c r="M493" s="18">
        <f>IF(AND(ISNUMBER(E493),ISNUMBER(K493)),E493-K493,NA())</f>
        <v/>
      </c>
      <c r="N493" s="18">
        <f>IF(NOT(ISNUMBER($A493)),NA(),IF(COUNT(OFFSET(G493,1,0,Settings!$B$12,1))&lt;Settings!$B$12,NA(),STDEV(OFFSET(G493,1,0,Settings!$B$12,1))*SQRT(Settings!$B$13)))</f>
        <v/>
      </c>
      <c r="O493" s="18">
        <f>IF(AND(ISNUMBER(E493),ISNUMBER(N493)),E493-N493,NA())</f>
        <v/>
      </c>
      <c r="P493" s="17">
        <f>IF(NOT(ISNUMBER($A493)),NA(),IF(OR($A493&lt;MIN(KW_TP!$A$2:$A$2501),$A493&gt;MAX(KW_TP!$A$2:$A$2501)),NA(),INDEX(KW_TP!$C$2:$C$2501,MATCH($A493,KW_TP!$A$2:$A$2501,1))))</f>
        <v/>
      </c>
    </row>
    <row r="494">
      <c r="A494" s="15">
        <f>IF(ISNUMBER(BBG_Data!A494),BBG_Data!A494,"")</f>
        <v/>
      </c>
      <c r="B494" s="16">
        <f>IF(AND(ISNUMBER($A494),ISNUMBER(BBG_Data!B494)),BBG_Data!B494,NA())</f>
        <v/>
      </c>
      <c r="C494" s="16">
        <f>IF(AND(ISNUMBER($A494),ISNUMBER(BBG_Data!C494)),BBG_Data!C494,NA())</f>
        <v/>
      </c>
      <c r="D494" s="17">
        <f>IF(AND(ISNUMBER($A494),ISNUMBER(BBG_Data!D494)),BBG_Data!D494,NA())</f>
        <v/>
      </c>
      <c r="E494" s="17">
        <f>IF(AND(ISNUMBER($A494),ISNUMBER(BBG_Data!E494)),BBG_Data!E494,NA())</f>
        <v/>
      </c>
      <c r="F494" s="18">
        <f>IF(AND(ISNUMBER(B494),ISNUMBER(B493)),(B494-B493)*100,"")</f>
        <v/>
      </c>
      <c r="G494" s="18">
        <f>IF(AND(ISNUMBER(C494),ISNUMBER(C493)),(C494-C493)*100,"")</f>
        <v/>
      </c>
      <c r="H494" s="18">
        <f>IF(OR(NOT(ISNUMBER($A494)),ROW()-2&lt;Settings!$B$11),NA(),IF(COUNT(OFFSET(F494,1-Settings!$B$11,0,Settings!$B$11,1))&lt;Settings!$B$11,NA(),STDEV(OFFSET(F494,1-Settings!$B$11,0,Settings!$B$11,1))*SQRT(Settings!$B$13)))</f>
        <v/>
      </c>
      <c r="I494" s="18">
        <f>IF(OR(NOT(ISNUMBER($A494)),ROW()-2&lt;Settings!$B$12),NA(),IF(COUNT(OFFSET(F494,1-Settings!$B$12,0,Settings!$B$12,1))&lt;Settings!$B$12,NA(),STDEV(OFFSET(F494,1-Settings!$B$12,0,Settings!$B$12,1))*SQRT(Settings!$B$13)))</f>
        <v/>
      </c>
      <c r="J494" s="18">
        <f>IF(OR(NOT(ISNUMBER($A494)),ROW()-2&lt;Settings!$B$11),NA(),IF(COUNT(OFFSET(G494,1-Settings!$B$11,0,Settings!$B$11,1))&lt;Settings!$B$11,NA(),STDEV(OFFSET(G494,1-Settings!$B$11,0,Settings!$B$11,1))*SQRT(Settings!$B$13)))</f>
        <v/>
      </c>
      <c r="K494" s="18">
        <f>IF(OR(NOT(ISNUMBER($A494)),ROW()-2&lt;Settings!$B$12),NA(),IF(COUNT(OFFSET(G494,1-Settings!$B$12,0,Settings!$B$12,1))&lt;Settings!$B$12,NA(),STDEV(OFFSET(G494,1-Settings!$B$12,0,Settings!$B$12,1))*SQRT(Settings!$B$13)))</f>
        <v/>
      </c>
      <c r="L494" s="18">
        <f>IF(AND(ISNUMBER(D494),ISNUMBER(H494)),D494-H494,NA())</f>
        <v/>
      </c>
      <c r="M494" s="18">
        <f>IF(AND(ISNUMBER(E494),ISNUMBER(K494)),E494-K494,NA())</f>
        <v/>
      </c>
      <c r="N494" s="18">
        <f>IF(NOT(ISNUMBER($A494)),NA(),IF(COUNT(OFFSET(G494,1,0,Settings!$B$12,1))&lt;Settings!$B$12,NA(),STDEV(OFFSET(G494,1,0,Settings!$B$12,1))*SQRT(Settings!$B$13)))</f>
        <v/>
      </c>
      <c r="O494" s="18">
        <f>IF(AND(ISNUMBER(E494),ISNUMBER(N494)),E494-N494,NA())</f>
        <v/>
      </c>
      <c r="P494" s="17">
        <f>IF(NOT(ISNUMBER($A494)),NA(),IF(OR($A494&lt;MIN(KW_TP!$A$2:$A$2501),$A494&gt;MAX(KW_TP!$A$2:$A$2501)),NA(),INDEX(KW_TP!$C$2:$C$2501,MATCH($A494,KW_TP!$A$2:$A$2501,1))))</f>
        <v/>
      </c>
    </row>
    <row r="495">
      <c r="A495" s="15">
        <f>IF(ISNUMBER(BBG_Data!A495),BBG_Data!A495,"")</f>
        <v/>
      </c>
      <c r="B495" s="16">
        <f>IF(AND(ISNUMBER($A495),ISNUMBER(BBG_Data!B495)),BBG_Data!B495,NA())</f>
        <v/>
      </c>
      <c r="C495" s="16">
        <f>IF(AND(ISNUMBER($A495),ISNUMBER(BBG_Data!C495)),BBG_Data!C495,NA())</f>
        <v/>
      </c>
      <c r="D495" s="17">
        <f>IF(AND(ISNUMBER($A495),ISNUMBER(BBG_Data!D495)),BBG_Data!D495,NA())</f>
        <v/>
      </c>
      <c r="E495" s="17">
        <f>IF(AND(ISNUMBER($A495),ISNUMBER(BBG_Data!E495)),BBG_Data!E495,NA())</f>
        <v/>
      </c>
      <c r="F495" s="18">
        <f>IF(AND(ISNUMBER(B495),ISNUMBER(B494)),(B495-B494)*100,"")</f>
        <v/>
      </c>
      <c r="G495" s="18">
        <f>IF(AND(ISNUMBER(C495),ISNUMBER(C494)),(C495-C494)*100,"")</f>
        <v/>
      </c>
      <c r="H495" s="18">
        <f>IF(OR(NOT(ISNUMBER($A495)),ROW()-2&lt;Settings!$B$11),NA(),IF(COUNT(OFFSET(F495,1-Settings!$B$11,0,Settings!$B$11,1))&lt;Settings!$B$11,NA(),STDEV(OFFSET(F495,1-Settings!$B$11,0,Settings!$B$11,1))*SQRT(Settings!$B$13)))</f>
        <v/>
      </c>
      <c r="I495" s="18">
        <f>IF(OR(NOT(ISNUMBER($A495)),ROW()-2&lt;Settings!$B$12),NA(),IF(COUNT(OFFSET(F495,1-Settings!$B$12,0,Settings!$B$12,1))&lt;Settings!$B$12,NA(),STDEV(OFFSET(F495,1-Settings!$B$12,0,Settings!$B$12,1))*SQRT(Settings!$B$13)))</f>
        <v/>
      </c>
      <c r="J495" s="18">
        <f>IF(OR(NOT(ISNUMBER($A495)),ROW()-2&lt;Settings!$B$11),NA(),IF(COUNT(OFFSET(G495,1-Settings!$B$11,0,Settings!$B$11,1))&lt;Settings!$B$11,NA(),STDEV(OFFSET(G495,1-Settings!$B$11,0,Settings!$B$11,1))*SQRT(Settings!$B$13)))</f>
        <v/>
      </c>
      <c r="K495" s="18">
        <f>IF(OR(NOT(ISNUMBER($A495)),ROW()-2&lt;Settings!$B$12),NA(),IF(COUNT(OFFSET(G495,1-Settings!$B$12,0,Settings!$B$12,1))&lt;Settings!$B$12,NA(),STDEV(OFFSET(G495,1-Settings!$B$12,0,Settings!$B$12,1))*SQRT(Settings!$B$13)))</f>
        <v/>
      </c>
      <c r="L495" s="18">
        <f>IF(AND(ISNUMBER(D495),ISNUMBER(H495)),D495-H495,NA())</f>
        <v/>
      </c>
      <c r="M495" s="18">
        <f>IF(AND(ISNUMBER(E495),ISNUMBER(K495)),E495-K495,NA())</f>
        <v/>
      </c>
      <c r="N495" s="18">
        <f>IF(NOT(ISNUMBER($A495)),NA(),IF(COUNT(OFFSET(G495,1,0,Settings!$B$12,1))&lt;Settings!$B$12,NA(),STDEV(OFFSET(G495,1,0,Settings!$B$12,1))*SQRT(Settings!$B$13)))</f>
        <v/>
      </c>
      <c r="O495" s="18">
        <f>IF(AND(ISNUMBER(E495),ISNUMBER(N495)),E495-N495,NA())</f>
        <v/>
      </c>
      <c r="P495" s="17">
        <f>IF(NOT(ISNUMBER($A495)),NA(),IF(OR($A495&lt;MIN(KW_TP!$A$2:$A$2501),$A495&gt;MAX(KW_TP!$A$2:$A$2501)),NA(),INDEX(KW_TP!$C$2:$C$2501,MATCH($A495,KW_TP!$A$2:$A$2501,1))))</f>
        <v/>
      </c>
    </row>
    <row r="496">
      <c r="A496" s="15">
        <f>IF(ISNUMBER(BBG_Data!A496),BBG_Data!A496,"")</f>
        <v/>
      </c>
      <c r="B496" s="16">
        <f>IF(AND(ISNUMBER($A496),ISNUMBER(BBG_Data!B496)),BBG_Data!B496,NA())</f>
        <v/>
      </c>
      <c r="C496" s="16">
        <f>IF(AND(ISNUMBER($A496),ISNUMBER(BBG_Data!C496)),BBG_Data!C496,NA())</f>
        <v/>
      </c>
      <c r="D496" s="17">
        <f>IF(AND(ISNUMBER($A496),ISNUMBER(BBG_Data!D496)),BBG_Data!D496,NA())</f>
        <v/>
      </c>
      <c r="E496" s="17">
        <f>IF(AND(ISNUMBER($A496),ISNUMBER(BBG_Data!E496)),BBG_Data!E496,NA())</f>
        <v/>
      </c>
      <c r="F496" s="18">
        <f>IF(AND(ISNUMBER(B496),ISNUMBER(B495)),(B496-B495)*100,"")</f>
        <v/>
      </c>
      <c r="G496" s="18">
        <f>IF(AND(ISNUMBER(C496),ISNUMBER(C495)),(C496-C495)*100,"")</f>
        <v/>
      </c>
      <c r="H496" s="18">
        <f>IF(OR(NOT(ISNUMBER($A496)),ROW()-2&lt;Settings!$B$11),NA(),IF(COUNT(OFFSET(F496,1-Settings!$B$11,0,Settings!$B$11,1))&lt;Settings!$B$11,NA(),STDEV(OFFSET(F496,1-Settings!$B$11,0,Settings!$B$11,1))*SQRT(Settings!$B$13)))</f>
        <v/>
      </c>
      <c r="I496" s="18">
        <f>IF(OR(NOT(ISNUMBER($A496)),ROW()-2&lt;Settings!$B$12),NA(),IF(COUNT(OFFSET(F496,1-Settings!$B$12,0,Settings!$B$12,1))&lt;Settings!$B$12,NA(),STDEV(OFFSET(F496,1-Settings!$B$12,0,Settings!$B$12,1))*SQRT(Settings!$B$13)))</f>
        <v/>
      </c>
      <c r="J496" s="18">
        <f>IF(OR(NOT(ISNUMBER($A496)),ROW()-2&lt;Settings!$B$11),NA(),IF(COUNT(OFFSET(G496,1-Settings!$B$11,0,Settings!$B$11,1))&lt;Settings!$B$11,NA(),STDEV(OFFSET(G496,1-Settings!$B$11,0,Settings!$B$11,1))*SQRT(Settings!$B$13)))</f>
        <v/>
      </c>
      <c r="K496" s="18">
        <f>IF(OR(NOT(ISNUMBER($A496)),ROW()-2&lt;Settings!$B$12),NA(),IF(COUNT(OFFSET(G496,1-Settings!$B$12,0,Settings!$B$12,1))&lt;Settings!$B$12,NA(),STDEV(OFFSET(G496,1-Settings!$B$12,0,Settings!$B$12,1))*SQRT(Settings!$B$13)))</f>
        <v/>
      </c>
      <c r="L496" s="18">
        <f>IF(AND(ISNUMBER(D496),ISNUMBER(H496)),D496-H496,NA())</f>
        <v/>
      </c>
      <c r="M496" s="18">
        <f>IF(AND(ISNUMBER(E496),ISNUMBER(K496)),E496-K496,NA())</f>
        <v/>
      </c>
      <c r="N496" s="18">
        <f>IF(NOT(ISNUMBER($A496)),NA(),IF(COUNT(OFFSET(G496,1,0,Settings!$B$12,1))&lt;Settings!$B$12,NA(),STDEV(OFFSET(G496,1,0,Settings!$B$12,1))*SQRT(Settings!$B$13)))</f>
        <v/>
      </c>
      <c r="O496" s="18">
        <f>IF(AND(ISNUMBER(E496),ISNUMBER(N496)),E496-N496,NA())</f>
        <v/>
      </c>
      <c r="P496" s="17">
        <f>IF(NOT(ISNUMBER($A496)),NA(),IF(OR($A496&lt;MIN(KW_TP!$A$2:$A$2501),$A496&gt;MAX(KW_TP!$A$2:$A$2501)),NA(),INDEX(KW_TP!$C$2:$C$2501,MATCH($A496,KW_TP!$A$2:$A$2501,1))))</f>
        <v/>
      </c>
    </row>
    <row r="497">
      <c r="A497" s="15">
        <f>IF(ISNUMBER(BBG_Data!A497),BBG_Data!A497,"")</f>
        <v/>
      </c>
      <c r="B497" s="16">
        <f>IF(AND(ISNUMBER($A497),ISNUMBER(BBG_Data!B497)),BBG_Data!B497,NA())</f>
        <v/>
      </c>
      <c r="C497" s="16">
        <f>IF(AND(ISNUMBER($A497),ISNUMBER(BBG_Data!C497)),BBG_Data!C497,NA())</f>
        <v/>
      </c>
      <c r="D497" s="17">
        <f>IF(AND(ISNUMBER($A497),ISNUMBER(BBG_Data!D497)),BBG_Data!D497,NA())</f>
        <v/>
      </c>
      <c r="E497" s="17">
        <f>IF(AND(ISNUMBER($A497),ISNUMBER(BBG_Data!E497)),BBG_Data!E497,NA())</f>
        <v/>
      </c>
      <c r="F497" s="18">
        <f>IF(AND(ISNUMBER(B497),ISNUMBER(B496)),(B497-B496)*100,"")</f>
        <v/>
      </c>
      <c r="G497" s="18">
        <f>IF(AND(ISNUMBER(C497),ISNUMBER(C496)),(C497-C496)*100,"")</f>
        <v/>
      </c>
      <c r="H497" s="18">
        <f>IF(OR(NOT(ISNUMBER($A497)),ROW()-2&lt;Settings!$B$11),NA(),IF(COUNT(OFFSET(F497,1-Settings!$B$11,0,Settings!$B$11,1))&lt;Settings!$B$11,NA(),STDEV(OFFSET(F497,1-Settings!$B$11,0,Settings!$B$11,1))*SQRT(Settings!$B$13)))</f>
        <v/>
      </c>
      <c r="I497" s="18">
        <f>IF(OR(NOT(ISNUMBER($A497)),ROW()-2&lt;Settings!$B$12),NA(),IF(COUNT(OFFSET(F497,1-Settings!$B$12,0,Settings!$B$12,1))&lt;Settings!$B$12,NA(),STDEV(OFFSET(F497,1-Settings!$B$12,0,Settings!$B$12,1))*SQRT(Settings!$B$13)))</f>
        <v/>
      </c>
      <c r="J497" s="18">
        <f>IF(OR(NOT(ISNUMBER($A497)),ROW()-2&lt;Settings!$B$11),NA(),IF(COUNT(OFFSET(G497,1-Settings!$B$11,0,Settings!$B$11,1))&lt;Settings!$B$11,NA(),STDEV(OFFSET(G497,1-Settings!$B$11,0,Settings!$B$11,1))*SQRT(Settings!$B$13)))</f>
        <v/>
      </c>
      <c r="K497" s="18">
        <f>IF(OR(NOT(ISNUMBER($A497)),ROW()-2&lt;Settings!$B$12),NA(),IF(COUNT(OFFSET(G497,1-Settings!$B$12,0,Settings!$B$12,1))&lt;Settings!$B$12,NA(),STDEV(OFFSET(G497,1-Settings!$B$12,0,Settings!$B$12,1))*SQRT(Settings!$B$13)))</f>
        <v/>
      </c>
      <c r="L497" s="18">
        <f>IF(AND(ISNUMBER(D497),ISNUMBER(H497)),D497-H497,NA())</f>
        <v/>
      </c>
      <c r="M497" s="18">
        <f>IF(AND(ISNUMBER(E497),ISNUMBER(K497)),E497-K497,NA())</f>
        <v/>
      </c>
      <c r="N497" s="18">
        <f>IF(NOT(ISNUMBER($A497)),NA(),IF(COUNT(OFFSET(G497,1,0,Settings!$B$12,1))&lt;Settings!$B$12,NA(),STDEV(OFFSET(G497,1,0,Settings!$B$12,1))*SQRT(Settings!$B$13)))</f>
        <v/>
      </c>
      <c r="O497" s="18">
        <f>IF(AND(ISNUMBER(E497),ISNUMBER(N497)),E497-N497,NA())</f>
        <v/>
      </c>
      <c r="P497" s="17">
        <f>IF(NOT(ISNUMBER($A497)),NA(),IF(OR($A497&lt;MIN(KW_TP!$A$2:$A$2501),$A497&gt;MAX(KW_TP!$A$2:$A$2501)),NA(),INDEX(KW_TP!$C$2:$C$2501,MATCH($A497,KW_TP!$A$2:$A$2501,1))))</f>
        <v/>
      </c>
    </row>
    <row r="498">
      <c r="A498" s="15">
        <f>IF(ISNUMBER(BBG_Data!A498),BBG_Data!A498,"")</f>
        <v/>
      </c>
      <c r="B498" s="16">
        <f>IF(AND(ISNUMBER($A498),ISNUMBER(BBG_Data!B498)),BBG_Data!B498,NA())</f>
        <v/>
      </c>
      <c r="C498" s="16">
        <f>IF(AND(ISNUMBER($A498),ISNUMBER(BBG_Data!C498)),BBG_Data!C498,NA())</f>
        <v/>
      </c>
      <c r="D498" s="17">
        <f>IF(AND(ISNUMBER($A498),ISNUMBER(BBG_Data!D498)),BBG_Data!D498,NA())</f>
        <v/>
      </c>
      <c r="E498" s="17">
        <f>IF(AND(ISNUMBER($A498),ISNUMBER(BBG_Data!E498)),BBG_Data!E498,NA())</f>
        <v/>
      </c>
      <c r="F498" s="18">
        <f>IF(AND(ISNUMBER(B498),ISNUMBER(B497)),(B498-B497)*100,"")</f>
        <v/>
      </c>
      <c r="G498" s="18">
        <f>IF(AND(ISNUMBER(C498),ISNUMBER(C497)),(C498-C497)*100,"")</f>
        <v/>
      </c>
      <c r="H498" s="18">
        <f>IF(OR(NOT(ISNUMBER($A498)),ROW()-2&lt;Settings!$B$11),NA(),IF(COUNT(OFFSET(F498,1-Settings!$B$11,0,Settings!$B$11,1))&lt;Settings!$B$11,NA(),STDEV(OFFSET(F498,1-Settings!$B$11,0,Settings!$B$11,1))*SQRT(Settings!$B$13)))</f>
        <v/>
      </c>
      <c r="I498" s="18">
        <f>IF(OR(NOT(ISNUMBER($A498)),ROW()-2&lt;Settings!$B$12),NA(),IF(COUNT(OFFSET(F498,1-Settings!$B$12,0,Settings!$B$12,1))&lt;Settings!$B$12,NA(),STDEV(OFFSET(F498,1-Settings!$B$12,0,Settings!$B$12,1))*SQRT(Settings!$B$13)))</f>
        <v/>
      </c>
      <c r="J498" s="18">
        <f>IF(OR(NOT(ISNUMBER($A498)),ROW()-2&lt;Settings!$B$11),NA(),IF(COUNT(OFFSET(G498,1-Settings!$B$11,0,Settings!$B$11,1))&lt;Settings!$B$11,NA(),STDEV(OFFSET(G498,1-Settings!$B$11,0,Settings!$B$11,1))*SQRT(Settings!$B$13)))</f>
        <v/>
      </c>
      <c r="K498" s="18">
        <f>IF(OR(NOT(ISNUMBER($A498)),ROW()-2&lt;Settings!$B$12),NA(),IF(COUNT(OFFSET(G498,1-Settings!$B$12,0,Settings!$B$12,1))&lt;Settings!$B$12,NA(),STDEV(OFFSET(G498,1-Settings!$B$12,0,Settings!$B$12,1))*SQRT(Settings!$B$13)))</f>
        <v/>
      </c>
      <c r="L498" s="18">
        <f>IF(AND(ISNUMBER(D498),ISNUMBER(H498)),D498-H498,NA())</f>
        <v/>
      </c>
      <c r="M498" s="18">
        <f>IF(AND(ISNUMBER(E498),ISNUMBER(K498)),E498-K498,NA())</f>
        <v/>
      </c>
      <c r="N498" s="18">
        <f>IF(NOT(ISNUMBER($A498)),NA(),IF(COUNT(OFFSET(G498,1,0,Settings!$B$12,1))&lt;Settings!$B$12,NA(),STDEV(OFFSET(G498,1,0,Settings!$B$12,1))*SQRT(Settings!$B$13)))</f>
        <v/>
      </c>
      <c r="O498" s="18">
        <f>IF(AND(ISNUMBER(E498),ISNUMBER(N498)),E498-N498,NA())</f>
        <v/>
      </c>
      <c r="P498" s="17">
        <f>IF(NOT(ISNUMBER($A498)),NA(),IF(OR($A498&lt;MIN(KW_TP!$A$2:$A$2501),$A498&gt;MAX(KW_TP!$A$2:$A$2501)),NA(),INDEX(KW_TP!$C$2:$C$2501,MATCH($A498,KW_TP!$A$2:$A$2501,1))))</f>
        <v/>
      </c>
    </row>
    <row r="499">
      <c r="A499" s="15">
        <f>IF(ISNUMBER(BBG_Data!A499),BBG_Data!A499,"")</f>
        <v/>
      </c>
      <c r="B499" s="16">
        <f>IF(AND(ISNUMBER($A499),ISNUMBER(BBG_Data!B499)),BBG_Data!B499,NA())</f>
        <v/>
      </c>
      <c r="C499" s="16">
        <f>IF(AND(ISNUMBER($A499),ISNUMBER(BBG_Data!C499)),BBG_Data!C499,NA())</f>
        <v/>
      </c>
      <c r="D499" s="17">
        <f>IF(AND(ISNUMBER($A499),ISNUMBER(BBG_Data!D499)),BBG_Data!D499,NA())</f>
        <v/>
      </c>
      <c r="E499" s="17">
        <f>IF(AND(ISNUMBER($A499),ISNUMBER(BBG_Data!E499)),BBG_Data!E499,NA())</f>
        <v/>
      </c>
      <c r="F499" s="18">
        <f>IF(AND(ISNUMBER(B499),ISNUMBER(B498)),(B499-B498)*100,"")</f>
        <v/>
      </c>
      <c r="G499" s="18">
        <f>IF(AND(ISNUMBER(C499),ISNUMBER(C498)),(C499-C498)*100,"")</f>
        <v/>
      </c>
      <c r="H499" s="18">
        <f>IF(OR(NOT(ISNUMBER($A499)),ROW()-2&lt;Settings!$B$11),NA(),IF(COUNT(OFFSET(F499,1-Settings!$B$11,0,Settings!$B$11,1))&lt;Settings!$B$11,NA(),STDEV(OFFSET(F499,1-Settings!$B$11,0,Settings!$B$11,1))*SQRT(Settings!$B$13)))</f>
        <v/>
      </c>
      <c r="I499" s="18">
        <f>IF(OR(NOT(ISNUMBER($A499)),ROW()-2&lt;Settings!$B$12),NA(),IF(COUNT(OFFSET(F499,1-Settings!$B$12,0,Settings!$B$12,1))&lt;Settings!$B$12,NA(),STDEV(OFFSET(F499,1-Settings!$B$12,0,Settings!$B$12,1))*SQRT(Settings!$B$13)))</f>
        <v/>
      </c>
      <c r="J499" s="18">
        <f>IF(OR(NOT(ISNUMBER($A499)),ROW()-2&lt;Settings!$B$11),NA(),IF(COUNT(OFFSET(G499,1-Settings!$B$11,0,Settings!$B$11,1))&lt;Settings!$B$11,NA(),STDEV(OFFSET(G499,1-Settings!$B$11,0,Settings!$B$11,1))*SQRT(Settings!$B$13)))</f>
        <v/>
      </c>
      <c r="K499" s="18">
        <f>IF(OR(NOT(ISNUMBER($A499)),ROW()-2&lt;Settings!$B$12),NA(),IF(COUNT(OFFSET(G499,1-Settings!$B$12,0,Settings!$B$12,1))&lt;Settings!$B$12,NA(),STDEV(OFFSET(G499,1-Settings!$B$12,0,Settings!$B$12,1))*SQRT(Settings!$B$13)))</f>
        <v/>
      </c>
      <c r="L499" s="18">
        <f>IF(AND(ISNUMBER(D499),ISNUMBER(H499)),D499-H499,NA())</f>
        <v/>
      </c>
      <c r="M499" s="18">
        <f>IF(AND(ISNUMBER(E499),ISNUMBER(K499)),E499-K499,NA())</f>
        <v/>
      </c>
      <c r="N499" s="18">
        <f>IF(NOT(ISNUMBER($A499)),NA(),IF(COUNT(OFFSET(G499,1,0,Settings!$B$12,1))&lt;Settings!$B$12,NA(),STDEV(OFFSET(G499,1,0,Settings!$B$12,1))*SQRT(Settings!$B$13)))</f>
        <v/>
      </c>
      <c r="O499" s="18">
        <f>IF(AND(ISNUMBER(E499),ISNUMBER(N499)),E499-N499,NA())</f>
        <v/>
      </c>
      <c r="P499" s="17">
        <f>IF(NOT(ISNUMBER($A499)),NA(),IF(OR($A499&lt;MIN(KW_TP!$A$2:$A$2501),$A499&gt;MAX(KW_TP!$A$2:$A$2501)),NA(),INDEX(KW_TP!$C$2:$C$2501,MATCH($A499,KW_TP!$A$2:$A$2501,1))))</f>
        <v/>
      </c>
    </row>
    <row r="500">
      <c r="A500" s="15">
        <f>IF(ISNUMBER(BBG_Data!A500),BBG_Data!A500,"")</f>
        <v/>
      </c>
      <c r="B500" s="16">
        <f>IF(AND(ISNUMBER($A500),ISNUMBER(BBG_Data!B500)),BBG_Data!B500,NA())</f>
        <v/>
      </c>
      <c r="C500" s="16">
        <f>IF(AND(ISNUMBER($A500),ISNUMBER(BBG_Data!C500)),BBG_Data!C500,NA())</f>
        <v/>
      </c>
      <c r="D500" s="17">
        <f>IF(AND(ISNUMBER($A500),ISNUMBER(BBG_Data!D500)),BBG_Data!D500,NA())</f>
        <v/>
      </c>
      <c r="E500" s="17">
        <f>IF(AND(ISNUMBER($A500),ISNUMBER(BBG_Data!E500)),BBG_Data!E500,NA())</f>
        <v/>
      </c>
      <c r="F500" s="18">
        <f>IF(AND(ISNUMBER(B500),ISNUMBER(B499)),(B500-B499)*100,"")</f>
        <v/>
      </c>
      <c r="G500" s="18">
        <f>IF(AND(ISNUMBER(C500),ISNUMBER(C499)),(C500-C499)*100,"")</f>
        <v/>
      </c>
      <c r="H500" s="18">
        <f>IF(OR(NOT(ISNUMBER($A500)),ROW()-2&lt;Settings!$B$11),NA(),IF(COUNT(OFFSET(F500,1-Settings!$B$11,0,Settings!$B$11,1))&lt;Settings!$B$11,NA(),STDEV(OFFSET(F500,1-Settings!$B$11,0,Settings!$B$11,1))*SQRT(Settings!$B$13)))</f>
        <v/>
      </c>
      <c r="I500" s="18">
        <f>IF(OR(NOT(ISNUMBER($A500)),ROW()-2&lt;Settings!$B$12),NA(),IF(COUNT(OFFSET(F500,1-Settings!$B$12,0,Settings!$B$12,1))&lt;Settings!$B$12,NA(),STDEV(OFFSET(F500,1-Settings!$B$12,0,Settings!$B$12,1))*SQRT(Settings!$B$13)))</f>
        <v/>
      </c>
      <c r="J500" s="18">
        <f>IF(OR(NOT(ISNUMBER($A500)),ROW()-2&lt;Settings!$B$11),NA(),IF(COUNT(OFFSET(G500,1-Settings!$B$11,0,Settings!$B$11,1))&lt;Settings!$B$11,NA(),STDEV(OFFSET(G500,1-Settings!$B$11,0,Settings!$B$11,1))*SQRT(Settings!$B$13)))</f>
        <v/>
      </c>
      <c r="K500" s="18">
        <f>IF(OR(NOT(ISNUMBER($A500)),ROW()-2&lt;Settings!$B$12),NA(),IF(COUNT(OFFSET(G500,1-Settings!$B$12,0,Settings!$B$12,1))&lt;Settings!$B$12,NA(),STDEV(OFFSET(G500,1-Settings!$B$12,0,Settings!$B$12,1))*SQRT(Settings!$B$13)))</f>
        <v/>
      </c>
      <c r="L500" s="18">
        <f>IF(AND(ISNUMBER(D500),ISNUMBER(H500)),D500-H500,NA())</f>
        <v/>
      </c>
      <c r="M500" s="18">
        <f>IF(AND(ISNUMBER(E500),ISNUMBER(K500)),E500-K500,NA())</f>
        <v/>
      </c>
      <c r="N500" s="18">
        <f>IF(NOT(ISNUMBER($A500)),NA(),IF(COUNT(OFFSET(G500,1,0,Settings!$B$12,1))&lt;Settings!$B$12,NA(),STDEV(OFFSET(G500,1,0,Settings!$B$12,1))*SQRT(Settings!$B$13)))</f>
        <v/>
      </c>
      <c r="O500" s="18">
        <f>IF(AND(ISNUMBER(E500),ISNUMBER(N500)),E500-N500,NA())</f>
        <v/>
      </c>
      <c r="P500" s="17">
        <f>IF(NOT(ISNUMBER($A500)),NA(),IF(OR($A500&lt;MIN(KW_TP!$A$2:$A$2501),$A500&gt;MAX(KW_TP!$A$2:$A$2501)),NA(),INDEX(KW_TP!$C$2:$C$2501,MATCH($A500,KW_TP!$A$2:$A$2501,1))))</f>
        <v/>
      </c>
    </row>
    <row r="501">
      <c r="A501" s="15">
        <f>IF(ISNUMBER(BBG_Data!A501),BBG_Data!A501,"")</f>
        <v/>
      </c>
      <c r="B501" s="16">
        <f>IF(AND(ISNUMBER($A501),ISNUMBER(BBG_Data!B501)),BBG_Data!B501,NA())</f>
        <v/>
      </c>
      <c r="C501" s="16">
        <f>IF(AND(ISNUMBER($A501),ISNUMBER(BBG_Data!C501)),BBG_Data!C501,NA())</f>
        <v/>
      </c>
      <c r="D501" s="17">
        <f>IF(AND(ISNUMBER($A501),ISNUMBER(BBG_Data!D501)),BBG_Data!D501,NA())</f>
        <v/>
      </c>
      <c r="E501" s="17">
        <f>IF(AND(ISNUMBER($A501),ISNUMBER(BBG_Data!E501)),BBG_Data!E501,NA())</f>
        <v/>
      </c>
      <c r="F501" s="18">
        <f>IF(AND(ISNUMBER(B501),ISNUMBER(B500)),(B501-B500)*100,"")</f>
        <v/>
      </c>
      <c r="G501" s="18">
        <f>IF(AND(ISNUMBER(C501),ISNUMBER(C500)),(C501-C500)*100,"")</f>
        <v/>
      </c>
      <c r="H501" s="18">
        <f>IF(OR(NOT(ISNUMBER($A501)),ROW()-2&lt;Settings!$B$11),NA(),IF(COUNT(OFFSET(F501,1-Settings!$B$11,0,Settings!$B$11,1))&lt;Settings!$B$11,NA(),STDEV(OFFSET(F501,1-Settings!$B$11,0,Settings!$B$11,1))*SQRT(Settings!$B$13)))</f>
        <v/>
      </c>
      <c r="I501" s="18">
        <f>IF(OR(NOT(ISNUMBER($A501)),ROW()-2&lt;Settings!$B$12),NA(),IF(COUNT(OFFSET(F501,1-Settings!$B$12,0,Settings!$B$12,1))&lt;Settings!$B$12,NA(),STDEV(OFFSET(F501,1-Settings!$B$12,0,Settings!$B$12,1))*SQRT(Settings!$B$13)))</f>
        <v/>
      </c>
      <c r="J501" s="18">
        <f>IF(OR(NOT(ISNUMBER($A501)),ROW()-2&lt;Settings!$B$11),NA(),IF(COUNT(OFFSET(G501,1-Settings!$B$11,0,Settings!$B$11,1))&lt;Settings!$B$11,NA(),STDEV(OFFSET(G501,1-Settings!$B$11,0,Settings!$B$11,1))*SQRT(Settings!$B$13)))</f>
        <v/>
      </c>
      <c r="K501" s="18">
        <f>IF(OR(NOT(ISNUMBER($A501)),ROW()-2&lt;Settings!$B$12),NA(),IF(COUNT(OFFSET(G501,1-Settings!$B$12,0,Settings!$B$12,1))&lt;Settings!$B$12,NA(),STDEV(OFFSET(G501,1-Settings!$B$12,0,Settings!$B$12,1))*SQRT(Settings!$B$13)))</f>
        <v/>
      </c>
      <c r="L501" s="18">
        <f>IF(AND(ISNUMBER(D501),ISNUMBER(H501)),D501-H501,NA())</f>
        <v/>
      </c>
      <c r="M501" s="18">
        <f>IF(AND(ISNUMBER(E501),ISNUMBER(K501)),E501-K501,NA())</f>
        <v/>
      </c>
      <c r="N501" s="18">
        <f>IF(NOT(ISNUMBER($A501)),NA(),IF(COUNT(OFFSET(G501,1,0,Settings!$B$12,1))&lt;Settings!$B$12,NA(),STDEV(OFFSET(G501,1,0,Settings!$B$12,1))*SQRT(Settings!$B$13)))</f>
        <v/>
      </c>
      <c r="O501" s="18">
        <f>IF(AND(ISNUMBER(E501),ISNUMBER(N501)),E501-N501,NA())</f>
        <v/>
      </c>
      <c r="P501" s="17">
        <f>IF(NOT(ISNUMBER($A501)),NA(),IF(OR($A501&lt;MIN(KW_TP!$A$2:$A$2501),$A501&gt;MAX(KW_TP!$A$2:$A$2501)),NA(),INDEX(KW_TP!$C$2:$C$2501,MATCH($A501,KW_TP!$A$2:$A$2501,1))))</f>
        <v/>
      </c>
    </row>
    <row r="502">
      <c r="A502" s="15">
        <f>IF(ISNUMBER(BBG_Data!A502),BBG_Data!A502,"")</f>
        <v/>
      </c>
      <c r="B502" s="16">
        <f>IF(AND(ISNUMBER($A502),ISNUMBER(BBG_Data!B502)),BBG_Data!B502,NA())</f>
        <v/>
      </c>
      <c r="C502" s="16">
        <f>IF(AND(ISNUMBER($A502),ISNUMBER(BBG_Data!C502)),BBG_Data!C502,NA())</f>
        <v/>
      </c>
      <c r="D502" s="17">
        <f>IF(AND(ISNUMBER($A502),ISNUMBER(BBG_Data!D502)),BBG_Data!D502,NA())</f>
        <v/>
      </c>
      <c r="E502" s="17">
        <f>IF(AND(ISNUMBER($A502),ISNUMBER(BBG_Data!E502)),BBG_Data!E502,NA())</f>
        <v/>
      </c>
      <c r="F502" s="18">
        <f>IF(AND(ISNUMBER(B502),ISNUMBER(B501)),(B502-B501)*100,"")</f>
        <v/>
      </c>
      <c r="G502" s="18">
        <f>IF(AND(ISNUMBER(C502),ISNUMBER(C501)),(C502-C501)*100,"")</f>
        <v/>
      </c>
      <c r="H502" s="18">
        <f>IF(OR(NOT(ISNUMBER($A502)),ROW()-2&lt;Settings!$B$11),NA(),IF(COUNT(OFFSET(F502,1-Settings!$B$11,0,Settings!$B$11,1))&lt;Settings!$B$11,NA(),STDEV(OFFSET(F502,1-Settings!$B$11,0,Settings!$B$11,1))*SQRT(Settings!$B$13)))</f>
        <v/>
      </c>
      <c r="I502" s="18">
        <f>IF(OR(NOT(ISNUMBER($A502)),ROW()-2&lt;Settings!$B$12),NA(),IF(COUNT(OFFSET(F502,1-Settings!$B$12,0,Settings!$B$12,1))&lt;Settings!$B$12,NA(),STDEV(OFFSET(F502,1-Settings!$B$12,0,Settings!$B$12,1))*SQRT(Settings!$B$13)))</f>
        <v/>
      </c>
      <c r="J502" s="18">
        <f>IF(OR(NOT(ISNUMBER($A502)),ROW()-2&lt;Settings!$B$11),NA(),IF(COUNT(OFFSET(G502,1-Settings!$B$11,0,Settings!$B$11,1))&lt;Settings!$B$11,NA(),STDEV(OFFSET(G502,1-Settings!$B$11,0,Settings!$B$11,1))*SQRT(Settings!$B$13)))</f>
        <v/>
      </c>
      <c r="K502" s="18">
        <f>IF(OR(NOT(ISNUMBER($A502)),ROW()-2&lt;Settings!$B$12),NA(),IF(COUNT(OFFSET(G502,1-Settings!$B$12,0,Settings!$B$12,1))&lt;Settings!$B$12,NA(),STDEV(OFFSET(G502,1-Settings!$B$12,0,Settings!$B$12,1))*SQRT(Settings!$B$13)))</f>
        <v/>
      </c>
      <c r="L502" s="18">
        <f>IF(AND(ISNUMBER(D502),ISNUMBER(H502)),D502-H502,NA())</f>
        <v/>
      </c>
      <c r="M502" s="18">
        <f>IF(AND(ISNUMBER(E502),ISNUMBER(K502)),E502-K502,NA())</f>
        <v/>
      </c>
      <c r="N502" s="18">
        <f>IF(NOT(ISNUMBER($A502)),NA(),IF(COUNT(OFFSET(G502,1,0,Settings!$B$12,1))&lt;Settings!$B$12,NA(),STDEV(OFFSET(G502,1,0,Settings!$B$12,1))*SQRT(Settings!$B$13)))</f>
        <v/>
      </c>
      <c r="O502" s="18">
        <f>IF(AND(ISNUMBER(E502),ISNUMBER(N502)),E502-N502,NA())</f>
        <v/>
      </c>
      <c r="P502" s="17">
        <f>IF(NOT(ISNUMBER($A502)),NA(),IF(OR($A502&lt;MIN(KW_TP!$A$2:$A$2501),$A502&gt;MAX(KW_TP!$A$2:$A$2501)),NA(),INDEX(KW_TP!$C$2:$C$2501,MATCH($A502,KW_TP!$A$2:$A$2501,1))))</f>
        <v/>
      </c>
    </row>
    <row r="503">
      <c r="A503" s="15">
        <f>IF(ISNUMBER(BBG_Data!A503),BBG_Data!A503,"")</f>
        <v/>
      </c>
      <c r="B503" s="16">
        <f>IF(AND(ISNUMBER($A503),ISNUMBER(BBG_Data!B503)),BBG_Data!B503,NA())</f>
        <v/>
      </c>
      <c r="C503" s="16">
        <f>IF(AND(ISNUMBER($A503),ISNUMBER(BBG_Data!C503)),BBG_Data!C503,NA())</f>
        <v/>
      </c>
      <c r="D503" s="17">
        <f>IF(AND(ISNUMBER($A503),ISNUMBER(BBG_Data!D503)),BBG_Data!D503,NA())</f>
        <v/>
      </c>
      <c r="E503" s="17">
        <f>IF(AND(ISNUMBER($A503),ISNUMBER(BBG_Data!E503)),BBG_Data!E503,NA())</f>
        <v/>
      </c>
      <c r="F503" s="18">
        <f>IF(AND(ISNUMBER(B503),ISNUMBER(B502)),(B503-B502)*100,"")</f>
        <v/>
      </c>
      <c r="G503" s="18">
        <f>IF(AND(ISNUMBER(C503),ISNUMBER(C502)),(C503-C502)*100,"")</f>
        <v/>
      </c>
      <c r="H503" s="18">
        <f>IF(OR(NOT(ISNUMBER($A503)),ROW()-2&lt;Settings!$B$11),NA(),IF(COUNT(OFFSET(F503,1-Settings!$B$11,0,Settings!$B$11,1))&lt;Settings!$B$11,NA(),STDEV(OFFSET(F503,1-Settings!$B$11,0,Settings!$B$11,1))*SQRT(Settings!$B$13)))</f>
        <v/>
      </c>
      <c r="I503" s="18">
        <f>IF(OR(NOT(ISNUMBER($A503)),ROW()-2&lt;Settings!$B$12),NA(),IF(COUNT(OFFSET(F503,1-Settings!$B$12,0,Settings!$B$12,1))&lt;Settings!$B$12,NA(),STDEV(OFFSET(F503,1-Settings!$B$12,0,Settings!$B$12,1))*SQRT(Settings!$B$13)))</f>
        <v/>
      </c>
      <c r="J503" s="18">
        <f>IF(OR(NOT(ISNUMBER($A503)),ROW()-2&lt;Settings!$B$11),NA(),IF(COUNT(OFFSET(G503,1-Settings!$B$11,0,Settings!$B$11,1))&lt;Settings!$B$11,NA(),STDEV(OFFSET(G503,1-Settings!$B$11,0,Settings!$B$11,1))*SQRT(Settings!$B$13)))</f>
        <v/>
      </c>
      <c r="K503" s="18">
        <f>IF(OR(NOT(ISNUMBER($A503)),ROW()-2&lt;Settings!$B$12),NA(),IF(COUNT(OFFSET(G503,1-Settings!$B$12,0,Settings!$B$12,1))&lt;Settings!$B$12,NA(),STDEV(OFFSET(G503,1-Settings!$B$12,0,Settings!$B$12,1))*SQRT(Settings!$B$13)))</f>
        <v/>
      </c>
      <c r="L503" s="18">
        <f>IF(AND(ISNUMBER(D503),ISNUMBER(H503)),D503-H503,NA())</f>
        <v/>
      </c>
      <c r="M503" s="18">
        <f>IF(AND(ISNUMBER(E503),ISNUMBER(K503)),E503-K503,NA())</f>
        <v/>
      </c>
      <c r="N503" s="18">
        <f>IF(NOT(ISNUMBER($A503)),NA(),IF(COUNT(OFFSET(G503,1,0,Settings!$B$12,1))&lt;Settings!$B$12,NA(),STDEV(OFFSET(G503,1,0,Settings!$B$12,1))*SQRT(Settings!$B$13)))</f>
        <v/>
      </c>
      <c r="O503" s="18">
        <f>IF(AND(ISNUMBER(E503),ISNUMBER(N503)),E503-N503,NA())</f>
        <v/>
      </c>
      <c r="P503" s="17">
        <f>IF(NOT(ISNUMBER($A503)),NA(),IF(OR($A503&lt;MIN(KW_TP!$A$2:$A$2501),$A503&gt;MAX(KW_TP!$A$2:$A$2501)),NA(),INDEX(KW_TP!$C$2:$C$2501,MATCH($A503,KW_TP!$A$2:$A$2501,1))))</f>
        <v/>
      </c>
    </row>
    <row r="504">
      <c r="A504" s="15">
        <f>IF(ISNUMBER(BBG_Data!A504),BBG_Data!A504,"")</f>
        <v/>
      </c>
      <c r="B504" s="16">
        <f>IF(AND(ISNUMBER($A504),ISNUMBER(BBG_Data!B504)),BBG_Data!B504,NA())</f>
        <v/>
      </c>
      <c r="C504" s="16">
        <f>IF(AND(ISNUMBER($A504),ISNUMBER(BBG_Data!C504)),BBG_Data!C504,NA())</f>
        <v/>
      </c>
      <c r="D504" s="17">
        <f>IF(AND(ISNUMBER($A504),ISNUMBER(BBG_Data!D504)),BBG_Data!D504,NA())</f>
        <v/>
      </c>
      <c r="E504" s="17">
        <f>IF(AND(ISNUMBER($A504),ISNUMBER(BBG_Data!E504)),BBG_Data!E504,NA())</f>
        <v/>
      </c>
      <c r="F504" s="18">
        <f>IF(AND(ISNUMBER(B504),ISNUMBER(B503)),(B504-B503)*100,"")</f>
        <v/>
      </c>
      <c r="G504" s="18">
        <f>IF(AND(ISNUMBER(C504),ISNUMBER(C503)),(C504-C503)*100,"")</f>
        <v/>
      </c>
      <c r="H504" s="18">
        <f>IF(OR(NOT(ISNUMBER($A504)),ROW()-2&lt;Settings!$B$11),NA(),IF(COUNT(OFFSET(F504,1-Settings!$B$11,0,Settings!$B$11,1))&lt;Settings!$B$11,NA(),STDEV(OFFSET(F504,1-Settings!$B$11,0,Settings!$B$11,1))*SQRT(Settings!$B$13)))</f>
        <v/>
      </c>
      <c r="I504" s="18">
        <f>IF(OR(NOT(ISNUMBER($A504)),ROW()-2&lt;Settings!$B$12),NA(),IF(COUNT(OFFSET(F504,1-Settings!$B$12,0,Settings!$B$12,1))&lt;Settings!$B$12,NA(),STDEV(OFFSET(F504,1-Settings!$B$12,0,Settings!$B$12,1))*SQRT(Settings!$B$13)))</f>
        <v/>
      </c>
      <c r="J504" s="18">
        <f>IF(OR(NOT(ISNUMBER($A504)),ROW()-2&lt;Settings!$B$11),NA(),IF(COUNT(OFFSET(G504,1-Settings!$B$11,0,Settings!$B$11,1))&lt;Settings!$B$11,NA(),STDEV(OFFSET(G504,1-Settings!$B$11,0,Settings!$B$11,1))*SQRT(Settings!$B$13)))</f>
        <v/>
      </c>
      <c r="K504" s="18">
        <f>IF(OR(NOT(ISNUMBER($A504)),ROW()-2&lt;Settings!$B$12),NA(),IF(COUNT(OFFSET(G504,1-Settings!$B$12,0,Settings!$B$12,1))&lt;Settings!$B$12,NA(),STDEV(OFFSET(G504,1-Settings!$B$12,0,Settings!$B$12,1))*SQRT(Settings!$B$13)))</f>
        <v/>
      </c>
      <c r="L504" s="18">
        <f>IF(AND(ISNUMBER(D504),ISNUMBER(H504)),D504-H504,NA())</f>
        <v/>
      </c>
      <c r="M504" s="18">
        <f>IF(AND(ISNUMBER(E504),ISNUMBER(K504)),E504-K504,NA())</f>
        <v/>
      </c>
      <c r="N504" s="18">
        <f>IF(NOT(ISNUMBER($A504)),NA(),IF(COUNT(OFFSET(G504,1,0,Settings!$B$12,1))&lt;Settings!$B$12,NA(),STDEV(OFFSET(G504,1,0,Settings!$B$12,1))*SQRT(Settings!$B$13)))</f>
        <v/>
      </c>
      <c r="O504" s="18">
        <f>IF(AND(ISNUMBER(E504),ISNUMBER(N504)),E504-N504,NA())</f>
        <v/>
      </c>
      <c r="P504" s="17">
        <f>IF(NOT(ISNUMBER($A504)),NA(),IF(OR($A504&lt;MIN(KW_TP!$A$2:$A$2501),$A504&gt;MAX(KW_TP!$A$2:$A$2501)),NA(),INDEX(KW_TP!$C$2:$C$2501,MATCH($A504,KW_TP!$A$2:$A$2501,1))))</f>
        <v/>
      </c>
    </row>
    <row r="505">
      <c r="A505" s="15">
        <f>IF(ISNUMBER(BBG_Data!A505),BBG_Data!A505,"")</f>
        <v/>
      </c>
      <c r="B505" s="16">
        <f>IF(AND(ISNUMBER($A505),ISNUMBER(BBG_Data!B505)),BBG_Data!B505,NA())</f>
        <v/>
      </c>
      <c r="C505" s="16">
        <f>IF(AND(ISNUMBER($A505),ISNUMBER(BBG_Data!C505)),BBG_Data!C505,NA())</f>
        <v/>
      </c>
      <c r="D505" s="17">
        <f>IF(AND(ISNUMBER($A505),ISNUMBER(BBG_Data!D505)),BBG_Data!D505,NA())</f>
        <v/>
      </c>
      <c r="E505" s="17">
        <f>IF(AND(ISNUMBER($A505),ISNUMBER(BBG_Data!E505)),BBG_Data!E505,NA())</f>
        <v/>
      </c>
      <c r="F505" s="18">
        <f>IF(AND(ISNUMBER(B505),ISNUMBER(B504)),(B505-B504)*100,"")</f>
        <v/>
      </c>
      <c r="G505" s="18">
        <f>IF(AND(ISNUMBER(C505),ISNUMBER(C504)),(C505-C504)*100,"")</f>
        <v/>
      </c>
      <c r="H505" s="18">
        <f>IF(OR(NOT(ISNUMBER($A505)),ROW()-2&lt;Settings!$B$11),NA(),IF(COUNT(OFFSET(F505,1-Settings!$B$11,0,Settings!$B$11,1))&lt;Settings!$B$11,NA(),STDEV(OFFSET(F505,1-Settings!$B$11,0,Settings!$B$11,1))*SQRT(Settings!$B$13)))</f>
        <v/>
      </c>
      <c r="I505" s="18">
        <f>IF(OR(NOT(ISNUMBER($A505)),ROW()-2&lt;Settings!$B$12),NA(),IF(COUNT(OFFSET(F505,1-Settings!$B$12,0,Settings!$B$12,1))&lt;Settings!$B$12,NA(),STDEV(OFFSET(F505,1-Settings!$B$12,0,Settings!$B$12,1))*SQRT(Settings!$B$13)))</f>
        <v/>
      </c>
      <c r="J505" s="18">
        <f>IF(OR(NOT(ISNUMBER($A505)),ROW()-2&lt;Settings!$B$11),NA(),IF(COUNT(OFFSET(G505,1-Settings!$B$11,0,Settings!$B$11,1))&lt;Settings!$B$11,NA(),STDEV(OFFSET(G505,1-Settings!$B$11,0,Settings!$B$11,1))*SQRT(Settings!$B$13)))</f>
        <v/>
      </c>
      <c r="K505" s="18">
        <f>IF(OR(NOT(ISNUMBER($A505)),ROW()-2&lt;Settings!$B$12),NA(),IF(COUNT(OFFSET(G505,1-Settings!$B$12,0,Settings!$B$12,1))&lt;Settings!$B$12,NA(),STDEV(OFFSET(G505,1-Settings!$B$12,0,Settings!$B$12,1))*SQRT(Settings!$B$13)))</f>
        <v/>
      </c>
      <c r="L505" s="18">
        <f>IF(AND(ISNUMBER(D505),ISNUMBER(H505)),D505-H505,NA())</f>
        <v/>
      </c>
      <c r="M505" s="18">
        <f>IF(AND(ISNUMBER(E505),ISNUMBER(K505)),E505-K505,NA())</f>
        <v/>
      </c>
      <c r="N505" s="18">
        <f>IF(NOT(ISNUMBER($A505)),NA(),IF(COUNT(OFFSET(G505,1,0,Settings!$B$12,1))&lt;Settings!$B$12,NA(),STDEV(OFFSET(G505,1,0,Settings!$B$12,1))*SQRT(Settings!$B$13)))</f>
        <v/>
      </c>
      <c r="O505" s="18">
        <f>IF(AND(ISNUMBER(E505),ISNUMBER(N505)),E505-N505,NA())</f>
        <v/>
      </c>
      <c r="P505" s="17">
        <f>IF(NOT(ISNUMBER($A505)),NA(),IF(OR($A505&lt;MIN(KW_TP!$A$2:$A$2501),$A505&gt;MAX(KW_TP!$A$2:$A$2501)),NA(),INDEX(KW_TP!$C$2:$C$2501,MATCH($A505,KW_TP!$A$2:$A$2501,1))))</f>
        <v/>
      </c>
    </row>
    <row r="506">
      <c r="A506" s="15">
        <f>IF(ISNUMBER(BBG_Data!A506),BBG_Data!A506,"")</f>
        <v/>
      </c>
      <c r="B506" s="16">
        <f>IF(AND(ISNUMBER($A506),ISNUMBER(BBG_Data!B506)),BBG_Data!B506,NA())</f>
        <v/>
      </c>
      <c r="C506" s="16">
        <f>IF(AND(ISNUMBER($A506),ISNUMBER(BBG_Data!C506)),BBG_Data!C506,NA())</f>
        <v/>
      </c>
      <c r="D506" s="17">
        <f>IF(AND(ISNUMBER($A506),ISNUMBER(BBG_Data!D506)),BBG_Data!D506,NA())</f>
        <v/>
      </c>
      <c r="E506" s="17">
        <f>IF(AND(ISNUMBER($A506),ISNUMBER(BBG_Data!E506)),BBG_Data!E506,NA())</f>
        <v/>
      </c>
      <c r="F506" s="18">
        <f>IF(AND(ISNUMBER(B506),ISNUMBER(B505)),(B506-B505)*100,"")</f>
        <v/>
      </c>
      <c r="G506" s="18">
        <f>IF(AND(ISNUMBER(C506),ISNUMBER(C505)),(C506-C505)*100,"")</f>
        <v/>
      </c>
      <c r="H506" s="18">
        <f>IF(OR(NOT(ISNUMBER($A506)),ROW()-2&lt;Settings!$B$11),NA(),IF(COUNT(OFFSET(F506,1-Settings!$B$11,0,Settings!$B$11,1))&lt;Settings!$B$11,NA(),STDEV(OFFSET(F506,1-Settings!$B$11,0,Settings!$B$11,1))*SQRT(Settings!$B$13)))</f>
        <v/>
      </c>
      <c r="I506" s="18">
        <f>IF(OR(NOT(ISNUMBER($A506)),ROW()-2&lt;Settings!$B$12),NA(),IF(COUNT(OFFSET(F506,1-Settings!$B$12,0,Settings!$B$12,1))&lt;Settings!$B$12,NA(),STDEV(OFFSET(F506,1-Settings!$B$12,0,Settings!$B$12,1))*SQRT(Settings!$B$13)))</f>
        <v/>
      </c>
      <c r="J506" s="18">
        <f>IF(OR(NOT(ISNUMBER($A506)),ROW()-2&lt;Settings!$B$11),NA(),IF(COUNT(OFFSET(G506,1-Settings!$B$11,0,Settings!$B$11,1))&lt;Settings!$B$11,NA(),STDEV(OFFSET(G506,1-Settings!$B$11,0,Settings!$B$11,1))*SQRT(Settings!$B$13)))</f>
        <v/>
      </c>
      <c r="K506" s="18">
        <f>IF(OR(NOT(ISNUMBER($A506)),ROW()-2&lt;Settings!$B$12),NA(),IF(COUNT(OFFSET(G506,1-Settings!$B$12,0,Settings!$B$12,1))&lt;Settings!$B$12,NA(),STDEV(OFFSET(G506,1-Settings!$B$12,0,Settings!$B$12,1))*SQRT(Settings!$B$13)))</f>
        <v/>
      </c>
      <c r="L506" s="18">
        <f>IF(AND(ISNUMBER(D506),ISNUMBER(H506)),D506-H506,NA())</f>
        <v/>
      </c>
      <c r="M506" s="18">
        <f>IF(AND(ISNUMBER(E506),ISNUMBER(K506)),E506-K506,NA())</f>
        <v/>
      </c>
      <c r="N506" s="18">
        <f>IF(NOT(ISNUMBER($A506)),NA(),IF(COUNT(OFFSET(G506,1,0,Settings!$B$12,1))&lt;Settings!$B$12,NA(),STDEV(OFFSET(G506,1,0,Settings!$B$12,1))*SQRT(Settings!$B$13)))</f>
        <v/>
      </c>
      <c r="O506" s="18">
        <f>IF(AND(ISNUMBER(E506),ISNUMBER(N506)),E506-N506,NA())</f>
        <v/>
      </c>
      <c r="P506" s="17">
        <f>IF(NOT(ISNUMBER($A506)),NA(),IF(OR($A506&lt;MIN(KW_TP!$A$2:$A$2501),$A506&gt;MAX(KW_TP!$A$2:$A$2501)),NA(),INDEX(KW_TP!$C$2:$C$2501,MATCH($A506,KW_TP!$A$2:$A$2501,1))))</f>
        <v/>
      </c>
    </row>
    <row r="507">
      <c r="A507" s="15">
        <f>IF(ISNUMBER(BBG_Data!A507),BBG_Data!A507,"")</f>
        <v/>
      </c>
      <c r="B507" s="16">
        <f>IF(AND(ISNUMBER($A507),ISNUMBER(BBG_Data!B507)),BBG_Data!B507,NA())</f>
        <v/>
      </c>
      <c r="C507" s="16">
        <f>IF(AND(ISNUMBER($A507),ISNUMBER(BBG_Data!C507)),BBG_Data!C507,NA())</f>
        <v/>
      </c>
      <c r="D507" s="17">
        <f>IF(AND(ISNUMBER($A507),ISNUMBER(BBG_Data!D507)),BBG_Data!D507,NA())</f>
        <v/>
      </c>
      <c r="E507" s="17">
        <f>IF(AND(ISNUMBER($A507),ISNUMBER(BBG_Data!E507)),BBG_Data!E507,NA())</f>
        <v/>
      </c>
      <c r="F507" s="18">
        <f>IF(AND(ISNUMBER(B507),ISNUMBER(B506)),(B507-B506)*100,"")</f>
        <v/>
      </c>
      <c r="G507" s="18">
        <f>IF(AND(ISNUMBER(C507),ISNUMBER(C506)),(C507-C506)*100,"")</f>
        <v/>
      </c>
      <c r="H507" s="18">
        <f>IF(OR(NOT(ISNUMBER($A507)),ROW()-2&lt;Settings!$B$11),NA(),IF(COUNT(OFFSET(F507,1-Settings!$B$11,0,Settings!$B$11,1))&lt;Settings!$B$11,NA(),STDEV(OFFSET(F507,1-Settings!$B$11,0,Settings!$B$11,1))*SQRT(Settings!$B$13)))</f>
        <v/>
      </c>
      <c r="I507" s="18">
        <f>IF(OR(NOT(ISNUMBER($A507)),ROW()-2&lt;Settings!$B$12),NA(),IF(COUNT(OFFSET(F507,1-Settings!$B$12,0,Settings!$B$12,1))&lt;Settings!$B$12,NA(),STDEV(OFFSET(F507,1-Settings!$B$12,0,Settings!$B$12,1))*SQRT(Settings!$B$13)))</f>
        <v/>
      </c>
      <c r="J507" s="18">
        <f>IF(OR(NOT(ISNUMBER($A507)),ROW()-2&lt;Settings!$B$11),NA(),IF(COUNT(OFFSET(G507,1-Settings!$B$11,0,Settings!$B$11,1))&lt;Settings!$B$11,NA(),STDEV(OFFSET(G507,1-Settings!$B$11,0,Settings!$B$11,1))*SQRT(Settings!$B$13)))</f>
        <v/>
      </c>
      <c r="K507" s="18">
        <f>IF(OR(NOT(ISNUMBER($A507)),ROW()-2&lt;Settings!$B$12),NA(),IF(COUNT(OFFSET(G507,1-Settings!$B$12,0,Settings!$B$12,1))&lt;Settings!$B$12,NA(),STDEV(OFFSET(G507,1-Settings!$B$12,0,Settings!$B$12,1))*SQRT(Settings!$B$13)))</f>
        <v/>
      </c>
      <c r="L507" s="18">
        <f>IF(AND(ISNUMBER(D507),ISNUMBER(H507)),D507-H507,NA())</f>
        <v/>
      </c>
      <c r="M507" s="18">
        <f>IF(AND(ISNUMBER(E507),ISNUMBER(K507)),E507-K507,NA())</f>
        <v/>
      </c>
      <c r="N507" s="18">
        <f>IF(NOT(ISNUMBER($A507)),NA(),IF(COUNT(OFFSET(G507,1,0,Settings!$B$12,1))&lt;Settings!$B$12,NA(),STDEV(OFFSET(G507,1,0,Settings!$B$12,1))*SQRT(Settings!$B$13)))</f>
        <v/>
      </c>
      <c r="O507" s="18">
        <f>IF(AND(ISNUMBER(E507),ISNUMBER(N507)),E507-N507,NA())</f>
        <v/>
      </c>
      <c r="P507" s="17">
        <f>IF(NOT(ISNUMBER($A507)),NA(),IF(OR($A507&lt;MIN(KW_TP!$A$2:$A$2501),$A507&gt;MAX(KW_TP!$A$2:$A$2501)),NA(),INDEX(KW_TP!$C$2:$C$2501,MATCH($A507,KW_TP!$A$2:$A$2501,1))))</f>
        <v/>
      </c>
    </row>
    <row r="508">
      <c r="A508" s="15">
        <f>IF(ISNUMBER(BBG_Data!A508),BBG_Data!A508,"")</f>
        <v/>
      </c>
      <c r="B508" s="16">
        <f>IF(AND(ISNUMBER($A508),ISNUMBER(BBG_Data!B508)),BBG_Data!B508,NA())</f>
        <v/>
      </c>
      <c r="C508" s="16">
        <f>IF(AND(ISNUMBER($A508),ISNUMBER(BBG_Data!C508)),BBG_Data!C508,NA())</f>
        <v/>
      </c>
      <c r="D508" s="17">
        <f>IF(AND(ISNUMBER($A508),ISNUMBER(BBG_Data!D508)),BBG_Data!D508,NA())</f>
        <v/>
      </c>
      <c r="E508" s="17">
        <f>IF(AND(ISNUMBER($A508),ISNUMBER(BBG_Data!E508)),BBG_Data!E508,NA())</f>
        <v/>
      </c>
      <c r="F508" s="18">
        <f>IF(AND(ISNUMBER(B508),ISNUMBER(B507)),(B508-B507)*100,"")</f>
        <v/>
      </c>
      <c r="G508" s="18">
        <f>IF(AND(ISNUMBER(C508),ISNUMBER(C507)),(C508-C507)*100,"")</f>
        <v/>
      </c>
      <c r="H508" s="18">
        <f>IF(OR(NOT(ISNUMBER($A508)),ROW()-2&lt;Settings!$B$11),NA(),IF(COUNT(OFFSET(F508,1-Settings!$B$11,0,Settings!$B$11,1))&lt;Settings!$B$11,NA(),STDEV(OFFSET(F508,1-Settings!$B$11,0,Settings!$B$11,1))*SQRT(Settings!$B$13)))</f>
        <v/>
      </c>
      <c r="I508" s="18">
        <f>IF(OR(NOT(ISNUMBER($A508)),ROW()-2&lt;Settings!$B$12),NA(),IF(COUNT(OFFSET(F508,1-Settings!$B$12,0,Settings!$B$12,1))&lt;Settings!$B$12,NA(),STDEV(OFFSET(F508,1-Settings!$B$12,0,Settings!$B$12,1))*SQRT(Settings!$B$13)))</f>
        <v/>
      </c>
      <c r="J508" s="18">
        <f>IF(OR(NOT(ISNUMBER($A508)),ROW()-2&lt;Settings!$B$11),NA(),IF(COUNT(OFFSET(G508,1-Settings!$B$11,0,Settings!$B$11,1))&lt;Settings!$B$11,NA(),STDEV(OFFSET(G508,1-Settings!$B$11,0,Settings!$B$11,1))*SQRT(Settings!$B$13)))</f>
        <v/>
      </c>
      <c r="K508" s="18">
        <f>IF(OR(NOT(ISNUMBER($A508)),ROW()-2&lt;Settings!$B$12),NA(),IF(COUNT(OFFSET(G508,1-Settings!$B$12,0,Settings!$B$12,1))&lt;Settings!$B$12,NA(),STDEV(OFFSET(G508,1-Settings!$B$12,0,Settings!$B$12,1))*SQRT(Settings!$B$13)))</f>
        <v/>
      </c>
      <c r="L508" s="18">
        <f>IF(AND(ISNUMBER(D508),ISNUMBER(H508)),D508-H508,NA())</f>
        <v/>
      </c>
      <c r="M508" s="18">
        <f>IF(AND(ISNUMBER(E508),ISNUMBER(K508)),E508-K508,NA())</f>
        <v/>
      </c>
      <c r="N508" s="18">
        <f>IF(NOT(ISNUMBER($A508)),NA(),IF(COUNT(OFFSET(G508,1,0,Settings!$B$12,1))&lt;Settings!$B$12,NA(),STDEV(OFFSET(G508,1,0,Settings!$B$12,1))*SQRT(Settings!$B$13)))</f>
        <v/>
      </c>
      <c r="O508" s="18">
        <f>IF(AND(ISNUMBER(E508),ISNUMBER(N508)),E508-N508,NA())</f>
        <v/>
      </c>
      <c r="P508" s="17">
        <f>IF(NOT(ISNUMBER($A508)),NA(),IF(OR($A508&lt;MIN(KW_TP!$A$2:$A$2501),$A508&gt;MAX(KW_TP!$A$2:$A$2501)),NA(),INDEX(KW_TP!$C$2:$C$2501,MATCH($A508,KW_TP!$A$2:$A$2501,1))))</f>
        <v/>
      </c>
    </row>
    <row r="509">
      <c r="A509" s="15">
        <f>IF(ISNUMBER(BBG_Data!A509),BBG_Data!A509,"")</f>
        <v/>
      </c>
      <c r="B509" s="16">
        <f>IF(AND(ISNUMBER($A509),ISNUMBER(BBG_Data!B509)),BBG_Data!B509,NA())</f>
        <v/>
      </c>
      <c r="C509" s="16">
        <f>IF(AND(ISNUMBER($A509),ISNUMBER(BBG_Data!C509)),BBG_Data!C509,NA())</f>
        <v/>
      </c>
      <c r="D509" s="17">
        <f>IF(AND(ISNUMBER($A509),ISNUMBER(BBG_Data!D509)),BBG_Data!D509,NA())</f>
        <v/>
      </c>
      <c r="E509" s="17">
        <f>IF(AND(ISNUMBER($A509),ISNUMBER(BBG_Data!E509)),BBG_Data!E509,NA())</f>
        <v/>
      </c>
      <c r="F509" s="18">
        <f>IF(AND(ISNUMBER(B509),ISNUMBER(B508)),(B509-B508)*100,"")</f>
        <v/>
      </c>
      <c r="G509" s="18">
        <f>IF(AND(ISNUMBER(C509),ISNUMBER(C508)),(C509-C508)*100,"")</f>
        <v/>
      </c>
      <c r="H509" s="18">
        <f>IF(OR(NOT(ISNUMBER($A509)),ROW()-2&lt;Settings!$B$11),NA(),IF(COUNT(OFFSET(F509,1-Settings!$B$11,0,Settings!$B$11,1))&lt;Settings!$B$11,NA(),STDEV(OFFSET(F509,1-Settings!$B$11,0,Settings!$B$11,1))*SQRT(Settings!$B$13)))</f>
        <v/>
      </c>
      <c r="I509" s="18">
        <f>IF(OR(NOT(ISNUMBER($A509)),ROW()-2&lt;Settings!$B$12),NA(),IF(COUNT(OFFSET(F509,1-Settings!$B$12,0,Settings!$B$12,1))&lt;Settings!$B$12,NA(),STDEV(OFFSET(F509,1-Settings!$B$12,0,Settings!$B$12,1))*SQRT(Settings!$B$13)))</f>
        <v/>
      </c>
      <c r="J509" s="18">
        <f>IF(OR(NOT(ISNUMBER($A509)),ROW()-2&lt;Settings!$B$11),NA(),IF(COUNT(OFFSET(G509,1-Settings!$B$11,0,Settings!$B$11,1))&lt;Settings!$B$11,NA(),STDEV(OFFSET(G509,1-Settings!$B$11,0,Settings!$B$11,1))*SQRT(Settings!$B$13)))</f>
        <v/>
      </c>
      <c r="K509" s="18">
        <f>IF(OR(NOT(ISNUMBER($A509)),ROW()-2&lt;Settings!$B$12),NA(),IF(COUNT(OFFSET(G509,1-Settings!$B$12,0,Settings!$B$12,1))&lt;Settings!$B$12,NA(),STDEV(OFFSET(G509,1-Settings!$B$12,0,Settings!$B$12,1))*SQRT(Settings!$B$13)))</f>
        <v/>
      </c>
      <c r="L509" s="18">
        <f>IF(AND(ISNUMBER(D509),ISNUMBER(H509)),D509-H509,NA())</f>
        <v/>
      </c>
      <c r="M509" s="18">
        <f>IF(AND(ISNUMBER(E509),ISNUMBER(K509)),E509-K509,NA())</f>
        <v/>
      </c>
      <c r="N509" s="18">
        <f>IF(NOT(ISNUMBER($A509)),NA(),IF(COUNT(OFFSET(G509,1,0,Settings!$B$12,1))&lt;Settings!$B$12,NA(),STDEV(OFFSET(G509,1,0,Settings!$B$12,1))*SQRT(Settings!$B$13)))</f>
        <v/>
      </c>
      <c r="O509" s="18">
        <f>IF(AND(ISNUMBER(E509),ISNUMBER(N509)),E509-N509,NA())</f>
        <v/>
      </c>
      <c r="P509" s="17">
        <f>IF(NOT(ISNUMBER($A509)),NA(),IF(OR($A509&lt;MIN(KW_TP!$A$2:$A$2501),$A509&gt;MAX(KW_TP!$A$2:$A$2501)),NA(),INDEX(KW_TP!$C$2:$C$2501,MATCH($A509,KW_TP!$A$2:$A$2501,1))))</f>
        <v/>
      </c>
    </row>
    <row r="510">
      <c r="A510" s="15">
        <f>IF(ISNUMBER(BBG_Data!A510),BBG_Data!A510,"")</f>
        <v/>
      </c>
      <c r="B510" s="16">
        <f>IF(AND(ISNUMBER($A510),ISNUMBER(BBG_Data!B510)),BBG_Data!B510,NA())</f>
        <v/>
      </c>
      <c r="C510" s="16">
        <f>IF(AND(ISNUMBER($A510),ISNUMBER(BBG_Data!C510)),BBG_Data!C510,NA())</f>
        <v/>
      </c>
      <c r="D510" s="17">
        <f>IF(AND(ISNUMBER($A510),ISNUMBER(BBG_Data!D510)),BBG_Data!D510,NA())</f>
        <v/>
      </c>
      <c r="E510" s="17">
        <f>IF(AND(ISNUMBER($A510),ISNUMBER(BBG_Data!E510)),BBG_Data!E510,NA())</f>
        <v/>
      </c>
      <c r="F510" s="18">
        <f>IF(AND(ISNUMBER(B510),ISNUMBER(B509)),(B510-B509)*100,"")</f>
        <v/>
      </c>
      <c r="G510" s="18">
        <f>IF(AND(ISNUMBER(C510),ISNUMBER(C509)),(C510-C509)*100,"")</f>
        <v/>
      </c>
      <c r="H510" s="18">
        <f>IF(OR(NOT(ISNUMBER($A510)),ROW()-2&lt;Settings!$B$11),NA(),IF(COUNT(OFFSET(F510,1-Settings!$B$11,0,Settings!$B$11,1))&lt;Settings!$B$11,NA(),STDEV(OFFSET(F510,1-Settings!$B$11,0,Settings!$B$11,1))*SQRT(Settings!$B$13)))</f>
        <v/>
      </c>
      <c r="I510" s="18">
        <f>IF(OR(NOT(ISNUMBER($A510)),ROW()-2&lt;Settings!$B$12),NA(),IF(COUNT(OFFSET(F510,1-Settings!$B$12,0,Settings!$B$12,1))&lt;Settings!$B$12,NA(),STDEV(OFFSET(F510,1-Settings!$B$12,0,Settings!$B$12,1))*SQRT(Settings!$B$13)))</f>
        <v/>
      </c>
      <c r="J510" s="18">
        <f>IF(OR(NOT(ISNUMBER($A510)),ROW()-2&lt;Settings!$B$11),NA(),IF(COUNT(OFFSET(G510,1-Settings!$B$11,0,Settings!$B$11,1))&lt;Settings!$B$11,NA(),STDEV(OFFSET(G510,1-Settings!$B$11,0,Settings!$B$11,1))*SQRT(Settings!$B$13)))</f>
        <v/>
      </c>
      <c r="K510" s="18">
        <f>IF(OR(NOT(ISNUMBER($A510)),ROW()-2&lt;Settings!$B$12),NA(),IF(COUNT(OFFSET(G510,1-Settings!$B$12,0,Settings!$B$12,1))&lt;Settings!$B$12,NA(),STDEV(OFFSET(G510,1-Settings!$B$12,0,Settings!$B$12,1))*SQRT(Settings!$B$13)))</f>
        <v/>
      </c>
      <c r="L510" s="18">
        <f>IF(AND(ISNUMBER(D510),ISNUMBER(H510)),D510-H510,NA())</f>
        <v/>
      </c>
      <c r="M510" s="18">
        <f>IF(AND(ISNUMBER(E510),ISNUMBER(K510)),E510-K510,NA())</f>
        <v/>
      </c>
      <c r="N510" s="18">
        <f>IF(NOT(ISNUMBER($A510)),NA(),IF(COUNT(OFFSET(G510,1,0,Settings!$B$12,1))&lt;Settings!$B$12,NA(),STDEV(OFFSET(G510,1,0,Settings!$B$12,1))*SQRT(Settings!$B$13)))</f>
        <v/>
      </c>
      <c r="O510" s="18">
        <f>IF(AND(ISNUMBER(E510),ISNUMBER(N510)),E510-N510,NA())</f>
        <v/>
      </c>
      <c r="P510" s="17">
        <f>IF(NOT(ISNUMBER($A510)),NA(),IF(OR($A510&lt;MIN(KW_TP!$A$2:$A$2501),$A510&gt;MAX(KW_TP!$A$2:$A$2501)),NA(),INDEX(KW_TP!$C$2:$C$2501,MATCH($A510,KW_TP!$A$2:$A$2501,1))))</f>
        <v/>
      </c>
    </row>
    <row r="511">
      <c r="A511" s="15">
        <f>IF(ISNUMBER(BBG_Data!A511),BBG_Data!A511,"")</f>
        <v/>
      </c>
      <c r="B511" s="16">
        <f>IF(AND(ISNUMBER($A511),ISNUMBER(BBG_Data!B511)),BBG_Data!B511,NA())</f>
        <v/>
      </c>
      <c r="C511" s="16">
        <f>IF(AND(ISNUMBER($A511),ISNUMBER(BBG_Data!C511)),BBG_Data!C511,NA())</f>
        <v/>
      </c>
      <c r="D511" s="17">
        <f>IF(AND(ISNUMBER($A511),ISNUMBER(BBG_Data!D511)),BBG_Data!D511,NA())</f>
        <v/>
      </c>
      <c r="E511" s="17">
        <f>IF(AND(ISNUMBER($A511),ISNUMBER(BBG_Data!E511)),BBG_Data!E511,NA())</f>
        <v/>
      </c>
      <c r="F511" s="18">
        <f>IF(AND(ISNUMBER(B511),ISNUMBER(B510)),(B511-B510)*100,"")</f>
        <v/>
      </c>
      <c r="G511" s="18">
        <f>IF(AND(ISNUMBER(C511),ISNUMBER(C510)),(C511-C510)*100,"")</f>
        <v/>
      </c>
      <c r="H511" s="18">
        <f>IF(OR(NOT(ISNUMBER($A511)),ROW()-2&lt;Settings!$B$11),NA(),IF(COUNT(OFFSET(F511,1-Settings!$B$11,0,Settings!$B$11,1))&lt;Settings!$B$11,NA(),STDEV(OFFSET(F511,1-Settings!$B$11,0,Settings!$B$11,1))*SQRT(Settings!$B$13)))</f>
        <v/>
      </c>
      <c r="I511" s="18">
        <f>IF(OR(NOT(ISNUMBER($A511)),ROW()-2&lt;Settings!$B$12),NA(),IF(COUNT(OFFSET(F511,1-Settings!$B$12,0,Settings!$B$12,1))&lt;Settings!$B$12,NA(),STDEV(OFFSET(F511,1-Settings!$B$12,0,Settings!$B$12,1))*SQRT(Settings!$B$13)))</f>
        <v/>
      </c>
      <c r="J511" s="18">
        <f>IF(OR(NOT(ISNUMBER($A511)),ROW()-2&lt;Settings!$B$11),NA(),IF(COUNT(OFFSET(G511,1-Settings!$B$11,0,Settings!$B$11,1))&lt;Settings!$B$11,NA(),STDEV(OFFSET(G511,1-Settings!$B$11,0,Settings!$B$11,1))*SQRT(Settings!$B$13)))</f>
        <v/>
      </c>
      <c r="K511" s="18">
        <f>IF(OR(NOT(ISNUMBER($A511)),ROW()-2&lt;Settings!$B$12),NA(),IF(COUNT(OFFSET(G511,1-Settings!$B$12,0,Settings!$B$12,1))&lt;Settings!$B$12,NA(),STDEV(OFFSET(G511,1-Settings!$B$12,0,Settings!$B$12,1))*SQRT(Settings!$B$13)))</f>
        <v/>
      </c>
      <c r="L511" s="18">
        <f>IF(AND(ISNUMBER(D511),ISNUMBER(H511)),D511-H511,NA())</f>
        <v/>
      </c>
      <c r="M511" s="18">
        <f>IF(AND(ISNUMBER(E511),ISNUMBER(K511)),E511-K511,NA())</f>
        <v/>
      </c>
      <c r="N511" s="18">
        <f>IF(NOT(ISNUMBER($A511)),NA(),IF(COUNT(OFFSET(G511,1,0,Settings!$B$12,1))&lt;Settings!$B$12,NA(),STDEV(OFFSET(G511,1,0,Settings!$B$12,1))*SQRT(Settings!$B$13)))</f>
        <v/>
      </c>
      <c r="O511" s="18">
        <f>IF(AND(ISNUMBER(E511),ISNUMBER(N511)),E511-N511,NA())</f>
        <v/>
      </c>
      <c r="P511" s="17">
        <f>IF(NOT(ISNUMBER($A511)),NA(),IF(OR($A511&lt;MIN(KW_TP!$A$2:$A$2501),$A511&gt;MAX(KW_TP!$A$2:$A$2501)),NA(),INDEX(KW_TP!$C$2:$C$2501,MATCH($A511,KW_TP!$A$2:$A$2501,1))))</f>
        <v/>
      </c>
    </row>
    <row r="512">
      <c r="A512" s="15">
        <f>IF(ISNUMBER(BBG_Data!A512),BBG_Data!A512,"")</f>
        <v/>
      </c>
      <c r="B512" s="16">
        <f>IF(AND(ISNUMBER($A512),ISNUMBER(BBG_Data!B512)),BBG_Data!B512,NA())</f>
        <v/>
      </c>
      <c r="C512" s="16">
        <f>IF(AND(ISNUMBER($A512),ISNUMBER(BBG_Data!C512)),BBG_Data!C512,NA())</f>
        <v/>
      </c>
      <c r="D512" s="17">
        <f>IF(AND(ISNUMBER($A512),ISNUMBER(BBG_Data!D512)),BBG_Data!D512,NA())</f>
        <v/>
      </c>
      <c r="E512" s="17">
        <f>IF(AND(ISNUMBER($A512),ISNUMBER(BBG_Data!E512)),BBG_Data!E512,NA())</f>
        <v/>
      </c>
      <c r="F512" s="18">
        <f>IF(AND(ISNUMBER(B512),ISNUMBER(B511)),(B512-B511)*100,"")</f>
        <v/>
      </c>
      <c r="G512" s="18">
        <f>IF(AND(ISNUMBER(C512),ISNUMBER(C511)),(C512-C511)*100,"")</f>
        <v/>
      </c>
      <c r="H512" s="18">
        <f>IF(OR(NOT(ISNUMBER($A512)),ROW()-2&lt;Settings!$B$11),NA(),IF(COUNT(OFFSET(F512,1-Settings!$B$11,0,Settings!$B$11,1))&lt;Settings!$B$11,NA(),STDEV(OFFSET(F512,1-Settings!$B$11,0,Settings!$B$11,1))*SQRT(Settings!$B$13)))</f>
        <v/>
      </c>
      <c r="I512" s="18">
        <f>IF(OR(NOT(ISNUMBER($A512)),ROW()-2&lt;Settings!$B$12),NA(),IF(COUNT(OFFSET(F512,1-Settings!$B$12,0,Settings!$B$12,1))&lt;Settings!$B$12,NA(),STDEV(OFFSET(F512,1-Settings!$B$12,0,Settings!$B$12,1))*SQRT(Settings!$B$13)))</f>
        <v/>
      </c>
      <c r="J512" s="18">
        <f>IF(OR(NOT(ISNUMBER($A512)),ROW()-2&lt;Settings!$B$11),NA(),IF(COUNT(OFFSET(G512,1-Settings!$B$11,0,Settings!$B$11,1))&lt;Settings!$B$11,NA(),STDEV(OFFSET(G512,1-Settings!$B$11,0,Settings!$B$11,1))*SQRT(Settings!$B$13)))</f>
        <v/>
      </c>
      <c r="K512" s="18">
        <f>IF(OR(NOT(ISNUMBER($A512)),ROW()-2&lt;Settings!$B$12),NA(),IF(COUNT(OFFSET(G512,1-Settings!$B$12,0,Settings!$B$12,1))&lt;Settings!$B$12,NA(),STDEV(OFFSET(G512,1-Settings!$B$12,0,Settings!$B$12,1))*SQRT(Settings!$B$13)))</f>
        <v/>
      </c>
      <c r="L512" s="18">
        <f>IF(AND(ISNUMBER(D512),ISNUMBER(H512)),D512-H512,NA())</f>
        <v/>
      </c>
      <c r="M512" s="18">
        <f>IF(AND(ISNUMBER(E512),ISNUMBER(K512)),E512-K512,NA())</f>
        <v/>
      </c>
      <c r="N512" s="18">
        <f>IF(NOT(ISNUMBER($A512)),NA(),IF(COUNT(OFFSET(G512,1,0,Settings!$B$12,1))&lt;Settings!$B$12,NA(),STDEV(OFFSET(G512,1,0,Settings!$B$12,1))*SQRT(Settings!$B$13)))</f>
        <v/>
      </c>
      <c r="O512" s="18">
        <f>IF(AND(ISNUMBER(E512),ISNUMBER(N512)),E512-N512,NA())</f>
        <v/>
      </c>
      <c r="P512" s="17">
        <f>IF(NOT(ISNUMBER($A512)),NA(),IF(OR($A512&lt;MIN(KW_TP!$A$2:$A$2501),$A512&gt;MAX(KW_TP!$A$2:$A$2501)),NA(),INDEX(KW_TP!$C$2:$C$2501,MATCH($A512,KW_TP!$A$2:$A$2501,1))))</f>
        <v/>
      </c>
    </row>
    <row r="513">
      <c r="A513" s="15">
        <f>IF(ISNUMBER(BBG_Data!A513),BBG_Data!A513,"")</f>
        <v/>
      </c>
      <c r="B513" s="16">
        <f>IF(AND(ISNUMBER($A513),ISNUMBER(BBG_Data!B513)),BBG_Data!B513,NA())</f>
        <v/>
      </c>
      <c r="C513" s="16">
        <f>IF(AND(ISNUMBER($A513),ISNUMBER(BBG_Data!C513)),BBG_Data!C513,NA())</f>
        <v/>
      </c>
      <c r="D513" s="17">
        <f>IF(AND(ISNUMBER($A513),ISNUMBER(BBG_Data!D513)),BBG_Data!D513,NA())</f>
        <v/>
      </c>
      <c r="E513" s="17">
        <f>IF(AND(ISNUMBER($A513),ISNUMBER(BBG_Data!E513)),BBG_Data!E513,NA())</f>
        <v/>
      </c>
      <c r="F513" s="18">
        <f>IF(AND(ISNUMBER(B513),ISNUMBER(B512)),(B513-B512)*100,"")</f>
        <v/>
      </c>
      <c r="G513" s="18">
        <f>IF(AND(ISNUMBER(C513),ISNUMBER(C512)),(C513-C512)*100,"")</f>
        <v/>
      </c>
      <c r="H513" s="18">
        <f>IF(OR(NOT(ISNUMBER($A513)),ROW()-2&lt;Settings!$B$11),NA(),IF(COUNT(OFFSET(F513,1-Settings!$B$11,0,Settings!$B$11,1))&lt;Settings!$B$11,NA(),STDEV(OFFSET(F513,1-Settings!$B$11,0,Settings!$B$11,1))*SQRT(Settings!$B$13)))</f>
        <v/>
      </c>
      <c r="I513" s="18">
        <f>IF(OR(NOT(ISNUMBER($A513)),ROW()-2&lt;Settings!$B$12),NA(),IF(COUNT(OFFSET(F513,1-Settings!$B$12,0,Settings!$B$12,1))&lt;Settings!$B$12,NA(),STDEV(OFFSET(F513,1-Settings!$B$12,0,Settings!$B$12,1))*SQRT(Settings!$B$13)))</f>
        <v/>
      </c>
      <c r="J513" s="18">
        <f>IF(OR(NOT(ISNUMBER($A513)),ROW()-2&lt;Settings!$B$11),NA(),IF(COUNT(OFFSET(G513,1-Settings!$B$11,0,Settings!$B$11,1))&lt;Settings!$B$11,NA(),STDEV(OFFSET(G513,1-Settings!$B$11,0,Settings!$B$11,1))*SQRT(Settings!$B$13)))</f>
        <v/>
      </c>
      <c r="K513" s="18">
        <f>IF(OR(NOT(ISNUMBER($A513)),ROW()-2&lt;Settings!$B$12),NA(),IF(COUNT(OFFSET(G513,1-Settings!$B$12,0,Settings!$B$12,1))&lt;Settings!$B$12,NA(),STDEV(OFFSET(G513,1-Settings!$B$12,0,Settings!$B$12,1))*SQRT(Settings!$B$13)))</f>
        <v/>
      </c>
      <c r="L513" s="18">
        <f>IF(AND(ISNUMBER(D513),ISNUMBER(H513)),D513-H513,NA())</f>
        <v/>
      </c>
      <c r="M513" s="18">
        <f>IF(AND(ISNUMBER(E513),ISNUMBER(K513)),E513-K513,NA())</f>
        <v/>
      </c>
      <c r="N513" s="18">
        <f>IF(NOT(ISNUMBER($A513)),NA(),IF(COUNT(OFFSET(G513,1,0,Settings!$B$12,1))&lt;Settings!$B$12,NA(),STDEV(OFFSET(G513,1,0,Settings!$B$12,1))*SQRT(Settings!$B$13)))</f>
        <v/>
      </c>
      <c r="O513" s="18">
        <f>IF(AND(ISNUMBER(E513),ISNUMBER(N513)),E513-N513,NA())</f>
        <v/>
      </c>
      <c r="P513" s="17">
        <f>IF(NOT(ISNUMBER($A513)),NA(),IF(OR($A513&lt;MIN(KW_TP!$A$2:$A$2501),$A513&gt;MAX(KW_TP!$A$2:$A$2501)),NA(),INDEX(KW_TP!$C$2:$C$2501,MATCH($A513,KW_TP!$A$2:$A$2501,1))))</f>
        <v/>
      </c>
    </row>
    <row r="514">
      <c r="A514" s="15">
        <f>IF(ISNUMBER(BBG_Data!A514),BBG_Data!A514,"")</f>
        <v/>
      </c>
      <c r="B514" s="16">
        <f>IF(AND(ISNUMBER($A514),ISNUMBER(BBG_Data!B514)),BBG_Data!B514,NA())</f>
        <v/>
      </c>
      <c r="C514" s="16">
        <f>IF(AND(ISNUMBER($A514),ISNUMBER(BBG_Data!C514)),BBG_Data!C514,NA())</f>
        <v/>
      </c>
      <c r="D514" s="17">
        <f>IF(AND(ISNUMBER($A514),ISNUMBER(BBG_Data!D514)),BBG_Data!D514,NA())</f>
        <v/>
      </c>
      <c r="E514" s="17">
        <f>IF(AND(ISNUMBER($A514),ISNUMBER(BBG_Data!E514)),BBG_Data!E514,NA())</f>
        <v/>
      </c>
      <c r="F514" s="18">
        <f>IF(AND(ISNUMBER(B514),ISNUMBER(B513)),(B514-B513)*100,"")</f>
        <v/>
      </c>
      <c r="G514" s="18">
        <f>IF(AND(ISNUMBER(C514),ISNUMBER(C513)),(C514-C513)*100,"")</f>
        <v/>
      </c>
      <c r="H514" s="18">
        <f>IF(OR(NOT(ISNUMBER($A514)),ROW()-2&lt;Settings!$B$11),NA(),IF(COUNT(OFFSET(F514,1-Settings!$B$11,0,Settings!$B$11,1))&lt;Settings!$B$11,NA(),STDEV(OFFSET(F514,1-Settings!$B$11,0,Settings!$B$11,1))*SQRT(Settings!$B$13)))</f>
        <v/>
      </c>
      <c r="I514" s="18">
        <f>IF(OR(NOT(ISNUMBER($A514)),ROW()-2&lt;Settings!$B$12),NA(),IF(COUNT(OFFSET(F514,1-Settings!$B$12,0,Settings!$B$12,1))&lt;Settings!$B$12,NA(),STDEV(OFFSET(F514,1-Settings!$B$12,0,Settings!$B$12,1))*SQRT(Settings!$B$13)))</f>
        <v/>
      </c>
      <c r="J514" s="18">
        <f>IF(OR(NOT(ISNUMBER($A514)),ROW()-2&lt;Settings!$B$11),NA(),IF(COUNT(OFFSET(G514,1-Settings!$B$11,0,Settings!$B$11,1))&lt;Settings!$B$11,NA(),STDEV(OFFSET(G514,1-Settings!$B$11,0,Settings!$B$11,1))*SQRT(Settings!$B$13)))</f>
        <v/>
      </c>
      <c r="K514" s="18">
        <f>IF(OR(NOT(ISNUMBER($A514)),ROW()-2&lt;Settings!$B$12),NA(),IF(COUNT(OFFSET(G514,1-Settings!$B$12,0,Settings!$B$12,1))&lt;Settings!$B$12,NA(),STDEV(OFFSET(G514,1-Settings!$B$12,0,Settings!$B$12,1))*SQRT(Settings!$B$13)))</f>
        <v/>
      </c>
      <c r="L514" s="18">
        <f>IF(AND(ISNUMBER(D514),ISNUMBER(H514)),D514-H514,NA())</f>
        <v/>
      </c>
      <c r="M514" s="18">
        <f>IF(AND(ISNUMBER(E514),ISNUMBER(K514)),E514-K514,NA())</f>
        <v/>
      </c>
      <c r="N514" s="18">
        <f>IF(NOT(ISNUMBER($A514)),NA(),IF(COUNT(OFFSET(G514,1,0,Settings!$B$12,1))&lt;Settings!$B$12,NA(),STDEV(OFFSET(G514,1,0,Settings!$B$12,1))*SQRT(Settings!$B$13)))</f>
        <v/>
      </c>
      <c r="O514" s="18">
        <f>IF(AND(ISNUMBER(E514),ISNUMBER(N514)),E514-N514,NA())</f>
        <v/>
      </c>
      <c r="P514" s="17">
        <f>IF(NOT(ISNUMBER($A514)),NA(),IF(OR($A514&lt;MIN(KW_TP!$A$2:$A$2501),$A514&gt;MAX(KW_TP!$A$2:$A$2501)),NA(),INDEX(KW_TP!$C$2:$C$2501,MATCH($A514,KW_TP!$A$2:$A$2501,1))))</f>
        <v/>
      </c>
    </row>
    <row r="515">
      <c r="A515" s="15">
        <f>IF(ISNUMBER(BBG_Data!A515),BBG_Data!A515,"")</f>
        <v/>
      </c>
      <c r="B515" s="16">
        <f>IF(AND(ISNUMBER($A515),ISNUMBER(BBG_Data!B515)),BBG_Data!B515,NA())</f>
        <v/>
      </c>
      <c r="C515" s="16">
        <f>IF(AND(ISNUMBER($A515),ISNUMBER(BBG_Data!C515)),BBG_Data!C515,NA())</f>
        <v/>
      </c>
      <c r="D515" s="17">
        <f>IF(AND(ISNUMBER($A515),ISNUMBER(BBG_Data!D515)),BBG_Data!D515,NA())</f>
        <v/>
      </c>
      <c r="E515" s="17">
        <f>IF(AND(ISNUMBER($A515),ISNUMBER(BBG_Data!E515)),BBG_Data!E515,NA())</f>
        <v/>
      </c>
      <c r="F515" s="18">
        <f>IF(AND(ISNUMBER(B515),ISNUMBER(B514)),(B515-B514)*100,"")</f>
        <v/>
      </c>
      <c r="G515" s="18">
        <f>IF(AND(ISNUMBER(C515),ISNUMBER(C514)),(C515-C514)*100,"")</f>
        <v/>
      </c>
      <c r="H515" s="18">
        <f>IF(OR(NOT(ISNUMBER($A515)),ROW()-2&lt;Settings!$B$11),NA(),IF(COUNT(OFFSET(F515,1-Settings!$B$11,0,Settings!$B$11,1))&lt;Settings!$B$11,NA(),STDEV(OFFSET(F515,1-Settings!$B$11,0,Settings!$B$11,1))*SQRT(Settings!$B$13)))</f>
        <v/>
      </c>
      <c r="I515" s="18">
        <f>IF(OR(NOT(ISNUMBER($A515)),ROW()-2&lt;Settings!$B$12),NA(),IF(COUNT(OFFSET(F515,1-Settings!$B$12,0,Settings!$B$12,1))&lt;Settings!$B$12,NA(),STDEV(OFFSET(F515,1-Settings!$B$12,0,Settings!$B$12,1))*SQRT(Settings!$B$13)))</f>
        <v/>
      </c>
      <c r="J515" s="18">
        <f>IF(OR(NOT(ISNUMBER($A515)),ROW()-2&lt;Settings!$B$11),NA(),IF(COUNT(OFFSET(G515,1-Settings!$B$11,0,Settings!$B$11,1))&lt;Settings!$B$11,NA(),STDEV(OFFSET(G515,1-Settings!$B$11,0,Settings!$B$11,1))*SQRT(Settings!$B$13)))</f>
        <v/>
      </c>
      <c r="K515" s="18">
        <f>IF(OR(NOT(ISNUMBER($A515)),ROW()-2&lt;Settings!$B$12),NA(),IF(COUNT(OFFSET(G515,1-Settings!$B$12,0,Settings!$B$12,1))&lt;Settings!$B$12,NA(),STDEV(OFFSET(G515,1-Settings!$B$12,0,Settings!$B$12,1))*SQRT(Settings!$B$13)))</f>
        <v/>
      </c>
      <c r="L515" s="18">
        <f>IF(AND(ISNUMBER(D515),ISNUMBER(H515)),D515-H515,NA())</f>
        <v/>
      </c>
      <c r="M515" s="18">
        <f>IF(AND(ISNUMBER(E515),ISNUMBER(K515)),E515-K515,NA())</f>
        <v/>
      </c>
      <c r="N515" s="18">
        <f>IF(NOT(ISNUMBER($A515)),NA(),IF(COUNT(OFFSET(G515,1,0,Settings!$B$12,1))&lt;Settings!$B$12,NA(),STDEV(OFFSET(G515,1,0,Settings!$B$12,1))*SQRT(Settings!$B$13)))</f>
        <v/>
      </c>
      <c r="O515" s="18">
        <f>IF(AND(ISNUMBER(E515),ISNUMBER(N515)),E515-N515,NA())</f>
        <v/>
      </c>
      <c r="P515" s="17">
        <f>IF(NOT(ISNUMBER($A515)),NA(),IF(OR($A515&lt;MIN(KW_TP!$A$2:$A$2501),$A515&gt;MAX(KW_TP!$A$2:$A$2501)),NA(),INDEX(KW_TP!$C$2:$C$2501,MATCH($A515,KW_TP!$A$2:$A$2501,1))))</f>
        <v/>
      </c>
    </row>
    <row r="516">
      <c r="A516" s="15">
        <f>IF(ISNUMBER(BBG_Data!A516),BBG_Data!A516,"")</f>
        <v/>
      </c>
      <c r="B516" s="16">
        <f>IF(AND(ISNUMBER($A516),ISNUMBER(BBG_Data!B516)),BBG_Data!B516,NA())</f>
        <v/>
      </c>
      <c r="C516" s="16">
        <f>IF(AND(ISNUMBER($A516),ISNUMBER(BBG_Data!C516)),BBG_Data!C516,NA())</f>
        <v/>
      </c>
      <c r="D516" s="17">
        <f>IF(AND(ISNUMBER($A516),ISNUMBER(BBG_Data!D516)),BBG_Data!D516,NA())</f>
        <v/>
      </c>
      <c r="E516" s="17">
        <f>IF(AND(ISNUMBER($A516),ISNUMBER(BBG_Data!E516)),BBG_Data!E516,NA())</f>
        <v/>
      </c>
      <c r="F516" s="18">
        <f>IF(AND(ISNUMBER(B516),ISNUMBER(B515)),(B516-B515)*100,"")</f>
        <v/>
      </c>
      <c r="G516" s="18">
        <f>IF(AND(ISNUMBER(C516),ISNUMBER(C515)),(C516-C515)*100,"")</f>
        <v/>
      </c>
      <c r="H516" s="18">
        <f>IF(OR(NOT(ISNUMBER($A516)),ROW()-2&lt;Settings!$B$11),NA(),IF(COUNT(OFFSET(F516,1-Settings!$B$11,0,Settings!$B$11,1))&lt;Settings!$B$11,NA(),STDEV(OFFSET(F516,1-Settings!$B$11,0,Settings!$B$11,1))*SQRT(Settings!$B$13)))</f>
        <v/>
      </c>
      <c r="I516" s="18">
        <f>IF(OR(NOT(ISNUMBER($A516)),ROW()-2&lt;Settings!$B$12),NA(),IF(COUNT(OFFSET(F516,1-Settings!$B$12,0,Settings!$B$12,1))&lt;Settings!$B$12,NA(),STDEV(OFFSET(F516,1-Settings!$B$12,0,Settings!$B$12,1))*SQRT(Settings!$B$13)))</f>
        <v/>
      </c>
      <c r="J516" s="18">
        <f>IF(OR(NOT(ISNUMBER($A516)),ROW()-2&lt;Settings!$B$11),NA(),IF(COUNT(OFFSET(G516,1-Settings!$B$11,0,Settings!$B$11,1))&lt;Settings!$B$11,NA(),STDEV(OFFSET(G516,1-Settings!$B$11,0,Settings!$B$11,1))*SQRT(Settings!$B$13)))</f>
        <v/>
      </c>
      <c r="K516" s="18">
        <f>IF(OR(NOT(ISNUMBER($A516)),ROW()-2&lt;Settings!$B$12),NA(),IF(COUNT(OFFSET(G516,1-Settings!$B$12,0,Settings!$B$12,1))&lt;Settings!$B$12,NA(),STDEV(OFFSET(G516,1-Settings!$B$12,0,Settings!$B$12,1))*SQRT(Settings!$B$13)))</f>
        <v/>
      </c>
      <c r="L516" s="18">
        <f>IF(AND(ISNUMBER(D516),ISNUMBER(H516)),D516-H516,NA())</f>
        <v/>
      </c>
      <c r="M516" s="18">
        <f>IF(AND(ISNUMBER(E516),ISNUMBER(K516)),E516-K516,NA())</f>
        <v/>
      </c>
      <c r="N516" s="18">
        <f>IF(NOT(ISNUMBER($A516)),NA(),IF(COUNT(OFFSET(G516,1,0,Settings!$B$12,1))&lt;Settings!$B$12,NA(),STDEV(OFFSET(G516,1,0,Settings!$B$12,1))*SQRT(Settings!$B$13)))</f>
        <v/>
      </c>
      <c r="O516" s="18">
        <f>IF(AND(ISNUMBER(E516),ISNUMBER(N516)),E516-N516,NA())</f>
        <v/>
      </c>
      <c r="P516" s="17">
        <f>IF(NOT(ISNUMBER($A516)),NA(),IF(OR($A516&lt;MIN(KW_TP!$A$2:$A$2501),$A516&gt;MAX(KW_TP!$A$2:$A$2501)),NA(),INDEX(KW_TP!$C$2:$C$2501,MATCH($A516,KW_TP!$A$2:$A$2501,1))))</f>
        <v/>
      </c>
    </row>
    <row r="517">
      <c r="A517" s="15">
        <f>IF(ISNUMBER(BBG_Data!A517),BBG_Data!A517,"")</f>
        <v/>
      </c>
      <c r="B517" s="16">
        <f>IF(AND(ISNUMBER($A517),ISNUMBER(BBG_Data!B517)),BBG_Data!B517,NA())</f>
        <v/>
      </c>
      <c r="C517" s="16">
        <f>IF(AND(ISNUMBER($A517),ISNUMBER(BBG_Data!C517)),BBG_Data!C517,NA())</f>
        <v/>
      </c>
      <c r="D517" s="17">
        <f>IF(AND(ISNUMBER($A517),ISNUMBER(BBG_Data!D517)),BBG_Data!D517,NA())</f>
        <v/>
      </c>
      <c r="E517" s="17">
        <f>IF(AND(ISNUMBER($A517),ISNUMBER(BBG_Data!E517)),BBG_Data!E517,NA())</f>
        <v/>
      </c>
      <c r="F517" s="18">
        <f>IF(AND(ISNUMBER(B517),ISNUMBER(B516)),(B517-B516)*100,"")</f>
        <v/>
      </c>
      <c r="G517" s="18">
        <f>IF(AND(ISNUMBER(C517),ISNUMBER(C516)),(C517-C516)*100,"")</f>
        <v/>
      </c>
      <c r="H517" s="18">
        <f>IF(OR(NOT(ISNUMBER($A517)),ROW()-2&lt;Settings!$B$11),NA(),IF(COUNT(OFFSET(F517,1-Settings!$B$11,0,Settings!$B$11,1))&lt;Settings!$B$11,NA(),STDEV(OFFSET(F517,1-Settings!$B$11,0,Settings!$B$11,1))*SQRT(Settings!$B$13)))</f>
        <v/>
      </c>
      <c r="I517" s="18">
        <f>IF(OR(NOT(ISNUMBER($A517)),ROW()-2&lt;Settings!$B$12),NA(),IF(COUNT(OFFSET(F517,1-Settings!$B$12,0,Settings!$B$12,1))&lt;Settings!$B$12,NA(),STDEV(OFFSET(F517,1-Settings!$B$12,0,Settings!$B$12,1))*SQRT(Settings!$B$13)))</f>
        <v/>
      </c>
      <c r="J517" s="18">
        <f>IF(OR(NOT(ISNUMBER($A517)),ROW()-2&lt;Settings!$B$11),NA(),IF(COUNT(OFFSET(G517,1-Settings!$B$11,0,Settings!$B$11,1))&lt;Settings!$B$11,NA(),STDEV(OFFSET(G517,1-Settings!$B$11,0,Settings!$B$11,1))*SQRT(Settings!$B$13)))</f>
        <v/>
      </c>
      <c r="K517" s="18">
        <f>IF(OR(NOT(ISNUMBER($A517)),ROW()-2&lt;Settings!$B$12),NA(),IF(COUNT(OFFSET(G517,1-Settings!$B$12,0,Settings!$B$12,1))&lt;Settings!$B$12,NA(),STDEV(OFFSET(G517,1-Settings!$B$12,0,Settings!$B$12,1))*SQRT(Settings!$B$13)))</f>
        <v/>
      </c>
      <c r="L517" s="18">
        <f>IF(AND(ISNUMBER(D517),ISNUMBER(H517)),D517-H517,NA())</f>
        <v/>
      </c>
      <c r="M517" s="18">
        <f>IF(AND(ISNUMBER(E517),ISNUMBER(K517)),E517-K517,NA())</f>
        <v/>
      </c>
      <c r="N517" s="18">
        <f>IF(NOT(ISNUMBER($A517)),NA(),IF(COUNT(OFFSET(G517,1,0,Settings!$B$12,1))&lt;Settings!$B$12,NA(),STDEV(OFFSET(G517,1,0,Settings!$B$12,1))*SQRT(Settings!$B$13)))</f>
        <v/>
      </c>
      <c r="O517" s="18">
        <f>IF(AND(ISNUMBER(E517),ISNUMBER(N517)),E517-N517,NA())</f>
        <v/>
      </c>
      <c r="P517" s="17">
        <f>IF(NOT(ISNUMBER($A517)),NA(),IF(OR($A517&lt;MIN(KW_TP!$A$2:$A$2501),$A517&gt;MAX(KW_TP!$A$2:$A$2501)),NA(),INDEX(KW_TP!$C$2:$C$2501,MATCH($A517,KW_TP!$A$2:$A$2501,1))))</f>
        <v/>
      </c>
    </row>
    <row r="518">
      <c r="A518" s="15">
        <f>IF(ISNUMBER(BBG_Data!A518),BBG_Data!A518,"")</f>
        <v/>
      </c>
      <c r="B518" s="16">
        <f>IF(AND(ISNUMBER($A518),ISNUMBER(BBG_Data!B518)),BBG_Data!B518,NA())</f>
        <v/>
      </c>
      <c r="C518" s="16">
        <f>IF(AND(ISNUMBER($A518),ISNUMBER(BBG_Data!C518)),BBG_Data!C518,NA())</f>
        <v/>
      </c>
      <c r="D518" s="17">
        <f>IF(AND(ISNUMBER($A518),ISNUMBER(BBG_Data!D518)),BBG_Data!D518,NA())</f>
        <v/>
      </c>
      <c r="E518" s="17">
        <f>IF(AND(ISNUMBER($A518),ISNUMBER(BBG_Data!E518)),BBG_Data!E518,NA())</f>
        <v/>
      </c>
      <c r="F518" s="18">
        <f>IF(AND(ISNUMBER(B518),ISNUMBER(B517)),(B518-B517)*100,"")</f>
        <v/>
      </c>
      <c r="G518" s="18">
        <f>IF(AND(ISNUMBER(C518),ISNUMBER(C517)),(C518-C517)*100,"")</f>
        <v/>
      </c>
      <c r="H518" s="18">
        <f>IF(OR(NOT(ISNUMBER($A518)),ROW()-2&lt;Settings!$B$11),NA(),IF(COUNT(OFFSET(F518,1-Settings!$B$11,0,Settings!$B$11,1))&lt;Settings!$B$11,NA(),STDEV(OFFSET(F518,1-Settings!$B$11,0,Settings!$B$11,1))*SQRT(Settings!$B$13)))</f>
        <v/>
      </c>
      <c r="I518" s="18">
        <f>IF(OR(NOT(ISNUMBER($A518)),ROW()-2&lt;Settings!$B$12),NA(),IF(COUNT(OFFSET(F518,1-Settings!$B$12,0,Settings!$B$12,1))&lt;Settings!$B$12,NA(),STDEV(OFFSET(F518,1-Settings!$B$12,0,Settings!$B$12,1))*SQRT(Settings!$B$13)))</f>
        <v/>
      </c>
      <c r="J518" s="18">
        <f>IF(OR(NOT(ISNUMBER($A518)),ROW()-2&lt;Settings!$B$11),NA(),IF(COUNT(OFFSET(G518,1-Settings!$B$11,0,Settings!$B$11,1))&lt;Settings!$B$11,NA(),STDEV(OFFSET(G518,1-Settings!$B$11,0,Settings!$B$11,1))*SQRT(Settings!$B$13)))</f>
        <v/>
      </c>
      <c r="K518" s="18">
        <f>IF(OR(NOT(ISNUMBER($A518)),ROW()-2&lt;Settings!$B$12),NA(),IF(COUNT(OFFSET(G518,1-Settings!$B$12,0,Settings!$B$12,1))&lt;Settings!$B$12,NA(),STDEV(OFFSET(G518,1-Settings!$B$12,0,Settings!$B$12,1))*SQRT(Settings!$B$13)))</f>
        <v/>
      </c>
      <c r="L518" s="18">
        <f>IF(AND(ISNUMBER(D518),ISNUMBER(H518)),D518-H518,NA())</f>
        <v/>
      </c>
      <c r="M518" s="18">
        <f>IF(AND(ISNUMBER(E518),ISNUMBER(K518)),E518-K518,NA())</f>
        <v/>
      </c>
      <c r="N518" s="18">
        <f>IF(NOT(ISNUMBER($A518)),NA(),IF(COUNT(OFFSET(G518,1,0,Settings!$B$12,1))&lt;Settings!$B$12,NA(),STDEV(OFFSET(G518,1,0,Settings!$B$12,1))*SQRT(Settings!$B$13)))</f>
        <v/>
      </c>
      <c r="O518" s="18">
        <f>IF(AND(ISNUMBER(E518),ISNUMBER(N518)),E518-N518,NA())</f>
        <v/>
      </c>
      <c r="P518" s="17">
        <f>IF(NOT(ISNUMBER($A518)),NA(),IF(OR($A518&lt;MIN(KW_TP!$A$2:$A$2501),$A518&gt;MAX(KW_TP!$A$2:$A$2501)),NA(),INDEX(KW_TP!$C$2:$C$2501,MATCH($A518,KW_TP!$A$2:$A$2501,1))))</f>
        <v/>
      </c>
    </row>
    <row r="519">
      <c r="A519" s="15">
        <f>IF(ISNUMBER(BBG_Data!A519),BBG_Data!A519,"")</f>
        <v/>
      </c>
      <c r="B519" s="16">
        <f>IF(AND(ISNUMBER($A519),ISNUMBER(BBG_Data!B519)),BBG_Data!B519,NA())</f>
        <v/>
      </c>
      <c r="C519" s="16">
        <f>IF(AND(ISNUMBER($A519),ISNUMBER(BBG_Data!C519)),BBG_Data!C519,NA())</f>
        <v/>
      </c>
      <c r="D519" s="17">
        <f>IF(AND(ISNUMBER($A519),ISNUMBER(BBG_Data!D519)),BBG_Data!D519,NA())</f>
        <v/>
      </c>
      <c r="E519" s="17">
        <f>IF(AND(ISNUMBER($A519),ISNUMBER(BBG_Data!E519)),BBG_Data!E519,NA())</f>
        <v/>
      </c>
      <c r="F519" s="18">
        <f>IF(AND(ISNUMBER(B519),ISNUMBER(B518)),(B519-B518)*100,"")</f>
        <v/>
      </c>
      <c r="G519" s="18">
        <f>IF(AND(ISNUMBER(C519),ISNUMBER(C518)),(C519-C518)*100,"")</f>
        <v/>
      </c>
      <c r="H519" s="18">
        <f>IF(OR(NOT(ISNUMBER($A519)),ROW()-2&lt;Settings!$B$11),NA(),IF(COUNT(OFFSET(F519,1-Settings!$B$11,0,Settings!$B$11,1))&lt;Settings!$B$11,NA(),STDEV(OFFSET(F519,1-Settings!$B$11,0,Settings!$B$11,1))*SQRT(Settings!$B$13)))</f>
        <v/>
      </c>
      <c r="I519" s="18">
        <f>IF(OR(NOT(ISNUMBER($A519)),ROW()-2&lt;Settings!$B$12),NA(),IF(COUNT(OFFSET(F519,1-Settings!$B$12,0,Settings!$B$12,1))&lt;Settings!$B$12,NA(),STDEV(OFFSET(F519,1-Settings!$B$12,0,Settings!$B$12,1))*SQRT(Settings!$B$13)))</f>
        <v/>
      </c>
      <c r="J519" s="18">
        <f>IF(OR(NOT(ISNUMBER($A519)),ROW()-2&lt;Settings!$B$11),NA(),IF(COUNT(OFFSET(G519,1-Settings!$B$11,0,Settings!$B$11,1))&lt;Settings!$B$11,NA(),STDEV(OFFSET(G519,1-Settings!$B$11,0,Settings!$B$11,1))*SQRT(Settings!$B$13)))</f>
        <v/>
      </c>
      <c r="K519" s="18">
        <f>IF(OR(NOT(ISNUMBER($A519)),ROW()-2&lt;Settings!$B$12),NA(),IF(COUNT(OFFSET(G519,1-Settings!$B$12,0,Settings!$B$12,1))&lt;Settings!$B$12,NA(),STDEV(OFFSET(G519,1-Settings!$B$12,0,Settings!$B$12,1))*SQRT(Settings!$B$13)))</f>
        <v/>
      </c>
      <c r="L519" s="18">
        <f>IF(AND(ISNUMBER(D519),ISNUMBER(H519)),D519-H519,NA())</f>
        <v/>
      </c>
      <c r="M519" s="18">
        <f>IF(AND(ISNUMBER(E519),ISNUMBER(K519)),E519-K519,NA())</f>
        <v/>
      </c>
      <c r="N519" s="18">
        <f>IF(NOT(ISNUMBER($A519)),NA(),IF(COUNT(OFFSET(G519,1,0,Settings!$B$12,1))&lt;Settings!$B$12,NA(),STDEV(OFFSET(G519,1,0,Settings!$B$12,1))*SQRT(Settings!$B$13)))</f>
        <v/>
      </c>
      <c r="O519" s="18">
        <f>IF(AND(ISNUMBER(E519),ISNUMBER(N519)),E519-N519,NA())</f>
        <v/>
      </c>
      <c r="P519" s="17">
        <f>IF(NOT(ISNUMBER($A519)),NA(),IF(OR($A519&lt;MIN(KW_TP!$A$2:$A$2501),$A519&gt;MAX(KW_TP!$A$2:$A$2501)),NA(),INDEX(KW_TP!$C$2:$C$2501,MATCH($A519,KW_TP!$A$2:$A$2501,1))))</f>
        <v/>
      </c>
    </row>
    <row r="520">
      <c r="A520" s="15">
        <f>IF(ISNUMBER(BBG_Data!A520),BBG_Data!A520,"")</f>
        <v/>
      </c>
      <c r="B520" s="16">
        <f>IF(AND(ISNUMBER($A520),ISNUMBER(BBG_Data!B520)),BBG_Data!B520,NA())</f>
        <v/>
      </c>
      <c r="C520" s="16">
        <f>IF(AND(ISNUMBER($A520),ISNUMBER(BBG_Data!C520)),BBG_Data!C520,NA())</f>
        <v/>
      </c>
      <c r="D520" s="17">
        <f>IF(AND(ISNUMBER($A520),ISNUMBER(BBG_Data!D520)),BBG_Data!D520,NA())</f>
        <v/>
      </c>
      <c r="E520" s="17">
        <f>IF(AND(ISNUMBER($A520),ISNUMBER(BBG_Data!E520)),BBG_Data!E520,NA())</f>
        <v/>
      </c>
      <c r="F520" s="18">
        <f>IF(AND(ISNUMBER(B520),ISNUMBER(B519)),(B520-B519)*100,"")</f>
        <v/>
      </c>
      <c r="G520" s="18">
        <f>IF(AND(ISNUMBER(C520),ISNUMBER(C519)),(C520-C519)*100,"")</f>
        <v/>
      </c>
      <c r="H520" s="18">
        <f>IF(OR(NOT(ISNUMBER($A520)),ROW()-2&lt;Settings!$B$11),NA(),IF(COUNT(OFFSET(F520,1-Settings!$B$11,0,Settings!$B$11,1))&lt;Settings!$B$11,NA(),STDEV(OFFSET(F520,1-Settings!$B$11,0,Settings!$B$11,1))*SQRT(Settings!$B$13)))</f>
        <v/>
      </c>
      <c r="I520" s="18">
        <f>IF(OR(NOT(ISNUMBER($A520)),ROW()-2&lt;Settings!$B$12),NA(),IF(COUNT(OFFSET(F520,1-Settings!$B$12,0,Settings!$B$12,1))&lt;Settings!$B$12,NA(),STDEV(OFFSET(F520,1-Settings!$B$12,0,Settings!$B$12,1))*SQRT(Settings!$B$13)))</f>
        <v/>
      </c>
      <c r="J520" s="18">
        <f>IF(OR(NOT(ISNUMBER($A520)),ROW()-2&lt;Settings!$B$11),NA(),IF(COUNT(OFFSET(G520,1-Settings!$B$11,0,Settings!$B$11,1))&lt;Settings!$B$11,NA(),STDEV(OFFSET(G520,1-Settings!$B$11,0,Settings!$B$11,1))*SQRT(Settings!$B$13)))</f>
        <v/>
      </c>
      <c r="K520" s="18">
        <f>IF(OR(NOT(ISNUMBER($A520)),ROW()-2&lt;Settings!$B$12),NA(),IF(COUNT(OFFSET(G520,1-Settings!$B$12,0,Settings!$B$12,1))&lt;Settings!$B$12,NA(),STDEV(OFFSET(G520,1-Settings!$B$12,0,Settings!$B$12,1))*SQRT(Settings!$B$13)))</f>
        <v/>
      </c>
      <c r="L520" s="18">
        <f>IF(AND(ISNUMBER(D520),ISNUMBER(H520)),D520-H520,NA())</f>
        <v/>
      </c>
      <c r="M520" s="18">
        <f>IF(AND(ISNUMBER(E520),ISNUMBER(K520)),E520-K520,NA())</f>
        <v/>
      </c>
      <c r="N520" s="18">
        <f>IF(NOT(ISNUMBER($A520)),NA(),IF(COUNT(OFFSET(G520,1,0,Settings!$B$12,1))&lt;Settings!$B$12,NA(),STDEV(OFFSET(G520,1,0,Settings!$B$12,1))*SQRT(Settings!$B$13)))</f>
        <v/>
      </c>
      <c r="O520" s="18">
        <f>IF(AND(ISNUMBER(E520),ISNUMBER(N520)),E520-N520,NA())</f>
        <v/>
      </c>
      <c r="P520" s="17">
        <f>IF(NOT(ISNUMBER($A520)),NA(),IF(OR($A520&lt;MIN(KW_TP!$A$2:$A$2501),$A520&gt;MAX(KW_TP!$A$2:$A$2501)),NA(),INDEX(KW_TP!$C$2:$C$2501,MATCH($A520,KW_TP!$A$2:$A$2501,1))))</f>
        <v/>
      </c>
    </row>
    <row r="521">
      <c r="A521" s="15">
        <f>IF(ISNUMBER(BBG_Data!A521),BBG_Data!A521,"")</f>
        <v/>
      </c>
      <c r="B521" s="16">
        <f>IF(AND(ISNUMBER($A521),ISNUMBER(BBG_Data!B521)),BBG_Data!B521,NA())</f>
        <v/>
      </c>
      <c r="C521" s="16">
        <f>IF(AND(ISNUMBER($A521),ISNUMBER(BBG_Data!C521)),BBG_Data!C521,NA())</f>
        <v/>
      </c>
      <c r="D521" s="17">
        <f>IF(AND(ISNUMBER($A521),ISNUMBER(BBG_Data!D521)),BBG_Data!D521,NA())</f>
        <v/>
      </c>
      <c r="E521" s="17">
        <f>IF(AND(ISNUMBER($A521),ISNUMBER(BBG_Data!E521)),BBG_Data!E521,NA())</f>
        <v/>
      </c>
      <c r="F521" s="18">
        <f>IF(AND(ISNUMBER(B521),ISNUMBER(B520)),(B521-B520)*100,"")</f>
        <v/>
      </c>
      <c r="G521" s="18">
        <f>IF(AND(ISNUMBER(C521),ISNUMBER(C520)),(C521-C520)*100,"")</f>
        <v/>
      </c>
      <c r="H521" s="18">
        <f>IF(OR(NOT(ISNUMBER($A521)),ROW()-2&lt;Settings!$B$11),NA(),IF(COUNT(OFFSET(F521,1-Settings!$B$11,0,Settings!$B$11,1))&lt;Settings!$B$11,NA(),STDEV(OFFSET(F521,1-Settings!$B$11,0,Settings!$B$11,1))*SQRT(Settings!$B$13)))</f>
        <v/>
      </c>
      <c r="I521" s="18">
        <f>IF(OR(NOT(ISNUMBER($A521)),ROW()-2&lt;Settings!$B$12),NA(),IF(COUNT(OFFSET(F521,1-Settings!$B$12,0,Settings!$B$12,1))&lt;Settings!$B$12,NA(),STDEV(OFFSET(F521,1-Settings!$B$12,0,Settings!$B$12,1))*SQRT(Settings!$B$13)))</f>
        <v/>
      </c>
      <c r="J521" s="18">
        <f>IF(OR(NOT(ISNUMBER($A521)),ROW()-2&lt;Settings!$B$11),NA(),IF(COUNT(OFFSET(G521,1-Settings!$B$11,0,Settings!$B$11,1))&lt;Settings!$B$11,NA(),STDEV(OFFSET(G521,1-Settings!$B$11,0,Settings!$B$11,1))*SQRT(Settings!$B$13)))</f>
        <v/>
      </c>
      <c r="K521" s="18">
        <f>IF(OR(NOT(ISNUMBER($A521)),ROW()-2&lt;Settings!$B$12),NA(),IF(COUNT(OFFSET(G521,1-Settings!$B$12,0,Settings!$B$12,1))&lt;Settings!$B$12,NA(),STDEV(OFFSET(G521,1-Settings!$B$12,0,Settings!$B$12,1))*SQRT(Settings!$B$13)))</f>
        <v/>
      </c>
      <c r="L521" s="18">
        <f>IF(AND(ISNUMBER(D521),ISNUMBER(H521)),D521-H521,NA())</f>
        <v/>
      </c>
      <c r="M521" s="18">
        <f>IF(AND(ISNUMBER(E521),ISNUMBER(K521)),E521-K521,NA())</f>
        <v/>
      </c>
      <c r="N521" s="18">
        <f>IF(NOT(ISNUMBER($A521)),NA(),IF(COUNT(OFFSET(G521,1,0,Settings!$B$12,1))&lt;Settings!$B$12,NA(),STDEV(OFFSET(G521,1,0,Settings!$B$12,1))*SQRT(Settings!$B$13)))</f>
        <v/>
      </c>
      <c r="O521" s="18">
        <f>IF(AND(ISNUMBER(E521),ISNUMBER(N521)),E521-N521,NA())</f>
        <v/>
      </c>
      <c r="P521" s="17">
        <f>IF(NOT(ISNUMBER($A521)),NA(),IF(OR($A521&lt;MIN(KW_TP!$A$2:$A$2501),$A521&gt;MAX(KW_TP!$A$2:$A$2501)),NA(),INDEX(KW_TP!$C$2:$C$2501,MATCH($A521,KW_TP!$A$2:$A$2501,1))))</f>
        <v/>
      </c>
    </row>
    <row r="522">
      <c r="A522" s="15">
        <f>IF(ISNUMBER(BBG_Data!A522),BBG_Data!A522,"")</f>
        <v/>
      </c>
      <c r="B522" s="16">
        <f>IF(AND(ISNUMBER($A522),ISNUMBER(BBG_Data!B522)),BBG_Data!B522,NA())</f>
        <v/>
      </c>
      <c r="C522" s="16">
        <f>IF(AND(ISNUMBER($A522),ISNUMBER(BBG_Data!C522)),BBG_Data!C522,NA())</f>
        <v/>
      </c>
      <c r="D522" s="17">
        <f>IF(AND(ISNUMBER($A522),ISNUMBER(BBG_Data!D522)),BBG_Data!D522,NA())</f>
        <v/>
      </c>
      <c r="E522" s="17">
        <f>IF(AND(ISNUMBER($A522),ISNUMBER(BBG_Data!E522)),BBG_Data!E522,NA())</f>
        <v/>
      </c>
      <c r="F522" s="18">
        <f>IF(AND(ISNUMBER(B522),ISNUMBER(B521)),(B522-B521)*100,"")</f>
        <v/>
      </c>
      <c r="G522" s="18">
        <f>IF(AND(ISNUMBER(C522),ISNUMBER(C521)),(C522-C521)*100,"")</f>
        <v/>
      </c>
      <c r="H522" s="18">
        <f>IF(OR(NOT(ISNUMBER($A522)),ROW()-2&lt;Settings!$B$11),NA(),IF(COUNT(OFFSET(F522,1-Settings!$B$11,0,Settings!$B$11,1))&lt;Settings!$B$11,NA(),STDEV(OFFSET(F522,1-Settings!$B$11,0,Settings!$B$11,1))*SQRT(Settings!$B$13)))</f>
        <v/>
      </c>
      <c r="I522" s="18">
        <f>IF(OR(NOT(ISNUMBER($A522)),ROW()-2&lt;Settings!$B$12),NA(),IF(COUNT(OFFSET(F522,1-Settings!$B$12,0,Settings!$B$12,1))&lt;Settings!$B$12,NA(),STDEV(OFFSET(F522,1-Settings!$B$12,0,Settings!$B$12,1))*SQRT(Settings!$B$13)))</f>
        <v/>
      </c>
      <c r="J522" s="18">
        <f>IF(OR(NOT(ISNUMBER($A522)),ROW()-2&lt;Settings!$B$11),NA(),IF(COUNT(OFFSET(G522,1-Settings!$B$11,0,Settings!$B$11,1))&lt;Settings!$B$11,NA(),STDEV(OFFSET(G522,1-Settings!$B$11,0,Settings!$B$11,1))*SQRT(Settings!$B$13)))</f>
        <v/>
      </c>
      <c r="K522" s="18">
        <f>IF(OR(NOT(ISNUMBER($A522)),ROW()-2&lt;Settings!$B$12),NA(),IF(COUNT(OFFSET(G522,1-Settings!$B$12,0,Settings!$B$12,1))&lt;Settings!$B$12,NA(),STDEV(OFFSET(G522,1-Settings!$B$12,0,Settings!$B$12,1))*SQRT(Settings!$B$13)))</f>
        <v/>
      </c>
      <c r="L522" s="18">
        <f>IF(AND(ISNUMBER(D522),ISNUMBER(H522)),D522-H522,NA())</f>
        <v/>
      </c>
      <c r="M522" s="18">
        <f>IF(AND(ISNUMBER(E522),ISNUMBER(K522)),E522-K522,NA())</f>
        <v/>
      </c>
      <c r="N522" s="18">
        <f>IF(NOT(ISNUMBER($A522)),NA(),IF(COUNT(OFFSET(G522,1,0,Settings!$B$12,1))&lt;Settings!$B$12,NA(),STDEV(OFFSET(G522,1,0,Settings!$B$12,1))*SQRT(Settings!$B$13)))</f>
        <v/>
      </c>
      <c r="O522" s="18">
        <f>IF(AND(ISNUMBER(E522),ISNUMBER(N522)),E522-N522,NA())</f>
        <v/>
      </c>
      <c r="P522" s="17">
        <f>IF(NOT(ISNUMBER($A522)),NA(),IF(OR($A522&lt;MIN(KW_TP!$A$2:$A$2501),$A522&gt;MAX(KW_TP!$A$2:$A$2501)),NA(),INDEX(KW_TP!$C$2:$C$2501,MATCH($A522,KW_TP!$A$2:$A$2501,1))))</f>
        <v/>
      </c>
    </row>
    <row r="523">
      <c r="A523" s="15">
        <f>IF(ISNUMBER(BBG_Data!A523),BBG_Data!A523,"")</f>
        <v/>
      </c>
      <c r="B523" s="16">
        <f>IF(AND(ISNUMBER($A523),ISNUMBER(BBG_Data!B523)),BBG_Data!B523,NA())</f>
        <v/>
      </c>
      <c r="C523" s="16">
        <f>IF(AND(ISNUMBER($A523),ISNUMBER(BBG_Data!C523)),BBG_Data!C523,NA())</f>
        <v/>
      </c>
      <c r="D523" s="17">
        <f>IF(AND(ISNUMBER($A523),ISNUMBER(BBG_Data!D523)),BBG_Data!D523,NA())</f>
        <v/>
      </c>
      <c r="E523" s="17">
        <f>IF(AND(ISNUMBER($A523),ISNUMBER(BBG_Data!E523)),BBG_Data!E523,NA())</f>
        <v/>
      </c>
      <c r="F523" s="18">
        <f>IF(AND(ISNUMBER(B523),ISNUMBER(B522)),(B523-B522)*100,"")</f>
        <v/>
      </c>
      <c r="G523" s="18">
        <f>IF(AND(ISNUMBER(C523),ISNUMBER(C522)),(C523-C522)*100,"")</f>
        <v/>
      </c>
      <c r="H523" s="18">
        <f>IF(OR(NOT(ISNUMBER($A523)),ROW()-2&lt;Settings!$B$11),NA(),IF(COUNT(OFFSET(F523,1-Settings!$B$11,0,Settings!$B$11,1))&lt;Settings!$B$11,NA(),STDEV(OFFSET(F523,1-Settings!$B$11,0,Settings!$B$11,1))*SQRT(Settings!$B$13)))</f>
        <v/>
      </c>
      <c r="I523" s="18">
        <f>IF(OR(NOT(ISNUMBER($A523)),ROW()-2&lt;Settings!$B$12),NA(),IF(COUNT(OFFSET(F523,1-Settings!$B$12,0,Settings!$B$12,1))&lt;Settings!$B$12,NA(),STDEV(OFFSET(F523,1-Settings!$B$12,0,Settings!$B$12,1))*SQRT(Settings!$B$13)))</f>
        <v/>
      </c>
      <c r="J523" s="18">
        <f>IF(OR(NOT(ISNUMBER($A523)),ROW()-2&lt;Settings!$B$11),NA(),IF(COUNT(OFFSET(G523,1-Settings!$B$11,0,Settings!$B$11,1))&lt;Settings!$B$11,NA(),STDEV(OFFSET(G523,1-Settings!$B$11,0,Settings!$B$11,1))*SQRT(Settings!$B$13)))</f>
        <v/>
      </c>
      <c r="K523" s="18">
        <f>IF(OR(NOT(ISNUMBER($A523)),ROW()-2&lt;Settings!$B$12),NA(),IF(COUNT(OFFSET(G523,1-Settings!$B$12,0,Settings!$B$12,1))&lt;Settings!$B$12,NA(),STDEV(OFFSET(G523,1-Settings!$B$12,0,Settings!$B$12,1))*SQRT(Settings!$B$13)))</f>
        <v/>
      </c>
      <c r="L523" s="18">
        <f>IF(AND(ISNUMBER(D523),ISNUMBER(H523)),D523-H523,NA())</f>
        <v/>
      </c>
      <c r="M523" s="18">
        <f>IF(AND(ISNUMBER(E523),ISNUMBER(K523)),E523-K523,NA())</f>
        <v/>
      </c>
      <c r="N523" s="18">
        <f>IF(NOT(ISNUMBER($A523)),NA(),IF(COUNT(OFFSET(G523,1,0,Settings!$B$12,1))&lt;Settings!$B$12,NA(),STDEV(OFFSET(G523,1,0,Settings!$B$12,1))*SQRT(Settings!$B$13)))</f>
        <v/>
      </c>
      <c r="O523" s="18">
        <f>IF(AND(ISNUMBER(E523),ISNUMBER(N523)),E523-N523,NA())</f>
        <v/>
      </c>
      <c r="P523" s="17">
        <f>IF(NOT(ISNUMBER($A523)),NA(),IF(OR($A523&lt;MIN(KW_TP!$A$2:$A$2501),$A523&gt;MAX(KW_TP!$A$2:$A$2501)),NA(),INDEX(KW_TP!$C$2:$C$2501,MATCH($A523,KW_TP!$A$2:$A$2501,1))))</f>
        <v/>
      </c>
    </row>
    <row r="524">
      <c r="A524" s="15">
        <f>IF(ISNUMBER(BBG_Data!A524),BBG_Data!A524,"")</f>
        <v/>
      </c>
      <c r="B524" s="16">
        <f>IF(AND(ISNUMBER($A524),ISNUMBER(BBG_Data!B524)),BBG_Data!B524,NA())</f>
        <v/>
      </c>
      <c r="C524" s="16">
        <f>IF(AND(ISNUMBER($A524),ISNUMBER(BBG_Data!C524)),BBG_Data!C524,NA())</f>
        <v/>
      </c>
      <c r="D524" s="17">
        <f>IF(AND(ISNUMBER($A524),ISNUMBER(BBG_Data!D524)),BBG_Data!D524,NA())</f>
        <v/>
      </c>
      <c r="E524" s="17">
        <f>IF(AND(ISNUMBER($A524),ISNUMBER(BBG_Data!E524)),BBG_Data!E524,NA())</f>
        <v/>
      </c>
      <c r="F524" s="18">
        <f>IF(AND(ISNUMBER(B524),ISNUMBER(B523)),(B524-B523)*100,"")</f>
        <v/>
      </c>
      <c r="G524" s="18">
        <f>IF(AND(ISNUMBER(C524),ISNUMBER(C523)),(C524-C523)*100,"")</f>
        <v/>
      </c>
      <c r="H524" s="18">
        <f>IF(OR(NOT(ISNUMBER($A524)),ROW()-2&lt;Settings!$B$11),NA(),IF(COUNT(OFFSET(F524,1-Settings!$B$11,0,Settings!$B$11,1))&lt;Settings!$B$11,NA(),STDEV(OFFSET(F524,1-Settings!$B$11,0,Settings!$B$11,1))*SQRT(Settings!$B$13)))</f>
        <v/>
      </c>
      <c r="I524" s="18">
        <f>IF(OR(NOT(ISNUMBER($A524)),ROW()-2&lt;Settings!$B$12),NA(),IF(COUNT(OFFSET(F524,1-Settings!$B$12,0,Settings!$B$12,1))&lt;Settings!$B$12,NA(),STDEV(OFFSET(F524,1-Settings!$B$12,0,Settings!$B$12,1))*SQRT(Settings!$B$13)))</f>
        <v/>
      </c>
      <c r="J524" s="18">
        <f>IF(OR(NOT(ISNUMBER($A524)),ROW()-2&lt;Settings!$B$11),NA(),IF(COUNT(OFFSET(G524,1-Settings!$B$11,0,Settings!$B$11,1))&lt;Settings!$B$11,NA(),STDEV(OFFSET(G524,1-Settings!$B$11,0,Settings!$B$11,1))*SQRT(Settings!$B$13)))</f>
        <v/>
      </c>
      <c r="K524" s="18">
        <f>IF(OR(NOT(ISNUMBER($A524)),ROW()-2&lt;Settings!$B$12),NA(),IF(COUNT(OFFSET(G524,1-Settings!$B$12,0,Settings!$B$12,1))&lt;Settings!$B$12,NA(),STDEV(OFFSET(G524,1-Settings!$B$12,0,Settings!$B$12,1))*SQRT(Settings!$B$13)))</f>
        <v/>
      </c>
      <c r="L524" s="18">
        <f>IF(AND(ISNUMBER(D524),ISNUMBER(H524)),D524-H524,NA())</f>
        <v/>
      </c>
      <c r="M524" s="18">
        <f>IF(AND(ISNUMBER(E524),ISNUMBER(K524)),E524-K524,NA())</f>
        <v/>
      </c>
      <c r="N524" s="18">
        <f>IF(NOT(ISNUMBER($A524)),NA(),IF(COUNT(OFFSET(G524,1,0,Settings!$B$12,1))&lt;Settings!$B$12,NA(),STDEV(OFFSET(G524,1,0,Settings!$B$12,1))*SQRT(Settings!$B$13)))</f>
        <v/>
      </c>
      <c r="O524" s="18">
        <f>IF(AND(ISNUMBER(E524),ISNUMBER(N524)),E524-N524,NA())</f>
        <v/>
      </c>
      <c r="P524" s="17">
        <f>IF(NOT(ISNUMBER($A524)),NA(),IF(OR($A524&lt;MIN(KW_TP!$A$2:$A$2501),$A524&gt;MAX(KW_TP!$A$2:$A$2501)),NA(),INDEX(KW_TP!$C$2:$C$2501,MATCH($A524,KW_TP!$A$2:$A$2501,1))))</f>
        <v/>
      </c>
    </row>
    <row r="525">
      <c r="A525" s="15">
        <f>IF(ISNUMBER(BBG_Data!A525),BBG_Data!A525,"")</f>
        <v/>
      </c>
      <c r="B525" s="16">
        <f>IF(AND(ISNUMBER($A525),ISNUMBER(BBG_Data!B525)),BBG_Data!B525,NA())</f>
        <v/>
      </c>
      <c r="C525" s="16">
        <f>IF(AND(ISNUMBER($A525),ISNUMBER(BBG_Data!C525)),BBG_Data!C525,NA())</f>
        <v/>
      </c>
      <c r="D525" s="17">
        <f>IF(AND(ISNUMBER($A525),ISNUMBER(BBG_Data!D525)),BBG_Data!D525,NA())</f>
        <v/>
      </c>
      <c r="E525" s="17">
        <f>IF(AND(ISNUMBER($A525),ISNUMBER(BBG_Data!E525)),BBG_Data!E525,NA())</f>
        <v/>
      </c>
      <c r="F525" s="18">
        <f>IF(AND(ISNUMBER(B525),ISNUMBER(B524)),(B525-B524)*100,"")</f>
        <v/>
      </c>
      <c r="G525" s="18">
        <f>IF(AND(ISNUMBER(C525),ISNUMBER(C524)),(C525-C524)*100,"")</f>
        <v/>
      </c>
      <c r="H525" s="18">
        <f>IF(OR(NOT(ISNUMBER($A525)),ROW()-2&lt;Settings!$B$11),NA(),IF(COUNT(OFFSET(F525,1-Settings!$B$11,0,Settings!$B$11,1))&lt;Settings!$B$11,NA(),STDEV(OFFSET(F525,1-Settings!$B$11,0,Settings!$B$11,1))*SQRT(Settings!$B$13)))</f>
        <v/>
      </c>
      <c r="I525" s="18">
        <f>IF(OR(NOT(ISNUMBER($A525)),ROW()-2&lt;Settings!$B$12),NA(),IF(COUNT(OFFSET(F525,1-Settings!$B$12,0,Settings!$B$12,1))&lt;Settings!$B$12,NA(),STDEV(OFFSET(F525,1-Settings!$B$12,0,Settings!$B$12,1))*SQRT(Settings!$B$13)))</f>
        <v/>
      </c>
      <c r="J525" s="18">
        <f>IF(OR(NOT(ISNUMBER($A525)),ROW()-2&lt;Settings!$B$11),NA(),IF(COUNT(OFFSET(G525,1-Settings!$B$11,0,Settings!$B$11,1))&lt;Settings!$B$11,NA(),STDEV(OFFSET(G525,1-Settings!$B$11,0,Settings!$B$11,1))*SQRT(Settings!$B$13)))</f>
        <v/>
      </c>
      <c r="K525" s="18">
        <f>IF(OR(NOT(ISNUMBER($A525)),ROW()-2&lt;Settings!$B$12),NA(),IF(COUNT(OFFSET(G525,1-Settings!$B$12,0,Settings!$B$12,1))&lt;Settings!$B$12,NA(),STDEV(OFFSET(G525,1-Settings!$B$12,0,Settings!$B$12,1))*SQRT(Settings!$B$13)))</f>
        <v/>
      </c>
      <c r="L525" s="18">
        <f>IF(AND(ISNUMBER(D525),ISNUMBER(H525)),D525-H525,NA())</f>
        <v/>
      </c>
      <c r="M525" s="18">
        <f>IF(AND(ISNUMBER(E525),ISNUMBER(K525)),E525-K525,NA())</f>
        <v/>
      </c>
      <c r="N525" s="18">
        <f>IF(NOT(ISNUMBER($A525)),NA(),IF(COUNT(OFFSET(G525,1,0,Settings!$B$12,1))&lt;Settings!$B$12,NA(),STDEV(OFFSET(G525,1,0,Settings!$B$12,1))*SQRT(Settings!$B$13)))</f>
        <v/>
      </c>
      <c r="O525" s="18">
        <f>IF(AND(ISNUMBER(E525),ISNUMBER(N525)),E525-N525,NA())</f>
        <v/>
      </c>
      <c r="P525" s="17">
        <f>IF(NOT(ISNUMBER($A525)),NA(),IF(OR($A525&lt;MIN(KW_TP!$A$2:$A$2501),$A525&gt;MAX(KW_TP!$A$2:$A$2501)),NA(),INDEX(KW_TP!$C$2:$C$2501,MATCH($A525,KW_TP!$A$2:$A$2501,1))))</f>
        <v/>
      </c>
    </row>
    <row r="526">
      <c r="A526" s="15">
        <f>IF(ISNUMBER(BBG_Data!A526),BBG_Data!A526,"")</f>
        <v/>
      </c>
      <c r="B526" s="16">
        <f>IF(AND(ISNUMBER($A526),ISNUMBER(BBG_Data!B526)),BBG_Data!B526,NA())</f>
        <v/>
      </c>
      <c r="C526" s="16">
        <f>IF(AND(ISNUMBER($A526),ISNUMBER(BBG_Data!C526)),BBG_Data!C526,NA())</f>
        <v/>
      </c>
      <c r="D526" s="17">
        <f>IF(AND(ISNUMBER($A526),ISNUMBER(BBG_Data!D526)),BBG_Data!D526,NA())</f>
        <v/>
      </c>
      <c r="E526" s="17">
        <f>IF(AND(ISNUMBER($A526),ISNUMBER(BBG_Data!E526)),BBG_Data!E526,NA())</f>
        <v/>
      </c>
      <c r="F526" s="18">
        <f>IF(AND(ISNUMBER(B526),ISNUMBER(B525)),(B526-B525)*100,"")</f>
        <v/>
      </c>
      <c r="G526" s="18">
        <f>IF(AND(ISNUMBER(C526),ISNUMBER(C525)),(C526-C525)*100,"")</f>
        <v/>
      </c>
      <c r="H526" s="18">
        <f>IF(OR(NOT(ISNUMBER($A526)),ROW()-2&lt;Settings!$B$11),NA(),IF(COUNT(OFFSET(F526,1-Settings!$B$11,0,Settings!$B$11,1))&lt;Settings!$B$11,NA(),STDEV(OFFSET(F526,1-Settings!$B$11,0,Settings!$B$11,1))*SQRT(Settings!$B$13)))</f>
        <v/>
      </c>
      <c r="I526" s="18">
        <f>IF(OR(NOT(ISNUMBER($A526)),ROW()-2&lt;Settings!$B$12),NA(),IF(COUNT(OFFSET(F526,1-Settings!$B$12,0,Settings!$B$12,1))&lt;Settings!$B$12,NA(),STDEV(OFFSET(F526,1-Settings!$B$12,0,Settings!$B$12,1))*SQRT(Settings!$B$13)))</f>
        <v/>
      </c>
      <c r="J526" s="18">
        <f>IF(OR(NOT(ISNUMBER($A526)),ROW()-2&lt;Settings!$B$11),NA(),IF(COUNT(OFFSET(G526,1-Settings!$B$11,0,Settings!$B$11,1))&lt;Settings!$B$11,NA(),STDEV(OFFSET(G526,1-Settings!$B$11,0,Settings!$B$11,1))*SQRT(Settings!$B$13)))</f>
        <v/>
      </c>
      <c r="K526" s="18">
        <f>IF(OR(NOT(ISNUMBER($A526)),ROW()-2&lt;Settings!$B$12),NA(),IF(COUNT(OFFSET(G526,1-Settings!$B$12,0,Settings!$B$12,1))&lt;Settings!$B$12,NA(),STDEV(OFFSET(G526,1-Settings!$B$12,0,Settings!$B$12,1))*SQRT(Settings!$B$13)))</f>
        <v/>
      </c>
      <c r="L526" s="18">
        <f>IF(AND(ISNUMBER(D526),ISNUMBER(H526)),D526-H526,NA())</f>
        <v/>
      </c>
      <c r="M526" s="18">
        <f>IF(AND(ISNUMBER(E526),ISNUMBER(K526)),E526-K526,NA())</f>
        <v/>
      </c>
      <c r="N526" s="18">
        <f>IF(NOT(ISNUMBER($A526)),NA(),IF(COUNT(OFFSET(G526,1,0,Settings!$B$12,1))&lt;Settings!$B$12,NA(),STDEV(OFFSET(G526,1,0,Settings!$B$12,1))*SQRT(Settings!$B$13)))</f>
        <v/>
      </c>
      <c r="O526" s="18">
        <f>IF(AND(ISNUMBER(E526),ISNUMBER(N526)),E526-N526,NA())</f>
        <v/>
      </c>
      <c r="P526" s="17">
        <f>IF(NOT(ISNUMBER($A526)),NA(),IF(OR($A526&lt;MIN(KW_TP!$A$2:$A$2501),$A526&gt;MAX(KW_TP!$A$2:$A$2501)),NA(),INDEX(KW_TP!$C$2:$C$2501,MATCH($A526,KW_TP!$A$2:$A$2501,1))))</f>
        <v/>
      </c>
    </row>
    <row r="527">
      <c r="A527" s="15">
        <f>IF(ISNUMBER(BBG_Data!A527),BBG_Data!A527,"")</f>
        <v/>
      </c>
      <c r="B527" s="16">
        <f>IF(AND(ISNUMBER($A527),ISNUMBER(BBG_Data!B527)),BBG_Data!B527,NA())</f>
        <v/>
      </c>
      <c r="C527" s="16">
        <f>IF(AND(ISNUMBER($A527),ISNUMBER(BBG_Data!C527)),BBG_Data!C527,NA())</f>
        <v/>
      </c>
      <c r="D527" s="17">
        <f>IF(AND(ISNUMBER($A527),ISNUMBER(BBG_Data!D527)),BBG_Data!D527,NA())</f>
        <v/>
      </c>
      <c r="E527" s="17">
        <f>IF(AND(ISNUMBER($A527),ISNUMBER(BBG_Data!E527)),BBG_Data!E527,NA())</f>
        <v/>
      </c>
      <c r="F527" s="18">
        <f>IF(AND(ISNUMBER(B527),ISNUMBER(B526)),(B527-B526)*100,"")</f>
        <v/>
      </c>
      <c r="G527" s="18">
        <f>IF(AND(ISNUMBER(C527),ISNUMBER(C526)),(C527-C526)*100,"")</f>
        <v/>
      </c>
      <c r="H527" s="18">
        <f>IF(OR(NOT(ISNUMBER($A527)),ROW()-2&lt;Settings!$B$11),NA(),IF(COUNT(OFFSET(F527,1-Settings!$B$11,0,Settings!$B$11,1))&lt;Settings!$B$11,NA(),STDEV(OFFSET(F527,1-Settings!$B$11,0,Settings!$B$11,1))*SQRT(Settings!$B$13)))</f>
        <v/>
      </c>
      <c r="I527" s="18">
        <f>IF(OR(NOT(ISNUMBER($A527)),ROW()-2&lt;Settings!$B$12),NA(),IF(COUNT(OFFSET(F527,1-Settings!$B$12,0,Settings!$B$12,1))&lt;Settings!$B$12,NA(),STDEV(OFFSET(F527,1-Settings!$B$12,0,Settings!$B$12,1))*SQRT(Settings!$B$13)))</f>
        <v/>
      </c>
      <c r="J527" s="18">
        <f>IF(OR(NOT(ISNUMBER($A527)),ROW()-2&lt;Settings!$B$11),NA(),IF(COUNT(OFFSET(G527,1-Settings!$B$11,0,Settings!$B$11,1))&lt;Settings!$B$11,NA(),STDEV(OFFSET(G527,1-Settings!$B$11,0,Settings!$B$11,1))*SQRT(Settings!$B$13)))</f>
        <v/>
      </c>
      <c r="K527" s="18">
        <f>IF(OR(NOT(ISNUMBER($A527)),ROW()-2&lt;Settings!$B$12),NA(),IF(COUNT(OFFSET(G527,1-Settings!$B$12,0,Settings!$B$12,1))&lt;Settings!$B$12,NA(),STDEV(OFFSET(G527,1-Settings!$B$12,0,Settings!$B$12,1))*SQRT(Settings!$B$13)))</f>
        <v/>
      </c>
      <c r="L527" s="18">
        <f>IF(AND(ISNUMBER(D527),ISNUMBER(H527)),D527-H527,NA())</f>
        <v/>
      </c>
      <c r="M527" s="18">
        <f>IF(AND(ISNUMBER(E527),ISNUMBER(K527)),E527-K527,NA())</f>
        <v/>
      </c>
      <c r="N527" s="18">
        <f>IF(NOT(ISNUMBER($A527)),NA(),IF(COUNT(OFFSET(G527,1,0,Settings!$B$12,1))&lt;Settings!$B$12,NA(),STDEV(OFFSET(G527,1,0,Settings!$B$12,1))*SQRT(Settings!$B$13)))</f>
        <v/>
      </c>
      <c r="O527" s="18">
        <f>IF(AND(ISNUMBER(E527),ISNUMBER(N527)),E527-N527,NA())</f>
        <v/>
      </c>
      <c r="P527" s="17">
        <f>IF(NOT(ISNUMBER($A527)),NA(),IF(OR($A527&lt;MIN(KW_TP!$A$2:$A$2501),$A527&gt;MAX(KW_TP!$A$2:$A$2501)),NA(),INDEX(KW_TP!$C$2:$C$2501,MATCH($A527,KW_TP!$A$2:$A$2501,1))))</f>
        <v/>
      </c>
    </row>
    <row r="528">
      <c r="A528" s="15">
        <f>IF(ISNUMBER(BBG_Data!A528),BBG_Data!A528,"")</f>
        <v/>
      </c>
      <c r="B528" s="16">
        <f>IF(AND(ISNUMBER($A528),ISNUMBER(BBG_Data!B528)),BBG_Data!B528,NA())</f>
        <v/>
      </c>
      <c r="C528" s="16">
        <f>IF(AND(ISNUMBER($A528),ISNUMBER(BBG_Data!C528)),BBG_Data!C528,NA())</f>
        <v/>
      </c>
      <c r="D528" s="17">
        <f>IF(AND(ISNUMBER($A528),ISNUMBER(BBG_Data!D528)),BBG_Data!D528,NA())</f>
        <v/>
      </c>
      <c r="E528" s="17">
        <f>IF(AND(ISNUMBER($A528),ISNUMBER(BBG_Data!E528)),BBG_Data!E528,NA())</f>
        <v/>
      </c>
      <c r="F528" s="18">
        <f>IF(AND(ISNUMBER(B528),ISNUMBER(B527)),(B528-B527)*100,"")</f>
        <v/>
      </c>
      <c r="G528" s="18">
        <f>IF(AND(ISNUMBER(C528),ISNUMBER(C527)),(C528-C527)*100,"")</f>
        <v/>
      </c>
      <c r="H528" s="18">
        <f>IF(OR(NOT(ISNUMBER($A528)),ROW()-2&lt;Settings!$B$11),NA(),IF(COUNT(OFFSET(F528,1-Settings!$B$11,0,Settings!$B$11,1))&lt;Settings!$B$11,NA(),STDEV(OFFSET(F528,1-Settings!$B$11,0,Settings!$B$11,1))*SQRT(Settings!$B$13)))</f>
        <v/>
      </c>
      <c r="I528" s="18">
        <f>IF(OR(NOT(ISNUMBER($A528)),ROW()-2&lt;Settings!$B$12),NA(),IF(COUNT(OFFSET(F528,1-Settings!$B$12,0,Settings!$B$12,1))&lt;Settings!$B$12,NA(),STDEV(OFFSET(F528,1-Settings!$B$12,0,Settings!$B$12,1))*SQRT(Settings!$B$13)))</f>
        <v/>
      </c>
      <c r="J528" s="18">
        <f>IF(OR(NOT(ISNUMBER($A528)),ROW()-2&lt;Settings!$B$11),NA(),IF(COUNT(OFFSET(G528,1-Settings!$B$11,0,Settings!$B$11,1))&lt;Settings!$B$11,NA(),STDEV(OFFSET(G528,1-Settings!$B$11,0,Settings!$B$11,1))*SQRT(Settings!$B$13)))</f>
        <v/>
      </c>
      <c r="K528" s="18">
        <f>IF(OR(NOT(ISNUMBER($A528)),ROW()-2&lt;Settings!$B$12),NA(),IF(COUNT(OFFSET(G528,1-Settings!$B$12,0,Settings!$B$12,1))&lt;Settings!$B$12,NA(),STDEV(OFFSET(G528,1-Settings!$B$12,0,Settings!$B$12,1))*SQRT(Settings!$B$13)))</f>
        <v/>
      </c>
      <c r="L528" s="18">
        <f>IF(AND(ISNUMBER(D528),ISNUMBER(H528)),D528-H528,NA())</f>
        <v/>
      </c>
      <c r="M528" s="18">
        <f>IF(AND(ISNUMBER(E528),ISNUMBER(K528)),E528-K528,NA())</f>
        <v/>
      </c>
      <c r="N528" s="18">
        <f>IF(NOT(ISNUMBER($A528)),NA(),IF(COUNT(OFFSET(G528,1,0,Settings!$B$12,1))&lt;Settings!$B$12,NA(),STDEV(OFFSET(G528,1,0,Settings!$B$12,1))*SQRT(Settings!$B$13)))</f>
        <v/>
      </c>
      <c r="O528" s="18">
        <f>IF(AND(ISNUMBER(E528),ISNUMBER(N528)),E528-N528,NA())</f>
        <v/>
      </c>
      <c r="P528" s="17">
        <f>IF(NOT(ISNUMBER($A528)),NA(),IF(OR($A528&lt;MIN(KW_TP!$A$2:$A$2501),$A528&gt;MAX(KW_TP!$A$2:$A$2501)),NA(),INDEX(KW_TP!$C$2:$C$2501,MATCH($A528,KW_TP!$A$2:$A$2501,1))))</f>
        <v/>
      </c>
    </row>
    <row r="529">
      <c r="A529" s="15">
        <f>IF(ISNUMBER(BBG_Data!A529),BBG_Data!A529,"")</f>
        <v/>
      </c>
      <c r="B529" s="16">
        <f>IF(AND(ISNUMBER($A529),ISNUMBER(BBG_Data!B529)),BBG_Data!B529,NA())</f>
        <v/>
      </c>
      <c r="C529" s="16">
        <f>IF(AND(ISNUMBER($A529),ISNUMBER(BBG_Data!C529)),BBG_Data!C529,NA())</f>
        <v/>
      </c>
      <c r="D529" s="17">
        <f>IF(AND(ISNUMBER($A529),ISNUMBER(BBG_Data!D529)),BBG_Data!D529,NA())</f>
        <v/>
      </c>
      <c r="E529" s="17">
        <f>IF(AND(ISNUMBER($A529),ISNUMBER(BBG_Data!E529)),BBG_Data!E529,NA())</f>
        <v/>
      </c>
      <c r="F529" s="18">
        <f>IF(AND(ISNUMBER(B529),ISNUMBER(B528)),(B529-B528)*100,"")</f>
        <v/>
      </c>
      <c r="G529" s="18">
        <f>IF(AND(ISNUMBER(C529),ISNUMBER(C528)),(C529-C528)*100,"")</f>
        <v/>
      </c>
      <c r="H529" s="18">
        <f>IF(OR(NOT(ISNUMBER($A529)),ROW()-2&lt;Settings!$B$11),NA(),IF(COUNT(OFFSET(F529,1-Settings!$B$11,0,Settings!$B$11,1))&lt;Settings!$B$11,NA(),STDEV(OFFSET(F529,1-Settings!$B$11,0,Settings!$B$11,1))*SQRT(Settings!$B$13)))</f>
        <v/>
      </c>
      <c r="I529" s="18">
        <f>IF(OR(NOT(ISNUMBER($A529)),ROW()-2&lt;Settings!$B$12),NA(),IF(COUNT(OFFSET(F529,1-Settings!$B$12,0,Settings!$B$12,1))&lt;Settings!$B$12,NA(),STDEV(OFFSET(F529,1-Settings!$B$12,0,Settings!$B$12,1))*SQRT(Settings!$B$13)))</f>
        <v/>
      </c>
      <c r="J529" s="18">
        <f>IF(OR(NOT(ISNUMBER($A529)),ROW()-2&lt;Settings!$B$11),NA(),IF(COUNT(OFFSET(G529,1-Settings!$B$11,0,Settings!$B$11,1))&lt;Settings!$B$11,NA(),STDEV(OFFSET(G529,1-Settings!$B$11,0,Settings!$B$11,1))*SQRT(Settings!$B$13)))</f>
        <v/>
      </c>
      <c r="K529" s="18">
        <f>IF(OR(NOT(ISNUMBER($A529)),ROW()-2&lt;Settings!$B$12),NA(),IF(COUNT(OFFSET(G529,1-Settings!$B$12,0,Settings!$B$12,1))&lt;Settings!$B$12,NA(),STDEV(OFFSET(G529,1-Settings!$B$12,0,Settings!$B$12,1))*SQRT(Settings!$B$13)))</f>
        <v/>
      </c>
      <c r="L529" s="18">
        <f>IF(AND(ISNUMBER(D529),ISNUMBER(H529)),D529-H529,NA())</f>
        <v/>
      </c>
      <c r="M529" s="18">
        <f>IF(AND(ISNUMBER(E529),ISNUMBER(K529)),E529-K529,NA())</f>
        <v/>
      </c>
      <c r="N529" s="18">
        <f>IF(NOT(ISNUMBER($A529)),NA(),IF(COUNT(OFFSET(G529,1,0,Settings!$B$12,1))&lt;Settings!$B$12,NA(),STDEV(OFFSET(G529,1,0,Settings!$B$12,1))*SQRT(Settings!$B$13)))</f>
        <v/>
      </c>
      <c r="O529" s="18">
        <f>IF(AND(ISNUMBER(E529),ISNUMBER(N529)),E529-N529,NA())</f>
        <v/>
      </c>
      <c r="P529" s="17">
        <f>IF(NOT(ISNUMBER($A529)),NA(),IF(OR($A529&lt;MIN(KW_TP!$A$2:$A$2501),$A529&gt;MAX(KW_TP!$A$2:$A$2501)),NA(),INDEX(KW_TP!$C$2:$C$2501,MATCH($A529,KW_TP!$A$2:$A$2501,1))))</f>
        <v/>
      </c>
    </row>
    <row r="530">
      <c r="A530" s="15">
        <f>IF(ISNUMBER(BBG_Data!A530),BBG_Data!A530,"")</f>
        <v/>
      </c>
      <c r="B530" s="16">
        <f>IF(AND(ISNUMBER($A530),ISNUMBER(BBG_Data!B530)),BBG_Data!B530,NA())</f>
        <v/>
      </c>
      <c r="C530" s="16">
        <f>IF(AND(ISNUMBER($A530),ISNUMBER(BBG_Data!C530)),BBG_Data!C530,NA())</f>
        <v/>
      </c>
      <c r="D530" s="17">
        <f>IF(AND(ISNUMBER($A530),ISNUMBER(BBG_Data!D530)),BBG_Data!D530,NA())</f>
        <v/>
      </c>
      <c r="E530" s="17">
        <f>IF(AND(ISNUMBER($A530),ISNUMBER(BBG_Data!E530)),BBG_Data!E530,NA())</f>
        <v/>
      </c>
      <c r="F530" s="18">
        <f>IF(AND(ISNUMBER(B530),ISNUMBER(B529)),(B530-B529)*100,"")</f>
        <v/>
      </c>
      <c r="G530" s="18">
        <f>IF(AND(ISNUMBER(C530),ISNUMBER(C529)),(C530-C529)*100,"")</f>
        <v/>
      </c>
      <c r="H530" s="18">
        <f>IF(OR(NOT(ISNUMBER($A530)),ROW()-2&lt;Settings!$B$11),NA(),IF(COUNT(OFFSET(F530,1-Settings!$B$11,0,Settings!$B$11,1))&lt;Settings!$B$11,NA(),STDEV(OFFSET(F530,1-Settings!$B$11,0,Settings!$B$11,1))*SQRT(Settings!$B$13)))</f>
        <v/>
      </c>
      <c r="I530" s="18">
        <f>IF(OR(NOT(ISNUMBER($A530)),ROW()-2&lt;Settings!$B$12),NA(),IF(COUNT(OFFSET(F530,1-Settings!$B$12,0,Settings!$B$12,1))&lt;Settings!$B$12,NA(),STDEV(OFFSET(F530,1-Settings!$B$12,0,Settings!$B$12,1))*SQRT(Settings!$B$13)))</f>
        <v/>
      </c>
      <c r="J530" s="18">
        <f>IF(OR(NOT(ISNUMBER($A530)),ROW()-2&lt;Settings!$B$11),NA(),IF(COUNT(OFFSET(G530,1-Settings!$B$11,0,Settings!$B$11,1))&lt;Settings!$B$11,NA(),STDEV(OFFSET(G530,1-Settings!$B$11,0,Settings!$B$11,1))*SQRT(Settings!$B$13)))</f>
        <v/>
      </c>
      <c r="K530" s="18">
        <f>IF(OR(NOT(ISNUMBER($A530)),ROW()-2&lt;Settings!$B$12),NA(),IF(COUNT(OFFSET(G530,1-Settings!$B$12,0,Settings!$B$12,1))&lt;Settings!$B$12,NA(),STDEV(OFFSET(G530,1-Settings!$B$12,0,Settings!$B$12,1))*SQRT(Settings!$B$13)))</f>
        <v/>
      </c>
      <c r="L530" s="18">
        <f>IF(AND(ISNUMBER(D530),ISNUMBER(H530)),D530-H530,NA())</f>
        <v/>
      </c>
      <c r="M530" s="18">
        <f>IF(AND(ISNUMBER(E530),ISNUMBER(K530)),E530-K530,NA())</f>
        <v/>
      </c>
      <c r="N530" s="18">
        <f>IF(NOT(ISNUMBER($A530)),NA(),IF(COUNT(OFFSET(G530,1,0,Settings!$B$12,1))&lt;Settings!$B$12,NA(),STDEV(OFFSET(G530,1,0,Settings!$B$12,1))*SQRT(Settings!$B$13)))</f>
        <v/>
      </c>
      <c r="O530" s="18">
        <f>IF(AND(ISNUMBER(E530),ISNUMBER(N530)),E530-N530,NA())</f>
        <v/>
      </c>
      <c r="P530" s="17">
        <f>IF(NOT(ISNUMBER($A530)),NA(),IF(OR($A530&lt;MIN(KW_TP!$A$2:$A$2501),$A530&gt;MAX(KW_TP!$A$2:$A$2501)),NA(),INDEX(KW_TP!$C$2:$C$2501,MATCH($A530,KW_TP!$A$2:$A$2501,1))))</f>
        <v/>
      </c>
    </row>
    <row r="531">
      <c r="A531" s="15">
        <f>IF(ISNUMBER(BBG_Data!A531),BBG_Data!A531,"")</f>
        <v/>
      </c>
      <c r="B531" s="16">
        <f>IF(AND(ISNUMBER($A531),ISNUMBER(BBG_Data!B531)),BBG_Data!B531,NA())</f>
        <v/>
      </c>
      <c r="C531" s="16">
        <f>IF(AND(ISNUMBER($A531),ISNUMBER(BBG_Data!C531)),BBG_Data!C531,NA())</f>
        <v/>
      </c>
      <c r="D531" s="17">
        <f>IF(AND(ISNUMBER($A531),ISNUMBER(BBG_Data!D531)),BBG_Data!D531,NA())</f>
        <v/>
      </c>
      <c r="E531" s="17">
        <f>IF(AND(ISNUMBER($A531),ISNUMBER(BBG_Data!E531)),BBG_Data!E531,NA())</f>
        <v/>
      </c>
      <c r="F531" s="18">
        <f>IF(AND(ISNUMBER(B531),ISNUMBER(B530)),(B531-B530)*100,"")</f>
        <v/>
      </c>
      <c r="G531" s="18">
        <f>IF(AND(ISNUMBER(C531),ISNUMBER(C530)),(C531-C530)*100,"")</f>
        <v/>
      </c>
      <c r="H531" s="18">
        <f>IF(OR(NOT(ISNUMBER($A531)),ROW()-2&lt;Settings!$B$11),NA(),IF(COUNT(OFFSET(F531,1-Settings!$B$11,0,Settings!$B$11,1))&lt;Settings!$B$11,NA(),STDEV(OFFSET(F531,1-Settings!$B$11,0,Settings!$B$11,1))*SQRT(Settings!$B$13)))</f>
        <v/>
      </c>
      <c r="I531" s="18">
        <f>IF(OR(NOT(ISNUMBER($A531)),ROW()-2&lt;Settings!$B$12),NA(),IF(COUNT(OFFSET(F531,1-Settings!$B$12,0,Settings!$B$12,1))&lt;Settings!$B$12,NA(),STDEV(OFFSET(F531,1-Settings!$B$12,0,Settings!$B$12,1))*SQRT(Settings!$B$13)))</f>
        <v/>
      </c>
      <c r="J531" s="18">
        <f>IF(OR(NOT(ISNUMBER($A531)),ROW()-2&lt;Settings!$B$11),NA(),IF(COUNT(OFFSET(G531,1-Settings!$B$11,0,Settings!$B$11,1))&lt;Settings!$B$11,NA(),STDEV(OFFSET(G531,1-Settings!$B$11,0,Settings!$B$11,1))*SQRT(Settings!$B$13)))</f>
        <v/>
      </c>
      <c r="K531" s="18">
        <f>IF(OR(NOT(ISNUMBER($A531)),ROW()-2&lt;Settings!$B$12),NA(),IF(COUNT(OFFSET(G531,1-Settings!$B$12,0,Settings!$B$12,1))&lt;Settings!$B$12,NA(),STDEV(OFFSET(G531,1-Settings!$B$12,0,Settings!$B$12,1))*SQRT(Settings!$B$13)))</f>
        <v/>
      </c>
      <c r="L531" s="18">
        <f>IF(AND(ISNUMBER(D531),ISNUMBER(H531)),D531-H531,NA())</f>
        <v/>
      </c>
      <c r="M531" s="18">
        <f>IF(AND(ISNUMBER(E531),ISNUMBER(K531)),E531-K531,NA())</f>
        <v/>
      </c>
      <c r="N531" s="18">
        <f>IF(NOT(ISNUMBER($A531)),NA(),IF(COUNT(OFFSET(G531,1,0,Settings!$B$12,1))&lt;Settings!$B$12,NA(),STDEV(OFFSET(G531,1,0,Settings!$B$12,1))*SQRT(Settings!$B$13)))</f>
        <v/>
      </c>
      <c r="O531" s="18">
        <f>IF(AND(ISNUMBER(E531),ISNUMBER(N531)),E531-N531,NA())</f>
        <v/>
      </c>
      <c r="P531" s="17">
        <f>IF(NOT(ISNUMBER($A531)),NA(),IF(OR($A531&lt;MIN(KW_TP!$A$2:$A$2501),$A531&gt;MAX(KW_TP!$A$2:$A$2501)),NA(),INDEX(KW_TP!$C$2:$C$2501,MATCH($A531,KW_TP!$A$2:$A$2501,1))))</f>
        <v/>
      </c>
    </row>
    <row r="532">
      <c r="A532" s="15">
        <f>IF(ISNUMBER(BBG_Data!A532),BBG_Data!A532,"")</f>
        <v/>
      </c>
      <c r="B532" s="16">
        <f>IF(AND(ISNUMBER($A532),ISNUMBER(BBG_Data!B532)),BBG_Data!B532,NA())</f>
        <v/>
      </c>
      <c r="C532" s="16">
        <f>IF(AND(ISNUMBER($A532),ISNUMBER(BBG_Data!C532)),BBG_Data!C532,NA())</f>
        <v/>
      </c>
      <c r="D532" s="17">
        <f>IF(AND(ISNUMBER($A532),ISNUMBER(BBG_Data!D532)),BBG_Data!D532,NA())</f>
        <v/>
      </c>
      <c r="E532" s="17">
        <f>IF(AND(ISNUMBER($A532),ISNUMBER(BBG_Data!E532)),BBG_Data!E532,NA())</f>
        <v/>
      </c>
      <c r="F532" s="18">
        <f>IF(AND(ISNUMBER(B532),ISNUMBER(B531)),(B532-B531)*100,"")</f>
        <v/>
      </c>
      <c r="G532" s="18">
        <f>IF(AND(ISNUMBER(C532),ISNUMBER(C531)),(C532-C531)*100,"")</f>
        <v/>
      </c>
      <c r="H532" s="18">
        <f>IF(OR(NOT(ISNUMBER($A532)),ROW()-2&lt;Settings!$B$11),NA(),IF(COUNT(OFFSET(F532,1-Settings!$B$11,0,Settings!$B$11,1))&lt;Settings!$B$11,NA(),STDEV(OFFSET(F532,1-Settings!$B$11,0,Settings!$B$11,1))*SQRT(Settings!$B$13)))</f>
        <v/>
      </c>
      <c r="I532" s="18">
        <f>IF(OR(NOT(ISNUMBER($A532)),ROW()-2&lt;Settings!$B$12),NA(),IF(COUNT(OFFSET(F532,1-Settings!$B$12,0,Settings!$B$12,1))&lt;Settings!$B$12,NA(),STDEV(OFFSET(F532,1-Settings!$B$12,0,Settings!$B$12,1))*SQRT(Settings!$B$13)))</f>
        <v/>
      </c>
      <c r="J532" s="18">
        <f>IF(OR(NOT(ISNUMBER($A532)),ROW()-2&lt;Settings!$B$11),NA(),IF(COUNT(OFFSET(G532,1-Settings!$B$11,0,Settings!$B$11,1))&lt;Settings!$B$11,NA(),STDEV(OFFSET(G532,1-Settings!$B$11,0,Settings!$B$11,1))*SQRT(Settings!$B$13)))</f>
        <v/>
      </c>
      <c r="K532" s="18">
        <f>IF(OR(NOT(ISNUMBER($A532)),ROW()-2&lt;Settings!$B$12),NA(),IF(COUNT(OFFSET(G532,1-Settings!$B$12,0,Settings!$B$12,1))&lt;Settings!$B$12,NA(),STDEV(OFFSET(G532,1-Settings!$B$12,0,Settings!$B$12,1))*SQRT(Settings!$B$13)))</f>
        <v/>
      </c>
      <c r="L532" s="18">
        <f>IF(AND(ISNUMBER(D532),ISNUMBER(H532)),D532-H532,NA())</f>
        <v/>
      </c>
      <c r="M532" s="18">
        <f>IF(AND(ISNUMBER(E532),ISNUMBER(K532)),E532-K532,NA())</f>
        <v/>
      </c>
      <c r="N532" s="18">
        <f>IF(NOT(ISNUMBER($A532)),NA(),IF(COUNT(OFFSET(G532,1,0,Settings!$B$12,1))&lt;Settings!$B$12,NA(),STDEV(OFFSET(G532,1,0,Settings!$B$12,1))*SQRT(Settings!$B$13)))</f>
        <v/>
      </c>
      <c r="O532" s="18">
        <f>IF(AND(ISNUMBER(E532),ISNUMBER(N532)),E532-N532,NA())</f>
        <v/>
      </c>
      <c r="P532" s="17">
        <f>IF(NOT(ISNUMBER($A532)),NA(),IF(OR($A532&lt;MIN(KW_TP!$A$2:$A$2501),$A532&gt;MAX(KW_TP!$A$2:$A$2501)),NA(),INDEX(KW_TP!$C$2:$C$2501,MATCH($A532,KW_TP!$A$2:$A$2501,1))))</f>
        <v/>
      </c>
    </row>
    <row r="533">
      <c r="A533" s="15">
        <f>IF(ISNUMBER(BBG_Data!A533),BBG_Data!A533,"")</f>
        <v/>
      </c>
      <c r="B533" s="16">
        <f>IF(AND(ISNUMBER($A533),ISNUMBER(BBG_Data!B533)),BBG_Data!B533,NA())</f>
        <v/>
      </c>
      <c r="C533" s="16">
        <f>IF(AND(ISNUMBER($A533),ISNUMBER(BBG_Data!C533)),BBG_Data!C533,NA())</f>
        <v/>
      </c>
      <c r="D533" s="17">
        <f>IF(AND(ISNUMBER($A533),ISNUMBER(BBG_Data!D533)),BBG_Data!D533,NA())</f>
        <v/>
      </c>
      <c r="E533" s="17">
        <f>IF(AND(ISNUMBER($A533),ISNUMBER(BBG_Data!E533)),BBG_Data!E533,NA())</f>
        <v/>
      </c>
      <c r="F533" s="18">
        <f>IF(AND(ISNUMBER(B533),ISNUMBER(B532)),(B533-B532)*100,"")</f>
        <v/>
      </c>
      <c r="G533" s="18">
        <f>IF(AND(ISNUMBER(C533),ISNUMBER(C532)),(C533-C532)*100,"")</f>
        <v/>
      </c>
      <c r="H533" s="18">
        <f>IF(OR(NOT(ISNUMBER($A533)),ROW()-2&lt;Settings!$B$11),NA(),IF(COUNT(OFFSET(F533,1-Settings!$B$11,0,Settings!$B$11,1))&lt;Settings!$B$11,NA(),STDEV(OFFSET(F533,1-Settings!$B$11,0,Settings!$B$11,1))*SQRT(Settings!$B$13)))</f>
        <v/>
      </c>
      <c r="I533" s="18">
        <f>IF(OR(NOT(ISNUMBER($A533)),ROW()-2&lt;Settings!$B$12),NA(),IF(COUNT(OFFSET(F533,1-Settings!$B$12,0,Settings!$B$12,1))&lt;Settings!$B$12,NA(),STDEV(OFFSET(F533,1-Settings!$B$12,0,Settings!$B$12,1))*SQRT(Settings!$B$13)))</f>
        <v/>
      </c>
      <c r="J533" s="18">
        <f>IF(OR(NOT(ISNUMBER($A533)),ROW()-2&lt;Settings!$B$11),NA(),IF(COUNT(OFFSET(G533,1-Settings!$B$11,0,Settings!$B$11,1))&lt;Settings!$B$11,NA(),STDEV(OFFSET(G533,1-Settings!$B$11,0,Settings!$B$11,1))*SQRT(Settings!$B$13)))</f>
        <v/>
      </c>
      <c r="K533" s="18">
        <f>IF(OR(NOT(ISNUMBER($A533)),ROW()-2&lt;Settings!$B$12),NA(),IF(COUNT(OFFSET(G533,1-Settings!$B$12,0,Settings!$B$12,1))&lt;Settings!$B$12,NA(),STDEV(OFFSET(G533,1-Settings!$B$12,0,Settings!$B$12,1))*SQRT(Settings!$B$13)))</f>
        <v/>
      </c>
      <c r="L533" s="18">
        <f>IF(AND(ISNUMBER(D533),ISNUMBER(H533)),D533-H533,NA())</f>
        <v/>
      </c>
      <c r="M533" s="18">
        <f>IF(AND(ISNUMBER(E533),ISNUMBER(K533)),E533-K533,NA())</f>
        <v/>
      </c>
      <c r="N533" s="18">
        <f>IF(NOT(ISNUMBER($A533)),NA(),IF(COUNT(OFFSET(G533,1,0,Settings!$B$12,1))&lt;Settings!$B$12,NA(),STDEV(OFFSET(G533,1,0,Settings!$B$12,1))*SQRT(Settings!$B$13)))</f>
        <v/>
      </c>
      <c r="O533" s="18">
        <f>IF(AND(ISNUMBER(E533),ISNUMBER(N533)),E533-N533,NA())</f>
        <v/>
      </c>
      <c r="P533" s="17">
        <f>IF(NOT(ISNUMBER($A533)),NA(),IF(OR($A533&lt;MIN(KW_TP!$A$2:$A$2501),$A533&gt;MAX(KW_TP!$A$2:$A$2501)),NA(),INDEX(KW_TP!$C$2:$C$2501,MATCH($A533,KW_TP!$A$2:$A$2501,1))))</f>
        <v/>
      </c>
    </row>
    <row r="534">
      <c r="A534" s="15">
        <f>IF(ISNUMBER(BBG_Data!A534),BBG_Data!A534,"")</f>
        <v/>
      </c>
      <c r="B534" s="16">
        <f>IF(AND(ISNUMBER($A534),ISNUMBER(BBG_Data!B534)),BBG_Data!B534,NA())</f>
        <v/>
      </c>
      <c r="C534" s="16">
        <f>IF(AND(ISNUMBER($A534),ISNUMBER(BBG_Data!C534)),BBG_Data!C534,NA())</f>
        <v/>
      </c>
      <c r="D534" s="17">
        <f>IF(AND(ISNUMBER($A534),ISNUMBER(BBG_Data!D534)),BBG_Data!D534,NA())</f>
        <v/>
      </c>
      <c r="E534" s="17">
        <f>IF(AND(ISNUMBER($A534),ISNUMBER(BBG_Data!E534)),BBG_Data!E534,NA())</f>
        <v/>
      </c>
      <c r="F534" s="18">
        <f>IF(AND(ISNUMBER(B534),ISNUMBER(B533)),(B534-B533)*100,"")</f>
        <v/>
      </c>
      <c r="G534" s="18">
        <f>IF(AND(ISNUMBER(C534),ISNUMBER(C533)),(C534-C533)*100,"")</f>
        <v/>
      </c>
      <c r="H534" s="18">
        <f>IF(OR(NOT(ISNUMBER($A534)),ROW()-2&lt;Settings!$B$11),NA(),IF(COUNT(OFFSET(F534,1-Settings!$B$11,0,Settings!$B$11,1))&lt;Settings!$B$11,NA(),STDEV(OFFSET(F534,1-Settings!$B$11,0,Settings!$B$11,1))*SQRT(Settings!$B$13)))</f>
        <v/>
      </c>
      <c r="I534" s="18">
        <f>IF(OR(NOT(ISNUMBER($A534)),ROW()-2&lt;Settings!$B$12),NA(),IF(COUNT(OFFSET(F534,1-Settings!$B$12,0,Settings!$B$12,1))&lt;Settings!$B$12,NA(),STDEV(OFFSET(F534,1-Settings!$B$12,0,Settings!$B$12,1))*SQRT(Settings!$B$13)))</f>
        <v/>
      </c>
      <c r="J534" s="18">
        <f>IF(OR(NOT(ISNUMBER($A534)),ROW()-2&lt;Settings!$B$11),NA(),IF(COUNT(OFFSET(G534,1-Settings!$B$11,0,Settings!$B$11,1))&lt;Settings!$B$11,NA(),STDEV(OFFSET(G534,1-Settings!$B$11,0,Settings!$B$11,1))*SQRT(Settings!$B$13)))</f>
        <v/>
      </c>
      <c r="K534" s="18">
        <f>IF(OR(NOT(ISNUMBER($A534)),ROW()-2&lt;Settings!$B$12),NA(),IF(COUNT(OFFSET(G534,1-Settings!$B$12,0,Settings!$B$12,1))&lt;Settings!$B$12,NA(),STDEV(OFFSET(G534,1-Settings!$B$12,0,Settings!$B$12,1))*SQRT(Settings!$B$13)))</f>
        <v/>
      </c>
      <c r="L534" s="18">
        <f>IF(AND(ISNUMBER(D534),ISNUMBER(H534)),D534-H534,NA())</f>
        <v/>
      </c>
      <c r="M534" s="18">
        <f>IF(AND(ISNUMBER(E534),ISNUMBER(K534)),E534-K534,NA())</f>
        <v/>
      </c>
      <c r="N534" s="18">
        <f>IF(NOT(ISNUMBER($A534)),NA(),IF(COUNT(OFFSET(G534,1,0,Settings!$B$12,1))&lt;Settings!$B$12,NA(),STDEV(OFFSET(G534,1,0,Settings!$B$12,1))*SQRT(Settings!$B$13)))</f>
        <v/>
      </c>
      <c r="O534" s="18">
        <f>IF(AND(ISNUMBER(E534),ISNUMBER(N534)),E534-N534,NA())</f>
        <v/>
      </c>
      <c r="P534" s="17">
        <f>IF(NOT(ISNUMBER($A534)),NA(),IF(OR($A534&lt;MIN(KW_TP!$A$2:$A$2501),$A534&gt;MAX(KW_TP!$A$2:$A$2501)),NA(),INDEX(KW_TP!$C$2:$C$2501,MATCH($A534,KW_TP!$A$2:$A$2501,1))))</f>
        <v/>
      </c>
    </row>
    <row r="535">
      <c r="A535" s="15">
        <f>IF(ISNUMBER(BBG_Data!A535),BBG_Data!A535,"")</f>
        <v/>
      </c>
      <c r="B535" s="16">
        <f>IF(AND(ISNUMBER($A535),ISNUMBER(BBG_Data!B535)),BBG_Data!B535,NA())</f>
        <v/>
      </c>
      <c r="C535" s="16">
        <f>IF(AND(ISNUMBER($A535),ISNUMBER(BBG_Data!C535)),BBG_Data!C535,NA())</f>
        <v/>
      </c>
      <c r="D535" s="17">
        <f>IF(AND(ISNUMBER($A535),ISNUMBER(BBG_Data!D535)),BBG_Data!D535,NA())</f>
        <v/>
      </c>
      <c r="E535" s="17">
        <f>IF(AND(ISNUMBER($A535),ISNUMBER(BBG_Data!E535)),BBG_Data!E535,NA())</f>
        <v/>
      </c>
      <c r="F535" s="18">
        <f>IF(AND(ISNUMBER(B535),ISNUMBER(B534)),(B535-B534)*100,"")</f>
        <v/>
      </c>
      <c r="G535" s="18">
        <f>IF(AND(ISNUMBER(C535),ISNUMBER(C534)),(C535-C534)*100,"")</f>
        <v/>
      </c>
      <c r="H535" s="18">
        <f>IF(OR(NOT(ISNUMBER($A535)),ROW()-2&lt;Settings!$B$11),NA(),IF(COUNT(OFFSET(F535,1-Settings!$B$11,0,Settings!$B$11,1))&lt;Settings!$B$11,NA(),STDEV(OFFSET(F535,1-Settings!$B$11,0,Settings!$B$11,1))*SQRT(Settings!$B$13)))</f>
        <v/>
      </c>
      <c r="I535" s="18">
        <f>IF(OR(NOT(ISNUMBER($A535)),ROW()-2&lt;Settings!$B$12),NA(),IF(COUNT(OFFSET(F535,1-Settings!$B$12,0,Settings!$B$12,1))&lt;Settings!$B$12,NA(),STDEV(OFFSET(F535,1-Settings!$B$12,0,Settings!$B$12,1))*SQRT(Settings!$B$13)))</f>
        <v/>
      </c>
      <c r="J535" s="18">
        <f>IF(OR(NOT(ISNUMBER($A535)),ROW()-2&lt;Settings!$B$11),NA(),IF(COUNT(OFFSET(G535,1-Settings!$B$11,0,Settings!$B$11,1))&lt;Settings!$B$11,NA(),STDEV(OFFSET(G535,1-Settings!$B$11,0,Settings!$B$11,1))*SQRT(Settings!$B$13)))</f>
        <v/>
      </c>
      <c r="K535" s="18">
        <f>IF(OR(NOT(ISNUMBER($A535)),ROW()-2&lt;Settings!$B$12),NA(),IF(COUNT(OFFSET(G535,1-Settings!$B$12,0,Settings!$B$12,1))&lt;Settings!$B$12,NA(),STDEV(OFFSET(G535,1-Settings!$B$12,0,Settings!$B$12,1))*SQRT(Settings!$B$13)))</f>
        <v/>
      </c>
      <c r="L535" s="18">
        <f>IF(AND(ISNUMBER(D535),ISNUMBER(H535)),D535-H535,NA())</f>
        <v/>
      </c>
      <c r="M535" s="18">
        <f>IF(AND(ISNUMBER(E535),ISNUMBER(K535)),E535-K535,NA())</f>
        <v/>
      </c>
      <c r="N535" s="18">
        <f>IF(NOT(ISNUMBER($A535)),NA(),IF(COUNT(OFFSET(G535,1,0,Settings!$B$12,1))&lt;Settings!$B$12,NA(),STDEV(OFFSET(G535,1,0,Settings!$B$12,1))*SQRT(Settings!$B$13)))</f>
        <v/>
      </c>
      <c r="O535" s="18">
        <f>IF(AND(ISNUMBER(E535),ISNUMBER(N535)),E535-N535,NA())</f>
        <v/>
      </c>
      <c r="P535" s="17">
        <f>IF(NOT(ISNUMBER($A535)),NA(),IF(OR($A535&lt;MIN(KW_TP!$A$2:$A$2501),$A535&gt;MAX(KW_TP!$A$2:$A$2501)),NA(),INDEX(KW_TP!$C$2:$C$2501,MATCH($A535,KW_TP!$A$2:$A$2501,1))))</f>
        <v/>
      </c>
    </row>
    <row r="536">
      <c r="A536" s="15">
        <f>IF(ISNUMBER(BBG_Data!A536),BBG_Data!A536,"")</f>
        <v/>
      </c>
      <c r="B536" s="16">
        <f>IF(AND(ISNUMBER($A536),ISNUMBER(BBG_Data!B536)),BBG_Data!B536,NA())</f>
        <v/>
      </c>
      <c r="C536" s="16">
        <f>IF(AND(ISNUMBER($A536),ISNUMBER(BBG_Data!C536)),BBG_Data!C536,NA())</f>
        <v/>
      </c>
      <c r="D536" s="17">
        <f>IF(AND(ISNUMBER($A536),ISNUMBER(BBG_Data!D536)),BBG_Data!D536,NA())</f>
        <v/>
      </c>
      <c r="E536" s="17">
        <f>IF(AND(ISNUMBER($A536),ISNUMBER(BBG_Data!E536)),BBG_Data!E536,NA())</f>
        <v/>
      </c>
      <c r="F536" s="18">
        <f>IF(AND(ISNUMBER(B536),ISNUMBER(B535)),(B536-B535)*100,"")</f>
        <v/>
      </c>
      <c r="G536" s="18">
        <f>IF(AND(ISNUMBER(C536),ISNUMBER(C535)),(C536-C535)*100,"")</f>
        <v/>
      </c>
      <c r="H536" s="18">
        <f>IF(OR(NOT(ISNUMBER($A536)),ROW()-2&lt;Settings!$B$11),NA(),IF(COUNT(OFFSET(F536,1-Settings!$B$11,0,Settings!$B$11,1))&lt;Settings!$B$11,NA(),STDEV(OFFSET(F536,1-Settings!$B$11,0,Settings!$B$11,1))*SQRT(Settings!$B$13)))</f>
        <v/>
      </c>
      <c r="I536" s="18">
        <f>IF(OR(NOT(ISNUMBER($A536)),ROW()-2&lt;Settings!$B$12),NA(),IF(COUNT(OFFSET(F536,1-Settings!$B$12,0,Settings!$B$12,1))&lt;Settings!$B$12,NA(),STDEV(OFFSET(F536,1-Settings!$B$12,0,Settings!$B$12,1))*SQRT(Settings!$B$13)))</f>
        <v/>
      </c>
      <c r="J536" s="18">
        <f>IF(OR(NOT(ISNUMBER($A536)),ROW()-2&lt;Settings!$B$11),NA(),IF(COUNT(OFFSET(G536,1-Settings!$B$11,0,Settings!$B$11,1))&lt;Settings!$B$11,NA(),STDEV(OFFSET(G536,1-Settings!$B$11,0,Settings!$B$11,1))*SQRT(Settings!$B$13)))</f>
        <v/>
      </c>
      <c r="K536" s="18">
        <f>IF(OR(NOT(ISNUMBER($A536)),ROW()-2&lt;Settings!$B$12),NA(),IF(COUNT(OFFSET(G536,1-Settings!$B$12,0,Settings!$B$12,1))&lt;Settings!$B$12,NA(),STDEV(OFFSET(G536,1-Settings!$B$12,0,Settings!$B$12,1))*SQRT(Settings!$B$13)))</f>
        <v/>
      </c>
      <c r="L536" s="18">
        <f>IF(AND(ISNUMBER(D536),ISNUMBER(H536)),D536-H536,NA())</f>
        <v/>
      </c>
      <c r="M536" s="18">
        <f>IF(AND(ISNUMBER(E536),ISNUMBER(K536)),E536-K536,NA())</f>
        <v/>
      </c>
      <c r="N536" s="18">
        <f>IF(NOT(ISNUMBER($A536)),NA(),IF(COUNT(OFFSET(G536,1,0,Settings!$B$12,1))&lt;Settings!$B$12,NA(),STDEV(OFFSET(G536,1,0,Settings!$B$12,1))*SQRT(Settings!$B$13)))</f>
        <v/>
      </c>
      <c r="O536" s="18">
        <f>IF(AND(ISNUMBER(E536),ISNUMBER(N536)),E536-N536,NA())</f>
        <v/>
      </c>
      <c r="P536" s="17">
        <f>IF(NOT(ISNUMBER($A536)),NA(),IF(OR($A536&lt;MIN(KW_TP!$A$2:$A$2501),$A536&gt;MAX(KW_TP!$A$2:$A$2501)),NA(),INDEX(KW_TP!$C$2:$C$2501,MATCH($A536,KW_TP!$A$2:$A$2501,1))))</f>
        <v/>
      </c>
    </row>
    <row r="537">
      <c r="A537" s="15">
        <f>IF(ISNUMBER(BBG_Data!A537),BBG_Data!A537,"")</f>
        <v/>
      </c>
      <c r="B537" s="16">
        <f>IF(AND(ISNUMBER($A537),ISNUMBER(BBG_Data!B537)),BBG_Data!B537,NA())</f>
        <v/>
      </c>
      <c r="C537" s="16">
        <f>IF(AND(ISNUMBER($A537),ISNUMBER(BBG_Data!C537)),BBG_Data!C537,NA())</f>
        <v/>
      </c>
      <c r="D537" s="17">
        <f>IF(AND(ISNUMBER($A537),ISNUMBER(BBG_Data!D537)),BBG_Data!D537,NA())</f>
        <v/>
      </c>
      <c r="E537" s="17">
        <f>IF(AND(ISNUMBER($A537),ISNUMBER(BBG_Data!E537)),BBG_Data!E537,NA())</f>
        <v/>
      </c>
      <c r="F537" s="18">
        <f>IF(AND(ISNUMBER(B537),ISNUMBER(B536)),(B537-B536)*100,"")</f>
        <v/>
      </c>
      <c r="G537" s="18">
        <f>IF(AND(ISNUMBER(C537),ISNUMBER(C536)),(C537-C536)*100,"")</f>
        <v/>
      </c>
      <c r="H537" s="18">
        <f>IF(OR(NOT(ISNUMBER($A537)),ROW()-2&lt;Settings!$B$11),NA(),IF(COUNT(OFFSET(F537,1-Settings!$B$11,0,Settings!$B$11,1))&lt;Settings!$B$11,NA(),STDEV(OFFSET(F537,1-Settings!$B$11,0,Settings!$B$11,1))*SQRT(Settings!$B$13)))</f>
        <v/>
      </c>
      <c r="I537" s="18">
        <f>IF(OR(NOT(ISNUMBER($A537)),ROW()-2&lt;Settings!$B$12),NA(),IF(COUNT(OFFSET(F537,1-Settings!$B$12,0,Settings!$B$12,1))&lt;Settings!$B$12,NA(),STDEV(OFFSET(F537,1-Settings!$B$12,0,Settings!$B$12,1))*SQRT(Settings!$B$13)))</f>
        <v/>
      </c>
      <c r="J537" s="18">
        <f>IF(OR(NOT(ISNUMBER($A537)),ROW()-2&lt;Settings!$B$11),NA(),IF(COUNT(OFFSET(G537,1-Settings!$B$11,0,Settings!$B$11,1))&lt;Settings!$B$11,NA(),STDEV(OFFSET(G537,1-Settings!$B$11,0,Settings!$B$11,1))*SQRT(Settings!$B$13)))</f>
        <v/>
      </c>
      <c r="K537" s="18">
        <f>IF(OR(NOT(ISNUMBER($A537)),ROW()-2&lt;Settings!$B$12),NA(),IF(COUNT(OFFSET(G537,1-Settings!$B$12,0,Settings!$B$12,1))&lt;Settings!$B$12,NA(),STDEV(OFFSET(G537,1-Settings!$B$12,0,Settings!$B$12,1))*SQRT(Settings!$B$13)))</f>
        <v/>
      </c>
      <c r="L537" s="18">
        <f>IF(AND(ISNUMBER(D537),ISNUMBER(H537)),D537-H537,NA())</f>
        <v/>
      </c>
      <c r="M537" s="18">
        <f>IF(AND(ISNUMBER(E537),ISNUMBER(K537)),E537-K537,NA())</f>
        <v/>
      </c>
      <c r="N537" s="18">
        <f>IF(NOT(ISNUMBER($A537)),NA(),IF(COUNT(OFFSET(G537,1,0,Settings!$B$12,1))&lt;Settings!$B$12,NA(),STDEV(OFFSET(G537,1,0,Settings!$B$12,1))*SQRT(Settings!$B$13)))</f>
        <v/>
      </c>
      <c r="O537" s="18">
        <f>IF(AND(ISNUMBER(E537),ISNUMBER(N537)),E537-N537,NA())</f>
        <v/>
      </c>
      <c r="P537" s="17">
        <f>IF(NOT(ISNUMBER($A537)),NA(),IF(OR($A537&lt;MIN(KW_TP!$A$2:$A$2501),$A537&gt;MAX(KW_TP!$A$2:$A$2501)),NA(),INDEX(KW_TP!$C$2:$C$2501,MATCH($A537,KW_TP!$A$2:$A$2501,1))))</f>
        <v/>
      </c>
    </row>
    <row r="538">
      <c r="A538" s="15">
        <f>IF(ISNUMBER(BBG_Data!A538),BBG_Data!A538,"")</f>
        <v/>
      </c>
      <c r="B538" s="16">
        <f>IF(AND(ISNUMBER($A538),ISNUMBER(BBG_Data!B538)),BBG_Data!B538,NA())</f>
        <v/>
      </c>
      <c r="C538" s="16">
        <f>IF(AND(ISNUMBER($A538),ISNUMBER(BBG_Data!C538)),BBG_Data!C538,NA())</f>
        <v/>
      </c>
      <c r="D538" s="17">
        <f>IF(AND(ISNUMBER($A538),ISNUMBER(BBG_Data!D538)),BBG_Data!D538,NA())</f>
        <v/>
      </c>
      <c r="E538" s="17">
        <f>IF(AND(ISNUMBER($A538),ISNUMBER(BBG_Data!E538)),BBG_Data!E538,NA())</f>
        <v/>
      </c>
      <c r="F538" s="18">
        <f>IF(AND(ISNUMBER(B538),ISNUMBER(B537)),(B538-B537)*100,"")</f>
        <v/>
      </c>
      <c r="G538" s="18">
        <f>IF(AND(ISNUMBER(C538),ISNUMBER(C537)),(C538-C537)*100,"")</f>
        <v/>
      </c>
      <c r="H538" s="18">
        <f>IF(OR(NOT(ISNUMBER($A538)),ROW()-2&lt;Settings!$B$11),NA(),IF(COUNT(OFFSET(F538,1-Settings!$B$11,0,Settings!$B$11,1))&lt;Settings!$B$11,NA(),STDEV(OFFSET(F538,1-Settings!$B$11,0,Settings!$B$11,1))*SQRT(Settings!$B$13)))</f>
        <v/>
      </c>
      <c r="I538" s="18">
        <f>IF(OR(NOT(ISNUMBER($A538)),ROW()-2&lt;Settings!$B$12),NA(),IF(COUNT(OFFSET(F538,1-Settings!$B$12,0,Settings!$B$12,1))&lt;Settings!$B$12,NA(),STDEV(OFFSET(F538,1-Settings!$B$12,0,Settings!$B$12,1))*SQRT(Settings!$B$13)))</f>
        <v/>
      </c>
      <c r="J538" s="18">
        <f>IF(OR(NOT(ISNUMBER($A538)),ROW()-2&lt;Settings!$B$11),NA(),IF(COUNT(OFFSET(G538,1-Settings!$B$11,0,Settings!$B$11,1))&lt;Settings!$B$11,NA(),STDEV(OFFSET(G538,1-Settings!$B$11,0,Settings!$B$11,1))*SQRT(Settings!$B$13)))</f>
        <v/>
      </c>
      <c r="K538" s="18">
        <f>IF(OR(NOT(ISNUMBER($A538)),ROW()-2&lt;Settings!$B$12),NA(),IF(COUNT(OFFSET(G538,1-Settings!$B$12,0,Settings!$B$12,1))&lt;Settings!$B$12,NA(),STDEV(OFFSET(G538,1-Settings!$B$12,0,Settings!$B$12,1))*SQRT(Settings!$B$13)))</f>
        <v/>
      </c>
      <c r="L538" s="18">
        <f>IF(AND(ISNUMBER(D538),ISNUMBER(H538)),D538-H538,NA())</f>
        <v/>
      </c>
      <c r="M538" s="18">
        <f>IF(AND(ISNUMBER(E538),ISNUMBER(K538)),E538-K538,NA())</f>
        <v/>
      </c>
      <c r="N538" s="18">
        <f>IF(NOT(ISNUMBER($A538)),NA(),IF(COUNT(OFFSET(G538,1,0,Settings!$B$12,1))&lt;Settings!$B$12,NA(),STDEV(OFFSET(G538,1,0,Settings!$B$12,1))*SQRT(Settings!$B$13)))</f>
        <v/>
      </c>
      <c r="O538" s="18">
        <f>IF(AND(ISNUMBER(E538),ISNUMBER(N538)),E538-N538,NA())</f>
        <v/>
      </c>
      <c r="P538" s="17">
        <f>IF(NOT(ISNUMBER($A538)),NA(),IF(OR($A538&lt;MIN(KW_TP!$A$2:$A$2501),$A538&gt;MAX(KW_TP!$A$2:$A$2501)),NA(),INDEX(KW_TP!$C$2:$C$2501,MATCH($A538,KW_TP!$A$2:$A$2501,1))))</f>
        <v/>
      </c>
    </row>
    <row r="539">
      <c r="A539" s="15">
        <f>IF(ISNUMBER(BBG_Data!A539),BBG_Data!A539,"")</f>
        <v/>
      </c>
      <c r="B539" s="16">
        <f>IF(AND(ISNUMBER($A539),ISNUMBER(BBG_Data!B539)),BBG_Data!B539,NA())</f>
        <v/>
      </c>
      <c r="C539" s="16">
        <f>IF(AND(ISNUMBER($A539),ISNUMBER(BBG_Data!C539)),BBG_Data!C539,NA())</f>
        <v/>
      </c>
      <c r="D539" s="17">
        <f>IF(AND(ISNUMBER($A539),ISNUMBER(BBG_Data!D539)),BBG_Data!D539,NA())</f>
        <v/>
      </c>
      <c r="E539" s="17">
        <f>IF(AND(ISNUMBER($A539),ISNUMBER(BBG_Data!E539)),BBG_Data!E539,NA())</f>
        <v/>
      </c>
      <c r="F539" s="18">
        <f>IF(AND(ISNUMBER(B539),ISNUMBER(B538)),(B539-B538)*100,"")</f>
        <v/>
      </c>
      <c r="G539" s="18">
        <f>IF(AND(ISNUMBER(C539),ISNUMBER(C538)),(C539-C538)*100,"")</f>
        <v/>
      </c>
      <c r="H539" s="18">
        <f>IF(OR(NOT(ISNUMBER($A539)),ROW()-2&lt;Settings!$B$11),NA(),IF(COUNT(OFFSET(F539,1-Settings!$B$11,0,Settings!$B$11,1))&lt;Settings!$B$11,NA(),STDEV(OFFSET(F539,1-Settings!$B$11,0,Settings!$B$11,1))*SQRT(Settings!$B$13)))</f>
        <v/>
      </c>
      <c r="I539" s="18">
        <f>IF(OR(NOT(ISNUMBER($A539)),ROW()-2&lt;Settings!$B$12),NA(),IF(COUNT(OFFSET(F539,1-Settings!$B$12,0,Settings!$B$12,1))&lt;Settings!$B$12,NA(),STDEV(OFFSET(F539,1-Settings!$B$12,0,Settings!$B$12,1))*SQRT(Settings!$B$13)))</f>
        <v/>
      </c>
      <c r="J539" s="18">
        <f>IF(OR(NOT(ISNUMBER($A539)),ROW()-2&lt;Settings!$B$11),NA(),IF(COUNT(OFFSET(G539,1-Settings!$B$11,0,Settings!$B$11,1))&lt;Settings!$B$11,NA(),STDEV(OFFSET(G539,1-Settings!$B$11,0,Settings!$B$11,1))*SQRT(Settings!$B$13)))</f>
        <v/>
      </c>
      <c r="K539" s="18">
        <f>IF(OR(NOT(ISNUMBER($A539)),ROW()-2&lt;Settings!$B$12),NA(),IF(COUNT(OFFSET(G539,1-Settings!$B$12,0,Settings!$B$12,1))&lt;Settings!$B$12,NA(),STDEV(OFFSET(G539,1-Settings!$B$12,0,Settings!$B$12,1))*SQRT(Settings!$B$13)))</f>
        <v/>
      </c>
      <c r="L539" s="18">
        <f>IF(AND(ISNUMBER(D539),ISNUMBER(H539)),D539-H539,NA())</f>
        <v/>
      </c>
      <c r="M539" s="18">
        <f>IF(AND(ISNUMBER(E539),ISNUMBER(K539)),E539-K539,NA())</f>
        <v/>
      </c>
      <c r="N539" s="18">
        <f>IF(NOT(ISNUMBER($A539)),NA(),IF(COUNT(OFFSET(G539,1,0,Settings!$B$12,1))&lt;Settings!$B$12,NA(),STDEV(OFFSET(G539,1,0,Settings!$B$12,1))*SQRT(Settings!$B$13)))</f>
        <v/>
      </c>
      <c r="O539" s="18">
        <f>IF(AND(ISNUMBER(E539),ISNUMBER(N539)),E539-N539,NA())</f>
        <v/>
      </c>
      <c r="P539" s="17">
        <f>IF(NOT(ISNUMBER($A539)),NA(),IF(OR($A539&lt;MIN(KW_TP!$A$2:$A$2501),$A539&gt;MAX(KW_TP!$A$2:$A$2501)),NA(),INDEX(KW_TP!$C$2:$C$2501,MATCH($A539,KW_TP!$A$2:$A$2501,1))))</f>
        <v/>
      </c>
    </row>
    <row r="540">
      <c r="A540" s="15">
        <f>IF(ISNUMBER(BBG_Data!A540),BBG_Data!A540,"")</f>
        <v/>
      </c>
      <c r="B540" s="16">
        <f>IF(AND(ISNUMBER($A540),ISNUMBER(BBG_Data!B540)),BBG_Data!B540,NA())</f>
        <v/>
      </c>
      <c r="C540" s="16">
        <f>IF(AND(ISNUMBER($A540),ISNUMBER(BBG_Data!C540)),BBG_Data!C540,NA())</f>
        <v/>
      </c>
      <c r="D540" s="17">
        <f>IF(AND(ISNUMBER($A540),ISNUMBER(BBG_Data!D540)),BBG_Data!D540,NA())</f>
        <v/>
      </c>
      <c r="E540" s="17">
        <f>IF(AND(ISNUMBER($A540),ISNUMBER(BBG_Data!E540)),BBG_Data!E540,NA())</f>
        <v/>
      </c>
      <c r="F540" s="18">
        <f>IF(AND(ISNUMBER(B540),ISNUMBER(B539)),(B540-B539)*100,"")</f>
        <v/>
      </c>
      <c r="G540" s="18">
        <f>IF(AND(ISNUMBER(C540),ISNUMBER(C539)),(C540-C539)*100,"")</f>
        <v/>
      </c>
      <c r="H540" s="18">
        <f>IF(OR(NOT(ISNUMBER($A540)),ROW()-2&lt;Settings!$B$11),NA(),IF(COUNT(OFFSET(F540,1-Settings!$B$11,0,Settings!$B$11,1))&lt;Settings!$B$11,NA(),STDEV(OFFSET(F540,1-Settings!$B$11,0,Settings!$B$11,1))*SQRT(Settings!$B$13)))</f>
        <v/>
      </c>
      <c r="I540" s="18">
        <f>IF(OR(NOT(ISNUMBER($A540)),ROW()-2&lt;Settings!$B$12),NA(),IF(COUNT(OFFSET(F540,1-Settings!$B$12,0,Settings!$B$12,1))&lt;Settings!$B$12,NA(),STDEV(OFFSET(F540,1-Settings!$B$12,0,Settings!$B$12,1))*SQRT(Settings!$B$13)))</f>
        <v/>
      </c>
      <c r="J540" s="18">
        <f>IF(OR(NOT(ISNUMBER($A540)),ROW()-2&lt;Settings!$B$11),NA(),IF(COUNT(OFFSET(G540,1-Settings!$B$11,0,Settings!$B$11,1))&lt;Settings!$B$11,NA(),STDEV(OFFSET(G540,1-Settings!$B$11,0,Settings!$B$11,1))*SQRT(Settings!$B$13)))</f>
        <v/>
      </c>
      <c r="K540" s="18">
        <f>IF(OR(NOT(ISNUMBER($A540)),ROW()-2&lt;Settings!$B$12),NA(),IF(COUNT(OFFSET(G540,1-Settings!$B$12,0,Settings!$B$12,1))&lt;Settings!$B$12,NA(),STDEV(OFFSET(G540,1-Settings!$B$12,0,Settings!$B$12,1))*SQRT(Settings!$B$13)))</f>
        <v/>
      </c>
      <c r="L540" s="18">
        <f>IF(AND(ISNUMBER(D540),ISNUMBER(H540)),D540-H540,NA())</f>
        <v/>
      </c>
      <c r="M540" s="18">
        <f>IF(AND(ISNUMBER(E540),ISNUMBER(K540)),E540-K540,NA())</f>
        <v/>
      </c>
      <c r="N540" s="18">
        <f>IF(NOT(ISNUMBER($A540)),NA(),IF(COUNT(OFFSET(G540,1,0,Settings!$B$12,1))&lt;Settings!$B$12,NA(),STDEV(OFFSET(G540,1,0,Settings!$B$12,1))*SQRT(Settings!$B$13)))</f>
        <v/>
      </c>
      <c r="O540" s="18">
        <f>IF(AND(ISNUMBER(E540),ISNUMBER(N540)),E540-N540,NA())</f>
        <v/>
      </c>
      <c r="P540" s="17">
        <f>IF(NOT(ISNUMBER($A540)),NA(),IF(OR($A540&lt;MIN(KW_TP!$A$2:$A$2501),$A540&gt;MAX(KW_TP!$A$2:$A$2501)),NA(),INDEX(KW_TP!$C$2:$C$2501,MATCH($A540,KW_TP!$A$2:$A$2501,1))))</f>
        <v/>
      </c>
    </row>
    <row r="541">
      <c r="A541" s="15">
        <f>IF(ISNUMBER(BBG_Data!A541),BBG_Data!A541,"")</f>
        <v/>
      </c>
      <c r="B541" s="16">
        <f>IF(AND(ISNUMBER($A541),ISNUMBER(BBG_Data!B541)),BBG_Data!B541,NA())</f>
        <v/>
      </c>
      <c r="C541" s="16">
        <f>IF(AND(ISNUMBER($A541),ISNUMBER(BBG_Data!C541)),BBG_Data!C541,NA())</f>
        <v/>
      </c>
      <c r="D541" s="17">
        <f>IF(AND(ISNUMBER($A541),ISNUMBER(BBG_Data!D541)),BBG_Data!D541,NA())</f>
        <v/>
      </c>
      <c r="E541" s="17">
        <f>IF(AND(ISNUMBER($A541),ISNUMBER(BBG_Data!E541)),BBG_Data!E541,NA())</f>
        <v/>
      </c>
      <c r="F541" s="18">
        <f>IF(AND(ISNUMBER(B541),ISNUMBER(B540)),(B541-B540)*100,"")</f>
        <v/>
      </c>
      <c r="G541" s="18">
        <f>IF(AND(ISNUMBER(C541),ISNUMBER(C540)),(C541-C540)*100,"")</f>
        <v/>
      </c>
      <c r="H541" s="18">
        <f>IF(OR(NOT(ISNUMBER($A541)),ROW()-2&lt;Settings!$B$11),NA(),IF(COUNT(OFFSET(F541,1-Settings!$B$11,0,Settings!$B$11,1))&lt;Settings!$B$11,NA(),STDEV(OFFSET(F541,1-Settings!$B$11,0,Settings!$B$11,1))*SQRT(Settings!$B$13)))</f>
        <v/>
      </c>
      <c r="I541" s="18">
        <f>IF(OR(NOT(ISNUMBER($A541)),ROW()-2&lt;Settings!$B$12),NA(),IF(COUNT(OFFSET(F541,1-Settings!$B$12,0,Settings!$B$12,1))&lt;Settings!$B$12,NA(),STDEV(OFFSET(F541,1-Settings!$B$12,0,Settings!$B$12,1))*SQRT(Settings!$B$13)))</f>
        <v/>
      </c>
      <c r="J541" s="18">
        <f>IF(OR(NOT(ISNUMBER($A541)),ROW()-2&lt;Settings!$B$11),NA(),IF(COUNT(OFFSET(G541,1-Settings!$B$11,0,Settings!$B$11,1))&lt;Settings!$B$11,NA(),STDEV(OFFSET(G541,1-Settings!$B$11,0,Settings!$B$11,1))*SQRT(Settings!$B$13)))</f>
        <v/>
      </c>
      <c r="K541" s="18">
        <f>IF(OR(NOT(ISNUMBER($A541)),ROW()-2&lt;Settings!$B$12),NA(),IF(COUNT(OFFSET(G541,1-Settings!$B$12,0,Settings!$B$12,1))&lt;Settings!$B$12,NA(),STDEV(OFFSET(G541,1-Settings!$B$12,0,Settings!$B$12,1))*SQRT(Settings!$B$13)))</f>
        <v/>
      </c>
      <c r="L541" s="18">
        <f>IF(AND(ISNUMBER(D541),ISNUMBER(H541)),D541-H541,NA())</f>
        <v/>
      </c>
      <c r="M541" s="18">
        <f>IF(AND(ISNUMBER(E541),ISNUMBER(K541)),E541-K541,NA())</f>
        <v/>
      </c>
      <c r="N541" s="18">
        <f>IF(NOT(ISNUMBER($A541)),NA(),IF(COUNT(OFFSET(G541,1,0,Settings!$B$12,1))&lt;Settings!$B$12,NA(),STDEV(OFFSET(G541,1,0,Settings!$B$12,1))*SQRT(Settings!$B$13)))</f>
        <v/>
      </c>
      <c r="O541" s="18">
        <f>IF(AND(ISNUMBER(E541),ISNUMBER(N541)),E541-N541,NA())</f>
        <v/>
      </c>
      <c r="P541" s="17">
        <f>IF(NOT(ISNUMBER($A541)),NA(),IF(OR($A541&lt;MIN(KW_TP!$A$2:$A$2501),$A541&gt;MAX(KW_TP!$A$2:$A$2501)),NA(),INDEX(KW_TP!$C$2:$C$2501,MATCH($A541,KW_TP!$A$2:$A$2501,1))))</f>
        <v/>
      </c>
    </row>
    <row r="542">
      <c r="A542" s="15">
        <f>IF(ISNUMBER(BBG_Data!A542),BBG_Data!A542,"")</f>
        <v/>
      </c>
      <c r="B542" s="16">
        <f>IF(AND(ISNUMBER($A542),ISNUMBER(BBG_Data!B542)),BBG_Data!B542,NA())</f>
        <v/>
      </c>
      <c r="C542" s="16">
        <f>IF(AND(ISNUMBER($A542),ISNUMBER(BBG_Data!C542)),BBG_Data!C542,NA())</f>
        <v/>
      </c>
      <c r="D542" s="17">
        <f>IF(AND(ISNUMBER($A542),ISNUMBER(BBG_Data!D542)),BBG_Data!D542,NA())</f>
        <v/>
      </c>
      <c r="E542" s="17">
        <f>IF(AND(ISNUMBER($A542),ISNUMBER(BBG_Data!E542)),BBG_Data!E542,NA())</f>
        <v/>
      </c>
      <c r="F542" s="18">
        <f>IF(AND(ISNUMBER(B542),ISNUMBER(B541)),(B542-B541)*100,"")</f>
        <v/>
      </c>
      <c r="G542" s="18">
        <f>IF(AND(ISNUMBER(C542),ISNUMBER(C541)),(C542-C541)*100,"")</f>
        <v/>
      </c>
      <c r="H542" s="18">
        <f>IF(OR(NOT(ISNUMBER($A542)),ROW()-2&lt;Settings!$B$11),NA(),IF(COUNT(OFFSET(F542,1-Settings!$B$11,0,Settings!$B$11,1))&lt;Settings!$B$11,NA(),STDEV(OFFSET(F542,1-Settings!$B$11,0,Settings!$B$11,1))*SQRT(Settings!$B$13)))</f>
        <v/>
      </c>
      <c r="I542" s="18">
        <f>IF(OR(NOT(ISNUMBER($A542)),ROW()-2&lt;Settings!$B$12),NA(),IF(COUNT(OFFSET(F542,1-Settings!$B$12,0,Settings!$B$12,1))&lt;Settings!$B$12,NA(),STDEV(OFFSET(F542,1-Settings!$B$12,0,Settings!$B$12,1))*SQRT(Settings!$B$13)))</f>
        <v/>
      </c>
      <c r="J542" s="18">
        <f>IF(OR(NOT(ISNUMBER($A542)),ROW()-2&lt;Settings!$B$11),NA(),IF(COUNT(OFFSET(G542,1-Settings!$B$11,0,Settings!$B$11,1))&lt;Settings!$B$11,NA(),STDEV(OFFSET(G542,1-Settings!$B$11,0,Settings!$B$11,1))*SQRT(Settings!$B$13)))</f>
        <v/>
      </c>
      <c r="K542" s="18">
        <f>IF(OR(NOT(ISNUMBER($A542)),ROW()-2&lt;Settings!$B$12),NA(),IF(COUNT(OFFSET(G542,1-Settings!$B$12,0,Settings!$B$12,1))&lt;Settings!$B$12,NA(),STDEV(OFFSET(G542,1-Settings!$B$12,0,Settings!$B$12,1))*SQRT(Settings!$B$13)))</f>
        <v/>
      </c>
      <c r="L542" s="18">
        <f>IF(AND(ISNUMBER(D542),ISNUMBER(H542)),D542-H542,NA())</f>
        <v/>
      </c>
      <c r="M542" s="18">
        <f>IF(AND(ISNUMBER(E542),ISNUMBER(K542)),E542-K542,NA())</f>
        <v/>
      </c>
      <c r="N542" s="18">
        <f>IF(NOT(ISNUMBER($A542)),NA(),IF(COUNT(OFFSET(G542,1,0,Settings!$B$12,1))&lt;Settings!$B$12,NA(),STDEV(OFFSET(G542,1,0,Settings!$B$12,1))*SQRT(Settings!$B$13)))</f>
        <v/>
      </c>
      <c r="O542" s="18">
        <f>IF(AND(ISNUMBER(E542),ISNUMBER(N542)),E542-N542,NA())</f>
        <v/>
      </c>
      <c r="P542" s="17">
        <f>IF(NOT(ISNUMBER($A542)),NA(),IF(OR($A542&lt;MIN(KW_TP!$A$2:$A$2501),$A542&gt;MAX(KW_TP!$A$2:$A$2501)),NA(),INDEX(KW_TP!$C$2:$C$2501,MATCH($A542,KW_TP!$A$2:$A$2501,1))))</f>
        <v/>
      </c>
    </row>
    <row r="543">
      <c r="A543" s="15">
        <f>IF(ISNUMBER(BBG_Data!A543),BBG_Data!A543,"")</f>
        <v/>
      </c>
      <c r="B543" s="16">
        <f>IF(AND(ISNUMBER($A543),ISNUMBER(BBG_Data!B543)),BBG_Data!B543,NA())</f>
        <v/>
      </c>
      <c r="C543" s="16">
        <f>IF(AND(ISNUMBER($A543),ISNUMBER(BBG_Data!C543)),BBG_Data!C543,NA())</f>
        <v/>
      </c>
      <c r="D543" s="17">
        <f>IF(AND(ISNUMBER($A543),ISNUMBER(BBG_Data!D543)),BBG_Data!D543,NA())</f>
        <v/>
      </c>
      <c r="E543" s="17">
        <f>IF(AND(ISNUMBER($A543),ISNUMBER(BBG_Data!E543)),BBG_Data!E543,NA())</f>
        <v/>
      </c>
      <c r="F543" s="18">
        <f>IF(AND(ISNUMBER(B543),ISNUMBER(B542)),(B543-B542)*100,"")</f>
        <v/>
      </c>
      <c r="G543" s="18">
        <f>IF(AND(ISNUMBER(C543),ISNUMBER(C542)),(C543-C542)*100,"")</f>
        <v/>
      </c>
      <c r="H543" s="18">
        <f>IF(OR(NOT(ISNUMBER($A543)),ROW()-2&lt;Settings!$B$11),NA(),IF(COUNT(OFFSET(F543,1-Settings!$B$11,0,Settings!$B$11,1))&lt;Settings!$B$11,NA(),STDEV(OFFSET(F543,1-Settings!$B$11,0,Settings!$B$11,1))*SQRT(Settings!$B$13)))</f>
        <v/>
      </c>
      <c r="I543" s="18">
        <f>IF(OR(NOT(ISNUMBER($A543)),ROW()-2&lt;Settings!$B$12),NA(),IF(COUNT(OFFSET(F543,1-Settings!$B$12,0,Settings!$B$12,1))&lt;Settings!$B$12,NA(),STDEV(OFFSET(F543,1-Settings!$B$12,0,Settings!$B$12,1))*SQRT(Settings!$B$13)))</f>
        <v/>
      </c>
      <c r="J543" s="18">
        <f>IF(OR(NOT(ISNUMBER($A543)),ROW()-2&lt;Settings!$B$11),NA(),IF(COUNT(OFFSET(G543,1-Settings!$B$11,0,Settings!$B$11,1))&lt;Settings!$B$11,NA(),STDEV(OFFSET(G543,1-Settings!$B$11,0,Settings!$B$11,1))*SQRT(Settings!$B$13)))</f>
        <v/>
      </c>
      <c r="K543" s="18">
        <f>IF(OR(NOT(ISNUMBER($A543)),ROW()-2&lt;Settings!$B$12),NA(),IF(COUNT(OFFSET(G543,1-Settings!$B$12,0,Settings!$B$12,1))&lt;Settings!$B$12,NA(),STDEV(OFFSET(G543,1-Settings!$B$12,0,Settings!$B$12,1))*SQRT(Settings!$B$13)))</f>
        <v/>
      </c>
      <c r="L543" s="18">
        <f>IF(AND(ISNUMBER(D543),ISNUMBER(H543)),D543-H543,NA())</f>
        <v/>
      </c>
      <c r="M543" s="18">
        <f>IF(AND(ISNUMBER(E543),ISNUMBER(K543)),E543-K543,NA())</f>
        <v/>
      </c>
      <c r="N543" s="18">
        <f>IF(NOT(ISNUMBER($A543)),NA(),IF(COUNT(OFFSET(G543,1,0,Settings!$B$12,1))&lt;Settings!$B$12,NA(),STDEV(OFFSET(G543,1,0,Settings!$B$12,1))*SQRT(Settings!$B$13)))</f>
        <v/>
      </c>
      <c r="O543" s="18">
        <f>IF(AND(ISNUMBER(E543),ISNUMBER(N543)),E543-N543,NA())</f>
        <v/>
      </c>
      <c r="P543" s="17">
        <f>IF(NOT(ISNUMBER($A543)),NA(),IF(OR($A543&lt;MIN(KW_TP!$A$2:$A$2501),$A543&gt;MAX(KW_TP!$A$2:$A$2501)),NA(),INDEX(KW_TP!$C$2:$C$2501,MATCH($A543,KW_TP!$A$2:$A$2501,1))))</f>
        <v/>
      </c>
    </row>
    <row r="544">
      <c r="A544" s="15">
        <f>IF(ISNUMBER(BBG_Data!A544),BBG_Data!A544,"")</f>
        <v/>
      </c>
      <c r="B544" s="16">
        <f>IF(AND(ISNUMBER($A544),ISNUMBER(BBG_Data!B544)),BBG_Data!B544,NA())</f>
        <v/>
      </c>
      <c r="C544" s="16">
        <f>IF(AND(ISNUMBER($A544),ISNUMBER(BBG_Data!C544)),BBG_Data!C544,NA())</f>
        <v/>
      </c>
      <c r="D544" s="17">
        <f>IF(AND(ISNUMBER($A544),ISNUMBER(BBG_Data!D544)),BBG_Data!D544,NA())</f>
        <v/>
      </c>
      <c r="E544" s="17">
        <f>IF(AND(ISNUMBER($A544),ISNUMBER(BBG_Data!E544)),BBG_Data!E544,NA())</f>
        <v/>
      </c>
      <c r="F544" s="18">
        <f>IF(AND(ISNUMBER(B544),ISNUMBER(B543)),(B544-B543)*100,"")</f>
        <v/>
      </c>
      <c r="G544" s="18">
        <f>IF(AND(ISNUMBER(C544),ISNUMBER(C543)),(C544-C543)*100,"")</f>
        <v/>
      </c>
      <c r="H544" s="18">
        <f>IF(OR(NOT(ISNUMBER($A544)),ROW()-2&lt;Settings!$B$11),NA(),IF(COUNT(OFFSET(F544,1-Settings!$B$11,0,Settings!$B$11,1))&lt;Settings!$B$11,NA(),STDEV(OFFSET(F544,1-Settings!$B$11,0,Settings!$B$11,1))*SQRT(Settings!$B$13)))</f>
        <v/>
      </c>
      <c r="I544" s="18">
        <f>IF(OR(NOT(ISNUMBER($A544)),ROW()-2&lt;Settings!$B$12),NA(),IF(COUNT(OFFSET(F544,1-Settings!$B$12,0,Settings!$B$12,1))&lt;Settings!$B$12,NA(),STDEV(OFFSET(F544,1-Settings!$B$12,0,Settings!$B$12,1))*SQRT(Settings!$B$13)))</f>
        <v/>
      </c>
      <c r="J544" s="18">
        <f>IF(OR(NOT(ISNUMBER($A544)),ROW()-2&lt;Settings!$B$11),NA(),IF(COUNT(OFFSET(G544,1-Settings!$B$11,0,Settings!$B$11,1))&lt;Settings!$B$11,NA(),STDEV(OFFSET(G544,1-Settings!$B$11,0,Settings!$B$11,1))*SQRT(Settings!$B$13)))</f>
        <v/>
      </c>
      <c r="K544" s="18">
        <f>IF(OR(NOT(ISNUMBER($A544)),ROW()-2&lt;Settings!$B$12),NA(),IF(COUNT(OFFSET(G544,1-Settings!$B$12,0,Settings!$B$12,1))&lt;Settings!$B$12,NA(),STDEV(OFFSET(G544,1-Settings!$B$12,0,Settings!$B$12,1))*SQRT(Settings!$B$13)))</f>
        <v/>
      </c>
      <c r="L544" s="18">
        <f>IF(AND(ISNUMBER(D544),ISNUMBER(H544)),D544-H544,NA())</f>
        <v/>
      </c>
      <c r="M544" s="18">
        <f>IF(AND(ISNUMBER(E544),ISNUMBER(K544)),E544-K544,NA())</f>
        <v/>
      </c>
      <c r="N544" s="18">
        <f>IF(NOT(ISNUMBER($A544)),NA(),IF(COUNT(OFFSET(G544,1,0,Settings!$B$12,1))&lt;Settings!$B$12,NA(),STDEV(OFFSET(G544,1,0,Settings!$B$12,1))*SQRT(Settings!$B$13)))</f>
        <v/>
      </c>
      <c r="O544" s="18">
        <f>IF(AND(ISNUMBER(E544),ISNUMBER(N544)),E544-N544,NA())</f>
        <v/>
      </c>
      <c r="P544" s="17">
        <f>IF(NOT(ISNUMBER($A544)),NA(),IF(OR($A544&lt;MIN(KW_TP!$A$2:$A$2501),$A544&gt;MAX(KW_TP!$A$2:$A$2501)),NA(),INDEX(KW_TP!$C$2:$C$2501,MATCH($A544,KW_TP!$A$2:$A$2501,1))))</f>
        <v/>
      </c>
    </row>
    <row r="545">
      <c r="A545" s="15">
        <f>IF(ISNUMBER(BBG_Data!A545),BBG_Data!A545,"")</f>
        <v/>
      </c>
      <c r="B545" s="16">
        <f>IF(AND(ISNUMBER($A545),ISNUMBER(BBG_Data!B545)),BBG_Data!B545,NA())</f>
        <v/>
      </c>
      <c r="C545" s="16">
        <f>IF(AND(ISNUMBER($A545),ISNUMBER(BBG_Data!C545)),BBG_Data!C545,NA())</f>
        <v/>
      </c>
      <c r="D545" s="17">
        <f>IF(AND(ISNUMBER($A545),ISNUMBER(BBG_Data!D545)),BBG_Data!D545,NA())</f>
        <v/>
      </c>
      <c r="E545" s="17">
        <f>IF(AND(ISNUMBER($A545),ISNUMBER(BBG_Data!E545)),BBG_Data!E545,NA())</f>
        <v/>
      </c>
      <c r="F545" s="18">
        <f>IF(AND(ISNUMBER(B545),ISNUMBER(B544)),(B545-B544)*100,"")</f>
        <v/>
      </c>
      <c r="G545" s="18">
        <f>IF(AND(ISNUMBER(C545),ISNUMBER(C544)),(C545-C544)*100,"")</f>
        <v/>
      </c>
      <c r="H545" s="18">
        <f>IF(OR(NOT(ISNUMBER($A545)),ROW()-2&lt;Settings!$B$11),NA(),IF(COUNT(OFFSET(F545,1-Settings!$B$11,0,Settings!$B$11,1))&lt;Settings!$B$11,NA(),STDEV(OFFSET(F545,1-Settings!$B$11,0,Settings!$B$11,1))*SQRT(Settings!$B$13)))</f>
        <v/>
      </c>
      <c r="I545" s="18">
        <f>IF(OR(NOT(ISNUMBER($A545)),ROW()-2&lt;Settings!$B$12),NA(),IF(COUNT(OFFSET(F545,1-Settings!$B$12,0,Settings!$B$12,1))&lt;Settings!$B$12,NA(),STDEV(OFFSET(F545,1-Settings!$B$12,0,Settings!$B$12,1))*SQRT(Settings!$B$13)))</f>
        <v/>
      </c>
      <c r="J545" s="18">
        <f>IF(OR(NOT(ISNUMBER($A545)),ROW()-2&lt;Settings!$B$11),NA(),IF(COUNT(OFFSET(G545,1-Settings!$B$11,0,Settings!$B$11,1))&lt;Settings!$B$11,NA(),STDEV(OFFSET(G545,1-Settings!$B$11,0,Settings!$B$11,1))*SQRT(Settings!$B$13)))</f>
        <v/>
      </c>
      <c r="K545" s="18">
        <f>IF(OR(NOT(ISNUMBER($A545)),ROW()-2&lt;Settings!$B$12),NA(),IF(COUNT(OFFSET(G545,1-Settings!$B$12,0,Settings!$B$12,1))&lt;Settings!$B$12,NA(),STDEV(OFFSET(G545,1-Settings!$B$12,0,Settings!$B$12,1))*SQRT(Settings!$B$13)))</f>
        <v/>
      </c>
      <c r="L545" s="18">
        <f>IF(AND(ISNUMBER(D545),ISNUMBER(H545)),D545-H545,NA())</f>
        <v/>
      </c>
      <c r="M545" s="18">
        <f>IF(AND(ISNUMBER(E545),ISNUMBER(K545)),E545-K545,NA())</f>
        <v/>
      </c>
      <c r="N545" s="18">
        <f>IF(NOT(ISNUMBER($A545)),NA(),IF(COUNT(OFFSET(G545,1,0,Settings!$B$12,1))&lt;Settings!$B$12,NA(),STDEV(OFFSET(G545,1,0,Settings!$B$12,1))*SQRT(Settings!$B$13)))</f>
        <v/>
      </c>
      <c r="O545" s="18">
        <f>IF(AND(ISNUMBER(E545),ISNUMBER(N545)),E545-N545,NA())</f>
        <v/>
      </c>
      <c r="P545" s="17">
        <f>IF(NOT(ISNUMBER($A545)),NA(),IF(OR($A545&lt;MIN(KW_TP!$A$2:$A$2501),$A545&gt;MAX(KW_TP!$A$2:$A$2501)),NA(),INDEX(KW_TP!$C$2:$C$2501,MATCH($A545,KW_TP!$A$2:$A$2501,1))))</f>
        <v/>
      </c>
    </row>
    <row r="546">
      <c r="A546" s="15">
        <f>IF(ISNUMBER(BBG_Data!A546),BBG_Data!A546,"")</f>
        <v/>
      </c>
      <c r="B546" s="16">
        <f>IF(AND(ISNUMBER($A546),ISNUMBER(BBG_Data!B546)),BBG_Data!B546,NA())</f>
        <v/>
      </c>
      <c r="C546" s="16">
        <f>IF(AND(ISNUMBER($A546),ISNUMBER(BBG_Data!C546)),BBG_Data!C546,NA())</f>
        <v/>
      </c>
      <c r="D546" s="17">
        <f>IF(AND(ISNUMBER($A546),ISNUMBER(BBG_Data!D546)),BBG_Data!D546,NA())</f>
        <v/>
      </c>
      <c r="E546" s="17">
        <f>IF(AND(ISNUMBER($A546),ISNUMBER(BBG_Data!E546)),BBG_Data!E546,NA())</f>
        <v/>
      </c>
      <c r="F546" s="18">
        <f>IF(AND(ISNUMBER(B546),ISNUMBER(B545)),(B546-B545)*100,"")</f>
        <v/>
      </c>
      <c r="G546" s="18">
        <f>IF(AND(ISNUMBER(C546),ISNUMBER(C545)),(C546-C545)*100,"")</f>
        <v/>
      </c>
      <c r="H546" s="18">
        <f>IF(OR(NOT(ISNUMBER($A546)),ROW()-2&lt;Settings!$B$11),NA(),IF(COUNT(OFFSET(F546,1-Settings!$B$11,0,Settings!$B$11,1))&lt;Settings!$B$11,NA(),STDEV(OFFSET(F546,1-Settings!$B$11,0,Settings!$B$11,1))*SQRT(Settings!$B$13)))</f>
        <v/>
      </c>
      <c r="I546" s="18">
        <f>IF(OR(NOT(ISNUMBER($A546)),ROW()-2&lt;Settings!$B$12),NA(),IF(COUNT(OFFSET(F546,1-Settings!$B$12,0,Settings!$B$12,1))&lt;Settings!$B$12,NA(),STDEV(OFFSET(F546,1-Settings!$B$12,0,Settings!$B$12,1))*SQRT(Settings!$B$13)))</f>
        <v/>
      </c>
      <c r="J546" s="18">
        <f>IF(OR(NOT(ISNUMBER($A546)),ROW()-2&lt;Settings!$B$11),NA(),IF(COUNT(OFFSET(G546,1-Settings!$B$11,0,Settings!$B$11,1))&lt;Settings!$B$11,NA(),STDEV(OFFSET(G546,1-Settings!$B$11,0,Settings!$B$11,1))*SQRT(Settings!$B$13)))</f>
        <v/>
      </c>
      <c r="K546" s="18">
        <f>IF(OR(NOT(ISNUMBER($A546)),ROW()-2&lt;Settings!$B$12),NA(),IF(COUNT(OFFSET(G546,1-Settings!$B$12,0,Settings!$B$12,1))&lt;Settings!$B$12,NA(),STDEV(OFFSET(G546,1-Settings!$B$12,0,Settings!$B$12,1))*SQRT(Settings!$B$13)))</f>
        <v/>
      </c>
      <c r="L546" s="18">
        <f>IF(AND(ISNUMBER(D546),ISNUMBER(H546)),D546-H546,NA())</f>
        <v/>
      </c>
      <c r="M546" s="18">
        <f>IF(AND(ISNUMBER(E546),ISNUMBER(K546)),E546-K546,NA())</f>
        <v/>
      </c>
      <c r="N546" s="18">
        <f>IF(NOT(ISNUMBER($A546)),NA(),IF(COUNT(OFFSET(G546,1,0,Settings!$B$12,1))&lt;Settings!$B$12,NA(),STDEV(OFFSET(G546,1,0,Settings!$B$12,1))*SQRT(Settings!$B$13)))</f>
        <v/>
      </c>
      <c r="O546" s="18">
        <f>IF(AND(ISNUMBER(E546),ISNUMBER(N546)),E546-N546,NA())</f>
        <v/>
      </c>
      <c r="P546" s="17">
        <f>IF(NOT(ISNUMBER($A546)),NA(),IF(OR($A546&lt;MIN(KW_TP!$A$2:$A$2501),$A546&gt;MAX(KW_TP!$A$2:$A$2501)),NA(),INDEX(KW_TP!$C$2:$C$2501,MATCH($A546,KW_TP!$A$2:$A$2501,1))))</f>
        <v/>
      </c>
    </row>
    <row r="547">
      <c r="A547" s="15">
        <f>IF(ISNUMBER(BBG_Data!A547),BBG_Data!A547,"")</f>
        <v/>
      </c>
      <c r="B547" s="16">
        <f>IF(AND(ISNUMBER($A547),ISNUMBER(BBG_Data!B547)),BBG_Data!B547,NA())</f>
        <v/>
      </c>
      <c r="C547" s="16">
        <f>IF(AND(ISNUMBER($A547),ISNUMBER(BBG_Data!C547)),BBG_Data!C547,NA())</f>
        <v/>
      </c>
      <c r="D547" s="17">
        <f>IF(AND(ISNUMBER($A547),ISNUMBER(BBG_Data!D547)),BBG_Data!D547,NA())</f>
        <v/>
      </c>
      <c r="E547" s="17">
        <f>IF(AND(ISNUMBER($A547),ISNUMBER(BBG_Data!E547)),BBG_Data!E547,NA())</f>
        <v/>
      </c>
      <c r="F547" s="18">
        <f>IF(AND(ISNUMBER(B547),ISNUMBER(B546)),(B547-B546)*100,"")</f>
        <v/>
      </c>
      <c r="G547" s="18">
        <f>IF(AND(ISNUMBER(C547),ISNUMBER(C546)),(C547-C546)*100,"")</f>
        <v/>
      </c>
      <c r="H547" s="18">
        <f>IF(OR(NOT(ISNUMBER($A547)),ROW()-2&lt;Settings!$B$11),NA(),IF(COUNT(OFFSET(F547,1-Settings!$B$11,0,Settings!$B$11,1))&lt;Settings!$B$11,NA(),STDEV(OFFSET(F547,1-Settings!$B$11,0,Settings!$B$11,1))*SQRT(Settings!$B$13)))</f>
        <v/>
      </c>
      <c r="I547" s="18">
        <f>IF(OR(NOT(ISNUMBER($A547)),ROW()-2&lt;Settings!$B$12),NA(),IF(COUNT(OFFSET(F547,1-Settings!$B$12,0,Settings!$B$12,1))&lt;Settings!$B$12,NA(),STDEV(OFFSET(F547,1-Settings!$B$12,0,Settings!$B$12,1))*SQRT(Settings!$B$13)))</f>
        <v/>
      </c>
      <c r="J547" s="18">
        <f>IF(OR(NOT(ISNUMBER($A547)),ROW()-2&lt;Settings!$B$11),NA(),IF(COUNT(OFFSET(G547,1-Settings!$B$11,0,Settings!$B$11,1))&lt;Settings!$B$11,NA(),STDEV(OFFSET(G547,1-Settings!$B$11,0,Settings!$B$11,1))*SQRT(Settings!$B$13)))</f>
        <v/>
      </c>
      <c r="K547" s="18">
        <f>IF(OR(NOT(ISNUMBER($A547)),ROW()-2&lt;Settings!$B$12),NA(),IF(COUNT(OFFSET(G547,1-Settings!$B$12,0,Settings!$B$12,1))&lt;Settings!$B$12,NA(),STDEV(OFFSET(G547,1-Settings!$B$12,0,Settings!$B$12,1))*SQRT(Settings!$B$13)))</f>
        <v/>
      </c>
      <c r="L547" s="18">
        <f>IF(AND(ISNUMBER(D547),ISNUMBER(H547)),D547-H547,NA())</f>
        <v/>
      </c>
      <c r="M547" s="18">
        <f>IF(AND(ISNUMBER(E547),ISNUMBER(K547)),E547-K547,NA())</f>
        <v/>
      </c>
      <c r="N547" s="18">
        <f>IF(NOT(ISNUMBER($A547)),NA(),IF(COUNT(OFFSET(G547,1,0,Settings!$B$12,1))&lt;Settings!$B$12,NA(),STDEV(OFFSET(G547,1,0,Settings!$B$12,1))*SQRT(Settings!$B$13)))</f>
        <v/>
      </c>
      <c r="O547" s="18">
        <f>IF(AND(ISNUMBER(E547),ISNUMBER(N547)),E547-N547,NA())</f>
        <v/>
      </c>
      <c r="P547" s="17">
        <f>IF(NOT(ISNUMBER($A547)),NA(),IF(OR($A547&lt;MIN(KW_TP!$A$2:$A$2501),$A547&gt;MAX(KW_TP!$A$2:$A$2501)),NA(),INDEX(KW_TP!$C$2:$C$2501,MATCH($A547,KW_TP!$A$2:$A$2501,1))))</f>
        <v/>
      </c>
    </row>
    <row r="548">
      <c r="A548" s="15">
        <f>IF(ISNUMBER(BBG_Data!A548),BBG_Data!A548,"")</f>
        <v/>
      </c>
      <c r="B548" s="16">
        <f>IF(AND(ISNUMBER($A548),ISNUMBER(BBG_Data!B548)),BBG_Data!B548,NA())</f>
        <v/>
      </c>
      <c r="C548" s="16">
        <f>IF(AND(ISNUMBER($A548),ISNUMBER(BBG_Data!C548)),BBG_Data!C548,NA())</f>
        <v/>
      </c>
      <c r="D548" s="17">
        <f>IF(AND(ISNUMBER($A548),ISNUMBER(BBG_Data!D548)),BBG_Data!D548,NA())</f>
        <v/>
      </c>
      <c r="E548" s="17">
        <f>IF(AND(ISNUMBER($A548),ISNUMBER(BBG_Data!E548)),BBG_Data!E548,NA())</f>
        <v/>
      </c>
      <c r="F548" s="18">
        <f>IF(AND(ISNUMBER(B548),ISNUMBER(B547)),(B548-B547)*100,"")</f>
        <v/>
      </c>
      <c r="G548" s="18">
        <f>IF(AND(ISNUMBER(C548),ISNUMBER(C547)),(C548-C547)*100,"")</f>
        <v/>
      </c>
      <c r="H548" s="18">
        <f>IF(OR(NOT(ISNUMBER($A548)),ROW()-2&lt;Settings!$B$11),NA(),IF(COUNT(OFFSET(F548,1-Settings!$B$11,0,Settings!$B$11,1))&lt;Settings!$B$11,NA(),STDEV(OFFSET(F548,1-Settings!$B$11,0,Settings!$B$11,1))*SQRT(Settings!$B$13)))</f>
        <v/>
      </c>
      <c r="I548" s="18">
        <f>IF(OR(NOT(ISNUMBER($A548)),ROW()-2&lt;Settings!$B$12),NA(),IF(COUNT(OFFSET(F548,1-Settings!$B$12,0,Settings!$B$12,1))&lt;Settings!$B$12,NA(),STDEV(OFFSET(F548,1-Settings!$B$12,0,Settings!$B$12,1))*SQRT(Settings!$B$13)))</f>
        <v/>
      </c>
      <c r="J548" s="18">
        <f>IF(OR(NOT(ISNUMBER($A548)),ROW()-2&lt;Settings!$B$11),NA(),IF(COUNT(OFFSET(G548,1-Settings!$B$11,0,Settings!$B$11,1))&lt;Settings!$B$11,NA(),STDEV(OFFSET(G548,1-Settings!$B$11,0,Settings!$B$11,1))*SQRT(Settings!$B$13)))</f>
        <v/>
      </c>
      <c r="K548" s="18">
        <f>IF(OR(NOT(ISNUMBER($A548)),ROW()-2&lt;Settings!$B$12),NA(),IF(COUNT(OFFSET(G548,1-Settings!$B$12,0,Settings!$B$12,1))&lt;Settings!$B$12,NA(),STDEV(OFFSET(G548,1-Settings!$B$12,0,Settings!$B$12,1))*SQRT(Settings!$B$13)))</f>
        <v/>
      </c>
      <c r="L548" s="18">
        <f>IF(AND(ISNUMBER(D548),ISNUMBER(H548)),D548-H548,NA())</f>
        <v/>
      </c>
      <c r="M548" s="18">
        <f>IF(AND(ISNUMBER(E548),ISNUMBER(K548)),E548-K548,NA())</f>
        <v/>
      </c>
      <c r="N548" s="18">
        <f>IF(NOT(ISNUMBER($A548)),NA(),IF(COUNT(OFFSET(G548,1,0,Settings!$B$12,1))&lt;Settings!$B$12,NA(),STDEV(OFFSET(G548,1,0,Settings!$B$12,1))*SQRT(Settings!$B$13)))</f>
        <v/>
      </c>
      <c r="O548" s="18">
        <f>IF(AND(ISNUMBER(E548),ISNUMBER(N548)),E548-N548,NA())</f>
        <v/>
      </c>
      <c r="P548" s="17">
        <f>IF(NOT(ISNUMBER($A548)),NA(),IF(OR($A548&lt;MIN(KW_TP!$A$2:$A$2501),$A548&gt;MAX(KW_TP!$A$2:$A$2501)),NA(),INDEX(KW_TP!$C$2:$C$2501,MATCH($A548,KW_TP!$A$2:$A$2501,1))))</f>
        <v/>
      </c>
    </row>
    <row r="549">
      <c r="A549" s="15">
        <f>IF(ISNUMBER(BBG_Data!A549),BBG_Data!A549,"")</f>
        <v/>
      </c>
      <c r="B549" s="16">
        <f>IF(AND(ISNUMBER($A549),ISNUMBER(BBG_Data!B549)),BBG_Data!B549,NA())</f>
        <v/>
      </c>
      <c r="C549" s="16">
        <f>IF(AND(ISNUMBER($A549),ISNUMBER(BBG_Data!C549)),BBG_Data!C549,NA())</f>
        <v/>
      </c>
      <c r="D549" s="17">
        <f>IF(AND(ISNUMBER($A549),ISNUMBER(BBG_Data!D549)),BBG_Data!D549,NA())</f>
        <v/>
      </c>
      <c r="E549" s="17">
        <f>IF(AND(ISNUMBER($A549),ISNUMBER(BBG_Data!E549)),BBG_Data!E549,NA())</f>
        <v/>
      </c>
      <c r="F549" s="18">
        <f>IF(AND(ISNUMBER(B549),ISNUMBER(B548)),(B549-B548)*100,"")</f>
        <v/>
      </c>
      <c r="G549" s="18">
        <f>IF(AND(ISNUMBER(C549),ISNUMBER(C548)),(C549-C548)*100,"")</f>
        <v/>
      </c>
      <c r="H549" s="18">
        <f>IF(OR(NOT(ISNUMBER($A549)),ROW()-2&lt;Settings!$B$11),NA(),IF(COUNT(OFFSET(F549,1-Settings!$B$11,0,Settings!$B$11,1))&lt;Settings!$B$11,NA(),STDEV(OFFSET(F549,1-Settings!$B$11,0,Settings!$B$11,1))*SQRT(Settings!$B$13)))</f>
        <v/>
      </c>
      <c r="I549" s="18">
        <f>IF(OR(NOT(ISNUMBER($A549)),ROW()-2&lt;Settings!$B$12),NA(),IF(COUNT(OFFSET(F549,1-Settings!$B$12,0,Settings!$B$12,1))&lt;Settings!$B$12,NA(),STDEV(OFFSET(F549,1-Settings!$B$12,0,Settings!$B$12,1))*SQRT(Settings!$B$13)))</f>
        <v/>
      </c>
      <c r="J549" s="18">
        <f>IF(OR(NOT(ISNUMBER($A549)),ROW()-2&lt;Settings!$B$11),NA(),IF(COUNT(OFFSET(G549,1-Settings!$B$11,0,Settings!$B$11,1))&lt;Settings!$B$11,NA(),STDEV(OFFSET(G549,1-Settings!$B$11,0,Settings!$B$11,1))*SQRT(Settings!$B$13)))</f>
        <v/>
      </c>
      <c r="K549" s="18">
        <f>IF(OR(NOT(ISNUMBER($A549)),ROW()-2&lt;Settings!$B$12),NA(),IF(COUNT(OFFSET(G549,1-Settings!$B$12,0,Settings!$B$12,1))&lt;Settings!$B$12,NA(),STDEV(OFFSET(G549,1-Settings!$B$12,0,Settings!$B$12,1))*SQRT(Settings!$B$13)))</f>
        <v/>
      </c>
      <c r="L549" s="18">
        <f>IF(AND(ISNUMBER(D549),ISNUMBER(H549)),D549-H549,NA())</f>
        <v/>
      </c>
      <c r="M549" s="18">
        <f>IF(AND(ISNUMBER(E549),ISNUMBER(K549)),E549-K549,NA())</f>
        <v/>
      </c>
      <c r="N549" s="18">
        <f>IF(NOT(ISNUMBER($A549)),NA(),IF(COUNT(OFFSET(G549,1,0,Settings!$B$12,1))&lt;Settings!$B$12,NA(),STDEV(OFFSET(G549,1,0,Settings!$B$12,1))*SQRT(Settings!$B$13)))</f>
        <v/>
      </c>
      <c r="O549" s="18">
        <f>IF(AND(ISNUMBER(E549),ISNUMBER(N549)),E549-N549,NA())</f>
        <v/>
      </c>
      <c r="P549" s="17">
        <f>IF(NOT(ISNUMBER($A549)),NA(),IF(OR($A549&lt;MIN(KW_TP!$A$2:$A$2501),$A549&gt;MAX(KW_TP!$A$2:$A$2501)),NA(),INDEX(KW_TP!$C$2:$C$2501,MATCH($A549,KW_TP!$A$2:$A$2501,1))))</f>
        <v/>
      </c>
    </row>
    <row r="550">
      <c r="A550" s="15">
        <f>IF(ISNUMBER(BBG_Data!A550),BBG_Data!A550,"")</f>
        <v/>
      </c>
      <c r="B550" s="16">
        <f>IF(AND(ISNUMBER($A550),ISNUMBER(BBG_Data!B550)),BBG_Data!B550,NA())</f>
        <v/>
      </c>
      <c r="C550" s="16">
        <f>IF(AND(ISNUMBER($A550),ISNUMBER(BBG_Data!C550)),BBG_Data!C550,NA())</f>
        <v/>
      </c>
      <c r="D550" s="17">
        <f>IF(AND(ISNUMBER($A550),ISNUMBER(BBG_Data!D550)),BBG_Data!D550,NA())</f>
        <v/>
      </c>
      <c r="E550" s="17">
        <f>IF(AND(ISNUMBER($A550),ISNUMBER(BBG_Data!E550)),BBG_Data!E550,NA())</f>
        <v/>
      </c>
      <c r="F550" s="18">
        <f>IF(AND(ISNUMBER(B550),ISNUMBER(B549)),(B550-B549)*100,"")</f>
        <v/>
      </c>
      <c r="G550" s="18">
        <f>IF(AND(ISNUMBER(C550),ISNUMBER(C549)),(C550-C549)*100,"")</f>
        <v/>
      </c>
      <c r="H550" s="18">
        <f>IF(OR(NOT(ISNUMBER($A550)),ROW()-2&lt;Settings!$B$11),NA(),IF(COUNT(OFFSET(F550,1-Settings!$B$11,0,Settings!$B$11,1))&lt;Settings!$B$11,NA(),STDEV(OFFSET(F550,1-Settings!$B$11,0,Settings!$B$11,1))*SQRT(Settings!$B$13)))</f>
        <v/>
      </c>
      <c r="I550" s="18">
        <f>IF(OR(NOT(ISNUMBER($A550)),ROW()-2&lt;Settings!$B$12),NA(),IF(COUNT(OFFSET(F550,1-Settings!$B$12,0,Settings!$B$12,1))&lt;Settings!$B$12,NA(),STDEV(OFFSET(F550,1-Settings!$B$12,0,Settings!$B$12,1))*SQRT(Settings!$B$13)))</f>
        <v/>
      </c>
      <c r="J550" s="18">
        <f>IF(OR(NOT(ISNUMBER($A550)),ROW()-2&lt;Settings!$B$11),NA(),IF(COUNT(OFFSET(G550,1-Settings!$B$11,0,Settings!$B$11,1))&lt;Settings!$B$11,NA(),STDEV(OFFSET(G550,1-Settings!$B$11,0,Settings!$B$11,1))*SQRT(Settings!$B$13)))</f>
        <v/>
      </c>
      <c r="K550" s="18">
        <f>IF(OR(NOT(ISNUMBER($A550)),ROW()-2&lt;Settings!$B$12),NA(),IF(COUNT(OFFSET(G550,1-Settings!$B$12,0,Settings!$B$12,1))&lt;Settings!$B$12,NA(),STDEV(OFFSET(G550,1-Settings!$B$12,0,Settings!$B$12,1))*SQRT(Settings!$B$13)))</f>
        <v/>
      </c>
      <c r="L550" s="18">
        <f>IF(AND(ISNUMBER(D550),ISNUMBER(H550)),D550-H550,NA())</f>
        <v/>
      </c>
      <c r="M550" s="18">
        <f>IF(AND(ISNUMBER(E550),ISNUMBER(K550)),E550-K550,NA())</f>
        <v/>
      </c>
      <c r="N550" s="18">
        <f>IF(NOT(ISNUMBER($A550)),NA(),IF(COUNT(OFFSET(G550,1,0,Settings!$B$12,1))&lt;Settings!$B$12,NA(),STDEV(OFFSET(G550,1,0,Settings!$B$12,1))*SQRT(Settings!$B$13)))</f>
        <v/>
      </c>
      <c r="O550" s="18">
        <f>IF(AND(ISNUMBER(E550),ISNUMBER(N550)),E550-N550,NA())</f>
        <v/>
      </c>
      <c r="P550" s="17">
        <f>IF(NOT(ISNUMBER($A550)),NA(),IF(OR($A550&lt;MIN(KW_TP!$A$2:$A$2501),$A550&gt;MAX(KW_TP!$A$2:$A$2501)),NA(),INDEX(KW_TP!$C$2:$C$2501,MATCH($A550,KW_TP!$A$2:$A$2501,1))))</f>
        <v/>
      </c>
    </row>
    <row r="551">
      <c r="A551" s="15">
        <f>IF(ISNUMBER(BBG_Data!A551),BBG_Data!A551,"")</f>
        <v/>
      </c>
      <c r="B551" s="16">
        <f>IF(AND(ISNUMBER($A551),ISNUMBER(BBG_Data!B551)),BBG_Data!B551,NA())</f>
        <v/>
      </c>
      <c r="C551" s="16">
        <f>IF(AND(ISNUMBER($A551),ISNUMBER(BBG_Data!C551)),BBG_Data!C551,NA())</f>
        <v/>
      </c>
      <c r="D551" s="17">
        <f>IF(AND(ISNUMBER($A551),ISNUMBER(BBG_Data!D551)),BBG_Data!D551,NA())</f>
        <v/>
      </c>
      <c r="E551" s="17">
        <f>IF(AND(ISNUMBER($A551),ISNUMBER(BBG_Data!E551)),BBG_Data!E551,NA())</f>
        <v/>
      </c>
      <c r="F551" s="18">
        <f>IF(AND(ISNUMBER(B551),ISNUMBER(B550)),(B551-B550)*100,"")</f>
        <v/>
      </c>
      <c r="G551" s="18">
        <f>IF(AND(ISNUMBER(C551),ISNUMBER(C550)),(C551-C550)*100,"")</f>
        <v/>
      </c>
      <c r="H551" s="18">
        <f>IF(OR(NOT(ISNUMBER($A551)),ROW()-2&lt;Settings!$B$11),NA(),IF(COUNT(OFFSET(F551,1-Settings!$B$11,0,Settings!$B$11,1))&lt;Settings!$B$11,NA(),STDEV(OFFSET(F551,1-Settings!$B$11,0,Settings!$B$11,1))*SQRT(Settings!$B$13)))</f>
        <v/>
      </c>
      <c r="I551" s="18">
        <f>IF(OR(NOT(ISNUMBER($A551)),ROW()-2&lt;Settings!$B$12),NA(),IF(COUNT(OFFSET(F551,1-Settings!$B$12,0,Settings!$B$12,1))&lt;Settings!$B$12,NA(),STDEV(OFFSET(F551,1-Settings!$B$12,0,Settings!$B$12,1))*SQRT(Settings!$B$13)))</f>
        <v/>
      </c>
      <c r="J551" s="18">
        <f>IF(OR(NOT(ISNUMBER($A551)),ROW()-2&lt;Settings!$B$11),NA(),IF(COUNT(OFFSET(G551,1-Settings!$B$11,0,Settings!$B$11,1))&lt;Settings!$B$11,NA(),STDEV(OFFSET(G551,1-Settings!$B$11,0,Settings!$B$11,1))*SQRT(Settings!$B$13)))</f>
        <v/>
      </c>
      <c r="K551" s="18">
        <f>IF(OR(NOT(ISNUMBER($A551)),ROW()-2&lt;Settings!$B$12),NA(),IF(COUNT(OFFSET(G551,1-Settings!$B$12,0,Settings!$B$12,1))&lt;Settings!$B$12,NA(),STDEV(OFFSET(G551,1-Settings!$B$12,0,Settings!$B$12,1))*SQRT(Settings!$B$13)))</f>
        <v/>
      </c>
      <c r="L551" s="18">
        <f>IF(AND(ISNUMBER(D551),ISNUMBER(H551)),D551-H551,NA())</f>
        <v/>
      </c>
      <c r="M551" s="18">
        <f>IF(AND(ISNUMBER(E551),ISNUMBER(K551)),E551-K551,NA())</f>
        <v/>
      </c>
      <c r="N551" s="18">
        <f>IF(NOT(ISNUMBER($A551)),NA(),IF(COUNT(OFFSET(G551,1,0,Settings!$B$12,1))&lt;Settings!$B$12,NA(),STDEV(OFFSET(G551,1,0,Settings!$B$12,1))*SQRT(Settings!$B$13)))</f>
        <v/>
      </c>
      <c r="O551" s="18">
        <f>IF(AND(ISNUMBER(E551),ISNUMBER(N551)),E551-N551,NA())</f>
        <v/>
      </c>
      <c r="P551" s="17">
        <f>IF(NOT(ISNUMBER($A551)),NA(),IF(OR($A551&lt;MIN(KW_TP!$A$2:$A$2501),$A551&gt;MAX(KW_TP!$A$2:$A$2501)),NA(),INDEX(KW_TP!$C$2:$C$2501,MATCH($A551,KW_TP!$A$2:$A$2501,1))))</f>
        <v/>
      </c>
    </row>
    <row r="552">
      <c r="A552" s="15">
        <f>IF(ISNUMBER(BBG_Data!A552),BBG_Data!A552,"")</f>
        <v/>
      </c>
      <c r="B552" s="16">
        <f>IF(AND(ISNUMBER($A552),ISNUMBER(BBG_Data!B552)),BBG_Data!B552,NA())</f>
        <v/>
      </c>
      <c r="C552" s="16">
        <f>IF(AND(ISNUMBER($A552),ISNUMBER(BBG_Data!C552)),BBG_Data!C552,NA())</f>
        <v/>
      </c>
      <c r="D552" s="17">
        <f>IF(AND(ISNUMBER($A552),ISNUMBER(BBG_Data!D552)),BBG_Data!D552,NA())</f>
        <v/>
      </c>
      <c r="E552" s="17">
        <f>IF(AND(ISNUMBER($A552),ISNUMBER(BBG_Data!E552)),BBG_Data!E552,NA())</f>
        <v/>
      </c>
      <c r="F552" s="18">
        <f>IF(AND(ISNUMBER(B552),ISNUMBER(B551)),(B552-B551)*100,"")</f>
        <v/>
      </c>
      <c r="G552" s="18">
        <f>IF(AND(ISNUMBER(C552),ISNUMBER(C551)),(C552-C551)*100,"")</f>
        <v/>
      </c>
      <c r="H552" s="18">
        <f>IF(OR(NOT(ISNUMBER($A552)),ROW()-2&lt;Settings!$B$11),NA(),IF(COUNT(OFFSET(F552,1-Settings!$B$11,0,Settings!$B$11,1))&lt;Settings!$B$11,NA(),STDEV(OFFSET(F552,1-Settings!$B$11,0,Settings!$B$11,1))*SQRT(Settings!$B$13)))</f>
        <v/>
      </c>
      <c r="I552" s="18">
        <f>IF(OR(NOT(ISNUMBER($A552)),ROW()-2&lt;Settings!$B$12),NA(),IF(COUNT(OFFSET(F552,1-Settings!$B$12,0,Settings!$B$12,1))&lt;Settings!$B$12,NA(),STDEV(OFFSET(F552,1-Settings!$B$12,0,Settings!$B$12,1))*SQRT(Settings!$B$13)))</f>
        <v/>
      </c>
      <c r="J552" s="18">
        <f>IF(OR(NOT(ISNUMBER($A552)),ROW()-2&lt;Settings!$B$11),NA(),IF(COUNT(OFFSET(G552,1-Settings!$B$11,0,Settings!$B$11,1))&lt;Settings!$B$11,NA(),STDEV(OFFSET(G552,1-Settings!$B$11,0,Settings!$B$11,1))*SQRT(Settings!$B$13)))</f>
        <v/>
      </c>
      <c r="K552" s="18">
        <f>IF(OR(NOT(ISNUMBER($A552)),ROW()-2&lt;Settings!$B$12),NA(),IF(COUNT(OFFSET(G552,1-Settings!$B$12,0,Settings!$B$12,1))&lt;Settings!$B$12,NA(),STDEV(OFFSET(G552,1-Settings!$B$12,0,Settings!$B$12,1))*SQRT(Settings!$B$13)))</f>
        <v/>
      </c>
      <c r="L552" s="18">
        <f>IF(AND(ISNUMBER(D552),ISNUMBER(H552)),D552-H552,NA())</f>
        <v/>
      </c>
      <c r="M552" s="18">
        <f>IF(AND(ISNUMBER(E552),ISNUMBER(K552)),E552-K552,NA())</f>
        <v/>
      </c>
      <c r="N552" s="18">
        <f>IF(NOT(ISNUMBER($A552)),NA(),IF(COUNT(OFFSET(G552,1,0,Settings!$B$12,1))&lt;Settings!$B$12,NA(),STDEV(OFFSET(G552,1,0,Settings!$B$12,1))*SQRT(Settings!$B$13)))</f>
        <v/>
      </c>
      <c r="O552" s="18">
        <f>IF(AND(ISNUMBER(E552),ISNUMBER(N552)),E552-N552,NA())</f>
        <v/>
      </c>
      <c r="P552" s="17">
        <f>IF(NOT(ISNUMBER($A552)),NA(),IF(OR($A552&lt;MIN(KW_TP!$A$2:$A$2501),$A552&gt;MAX(KW_TP!$A$2:$A$2501)),NA(),INDEX(KW_TP!$C$2:$C$2501,MATCH($A552,KW_TP!$A$2:$A$2501,1))))</f>
        <v/>
      </c>
    </row>
    <row r="553">
      <c r="A553" s="15">
        <f>IF(ISNUMBER(BBG_Data!A553),BBG_Data!A553,"")</f>
        <v/>
      </c>
      <c r="B553" s="16">
        <f>IF(AND(ISNUMBER($A553),ISNUMBER(BBG_Data!B553)),BBG_Data!B553,NA())</f>
        <v/>
      </c>
      <c r="C553" s="16">
        <f>IF(AND(ISNUMBER($A553),ISNUMBER(BBG_Data!C553)),BBG_Data!C553,NA())</f>
        <v/>
      </c>
      <c r="D553" s="17">
        <f>IF(AND(ISNUMBER($A553),ISNUMBER(BBG_Data!D553)),BBG_Data!D553,NA())</f>
        <v/>
      </c>
      <c r="E553" s="17">
        <f>IF(AND(ISNUMBER($A553),ISNUMBER(BBG_Data!E553)),BBG_Data!E553,NA())</f>
        <v/>
      </c>
      <c r="F553" s="18">
        <f>IF(AND(ISNUMBER(B553),ISNUMBER(B552)),(B553-B552)*100,"")</f>
        <v/>
      </c>
      <c r="G553" s="18">
        <f>IF(AND(ISNUMBER(C553),ISNUMBER(C552)),(C553-C552)*100,"")</f>
        <v/>
      </c>
      <c r="H553" s="18">
        <f>IF(OR(NOT(ISNUMBER($A553)),ROW()-2&lt;Settings!$B$11),NA(),IF(COUNT(OFFSET(F553,1-Settings!$B$11,0,Settings!$B$11,1))&lt;Settings!$B$11,NA(),STDEV(OFFSET(F553,1-Settings!$B$11,0,Settings!$B$11,1))*SQRT(Settings!$B$13)))</f>
        <v/>
      </c>
      <c r="I553" s="18">
        <f>IF(OR(NOT(ISNUMBER($A553)),ROW()-2&lt;Settings!$B$12),NA(),IF(COUNT(OFFSET(F553,1-Settings!$B$12,0,Settings!$B$12,1))&lt;Settings!$B$12,NA(),STDEV(OFFSET(F553,1-Settings!$B$12,0,Settings!$B$12,1))*SQRT(Settings!$B$13)))</f>
        <v/>
      </c>
      <c r="J553" s="18">
        <f>IF(OR(NOT(ISNUMBER($A553)),ROW()-2&lt;Settings!$B$11),NA(),IF(COUNT(OFFSET(G553,1-Settings!$B$11,0,Settings!$B$11,1))&lt;Settings!$B$11,NA(),STDEV(OFFSET(G553,1-Settings!$B$11,0,Settings!$B$11,1))*SQRT(Settings!$B$13)))</f>
        <v/>
      </c>
      <c r="K553" s="18">
        <f>IF(OR(NOT(ISNUMBER($A553)),ROW()-2&lt;Settings!$B$12),NA(),IF(COUNT(OFFSET(G553,1-Settings!$B$12,0,Settings!$B$12,1))&lt;Settings!$B$12,NA(),STDEV(OFFSET(G553,1-Settings!$B$12,0,Settings!$B$12,1))*SQRT(Settings!$B$13)))</f>
        <v/>
      </c>
      <c r="L553" s="18">
        <f>IF(AND(ISNUMBER(D553),ISNUMBER(H553)),D553-H553,NA())</f>
        <v/>
      </c>
      <c r="M553" s="18">
        <f>IF(AND(ISNUMBER(E553),ISNUMBER(K553)),E553-K553,NA())</f>
        <v/>
      </c>
      <c r="N553" s="18">
        <f>IF(NOT(ISNUMBER($A553)),NA(),IF(COUNT(OFFSET(G553,1,0,Settings!$B$12,1))&lt;Settings!$B$12,NA(),STDEV(OFFSET(G553,1,0,Settings!$B$12,1))*SQRT(Settings!$B$13)))</f>
        <v/>
      </c>
      <c r="O553" s="18">
        <f>IF(AND(ISNUMBER(E553),ISNUMBER(N553)),E553-N553,NA())</f>
        <v/>
      </c>
      <c r="P553" s="17">
        <f>IF(NOT(ISNUMBER($A553)),NA(),IF(OR($A553&lt;MIN(KW_TP!$A$2:$A$2501),$A553&gt;MAX(KW_TP!$A$2:$A$2501)),NA(),INDEX(KW_TP!$C$2:$C$2501,MATCH($A553,KW_TP!$A$2:$A$2501,1))))</f>
        <v/>
      </c>
    </row>
    <row r="554">
      <c r="A554" s="15">
        <f>IF(ISNUMBER(BBG_Data!A554),BBG_Data!A554,"")</f>
        <v/>
      </c>
      <c r="B554" s="16">
        <f>IF(AND(ISNUMBER($A554),ISNUMBER(BBG_Data!B554)),BBG_Data!B554,NA())</f>
        <v/>
      </c>
      <c r="C554" s="16">
        <f>IF(AND(ISNUMBER($A554),ISNUMBER(BBG_Data!C554)),BBG_Data!C554,NA())</f>
        <v/>
      </c>
      <c r="D554" s="17">
        <f>IF(AND(ISNUMBER($A554),ISNUMBER(BBG_Data!D554)),BBG_Data!D554,NA())</f>
        <v/>
      </c>
      <c r="E554" s="17">
        <f>IF(AND(ISNUMBER($A554),ISNUMBER(BBG_Data!E554)),BBG_Data!E554,NA())</f>
        <v/>
      </c>
      <c r="F554" s="18">
        <f>IF(AND(ISNUMBER(B554),ISNUMBER(B553)),(B554-B553)*100,"")</f>
        <v/>
      </c>
      <c r="G554" s="18">
        <f>IF(AND(ISNUMBER(C554),ISNUMBER(C553)),(C554-C553)*100,"")</f>
        <v/>
      </c>
      <c r="H554" s="18">
        <f>IF(OR(NOT(ISNUMBER($A554)),ROW()-2&lt;Settings!$B$11),NA(),IF(COUNT(OFFSET(F554,1-Settings!$B$11,0,Settings!$B$11,1))&lt;Settings!$B$11,NA(),STDEV(OFFSET(F554,1-Settings!$B$11,0,Settings!$B$11,1))*SQRT(Settings!$B$13)))</f>
        <v/>
      </c>
      <c r="I554" s="18">
        <f>IF(OR(NOT(ISNUMBER($A554)),ROW()-2&lt;Settings!$B$12),NA(),IF(COUNT(OFFSET(F554,1-Settings!$B$12,0,Settings!$B$12,1))&lt;Settings!$B$12,NA(),STDEV(OFFSET(F554,1-Settings!$B$12,0,Settings!$B$12,1))*SQRT(Settings!$B$13)))</f>
        <v/>
      </c>
      <c r="J554" s="18">
        <f>IF(OR(NOT(ISNUMBER($A554)),ROW()-2&lt;Settings!$B$11),NA(),IF(COUNT(OFFSET(G554,1-Settings!$B$11,0,Settings!$B$11,1))&lt;Settings!$B$11,NA(),STDEV(OFFSET(G554,1-Settings!$B$11,0,Settings!$B$11,1))*SQRT(Settings!$B$13)))</f>
        <v/>
      </c>
      <c r="K554" s="18">
        <f>IF(OR(NOT(ISNUMBER($A554)),ROW()-2&lt;Settings!$B$12),NA(),IF(COUNT(OFFSET(G554,1-Settings!$B$12,0,Settings!$B$12,1))&lt;Settings!$B$12,NA(),STDEV(OFFSET(G554,1-Settings!$B$12,0,Settings!$B$12,1))*SQRT(Settings!$B$13)))</f>
        <v/>
      </c>
      <c r="L554" s="18">
        <f>IF(AND(ISNUMBER(D554),ISNUMBER(H554)),D554-H554,NA())</f>
        <v/>
      </c>
      <c r="M554" s="18">
        <f>IF(AND(ISNUMBER(E554),ISNUMBER(K554)),E554-K554,NA())</f>
        <v/>
      </c>
      <c r="N554" s="18">
        <f>IF(NOT(ISNUMBER($A554)),NA(),IF(COUNT(OFFSET(G554,1,0,Settings!$B$12,1))&lt;Settings!$B$12,NA(),STDEV(OFFSET(G554,1,0,Settings!$B$12,1))*SQRT(Settings!$B$13)))</f>
        <v/>
      </c>
      <c r="O554" s="18">
        <f>IF(AND(ISNUMBER(E554),ISNUMBER(N554)),E554-N554,NA())</f>
        <v/>
      </c>
      <c r="P554" s="17">
        <f>IF(NOT(ISNUMBER($A554)),NA(),IF(OR($A554&lt;MIN(KW_TP!$A$2:$A$2501),$A554&gt;MAX(KW_TP!$A$2:$A$2501)),NA(),INDEX(KW_TP!$C$2:$C$2501,MATCH($A554,KW_TP!$A$2:$A$2501,1))))</f>
        <v/>
      </c>
    </row>
    <row r="555">
      <c r="A555" s="15">
        <f>IF(ISNUMBER(BBG_Data!A555),BBG_Data!A555,"")</f>
        <v/>
      </c>
      <c r="B555" s="16">
        <f>IF(AND(ISNUMBER($A555),ISNUMBER(BBG_Data!B555)),BBG_Data!B555,NA())</f>
        <v/>
      </c>
      <c r="C555" s="16">
        <f>IF(AND(ISNUMBER($A555),ISNUMBER(BBG_Data!C555)),BBG_Data!C555,NA())</f>
        <v/>
      </c>
      <c r="D555" s="17">
        <f>IF(AND(ISNUMBER($A555),ISNUMBER(BBG_Data!D555)),BBG_Data!D555,NA())</f>
        <v/>
      </c>
      <c r="E555" s="17">
        <f>IF(AND(ISNUMBER($A555),ISNUMBER(BBG_Data!E555)),BBG_Data!E555,NA())</f>
        <v/>
      </c>
      <c r="F555" s="18">
        <f>IF(AND(ISNUMBER(B555),ISNUMBER(B554)),(B555-B554)*100,"")</f>
        <v/>
      </c>
      <c r="G555" s="18">
        <f>IF(AND(ISNUMBER(C555),ISNUMBER(C554)),(C555-C554)*100,"")</f>
        <v/>
      </c>
      <c r="H555" s="18">
        <f>IF(OR(NOT(ISNUMBER($A555)),ROW()-2&lt;Settings!$B$11),NA(),IF(COUNT(OFFSET(F555,1-Settings!$B$11,0,Settings!$B$11,1))&lt;Settings!$B$11,NA(),STDEV(OFFSET(F555,1-Settings!$B$11,0,Settings!$B$11,1))*SQRT(Settings!$B$13)))</f>
        <v/>
      </c>
      <c r="I555" s="18">
        <f>IF(OR(NOT(ISNUMBER($A555)),ROW()-2&lt;Settings!$B$12),NA(),IF(COUNT(OFFSET(F555,1-Settings!$B$12,0,Settings!$B$12,1))&lt;Settings!$B$12,NA(),STDEV(OFFSET(F555,1-Settings!$B$12,0,Settings!$B$12,1))*SQRT(Settings!$B$13)))</f>
        <v/>
      </c>
      <c r="J555" s="18">
        <f>IF(OR(NOT(ISNUMBER($A555)),ROW()-2&lt;Settings!$B$11),NA(),IF(COUNT(OFFSET(G555,1-Settings!$B$11,0,Settings!$B$11,1))&lt;Settings!$B$11,NA(),STDEV(OFFSET(G555,1-Settings!$B$11,0,Settings!$B$11,1))*SQRT(Settings!$B$13)))</f>
        <v/>
      </c>
      <c r="K555" s="18">
        <f>IF(OR(NOT(ISNUMBER($A555)),ROW()-2&lt;Settings!$B$12),NA(),IF(COUNT(OFFSET(G555,1-Settings!$B$12,0,Settings!$B$12,1))&lt;Settings!$B$12,NA(),STDEV(OFFSET(G555,1-Settings!$B$12,0,Settings!$B$12,1))*SQRT(Settings!$B$13)))</f>
        <v/>
      </c>
      <c r="L555" s="18">
        <f>IF(AND(ISNUMBER(D555),ISNUMBER(H555)),D555-H555,NA())</f>
        <v/>
      </c>
      <c r="M555" s="18">
        <f>IF(AND(ISNUMBER(E555),ISNUMBER(K555)),E555-K555,NA())</f>
        <v/>
      </c>
      <c r="N555" s="18">
        <f>IF(NOT(ISNUMBER($A555)),NA(),IF(COUNT(OFFSET(G555,1,0,Settings!$B$12,1))&lt;Settings!$B$12,NA(),STDEV(OFFSET(G555,1,0,Settings!$B$12,1))*SQRT(Settings!$B$13)))</f>
        <v/>
      </c>
      <c r="O555" s="18">
        <f>IF(AND(ISNUMBER(E555),ISNUMBER(N555)),E555-N555,NA())</f>
        <v/>
      </c>
      <c r="P555" s="17">
        <f>IF(NOT(ISNUMBER($A555)),NA(),IF(OR($A555&lt;MIN(KW_TP!$A$2:$A$2501),$A555&gt;MAX(KW_TP!$A$2:$A$2501)),NA(),INDEX(KW_TP!$C$2:$C$2501,MATCH($A555,KW_TP!$A$2:$A$2501,1))))</f>
        <v/>
      </c>
    </row>
    <row r="556">
      <c r="A556" s="15">
        <f>IF(ISNUMBER(BBG_Data!A556),BBG_Data!A556,"")</f>
        <v/>
      </c>
      <c r="B556" s="16">
        <f>IF(AND(ISNUMBER($A556),ISNUMBER(BBG_Data!B556)),BBG_Data!B556,NA())</f>
        <v/>
      </c>
      <c r="C556" s="16">
        <f>IF(AND(ISNUMBER($A556),ISNUMBER(BBG_Data!C556)),BBG_Data!C556,NA())</f>
        <v/>
      </c>
      <c r="D556" s="17">
        <f>IF(AND(ISNUMBER($A556),ISNUMBER(BBG_Data!D556)),BBG_Data!D556,NA())</f>
        <v/>
      </c>
      <c r="E556" s="17">
        <f>IF(AND(ISNUMBER($A556),ISNUMBER(BBG_Data!E556)),BBG_Data!E556,NA())</f>
        <v/>
      </c>
      <c r="F556" s="18">
        <f>IF(AND(ISNUMBER(B556),ISNUMBER(B555)),(B556-B555)*100,"")</f>
        <v/>
      </c>
      <c r="G556" s="18">
        <f>IF(AND(ISNUMBER(C556),ISNUMBER(C555)),(C556-C555)*100,"")</f>
        <v/>
      </c>
      <c r="H556" s="18">
        <f>IF(OR(NOT(ISNUMBER($A556)),ROW()-2&lt;Settings!$B$11),NA(),IF(COUNT(OFFSET(F556,1-Settings!$B$11,0,Settings!$B$11,1))&lt;Settings!$B$11,NA(),STDEV(OFFSET(F556,1-Settings!$B$11,0,Settings!$B$11,1))*SQRT(Settings!$B$13)))</f>
        <v/>
      </c>
      <c r="I556" s="18">
        <f>IF(OR(NOT(ISNUMBER($A556)),ROW()-2&lt;Settings!$B$12),NA(),IF(COUNT(OFFSET(F556,1-Settings!$B$12,0,Settings!$B$12,1))&lt;Settings!$B$12,NA(),STDEV(OFFSET(F556,1-Settings!$B$12,0,Settings!$B$12,1))*SQRT(Settings!$B$13)))</f>
        <v/>
      </c>
      <c r="J556" s="18">
        <f>IF(OR(NOT(ISNUMBER($A556)),ROW()-2&lt;Settings!$B$11),NA(),IF(COUNT(OFFSET(G556,1-Settings!$B$11,0,Settings!$B$11,1))&lt;Settings!$B$11,NA(),STDEV(OFFSET(G556,1-Settings!$B$11,0,Settings!$B$11,1))*SQRT(Settings!$B$13)))</f>
        <v/>
      </c>
      <c r="K556" s="18">
        <f>IF(OR(NOT(ISNUMBER($A556)),ROW()-2&lt;Settings!$B$12),NA(),IF(COUNT(OFFSET(G556,1-Settings!$B$12,0,Settings!$B$12,1))&lt;Settings!$B$12,NA(),STDEV(OFFSET(G556,1-Settings!$B$12,0,Settings!$B$12,1))*SQRT(Settings!$B$13)))</f>
        <v/>
      </c>
      <c r="L556" s="18">
        <f>IF(AND(ISNUMBER(D556),ISNUMBER(H556)),D556-H556,NA())</f>
        <v/>
      </c>
      <c r="M556" s="18">
        <f>IF(AND(ISNUMBER(E556),ISNUMBER(K556)),E556-K556,NA())</f>
        <v/>
      </c>
      <c r="N556" s="18">
        <f>IF(NOT(ISNUMBER($A556)),NA(),IF(COUNT(OFFSET(G556,1,0,Settings!$B$12,1))&lt;Settings!$B$12,NA(),STDEV(OFFSET(G556,1,0,Settings!$B$12,1))*SQRT(Settings!$B$13)))</f>
        <v/>
      </c>
      <c r="O556" s="18">
        <f>IF(AND(ISNUMBER(E556),ISNUMBER(N556)),E556-N556,NA())</f>
        <v/>
      </c>
      <c r="P556" s="17">
        <f>IF(NOT(ISNUMBER($A556)),NA(),IF(OR($A556&lt;MIN(KW_TP!$A$2:$A$2501),$A556&gt;MAX(KW_TP!$A$2:$A$2501)),NA(),INDEX(KW_TP!$C$2:$C$2501,MATCH($A556,KW_TP!$A$2:$A$2501,1))))</f>
        <v/>
      </c>
    </row>
    <row r="557">
      <c r="A557" s="15">
        <f>IF(ISNUMBER(BBG_Data!A557),BBG_Data!A557,"")</f>
        <v/>
      </c>
      <c r="B557" s="16">
        <f>IF(AND(ISNUMBER($A557),ISNUMBER(BBG_Data!B557)),BBG_Data!B557,NA())</f>
        <v/>
      </c>
      <c r="C557" s="16">
        <f>IF(AND(ISNUMBER($A557),ISNUMBER(BBG_Data!C557)),BBG_Data!C557,NA())</f>
        <v/>
      </c>
      <c r="D557" s="17">
        <f>IF(AND(ISNUMBER($A557),ISNUMBER(BBG_Data!D557)),BBG_Data!D557,NA())</f>
        <v/>
      </c>
      <c r="E557" s="17">
        <f>IF(AND(ISNUMBER($A557),ISNUMBER(BBG_Data!E557)),BBG_Data!E557,NA())</f>
        <v/>
      </c>
      <c r="F557" s="18">
        <f>IF(AND(ISNUMBER(B557),ISNUMBER(B556)),(B557-B556)*100,"")</f>
        <v/>
      </c>
      <c r="G557" s="18">
        <f>IF(AND(ISNUMBER(C557),ISNUMBER(C556)),(C557-C556)*100,"")</f>
        <v/>
      </c>
      <c r="H557" s="18">
        <f>IF(OR(NOT(ISNUMBER($A557)),ROW()-2&lt;Settings!$B$11),NA(),IF(COUNT(OFFSET(F557,1-Settings!$B$11,0,Settings!$B$11,1))&lt;Settings!$B$11,NA(),STDEV(OFFSET(F557,1-Settings!$B$11,0,Settings!$B$11,1))*SQRT(Settings!$B$13)))</f>
        <v/>
      </c>
      <c r="I557" s="18">
        <f>IF(OR(NOT(ISNUMBER($A557)),ROW()-2&lt;Settings!$B$12),NA(),IF(COUNT(OFFSET(F557,1-Settings!$B$12,0,Settings!$B$12,1))&lt;Settings!$B$12,NA(),STDEV(OFFSET(F557,1-Settings!$B$12,0,Settings!$B$12,1))*SQRT(Settings!$B$13)))</f>
        <v/>
      </c>
      <c r="J557" s="18">
        <f>IF(OR(NOT(ISNUMBER($A557)),ROW()-2&lt;Settings!$B$11),NA(),IF(COUNT(OFFSET(G557,1-Settings!$B$11,0,Settings!$B$11,1))&lt;Settings!$B$11,NA(),STDEV(OFFSET(G557,1-Settings!$B$11,0,Settings!$B$11,1))*SQRT(Settings!$B$13)))</f>
        <v/>
      </c>
      <c r="K557" s="18">
        <f>IF(OR(NOT(ISNUMBER($A557)),ROW()-2&lt;Settings!$B$12),NA(),IF(COUNT(OFFSET(G557,1-Settings!$B$12,0,Settings!$B$12,1))&lt;Settings!$B$12,NA(),STDEV(OFFSET(G557,1-Settings!$B$12,0,Settings!$B$12,1))*SQRT(Settings!$B$13)))</f>
        <v/>
      </c>
      <c r="L557" s="18">
        <f>IF(AND(ISNUMBER(D557),ISNUMBER(H557)),D557-H557,NA())</f>
        <v/>
      </c>
      <c r="M557" s="18">
        <f>IF(AND(ISNUMBER(E557),ISNUMBER(K557)),E557-K557,NA())</f>
        <v/>
      </c>
      <c r="N557" s="18">
        <f>IF(NOT(ISNUMBER($A557)),NA(),IF(COUNT(OFFSET(G557,1,0,Settings!$B$12,1))&lt;Settings!$B$12,NA(),STDEV(OFFSET(G557,1,0,Settings!$B$12,1))*SQRT(Settings!$B$13)))</f>
        <v/>
      </c>
      <c r="O557" s="18">
        <f>IF(AND(ISNUMBER(E557),ISNUMBER(N557)),E557-N557,NA())</f>
        <v/>
      </c>
      <c r="P557" s="17">
        <f>IF(NOT(ISNUMBER($A557)),NA(),IF(OR($A557&lt;MIN(KW_TP!$A$2:$A$2501),$A557&gt;MAX(KW_TP!$A$2:$A$2501)),NA(),INDEX(KW_TP!$C$2:$C$2501,MATCH($A557,KW_TP!$A$2:$A$2501,1))))</f>
        <v/>
      </c>
    </row>
    <row r="558">
      <c r="A558" s="15">
        <f>IF(ISNUMBER(BBG_Data!A558),BBG_Data!A558,"")</f>
        <v/>
      </c>
      <c r="B558" s="16">
        <f>IF(AND(ISNUMBER($A558),ISNUMBER(BBG_Data!B558)),BBG_Data!B558,NA())</f>
        <v/>
      </c>
      <c r="C558" s="16">
        <f>IF(AND(ISNUMBER($A558),ISNUMBER(BBG_Data!C558)),BBG_Data!C558,NA())</f>
        <v/>
      </c>
      <c r="D558" s="17">
        <f>IF(AND(ISNUMBER($A558),ISNUMBER(BBG_Data!D558)),BBG_Data!D558,NA())</f>
        <v/>
      </c>
      <c r="E558" s="17">
        <f>IF(AND(ISNUMBER($A558),ISNUMBER(BBG_Data!E558)),BBG_Data!E558,NA())</f>
        <v/>
      </c>
      <c r="F558" s="18">
        <f>IF(AND(ISNUMBER(B558),ISNUMBER(B557)),(B558-B557)*100,"")</f>
        <v/>
      </c>
      <c r="G558" s="18">
        <f>IF(AND(ISNUMBER(C558),ISNUMBER(C557)),(C558-C557)*100,"")</f>
        <v/>
      </c>
      <c r="H558" s="18">
        <f>IF(OR(NOT(ISNUMBER($A558)),ROW()-2&lt;Settings!$B$11),NA(),IF(COUNT(OFFSET(F558,1-Settings!$B$11,0,Settings!$B$11,1))&lt;Settings!$B$11,NA(),STDEV(OFFSET(F558,1-Settings!$B$11,0,Settings!$B$11,1))*SQRT(Settings!$B$13)))</f>
        <v/>
      </c>
      <c r="I558" s="18">
        <f>IF(OR(NOT(ISNUMBER($A558)),ROW()-2&lt;Settings!$B$12),NA(),IF(COUNT(OFFSET(F558,1-Settings!$B$12,0,Settings!$B$12,1))&lt;Settings!$B$12,NA(),STDEV(OFFSET(F558,1-Settings!$B$12,0,Settings!$B$12,1))*SQRT(Settings!$B$13)))</f>
        <v/>
      </c>
      <c r="J558" s="18">
        <f>IF(OR(NOT(ISNUMBER($A558)),ROW()-2&lt;Settings!$B$11),NA(),IF(COUNT(OFFSET(G558,1-Settings!$B$11,0,Settings!$B$11,1))&lt;Settings!$B$11,NA(),STDEV(OFFSET(G558,1-Settings!$B$11,0,Settings!$B$11,1))*SQRT(Settings!$B$13)))</f>
        <v/>
      </c>
      <c r="K558" s="18">
        <f>IF(OR(NOT(ISNUMBER($A558)),ROW()-2&lt;Settings!$B$12),NA(),IF(COUNT(OFFSET(G558,1-Settings!$B$12,0,Settings!$B$12,1))&lt;Settings!$B$12,NA(),STDEV(OFFSET(G558,1-Settings!$B$12,0,Settings!$B$12,1))*SQRT(Settings!$B$13)))</f>
        <v/>
      </c>
      <c r="L558" s="18">
        <f>IF(AND(ISNUMBER(D558),ISNUMBER(H558)),D558-H558,NA())</f>
        <v/>
      </c>
      <c r="M558" s="18">
        <f>IF(AND(ISNUMBER(E558),ISNUMBER(K558)),E558-K558,NA())</f>
        <v/>
      </c>
      <c r="N558" s="18">
        <f>IF(NOT(ISNUMBER($A558)),NA(),IF(COUNT(OFFSET(G558,1,0,Settings!$B$12,1))&lt;Settings!$B$12,NA(),STDEV(OFFSET(G558,1,0,Settings!$B$12,1))*SQRT(Settings!$B$13)))</f>
        <v/>
      </c>
      <c r="O558" s="18">
        <f>IF(AND(ISNUMBER(E558),ISNUMBER(N558)),E558-N558,NA())</f>
        <v/>
      </c>
      <c r="P558" s="17">
        <f>IF(NOT(ISNUMBER($A558)),NA(),IF(OR($A558&lt;MIN(KW_TP!$A$2:$A$2501),$A558&gt;MAX(KW_TP!$A$2:$A$2501)),NA(),INDEX(KW_TP!$C$2:$C$2501,MATCH($A558,KW_TP!$A$2:$A$2501,1))))</f>
        <v/>
      </c>
    </row>
    <row r="559">
      <c r="A559" s="15">
        <f>IF(ISNUMBER(BBG_Data!A559),BBG_Data!A559,"")</f>
        <v/>
      </c>
      <c r="B559" s="16">
        <f>IF(AND(ISNUMBER($A559),ISNUMBER(BBG_Data!B559)),BBG_Data!B559,NA())</f>
        <v/>
      </c>
      <c r="C559" s="16">
        <f>IF(AND(ISNUMBER($A559),ISNUMBER(BBG_Data!C559)),BBG_Data!C559,NA())</f>
        <v/>
      </c>
      <c r="D559" s="17">
        <f>IF(AND(ISNUMBER($A559),ISNUMBER(BBG_Data!D559)),BBG_Data!D559,NA())</f>
        <v/>
      </c>
      <c r="E559" s="17">
        <f>IF(AND(ISNUMBER($A559),ISNUMBER(BBG_Data!E559)),BBG_Data!E559,NA())</f>
        <v/>
      </c>
      <c r="F559" s="18">
        <f>IF(AND(ISNUMBER(B559),ISNUMBER(B558)),(B559-B558)*100,"")</f>
        <v/>
      </c>
      <c r="G559" s="18">
        <f>IF(AND(ISNUMBER(C559),ISNUMBER(C558)),(C559-C558)*100,"")</f>
        <v/>
      </c>
      <c r="H559" s="18">
        <f>IF(OR(NOT(ISNUMBER($A559)),ROW()-2&lt;Settings!$B$11),NA(),IF(COUNT(OFFSET(F559,1-Settings!$B$11,0,Settings!$B$11,1))&lt;Settings!$B$11,NA(),STDEV(OFFSET(F559,1-Settings!$B$11,0,Settings!$B$11,1))*SQRT(Settings!$B$13)))</f>
        <v/>
      </c>
      <c r="I559" s="18">
        <f>IF(OR(NOT(ISNUMBER($A559)),ROW()-2&lt;Settings!$B$12),NA(),IF(COUNT(OFFSET(F559,1-Settings!$B$12,0,Settings!$B$12,1))&lt;Settings!$B$12,NA(),STDEV(OFFSET(F559,1-Settings!$B$12,0,Settings!$B$12,1))*SQRT(Settings!$B$13)))</f>
        <v/>
      </c>
      <c r="J559" s="18">
        <f>IF(OR(NOT(ISNUMBER($A559)),ROW()-2&lt;Settings!$B$11),NA(),IF(COUNT(OFFSET(G559,1-Settings!$B$11,0,Settings!$B$11,1))&lt;Settings!$B$11,NA(),STDEV(OFFSET(G559,1-Settings!$B$11,0,Settings!$B$11,1))*SQRT(Settings!$B$13)))</f>
        <v/>
      </c>
      <c r="K559" s="18">
        <f>IF(OR(NOT(ISNUMBER($A559)),ROW()-2&lt;Settings!$B$12),NA(),IF(COUNT(OFFSET(G559,1-Settings!$B$12,0,Settings!$B$12,1))&lt;Settings!$B$12,NA(),STDEV(OFFSET(G559,1-Settings!$B$12,0,Settings!$B$12,1))*SQRT(Settings!$B$13)))</f>
        <v/>
      </c>
      <c r="L559" s="18">
        <f>IF(AND(ISNUMBER(D559),ISNUMBER(H559)),D559-H559,NA())</f>
        <v/>
      </c>
      <c r="M559" s="18">
        <f>IF(AND(ISNUMBER(E559),ISNUMBER(K559)),E559-K559,NA())</f>
        <v/>
      </c>
      <c r="N559" s="18">
        <f>IF(NOT(ISNUMBER($A559)),NA(),IF(COUNT(OFFSET(G559,1,0,Settings!$B$12,1))&lt;Settings!$B$12,NA(),STDEV(OFFSET(G559,1,0,Settings!$B$12,1))*SQRT(Settings!$B$13)))</f>
        <v/>
      </c>
      <c r="O559" s="18">
        <f>IF(AND(ISNUMBER(E559),ISNUMBER(N559)),E559-N559,NA())</f>
        <v/>
      </c>
      <c r="P559" s="17">
        <f>IF(NOT(ISNUMBER($A559)),NA(),IF(OR($A559&lt;MIN(KW_TP!$A$2:$A$2501),$A559&gt;MAX(KW_TP!$A$2:$A$2501)),NA(),INDEX(KW_TP!$C$2:$C$2501,MATCH($A559,KW_TP!$A$2:$A$2501,1))))</f>
        <v/>
      </c>
    </row>
    <row r="560">
      <c r="A560" s="15">
        <f>IF(ISNUMBER(BBG_Data!A560),BBG_Data!A560,"")</f>
        <v/>
      </c>
      <c r="B560" s="16">
        <f>IF(AND(ISNUMBER($A560),ISNUMBER(BBG_Data!B560)),BBG_Data!B560,NA())</f>
        <v/>
      </c>
      <c r="C560" s="16">
        <f>IF(AND(ISNUMBER($A560),ISNUMBER(BBG_Data!C560)),BBG_Data!C560,NA())</f>
        <v/>
      </c>
      <c r="D560" s="17">
        <f>IF(AND(ISNUMBER($A560),ISNUMBER(BBG_Data!D560)),BBG_Data!D560,NA())</f>
        <v/>
      </c>
      <c r="E560" s="17">
        <f>IF(AND(ISNUMBER($A560),ISNUMBER(BBG_Data!E560)),BBG_Data!E560,NA())</f>
        <v/>
      </c>
      <c r="F560" s="18">
        <f>IF(AND(ISNUMBER(B560),ISNUMBER(B559)),(B560-B559)*100,"")</f>
        <v/>
      </c>
      <c r="G560" s="18">
        <f>IF(AND(ISNUMBER(C560),ISNUMBER(C559)),(C560-C559)*100,"")</f>
        <v/>
      </c>
      <c r="H560" s="18">
        <f>IF(OR(NOT(ISNUMBER($A560)),ROW()-2&lt;Settings!$B$11),NA(),IF(COUNT(OFFSET(F560,1-Settings!$B$11,0,Settings!$B$11,1))&lt;Settings!$B$11,NA(),STDEV(OFFSET(F560,1-Settings!$B$11,0,Settings!$B$11,1))*SQRT(Settings!$B$13)))</f>
        <v/>
      </c>
      <c r="I560" s="18">
        <f>IF(OR(NOT(ISNUMBER($A560)),ROW()-2&lt;Settings!$B$12),NA(),IF(COUNT(OFFSET(F560,1-Settings!$B$12,0,Settings!$B$12,1))&lt;Settings!$B$12,NA(),STDEV(OFFSET(F560,1-Settings!$B$12,0,Settings!$B$12,1))*SQRT(Settings!$B$13)))</f>
        <v/>
      </c>
      <c r="J560" s="18">
        <f>IF(OR(NOT(ISNUMBER($A560)),ROW()-2&lt;Settings!$B$11),NA(),IF(COUNT(OFFSET(G560,1-Settings!$B$11,0,Settings!$B$11,1))&lt;Settings!$B$11,NA(),STDEV(OFFSET(G560,1-Settings!$B$11,0,Settings!$B$11,1))*SQRT(Settings!$B$13)))</f>
        <v/>
      </c>
      <c r="K560" s="18">
        <f>IF(OR(NOT(ISNUMBER($A560)),ROW()-2&lt;Settings!$B$12),NA(),IF(COUNT(OFFSET(G560,1-Settings!$B$12,0,Settings!$B$12,1))&lt;Settings!$B$12,NA(),STDEV(OFFSET(G560,1-Settings!$B$12,0,Settings!$B$12,1))*SQRT(Settings!$B$13)))</f>
        <v/>
      </c>
      <c r="L560" s="18">
        <f>IF(AND(ISNUMBER(D560),ISNUMBER(H560)),D560-H560,NA())</f>
        <v/>
      </c>
      <c r="M560" s="18">
        <f>IF(AND(ISNUMBER(E560),ISNUMBER(K560)),E560-K560,NA())</f>
        <v/>
      </c>
      <c r="N560" s="18">
        <f>IF(NOT(ISNUMBER($A560)),NA(),IF(COUNT(OFFSET(G560,1,0,Settings!$B$12,1))&lt;Settings!$B$12,NA(),STDEV(OFFSET(G560,1,0,Settings!$B$12,1))*SQRT(Settings!$B$13)))</f>
        <v/>
      </c>
      <c r="O560" s="18">
        <f>IF(AND(ISNUMBER(E560),ISNUMBER(N560)),E560-N560,NA())</f>
        <v/>
      </c>
      <c r="P560" s="17">
        <f>IF(NOT(ISNUMBER($A560)),NA(),IF(OR($A560&lt;MIN(KW_TP!$A$2:$A$2501),$A560&gt;MAX(KW_TP!$A$2:$A$2501)),NA(),INDEX(KW_TP!$C$2:$C$2501,MATCH($A560,KW_TP!$A$2:$A$2501,1))))</f>
        <v/>
      </c>
    </row>
    <row r="561">
      <c r="A561" s="15">
        <f>IF(ISNUMBER(BBG_Data!A561),BBG_Data!A561,"")</f>
        <v/>
      </c>
      <c r="B561" s="16">
        <f>IF(AND(ISNUMBER($A561),ISNUMBER(BBG_Data!B561)),BBG_Data!B561,NA())</f>
        <v/>
      </c>
      <c r="C561" s="16">
        <f>IF(AND(ISNUMBER($A561),ISNUMBER(BBG_Data!C561)),BBG_Data!C561,NA())</f>
        <v/>
      </c>
      <c r="D561" s="17">
        <f>IF(AND(ISNUMBER($A561),ISNUMBER(BBG_Data!D561)),BBG_Data!D561,NA())</f>
        <v/>
      </c>
      <c r="E561" s="17">
        <f>IF(AND(ISNUMBER($A561),ISNUMBER(BBG_Data!E561)),BBG_Data!E561,NA())</f>
        <v/>
      </c>
      <c r="F561" s="18">
        <f>IF(AND(ISNUMBER(B561),ISNUMBER(B560)),(B561-B560)*100,"")</f>
        <v/>
      </c>
      <c r="G561" s="18">
        <f>IF(AND(ISNUMBER(C561),ISNUMBER(C560)),(C561-C560)*100,"")</f>
        <v/>
      </c>
      <c r="H561" s="18">
        <f>IF(OR(NOT(ISNUMBER($A561)),ROW()-2&lt;Settings!$B$11),NA(),IF(COUNT(OFFSET(F561,1-Settings!$B$11,0,Settings!$B$11,1))&lt;Settings!$B$11,NA(),STDEV(OFFSET(F561,1-Settings!$B$11,0,Settings!$B$11,1))*SQRT(Settings!$B$13)))</f>
        <v/>
      </c>
      <c r="I561" s="18">
        <f>IF(OR(NOT(ISNUMBER($A561)),ROW()-2&lt;Settings!$B$12),NA(),IF(COUNT(OFFSET(F561,1-Settings!$B$12,0,Settings!$B$12,1))&lt;Settings!$B$12,NA(),STDEV(OFFSET(F561,1-Settings!$B$12,0,Settings!$B$12,1))*SQRT(Settings!$B$13)))</f>
        <v/>
      </c>
      <c r="J561" s="18">
        <f>IF(OR(NOT(ISNUMBER($A561)),ROW()-2&lt;Settings!$B$11),NA(),IF(COUNT(OFFSET(G561,1-Settings!$B$11,0,Settings!$B$11,1))&lt;Settings!$B$11,NA(),STDEV(OFFSET(G561,1-Settings!$B$11,0,Settings!$B$11,1))*SQRT(Settings!$B$13)))</f>
        <v/>
      </c>
      <c r="K561" s="18">
        <f>IF(OR(NOT(ISNUMBER($A561)),ROW()-2&lt;Settings!$B$12),NA(),IF(COUNT(OFFSET(G561,1-Settings!$B$12,0,Settings!$B$12,1))&lt;Settings!$B$12,NA(),STDEV(OFFSET(G561,1-Settings!$B$12,0,Settings!$B$12,1))*SQRT(Settings!$B$13)))</f>
        <v/>
      </c>
      <c r="L561" s="18">
        <f>IF(AND(ISNUMBER(D561),ISNUMBER(H561)),D561-H561,NA())</f>
        <v/>
      </c>
      <c r="M561" s="18">
        <f>IF(AND(ISNUMBER(E561),ISNUMBER(K561)),E561-K561,NA())</f>
        <v/>
      </c>
      <c r="N561" s="18">
        <f>IF(NOT(ISNUMBER($A561)),NA(),IF(COUNT(OFFSET(G561,1,0,Settings!$B$12,1))&lt;Settings!$B$12,NA(),STDEV(OFFSET(G561,1,0,Settings!$B$12,1))*SQRT(Settings!$B$13)))</f>
        <v/>
      </c>
      <c r="O561" s="18">
        <f>IF(AND(ISNUMBER(E561),ISNUMBER(N561)),E561-N561,NA())</f>
        <v/>
      </c>
      <c r="P561" s="17">
        <f>IF(NOT(ISNUMBER($A561)),NA(),IF(OR($A561&lt;MIN(KW_TP!$A$2:$A$2501),$A561&gt;MAX(KW_TP!$A$2:$A$2501)),NA(),INDEX(KW_TP!$C$2:$C$2501,MATCH($A561,KW_TP!$A$2:$A$2501,1))))</f>
        <v/>
      </c>
    </row>
    <row r="562">
      <c r="A562" s="15">
        <f>IF(ISNUMBER(BBG_Data!A562),BBG_Data!A562,"")</f>
        <v/>
      </c>
      <c r="B562" s="16">
        <f>IF(AND(ISNUMBER($A562),ISNUMBER(BBG_Data!B562)),BBG_Data!B562,NA())</f>
        <v/>
      </c>
      <c r="C562" s="16">
        <f>IF(AND(ISNUMBER($A562),ISNUMBER(BBG_Data!C562)),BBG_Data!C562,NA())</f>
        <v/>
      </c>
      <c r="D562" s="17">
        <f>IF(AND(ISNUMBER($A562),ISNUMBER(BBG_Data!D562)),BBG_Data!D562,NA())</f>
        <v/>
      </c>
      <c r="E562" s="17">
        <f>IF(AND(ISNUMBER($A562),ISNUMBER(BBG_Data!E562)),BBG_Data!E562,NA())</f>
        <v/>
      </c>
      <c r="F562" s="18">
        <f>IF(AND(ISNUMBER(B562),ISNUMBER(B561)),(B562-B561)*100,"")</f>
        <v/>
      </c>
      <c r="G562" s="18">
        <f>IF(AND(ISNUMBER(C562),ISNUMBER(C561)),(C562-C561)*100,"")</f>
        <v/>
      </c>
      <c r="H562" s="18">
        <f>IF(OR(NOT(ISNUMBER($A562)),ROW()-2&lt;Settings!$B$11),NA(),IF(COUNT(OFFSET(F562,1-Settings!$B$11,0,Settings!$B$11,1))&lt;Settings!$B$11,NA(),STDEV(OFFSET(F562,1-Settings!$B$11,0,Settings!$B$11,1))*SQRT(Settings!$B$13)))</f>
        <v/>
      </c>
      <c r="I562" s="18">
        <f>IF(OR(NOT(ISNUMBER($A562)),ROW()-2&lt;Settings!$B$12),NA(),IF(COUNT(OFFSET(F562,1-Settings!$B$12,0,Settings!$B$12,1))&lt;Settings!$B$12,NA(),STDEV(OFFSET(F562,1-Settings!$B$12,0,Settings!$B$12,1))*SQRT(Settings!$B$13)))</f>
        <v/>
      </c>
      <c r="J562" s="18">
        <f>IF(OR(NOT(ISNUMBER($A562)),ROW()-2&lt;Settings!$B$11),NA(),IF(COUNT(OFFSET(G562,1-Settings!$B$11,0,Settings!$B$11,1))&lt;Settings!$B$11,NA(),STDEV(OFFSET(G562,1-Settings!$B$11,0,Settings!$B$11,1))*SQRT(Settings!$B$13)))</f>
        <v/>
      </c>
      <c r="K562" s="18">
        <f>IF(OR(NOT(ISNUMBER($A562)),ROW()-2&lt;Settings!$B$12),NA(),IF(COUNT(OFFSET(G562,1-Settings!$B$12,0,Settings!$B$12,1))&lt;Settings!$B$12,NA(),STDEV(OFFSET(G562,1-Settings!$B$12,0,Settings!$B$12,1))*SQRT(Settings!$B$13)))</f>
        <v/>
      </c>
      <c r="L562" s="18">
        <f>IF(AND(ISNUMBER(D562),ISNUMBER(H562)),D562-H562,NA())</f>
        <v/>
      </c>
      <c r="M562" s="18">
        <f>IF(AND(ISNUMBER(E562),ISNUMBER(K562)),E562-K562,NA())</f>
        <v/>
      </c>
      <c r="N562" s="18">
        <f>IF(NOT(ISNUMBER($A562)),NA(),IF(COUNT(OFFSET(G562,1,0,Settings!$B$12,1))&lt;Settings!$B$12,NA(),STDEV(OFFSET(G562,1,0,Settings!$B$12,1))*SQRT(Settings!$B$13)))</f>
        <v/>
      </c>
      <c r="O562" s="18">
        <f>IF(AND(ISNUMBER(E562),ISNUMBER(N562)),E562-N562,NA())</f>
        <v/>
      </c>
      <c r="P562" s="17">
        <f>IF(NOT(ISNUMBER($A562)),NA(),IF(OR($A562&lt;MIN(KW_TP!$A$2:$A$2501),$A562&gt;MAX(KW_TP!$A$2:$A$2501)),NA(),INDEX(KW_TP!$C$2:$C$2501,MATCH($A562,KW_TP!$A$2:$A$2501,1))))</f>
        <v/>
      </c>
    </row>
    <row r="563">
      <c r="A563" s="15">
        <f>IF(ISNUMBER(BBG_Data!A563),BBG_Data!A563,"")</f>
        <v/>
      </c>
      <c r="B563" s="16">
        <f>IF(AND(ISNUMBER($A563),ISNUMBER(BBG_Data!B563)),BBG_Data!B563,NA())</f>
        <v/>
      </c>
      <c r="C563" s="16">
        <f>IF(AND(ISNUMBER($A563),ISNUMBER(BBG_Data!C563)),BBG_Data!C563,NA())</f>
        <v/>
      </c>
      <c r="D563" s="17">
        <f>IF(AND(ISNUMBER($A563),ISNUMBER(BBG_Data!D563)),BBG_Data!D563,NA())</f>
        <v/>
      </c>
      <c r="E563" s="17">
        <f>IF(AND(ISNUMBER($A563),ISNUMBER(BBG_Data!E563)),BBG_Data!E563,NA())</f>
        <v/>
      </c>
      <c r="F563" s="18">
        <f>IF(AND(ISNUMBER(B563),ISNUMBER(B562)),(B563-B562)*100,"")</f>
        <v/>
      </c>
      <c r="G563" s="18">
        <f>IF(AND(ISNUMBER(C563),ISNUMBER(C562)),(C563-C562)*100,"")</f>
        <v/>
      </c>
      <c r="H563" s="18">
        <f>IF(OR(NOT(ISNUMBER($A563)),ROW()-2&lt;Settings!$B$11),NA(),IF(COUNT(OFFSET(F563,1-Settings!$B$11,0,Settings!$B$11,1))&lt;Settings!$B$11,NA(),STDEV(OFFSET(F563,1-Settings!$B$11,0,Settings!$B$11,1))*SQRT(Settings!$B$13)))</f>
        <v/>
      </c>
      <c r="I563" s="18">
        <f>IF(OR(NOT(ISNUMBER($A563)),ROW()-2&lt;Settings!$B$12),NA(),IF(COUNT(OFFSET(F563,1-Settings!$B$12,0,Settings!$B$12,1))&lt;Settings!$B$12,NA(),STDEV(OFFSET(F563,1-Settings!$B$12,0,Settings!$B$12,1))*SQRT(Settings!$B$13)))</f>
        <v/>
      </c>
      <c r="J563" s="18">
        <f>IF(OR(NOT(ISNUMBER($A563)),ROW()-2&lt;Settings!$B$11),NA(),IF(COUNT(OFFSET(G563,1-Settings!$B$11,0,Settings!$B$11,1))&lt;Settings!$B$11,NA(),STDEV(OFFSET(G563,1-Settings!$B$11,0,Settings!$B$11,1))*SQRT(Settings!$B$13)))</f>
        <v/>
      </c>
      <c r="K563" s="18">
        <f>IF(OR(NOT(ISNUMBER($A563)),ROW()-2&lt;Settings!$B$12),NA(),IF(COUNT(OFFSET(G563,1-Settings!$B$12,0,Settings!$B$12,1))&lt;Settings!$B$12,NA(),STDEV(OFFSET(G563,1-Settings!$B$12,0,Settings!$B$12,1))*SQRT(Settings!$B$13)))</f>
        <v/>
      </c>
      <c r="L563" s="18">
        <f>IF(AND(ISNUMBER(D563),ISNUMBER(H563)),D563-H563,NA())</f>
        <v/>
      </c>
      <c r="M563" s="18">
        <f>IF(AND(ISNUMBER(E563),ISNUMBER(K563)),E563-K563,NA())</f>
        <v/>
      </c>
      <c r="N563" s="18">
        <f>IF(NOT(ISNUMBER($A563)),NA(),IF(COUNT(OFFSET(G563,1,0,Settings!$B$12,1))&lt;Settings!$B$12,NA(),STDEV(OFFSET(G563,1,0,Settings!$B$12,1))*SQRT(Settings!$B$13)))</f>
        <v/>
      </c>
      <c r="O563" s="18">
        <f>IF(AND(ISNUMBER(E563),ISNUMBER(N563)),E563-N563,NA())</f>
        <v/>
      </c>
      <c r="P563" s="17">
        <f>IF(NOT(ISNUMBER($A563)),NA(),IF(OR($A563&lt;MIN(KW_TP!$A$2:$A$2501),$A563&gt;MAX(KW_TP!$A$2:$A$2501)),NA(),INDEX(KW_TP!$C$2:$C$2501,MATCH($A563,KW_TP!$A$2:$A$2501,1))))</f>
        <v/>
      </c>
    </row>
    <row r="564">
      <c r="A564" s="15">
        <f>IF(ISNUMBER(BBG_Data!A564),BBG_Data!A564,"")</f>
        <v/>
      </c>
      <c r="B564" s="16">
        <f>IF(AND(ISNUMBER($A564),ISNUMBER(BBG_Data!B564)),BBG_Data!B564,NA())</f>
        <v/>
      </c>
      <c r="C564" s="16">
        <f>IF(AND(ISNUMBER($A564),ISNUMBER(BBG_Data!C564)),BBG_Data!C564,NA())</f>
        <v/>
      </c>
      <c r="D564" s="17">
        <f>IF(AND(ISNUMBER($A564),ISNUMBER(BBG_Data!D564)),BBG_Data!D564,NA())</f>
        <v/>
      </c>
      <c r="E564" s="17">
        <f>IF(AND(ISNUMBER($A564),ISNUMBER(BBG_Data!E564)),BBG_Data!E564,NA())</f>
        <v/>
      </c>
      <c r="F564" s="18">
        <f>IF(AND(ISNUMBER(B564),ISNUMBER(B563)),(B564-B563)*100,"")</f>
        <v/>
      </c>
      <c r="G564" s="18">
        <f>IF(AND(ISNUMBER(C564),ISNUMBER(C563)),(C564-C563)*100,"")</f>
        <v/>
      </c>
      <c r="H564" s="18">
        <f>IF(OR(NOT(ISNUMBER($A564)),ROW()-2&lt;Settings!$B$11),NA(),IF(COUNT(OFFSET(F564,1-Settings!$B$11,0,Settings!$B$11,1))&lt;Settings!$B$11,NA(),STDEV(OFFSET(F564,1-Settings!$B$11,0,Settings!$B$11,1))*SQRT(Settings!$B$13)))</f>
        <v/>
      </c>
      <c r="I564" s="18">
        <f>IF(OR(NOT(ISNUMBER($A564)),ROW()-2&lt;Settings!$B$12),NA(),IF(COUNT(OFFSET(F564,1-Settings!$B$12,0,Settings!$B$12,1))&lt;Settings!$B$12,NA(),STDEV(OFFSET(F564,1-Settings!$B$12,0,Settings!$B$12,1))*SQRT(Settings!$B$13)))</f>
        <v/>
      </c>
      <c r="J564" s="18">
        <f>IF(OR(NOT(ISNUMBER($A564)),ROW()-2&lt;Settings!$B$11),NA(),IF(COUNT(OFFSET(G564,1-Settings!$B$11,0,Settings!$B$11,1))&lt;Settings!$B$11,NA(),STDEV(OFFSET(G564,1-Settings!$B$11,0,Settings!$B$11,1))*SQRT(Settings!$B$13)))</f>
        <v/>
      </c>
      <c r="K564" s="18">
        <f>IF(OR(NOT(ISNUMBER($A564)),ROW()-2&lt;Settings!$B$12),NA(),IF(COUNT(OFFSET(G564,1-Settings!$B$12,0,Settings!$B$12,1))&lt;Settings!$B$12,NA(),STDEV(OFFSET(G564,1-Settings!$B$12,0,Settings!$B$12,1))*SQRT(Settings!$B$13)))</f>
        <v/>
      </c>
      <c r="L564" s="18">
        <f>IF(AND(ISNUMBER(D564),ISNUMBER(H564)),D564-H564,NA())</f>
        <v/>
      </c>
      <c r="M564" s="18">
        <f>IF(AND(ISNUMBER(E564),ISNUMBER(K564)),E564-K564,NA())</f>
        <v/>
      </c>
      <c r="N564" s="18">
        <f>IF(NOT(ISNUMBER($A564)),NA(),IF(COUNT(OFFSET(G564,1,0,Settings!$B$12,1))&lt;Settings!$B$12,NA(),STDEV(OFFSET(G564,1,0,Settings!$B$12,1))*SQRT(Settings!$B$13)))</f>
        <v/>
      </c>
      <c r="O564" s="18">
        <f>IF(AND(ISNUMBER(E564),ISNUMBER(N564)),E564-N564,NA())</f>
        <v/>
      </c>
      <c r="P564" s="17">
        <f>IF(NOT(ISNUMBER($A564)),NA(),IF(OR($A564&lt;MIN(KW_TP!$A$2:$A$2501),$A564&gt;MAX(KW_TP!$A$2:$A$2501)),NA(),INDEX(KW_TP!$C$2:$C$2501,MATCH($A564,KW_TP!$A$2:$A$2501,1))))</f>
        <v/>
      </c>
    </row>
    <row r="565">
      <c r="A565" s="15">
        <f>IF(ISNUMBER(BBG_Data!A565),BBG_Data!A565,"")</f>
        <v/>
      </c>
      <c r="B565" s="16">
        <f>IF(AND(ISNUMBER($A565),ISNUMBER(BBG_Data!B565)),BBG_Data!B565,NA())</f>
        <v/>
      </c>
      <c r="C565" s="16">
        <f>IF(AND(ISNUMBER($A565),ISNUMBER(BBG_Data!C565)),BBG_Data!C565,NA())</f>
        <v/>
      </c>
      <c r="D565" s="17">
        <f>IF(AND(ISNUMBER($A565),ISNUMBER(BBG_Data!D565)),BBG_Data!D565,NA())</f>
        <v/>
      </c>
      <c r="E565" s="17">
        <f>IF(AND(ISNUMBER($A565),ISNUMBER(BBG_Data!E565)),BBG_Data!E565,NA())</f>
        <v/>
      </c>
      <c r="F565" s="18">
        <f>IF(AND(ISNUMBER(B565),ISNUMBER(B564)),(B565-B564)*100,"")</f>
        <v/>
      </c>
      <c r="G565" s="18">
        <f>IF(AND(ISNUMBER(C565),ISNUMBER(C564)),(C565-C564)*100,"")</f>
        <v/>
      </c>
      <c r="H565" s="18">
        <f>IF(OR(NOT(ISNUMBER($A565)),ROW()-2&lt;Settings!$B$11),NA(),IF(COUNT(OFFSET(F565,1-Settings!$B$11,0,Settings!$B$11,1))&lt;Settings!$B$11,NA(),STDEV(OFFSET(F565,1-Settings!$B$11,0,Settings!$B$11,1))*SQRT(Settings!$B$13)))</f>
        <v/>
      </c>
      <c r="I565" s="18">
        <f>IF(OR(NOT(ISNUMBER($A565)),ROW()-2&lt;Settings!$B$12),NA(),IF(COUNT(OFFSET(F565,1-Settings!$B$12,0,Settings!$B$12,1))&lt;Settings!$B$12,NA(),STDEV(OFFSET(F565,1-Settings!$B$12,0,Settings!$B$12,1))*SQRT(Settings!$B$13)))</f>
        <v/>
      </c>
      <c r="J565" s="18">
        <f>IF(OR(NOT(ISNUMBER($A565)),ROW()-2&lt;Settings!$B$11),NA(),IF(COUNT(OFFSET(G565,1-Settings!$B$11,0,Settings!$B$11,1))&lt;Settings!$B$11,NA(),STDEV(OFFSET(G565,1-Settings!$B$11,0,Settings!$B$11,1))*SQRT(Settings!$B$13)))</f>
        <v/>
      </c>
      <c r="K565" s="18">
        <f>IF(OR(NOT(ISNUMBER($A565)),ROW()-2&lt;Settings!$B$12),NA(),IF(COUNT(OFFSET(G565,1-Settings!$B$12,0,Settings!$B$12,1))&lt;Settings!$B$12,NA(),STDEV(OFFSET(G565,1-Settings!$B$12,0,Settings!$B$12,1))*SQRT(Settings!$B$13)))</f>
        <v/>
      </c>
      <c r="L565" s="18">
        <f>IF(AND(ISNUMBER(D565),ISNUMBER(H565)),D565-H565,NA())</f>
        <v/>
      </c>
      <c r="M565" s="18">
        <f>IF(AND(ISNUMBER(E565),ISNUMBER(K565)),E565-K565,NA())</f>
        <v/>
      </c>
      <c r="N565" s="18">
        <f>IF(NOT(ISNUMBER($A565)),NA(),IF(COUNT(OFFSET(G565,1,0,Settings!$B$12,1))&lt;Settings!$B$12,NA(),STDEV(OFFSET(G565,1,0,Settings!$B$12,1))*SQRT(Settings!$B$13)))</f>
        <v/>
      </c>
      <c r="O565" s="18">
        <f>IF(AND(ISNUMBER(E565),ISNUMBER(N565)),E565-N565,NA())</f>
        <v/>
      </c>
      <c r="P565" s="17">
        <f>IF(NOT(ISNUMBER($A565)),NA(),IF(OR($A565&lt;MIN(KW_TP!$A$2:$A$2501),$A565&gt;MAX(KW_TP!$A$2:$A$2501)),NA(),INDEX(KW_TP!$C$2:$C$2501,MATCH($A565,KW_TP!$A$2:$A$2501,1))))</f>
        <v/>
      </c>
    </row>
    <row r="566">
      <c r="A566" s="15">
        <f>IF(ISNUMBER(BBG_Data!A566),BBG_Data!A566,"")</f>
        <v/>
      </c>
      <c r="B566" s="16">
        <f>IF(AND(ISNUMBER($A566),ISNUMBER(BBG_Data!B566)),BBG_Data!B566,NA())</f>
        <v/>
      </c>
      <c r="C566" s="16">
        <f>IF(AND(ISNUMBER($A566),ISNUMBER(BBG_Data!C566)),BBG_Data!C566,NA())</f>
        <v/>
      </c>
      <c r="D566" s="17">
        <f>IF(AND(ISNUMBER($A566),ISNUMBER(BBG_Data!D566)),BBG_Data!D566,NA())</f>
        <v/>
      </c>
      <c r="E566" s="17">
        <f>IF(AND(ISNUMBER($A566),ISNUMBER(BBG_Data!E566)),BBG_Data!E566,NA())</f>
        <v/>
      </c>
      <c r="F566" s="18">
        <f>IF(AND(ISNUMBER(B566),ISNUMBER(B565)),(B566-B565)*100,"")</f>
        <v/>
      </c>
      <c r="G566" s="18">
        <f>IF(AND(ISNUMBER(C566),ISNUMBER(C565)),(C566-C565)*100,"")</f>
        <v/>
      </c>
      <c r="H566" s="18">
        <f>IF(OR(NOT(ISNUMBER($A566)),ROW()-2&lt;Settings!$B$11),NA(),IF(COUNT(OFFSET(F566,1-Settings!$B$11,0,Settings!$B$11,1))&lt;Settings!$B$11,NA(),STDEV(OFFSET(F566,1-Settings!$B$11,0,Settings!$B$11,1))*SQRT(Settings!$B$13)))</f>
        <v/>
      </c>
      <c r="I566" s="18">
        <f>IF(OR(NOT(ISNUMBER($A566)),ROW()-2&lt;Settings!$B$12),NA(),IF(COUNT(OFFSET(F566,1-Settings!$B$12,0,Settings!$B$12,1))&lt;Settings!$B$12,NA(),STDEV(OFFSET(F566,1-Settings!$B$12,0,Settings!$B$12,1))*SQRT(Settings!$B$13)))</f>
        <v/>
      </c>
      <c r="J566" s="18">
        <f>IF(OR(NOT(ISNUMBER($A566)),ROW()-2&lt;Settings!$B$11),NA(),IF(COUNT(OFFSET(G566,1-Settings!$B$11,0,Settings!$B$11,1))&lt;Settings!$B$11,NA(),STDEV(OFFSET(G566,1-Settings!$B$11,0,Settings!$B$11,1))*SQRT(Settings!$B$13)))</f>
        <v/>
      </c>
      <c r="K566" s="18">
        <f>IF(OR(NOT(ISNUMBER($A566)),ROW()-2&lt;Settings!$B$12),NA(),IF(COUNT(OFFSET(G566,1-Settings!$B$12,0,Settings!$B$12,1))&lt;Settings!$B$12,NA(),STDEV(OFFSET(G566,1-Settings!$B$12,0,Settings!$B$12,1))*SQRT(Settings!$B$13)))</f>
        <v/>
      </c>
      <c r="L566" s="18">
        <f>IF(AND(ISNUMBER(D566),ISNUMBER(H566)),D566-H566,NA())</f>
        <v/>
      </c>
      <c r="M566" s="18">
        <f>IF(AND(ISNUMBER(E566),ISNUMBER(K566)),E566-K566,NA())</f>
        <v/>
      </c>
      <c r="N566" s="18">
        <f>IF(NOT(ISNUMBER($A566)),NA(),IF(COUNT(OFFSET(G566,1,0,Settings!$B$12,1))&lt;Settings!$B$12,NA(),STDEV(OFFSET(G566,1,0,Settings!$B$12,1))*SQRT(Settings!$B$13)))</f>
        <v/>
      </c>
      <c r="O566" s="18">
        <f>IF(AND(ISNUMBER(E566),ISNUMBER(N566)),E566-N566,NA())</f>
        <v/>
      </c>
      <c r="P566" s="17">
        <f>IF(NOT(ISNUMBER($A566)),NA(),IF(OR($A566&lt;MIN(KW_TP!$A$2:$A$2501),$A566&gt;MAX(KW_TP!$A$2:$A$2501)),NA(),INDEX(KW_TP!$C$2:$C$2501,MATCH($A566,KW_TP!$A$2:$A$2501,1))))</f>
        <v/>
      </c>
    </row>
    <row r="567">
      <c r="A567" s="15">
        <f>IF(ISNUMBER(BBG_Data!A567),BBG_Data!A567,"")</f>
        <v/>
      </c>
      <c r="B567" s="16">
        <f>IF(AND(ISNUMBER($A567),ISNUMBER(BBG_Data!B567)),BBG_Data!B567,NA())</f>
        <v/>
      </c>
      <c r="C567" s="16">
        <f>IF(AND(ISNUMBER($A567),ISNUMBER(BBG_Data!C567)),BBG_Data!C567,NA())</f>
        <v/>
      </c>
      <c r="D567" s="17">
        <f>IF(AND(ISNUMBER($A567),ISNUMBER(BBG_Data!D567)),BBG_Data!D567,NA())</f>
        <v/>
      </c>
      <c r="E567" s="17">
        <f>IF(AND(ISNUMBER($A567),ISNUMBER(BBG_Data!E567)),BBG_Data!E567,NA())</f>
        <v/>
      </c>
      <c r="F567" s="18">
        <f>IF(AND(ISNUMBER(B567),ISNUMBER(B566)),(B567-B566)*100,"")</f>
        <v/>
      </c>
      <c r="G567" s="18">
        <f>IF(AND(ISNUMBER(C567),ISNUMBER(C566)),(C567-C566)*100,"")</f>
        <v/>
      </c>
      <c r="H567" s="18">
        <f>IF(OR(NOT(ISNUMBER($A567)),ROW()-2&lt;Settings!$B$11),NA(),IF(COUNT(OFFSET(F567,1-Settings!$B$11,0,Settings!$B$11,1))&lt;Settings!$B$11,NA(),STDEV(OFFSET(F567,1-Settings!$B$11,0,Settings!$B$11,1))*SQRT(Settings!$B$13)))</f>
        <v/>
      </c>
      <c r="I567" s="18">
        <f>IF(OR(NOT(ISNUMBER($A567)),ROW()-2&lt;Settings!$B$12),NA(),IF(COUNT(OFFSET(F567,1-Settings!$B$12,0,Settings!$B$12,1))&lt;Settings!$B$12,NA(),STDEV(OFFSET(F567,1-Settings!$B$12,0,Settings!$B$12,1))*SQRT(Settings!$B$13)))</f>
        <v/>
      </c>
      <c r="J567" s="18">
        <f>IF(OR(NOT(ISNUMBER($A567)),ROW()-2&lt;Settings!$B$11),NA(),IF(COUNT(OFFSET(G567,1-Settings!$B$11,0,Settings!$B$11,1))&lt;Settings!$B$11,NA(),STDEV(OFFSET(G567,1-Settings!$B$11,0,Settings!$B$11,1))*SQRT(Settings!$B$13)))</f>
        <v/>
      </c>
      <c r="K567" s="18">
        <f>IF(OR(NOT(ISNUMBER($A567)),ROW()-2&lt;Settings!$B$12),NA(),IF(COUNT(OFFSET(G567,1-Settings!$B$12,0,Settings!$B$12,1))&lt;Settings!$B$12,NA(),STDEV(OFFSET(G567,1-Settings!$B$12,0,Settings!$B$12,1))*SQRT(Settings!$B$13)))</f>
        <v/>
      </c>
      <c r="L567" s="18">
        <f>IF(AND(ISNUMBER(D567),ISNUMBER(H567)),D567-H567,NA())</f>
        <v/>
      </c>
      <c r="M567" s="18">
        <f>IF(AND(ISNUMBER(E567),ISNUMBER(K567)),E567-K567,NA())</f>
        <v/>
      </c>
      <c r="N567" s="18">
        <f>IF(NOT(ISNUMBER($A567)),NA(),IF(COUNT(OFFSET(G567,1,0,Settings!$B$12,1))&lt;Settings!$B$12,NA(),STDEV(OFFSET(G567,1,0,Settings!$B$12,1))*SQRT(Settings!$B$13)))</f>
        <v/>
      </c>
      <c r="O567" s="18">
        <f>IF(AND(ISNUMBER(E567),ISNUMBER(N567)),E567-N567,NA())</f>
        <v/>
      </c>
      <c r="P567" s="17">
        <f>IF(NOT(ISNUMBER($A567)),NA(),IF(OR($A567&lt;MIN(KW_TP!$A$2:$A$2501),$A567&gt;MAX(KW_TP!$A$2:$A$2501)),NA(),INDEX(KW_TP!$C$2:$C$2501,MATCH($A567,KW_TP!$A$2:$A$2501,1))))</f>
        <v/>
      </c>
    </row>
    <row r="568">
      <c r="A568" s="15">
        <f>IF(ISNUMBER(BBG_Data!A568),BBG_Data!A568,"")</f>
        <v/>
      </c>
      <c r="B568" s="16">
        <f>IF(AND(ISNUMBER($A568),ISNUMBER(BBG_Data!B568)),BBG_Data!B568,NA())</f>
        <v/>
      </c>
      <c r="C568" s="16">
        <f>IF(AND(ISNUMBER($A568),ISNUMBER(BBG_Data!C568)),BBG_Data!C568,NA())</f>
        <v/>
      </c>
      <c r="D568" s="17">
        <f>IF(AND(ISNUMBER($A568),ISNUMBER(BBG_Data!D568)),BBG_Data!D568,NA())</f>
        <v/>
      </c>
      <c r="E568" s="17">
        <f>IF(AND(ISNUMBER($A568),ISNUMBER(BBG_Data!E568)),BBG_Data!E568,NA())</f>
        <v/>
      </c>
      <c r="F568" s="18">
        <f>IF(AND(ISNUMBER(B568),ISNUMBER(B567)),(B568-B567)*100,"")</f>
        <v/>
      </c>
      <c r="G568" s="18">
        <f>IF(AND(ISNUMBER(C568),ISNUMBER(C567)),(C568-C567)*100,"")</f>
        <v/>
      </c>
      <c r="H568" s="18">
        <f>IF(OR(NOT(ISNUMBER($A568)),ROW()-2&lt;Settings!$B$11),NA(),IF(COUNT(OFFSET(F568,1-Settings!$B$11,0,Settings!$B$11,1))&lt;Settings!$B$11,NA(),STDEV(OFFSET(F568,1-Settings!$B$11,0,Settings!$B$11,1))*SQRT(Settings!$B$13)))</f>
        <v/>
      </c>
      <c r="I568" s="18">
        <f>IF(OR(NOT(ISNUMBER($A568)),ROW()-2&lt;Settings!$B$12),NA(),IF(COUNT(OFFSET(F568,1-Settings!$B$12,0,Settings!$B$12,1))&lt;Settings!$B$12,NA(),STDEV(OFFSET(F568,1-Settings!$B$12,0,Settings!$B$12,1))*SQRT(Settings!$B$13)))</f>
        <v/>
      </c>
      <c r="J568" s="18">
        <f>IF(OR(NOT(ISNUMBER($A568)),ROW()-2&lt;Settings!$B$11),NA(),IF(COUNT(OFFSET(G568,1-Settings!$B$11,0,Settings!$B$11,1))&lt;Settings!$B$11,NA(),STDEV(OFFSET(G568,1-Settings!$B$11,0,Settings!$B$11,1))*SQRT(Settings!$B$13)))</f>
        <v/>
      </c>
      <c r="K568" s="18">
        <f>IF(OR(NOT(ISNUMBER($A568)),ROW()-2&lt;Settings!$B$12),NA(),IF(COUNT(OFFSET(G568,1-Settings!$B$12,0,Settings!$B$12,1))&lt;Settings!$B$12,NA(),STDEV(OFFSET(G568,1-Settings!$B$12,0,Settings!$B$12,1))*SQRT(Settings!$B$13)))</f>
        <v/>
      </c>
      <c r="L568" s="18">
        <f>IF(AND(ISNUMBER(D568),ISNUMBER(H568)),D568-H568,NA())</f>
        <v/>
      </c>
      <c r="M568" s="18">
        <f>IF(AND(ISNUMBER(E568),ISNUMBER(K568)),E568-K568,NA())</f>
        <v/>
      </c>
      <c r="N568" s="18">
        <f>IF(NOT(ISNUMBER($A568)),NA(),IF(COUNT(OFFSET(G568,1,0,Settings!$B$12,1))&lt;Settings!$B$12,NA(),STDEV(OFFSET(G568,1,0,Settings!$B$12,1))*SQRT(Settings!$B$13)))</f>
        <v/>
      </c>
      <c r="O568" s="18">
        <f>IF(AND(ISNUMBER(E568),ISNUMBER(N568)),E568-N568,NA())</f>
        <v/>
      </c>
      <c r="P568" s="17">
        <f>IF(NOT(ISNUMBER($A568)),NA(),IF(OR($A568&lt;MIN(KW_TP!$A$2:$A$2501),$A568&gt;MAX(KW_TP!$A$2:$A$2501)),NA(),INDEX(KW_TP!$C$2:$C$2501,MATCH($A568,KW_TP!$A$2:$A$2501,1))))</f>
        <v/>
      </c>
    </row>
    <row r="569">
      <c r="A569" s="15">
        <f>IF(ISNUMBER(BBG_Data!A569),BBG_Data!A569,"")</f>
        <v/>
      </c>
      <c r="B569" s="16">
        <f>IF(AND(ISNUMBER($A569),ISNUMBER(BBG_Data!B569)),BBG_Data!B569,NA())</f>
        <v/>
      </c>
      <c r="C569" s="16">
        <f>IF(AND(ISNUMBER($A569),ISNUMBER(BBG_Data!C569)),BBG_Data!C569,NA())</f>
        <v/>
      </c>
      <c r="D569" s="17">
        <f>IF(AND(ISNUMBER($A569),ISNUMBER(BBG_Data!D569)),BBG_Data!D569,NA())</f>
        <v/>
      </c>
      <c r="E569" s="17">
        <f>IF(AND(ISNUMBER($A569),ISNUMBER(BBG_Data!E569)),BBG_Data!E569,NA())</f>
        <v/>
      </c>
      <c r="F569" s="18">
        <f>IF(AND(ISNUMBER(B569),ISNUMBER(B568)),(B569-B568)*100,"")</f>
        <v/>
      </c>
      <c r="G569" s="18">
        <f>IF(AND(ISNUMBER(C569),ISNUMBER(C568)),(C569-C568)*100,"")</f>
        <v/>
      </c>
      <c r="H569" s="18">
        <f>IF(OR(NOT(ISNUMBER($A569)),ROW()-2&lt;Settings!$B$11),NA(),IF(COUNT(OFFSET(F569,1-Settings!$B$11,0,Settings!$B$11,1))&lt;Settings!$B$11,NA(),STDEV(OFFSET(F569,1-Settings!$B$11,0,Settings!$B$11,1))*SQRT(Settings!$B$13)))</f>
        <v/>
      </c>
      <c r="I569" s="18">
        <f>IF(OR(NOT(ISNUMBER($A569)),ROW()-2&lt;Settings!$B$12),NA(),IF(COUNT(OFFSET(F569,1-Settings!$B$12,0,Settings!$B$12,1))&lt;Settings!$B$12,NA(),STDEV(OFFSET(F569,1-Settings!$B$12,0,Settings!$B$12,1))*SQRT(Settings!$B$13)))</f>
        <v/>
      </c>
      <c r="J569" s="18">
        <f>IF(OR(NOT(ISNUMBER($A569)),ROW()-2&lt;Settings!$B$11),NA(),IF(COUNT(OFFSET(G569,1-Settings!$B$11,0,Settings!$B$11,1))&lt;Settings!$B$11,NA(),STDEV(OFFSET(G569,1-Settings!$B$11,0,Settings!$B$11,1))*SQRT(Settings!$B$13)))</f>
        <v/>
      </c>
      <c r="K569" s="18">
        <f>IF(OR(NOT(ISNUMBER($A569)),ROW()-2&lt;Settings!$B$12),NA(),IF(COUNT(OFFSET(G569,1-Settings!$B$12,0,Settings!$B$12,1))&lt;Settings!$B$12,NA(),STDEV(OFFSET(G569,1-Settings!$B$12,0,Settings!$B$12,1))*SQRT(Settings!$B$13)))</f>
        <v/>
      </c>
      <c r="L569" s="18">
        <f>IF(AND(ISNUMBER(D569),ISNUMBER(H569)),D569-H569,NA())</f>
        <v/>
      </c>
      <c r="M569" s="18">
        <f>IF(AND(ISNUMBER(E569),ISNUMBER(K569)),E569-K569,NA())</f>
        <v/>
      </c>
      <c r="N569" s="18">
        <f>IF(NOT(ISNUMBER($A569)),NA(),IF(COUNT(OFFSET(G569,1,0,Settings!$B$12,1))&lt;Settings!$B$12,NA(),STDEV(OFFSET(G569,1,0,Settings!$B$12,1))*SQRT(Settings!$B$13)))</f>
        <v/>
      </c>
      <c r="O569" s="18">
        <f>IF(AND(ISNUMBER(E569),ISNUMBER(N569)),E569-N569,NA())</f>
        <v/>
      </c>
      <c r="P569" s="17">
        <f>IF(NOT(ISNUMBER($A569)),NA(),IF(OR($A569&lt;MIN(KW_TP!$A$2:$A$2501),$A569&gt;MAX(KW_TP!$A$2:$A$2501)),NA(),INDEX(KW_TP!$C$2:$C$2501,MATCH($A569,KW_TP!$A$2:$A$2501,1))))</f>
        <v/>
      </c>
    </row>
    <row r="570">
      <c r="A570" s="15">
        <f>IF(ISNUMBER(BBG_Data!A570),BBG_Data!A570,"")</f>
        <v/>
      </c>
      <c r="B570" s="16">
        <f>IF(AND(ISNUMBER($A570),ISNUMBER(BBG_Data!B570)),BBG_Data!B570,NA())</f>
        <v/>
      </c>
      <c r="C570" s="16">
        <f>IF(AND(ISNUMBER($A570),ISNUMBER(BBG_Data!C570)),BBG_Data!C570,NA())</f>
        <v/>
      </c>
      <c r="D570" s="17">
        <f>IF(AND(ISNUMBER($A570),ISNUMBER(BBG_Data!D570)),BBG_Data!D570,NA())</f>
        <v/>
      </c>
      <c r="E570" s="17">
        <f>IF(AND(ISNUMBER($A570),ISNUMBER(BBG_Data!E570)),BBG_Data!E570,NA())</f>
        <v/>
      </c>
      <c r="F570" s="18">
        <f>IF(AND(ISNUMBER(B570),ISNUMBER(B569)),(B570-B569)*100,"")</f>
        <v/>
      </c>
      <c r="G570" s="18">
        <f>IF(AND(ISNUMBER(C570),ISNUMBER(C569)),(C570-C569)*100,"")</f>
        <v/>
      </c>
      <c r="H570" s="18">
        <f>IF(OR(NOT(ISNUMBER($A570)),ROW()-2&lt;Settings!$B$11),NA(),IF(COUNT(OFFSET(F570,1-Settings!$B$11,0,Settings!$B$11,1))&lt;Settings!$B$11,NA(),STDEV(OFFSET(F570,1-Settings!$B$11,0,Settings!$B$11,1))*SQRT(Settings!$B$13)))</f>
        <v/>
      </c>
      <c r="I570" s="18">
        <f>IF(OR(NOT(ISNUMBER($A570)),ROW()-2&lt;Settings!$B$12),NA(),IF(COUNT(OFFSET(F570,1-Settings!$B$12,0,Settings!$B$12,1))&lt;Settings!$B$12,NA(),STDEV(OFFSET(F570,1-Settings!$B$12,0,Settings!$B$12,1))*SQRT(Settings!$B$13)))</f>
        <v/>
      </c>
      <c r="J570" s="18">
        <f>IF(OR(NOT(ISNUMBER($A570)),ROW()-2&lt;Settings!$B$11),NA(),IF(COUNT(OFFSET(G570,1-Settings!$B$11,0,Settings!$B$11,1))&lt;Settings!$B$11,NA(),STDEV(OFFSET(G570,1-Settings!$B$11,0,Settings!$B$11,1))*SQRT(Settings!$B$13)))</f>
        <v/>
      </c>
      <c r="K570" s="18">
        <f>IF(OR(NOT(ISNUMBER($A570)),ROW()-2&lt;Settings!$B$12),NA(),IF(COUNT(OFFSET(G570,1-Settings!$B$12,0,Settings!$B$12,1))&lt;Settings!$B$12,NA(),STDEV(OFFSET(G570,1-Settings!$B$12,0,Settings!$B$12,1))*SQRT(Settings!$B$13)))</f>
        <v/>
      </c>
      <c r="L570" s="18">
        <f>IF(AND(ISNUMBER(D570),ISNUMBER(H570)),D570-H570,NA())</f>
        <v/>
      </c>
      <c r="M570" s="18">
        <f>IF(AND(ISNUMBER(E570),ISNUMBER(K570)),E570-K570,NA())</f>
        <v/>
      </c>
      <c r="N570" s="18">
        <f>IF(NOT(ISNUMBER($A570)),NA(),IF(COUNT(OFFSET(G570,1,0,Settings!$B$12,1))&lt;Settings!$B$12,NA(),STDEV(OFFSET(G570,1,0,Settings!$B$12,1))*SQRT(Settings!$B$13)))</f>
        <v/>
      </c>
      <c r="O570" s="18">
        <f>IF(AND(ISNUMBER(E570),ISNUMBER(N570)),E570-N570,NA())</f>
        <v/>
      </c>
      <c r="P570" s="17">
        <f>IF(NOT(ISNUMBER($A570)),NA(),IF(OR($A570&lt;MIN(KW_TP!$A$2:$A$2501),$A570&gt;MAX(KW_TP!$A$2:$A$2501)),NA(),INDEX(KW_TP!$C$2:$C$2501,MATCH($A570,KW_TP!$A$2:$A$2501,1))))</f>
        <v/>
      </c>
    </row>
    <row r="571">
      <c r="A571" s="15">
        <f>IF(ISNUMBER(BBG_Data!A571),BBG_Data!A571,"")</f>
        <v/>
      </c>
      <c r="B571" s="16">
        <f>IF(AND(ISNUMBER($A571),ISNUMBER(BBG_Data!B571)),BBG_Data!B571,NA())</f>
        <v/>
      </c>
      <c r="C571" s="16">
        <f>IF(AND(ISNUMBER($A571),ISNUMBER(BBG_Data!C571)),BBG_Data!C571,NA())</f>
        <v/>
      </c>
      <c r="D571" s="17">
        <f>IF(AND(ISNUMBER($A571),ISNUMBER(BBG_Data!D571)),BBG_Data!D571,NA())</f>
        <v/>
      </c>
      <c r="E571" s="17">
        <f>IF(AND(ISNUMBER($A571),ISNUMBER(BBG_Data!E571)),BBG_Data!E571,NA())</f>
        <v/>
      </c>
      <c r="F571" s="18">
        <f>IF(AND(ISNUMBER(B571),ISNUMBER(B570)),(B571-B570)*100,"")</f>
        <v/>
      </c>
      <c r="G571" s="18">
        <f>IF(AND(ISNUMBER(C571),ISNUMBER(C570)),(C571-C570)*100,"")</f>
        <v/>
      </c>
      <c r="H571" s="18">
        <f>IF(OR(NOT(ISNUMBER($A571)),ROW()-2&lt;Settings!$B$11),NA(),IF(COUNT(OFFSET(F571,1-Settings!$B$11,0,Settings!$B$11,1))&lt;Settings!$B$11,NA(),STDEV(OFFSET(F571,1-Settings!$B$11,0,Settings!$B$11,1))*SQRT(Settings!$B$13)))</f>
        <v/>
      </c>
      <c r="I571" s="18">
        <f>IF(OR(NOT(ISNUMBER($A571)),ROW()-2&lt;Settings!$B$12),NA(),IF(COUNT(OFFSET(F571,1-Settings!$B$12,0,Settings!$B$12,1))&lt;Settings!$B$12,NA(),STDEV(OFFSET(F571,1-Settings!$B$12,0,Settings!$B$12,1))*SQRT(Settings!$B$13)))</f>
        <v/>
      </c>
      <c r="J571" s="18">
        <f>IF(OR(NOT(ISNUMBER($A571)),ROW()-2&lt;Settings!$B$11),NA(),IF(COUNT(OFFSET(G571,1-Settings!$B$11,0,Settings!$B$11,1))&lt;Settings!$B$11,NA(),STDEV(OFFSET(G571,1-Settings!$B$11,0,Settings!$B$11,1))*SQRT(Settings!$B$13)))</f>
        <v/>
      </c>
      <c r="K571" s="18">
        <f>IF(OR(NOT(ISNUMBER($A571)),ROW()-2&lt;Settings!$B$12),NA(),IF(COUNT(OFFSET(G571,1-Settings!$B$12,0,Settings!$B$12,1))&lt;Settings!$B$12,NA(),STDEV(OFFSET(G571,1-Settings!$B$12,0,Settings!$B$12,1))*SQRT(Settings!$B$13)))</f>
        <v/>
      </c>
      <c r="L571" s="18">
        <f>IF(AND(ISNUMBER(D571),ISNUMBER(H571)),D571-H571,NA())</f>
        <v/>
      </c>
      <c r="M571" s="18">
        <f>IF(AND(ISNUMBER(E571),ISNUMBER(K571)),E571-K571,NA())</f>
        <v/>
      </c>
      <c r="N571" s="18">
        <f>IF(NOT(ISNUMBER($A571)),NA(),IF(COUNT(OFFSET(G571,1,0,Settings!$B$12,1))&lt;Settings!$B$12,NA(),STDEV(OFFSET(G571,1,0,Settings!$B$12,1))*SQRT(Settings!$B$13)))</f>
        <v/>
      </c>
      <c r="O571" s="18">
        <f>IF(AND(ISNUMBER(E571),ISNUMBER(N571)),E571-N571,NA())</f>
        <v/>
      </c>
      <c r="P571" s="17">
        <f>IF(NOT(ISNUMBER($A571)),NA(),IF(OR($A571&lt;MIN(KW_TP!$A$2:$A$2501),$A571&gt;MAX(KW_TP!$A$2:$A$2501)),NA(),INDEX(KW_TP!$C$2:$C$2501,MATCH($A571,KW_TP!$A$2:$A$2501,1))))</f>
        <v/>
      </c>
    </row>
    <row r="572">
      <c r="A572" s="15">
        <f>IF(ISNUMBER(BBG_Data!A572),BBG_Data!A572,"")</f>
        <v/>
      </c>
      <c r="B572" s="16">
        <f>IF(AND(ISNUMBER($A572),ISNUMBER(BBG_Data!B572)),BBG_Data!B572,NA())</f>
        <v/>
      </c>
      <c r="C572" s="16">
        <f>IF(AND(ISNUMBER($A572),ISNUMBER(BBG_Data!C572)),BBG_Data!C572,NA())</f>
        <v/>
      </c>
      <c r="D572" s="17">
        <f>IF(AND(ISNUMBER($A572),ISNUMBER(BBG_Data!D572)),BBG_Data!D572,NA())</f>
        <v/>
      </c>
      <c r="E572" s="17">
        <f>IF(AND(ISNUMBER($A572),ISNUMBER(BBG_Data!E572)),BBG_Data!E572,NA())</f>
        <v/>
      </c>
      <c r="F572" s="18">
        <f>IF(AND(ISNUMBER(B572),ISNUMBER(B571)),(B572-B571)*100,"")</f>
        <v/>
      </c>
      <c r="G572" s="18">
        <f>IF(AND(ISNUMBER(C572),ISNUMBER(C571)),(C572-C571)*100,"")</f>
        <v/>
      </c>
      <c r="H572" s="18">
        <f>IF(OR(NOT(ISNUMBER($A572)),ROW()-2&lt;Settings!$B$11),NA(),IF(COUNT(OFFSET(F572,1-Settings!$B$11,0,Settings!$B$11,1))&lt;Settings!$B$11,NA(),STDEV(OFFSET(F572,1-Settings!$B$11,0,Settings!$B$11,1))*SQRT(Settings!$B$13)))</f>
        <v/>
      </c>
      <c r="I572" s="18">
        <f>IF(OR(NOT(ISNUMBER($A572)),ROW()-2&lt;Settings!$B$12),NA(),IF(COUNT(OFFSET(F572,1-Settings!$B$12,0,Settings!$B$12,1))&lt;Settings!$B$12,NA(),STDEV(OFFSET(F572,1-Settings!$B$12,0,Settings!$B$12,1))*SQRT(Settings!$B$13)))</f>
        <v/>
      </c>
      <c r="J572" s="18">
        <f>IF(OR(NOT(ISNUMBER($A572)),ROW()-2&lt;Settings!$B$11),NA(),IF(COUNT(OFFSET(G572,1-Settings!$B$11,0,Settings!$B$11,1))&lt;Settings!$B$11,NA(),STDEV(OFFSET(G572,1-Settings!$B$11,0,Settings!$B$11,1))*SQRT(Settings!$B$13)))</f>
        <v/>
      </c>
      <c r="K572" s="18">
        <f>IF(OR(NOT(ISNUMBER($A572)),ROW()-2&lt;Settings!$B$12),NA(),IF(COUNT(OFFSET(G572,1-Settings!$B$12,0,Settings!$B$12,1))&lt;Settings!$B$12,NA(),STDEV(OFFSET(G572,1-Settings!$B$12,0,Settings!$B$12,1))*SQRT(Settings!$B$13)))</f>
        <v/>
      </c>
      <c r="L572" s="18">
        <f>IF(AND(ISNUMBER(D572),ISNUMBER(H572)),D572-H572,NA())</f>
        <v/>
      </c>
      <c r="M572" s="18">
        <f>IF(AND(ISNUMBER(E572),ISNUMBER(K572)),E572-K572,NA())</f>
        <v/>
      </c>
      <c r="N572" s="18">
        <f>IF(NOT(ISNUMBER($A572)),NA(),IF(COUNT(OFFSET(G572,1,0,Settings!$B$12,1))&lt;Settings!$B$12,NA(),STDEV(OFFSET(G572,1,0,Settings!$B$12,1))*SQRT(Settings!$B$13)))</f>
        <v/>
      </c>
      <c r="O572" s="18">
        <f>IF(AND(ISNUMBER(E572),ISNUMBER(N572)),E572-N572,NA())</f>
        <v/>
      </c>
      <c r="P572" s="17">
        <f>IF(NOT(ISNUMBER($A572)),NA(),IF(OR($A572&lt;MIN(KW_TP!$A$2:$A$2501),$A572&gt;MAX(KW_TP!$A$2:$A$2501)),NA(),INDEX(KW_TP!$C$2:$C$2501,MATCH($A572,KW_TP!$A$2:$A$2501,1))))</f>
        <v/>
      </c>
    </row>
    <row r="573">
      <c r="A573" s="15">
        <f>IF(ISNUMBER(BBG_Data!A573),BBG_Data!A573,"")</f>
        <v/>
      </c>
      <c r="B573" s="16">
        <f>IF(AND(ISNUMBER($A573),ISNUMBER(BBG_Data!B573)),BBG_Data!B573,NA())</f>
        <v/>
      </c>
      <c r="C573" s="16">
        <f>IF(AND(ISNUMBER($A573),ISNUMBER(BBG_Data!C573)),BBG_Data!C573,NA())</f>
        <v/>
      </c>
      <c r="D573" s="17">
        <f>IF(AND(ISNUMBER($A573),ISNUMBER(BBG_Data!D573)),BBG_Data!D573,NA())</f>
        <v/>
      </c>
      <c r="E573" s="17">
        <f>IF(AND(ISNUMBER($A573),ISNUMBER(BBG_Data!E573)),BBG_Data!E573,NA())</f>
        <v/>
      </c>
      <c r="F573" s="18">
        <f>IF(AND(ISNUMBER(B573),ISNUMBER(B572)),(B573-B572)*100,"")</f>
        <v/>
      </c>
      <c r="G573" s="18">
        <f>IF(AND(ISNUMBER(C573),ISNUMBER(C572)),(C573-C572)*100,"")</f>
        <v/>
      </c>
      <c r="H573" s="18">
        <f>IF(OR(NOT(ISNUMBER($A573)),ROW()-2&lt;Settings!$B$11),NA(),IF(COUNT(OFFSET(F573,1-Settings!$B$11,0,Settings!$B$11,1))&lt;Settings!$B$11,NA(),STDEV(OFFSET(F573,1-Settings!$B$11,0,Settings!$B$11,1))*SQRT(Settings!$B$13)))</f>
        <v/>
      </c>
      <c r="I573" s="18">
        <f>IF(OR(NOT(ISNUMBER($A573)),ROW()-2&lt;Settings!$B$12),NA(),IF(COUNT(OFFSET(F573,1-Settings!$B$12,0,Settings!$B$12,1))&lt;Settings!$B$12,NA(),STDEV(OFFSET(F573,1-Settings!$B$12,0,Settings!$B$12,1))*SQRT(Settings!$B$13)))</f>
        <v/>
      </c>
      <c r="J573" s="18">
        <f>IF(OR(NOT(ISNUMBER($A573)),ROW()-2&lt;Settings!$B$11),NA(),IF(COUNT(OFFSET(G573,1-Settings!$B$11,0,Settings!$B$11,1))&lt;Settings!$B$11,NA(),STDEV(OFFSET(G573,1-Settings!$B$11,0,Settings!$B$11,1))*SQRT(Settings!$B$13)))</f>
        <v/>
      </c>
      <c r="K573" s="18">
        <f>IF(OR(NOT(ISNUMBER($A573)),ROW()-2&lt;Settings!$B$12),NA(),IF(COUNT(OFFSET(G573,1-Settings!$B$12,0,Settings!$B$12,1))&lt;Settings!$B$12,NA(),STDEV(OFFSET(G573,1-Settings!$B$12,0,Settings!$B$12,1))*SQRT(Settings!$B$13)))</f>
        <v/>
      </c>
      <c r="L573" s="18">
        <f>IF(AND(ISNUMBER(D573),ISNUMBER(H573)),D573-H573,NA())</f>
        <v/>
      </c>
      <c r="M573" s="18">
        <f>IF(AND(ISNUMBER(E573),ISNUMBER(K573)),E573-K573,NA())</f>
        <v/>
      </c>
      <c r="N573" s="18">
        <f>IF(NOT(ISNUMBER($A573)),NA(),IF(COUNT(OFFSET(G573,1,0,Settings!$B$12,1))&lt;Settings!$B$12,NA(),STDEV(OFFSET(G573,1,0,Settings!$B$12,1))*SQRT(Settings!$B$13)))</f>
        <v/>
      </c>
      <c r="O573" s="18">
        <f>IF(AND(ISNUMBER(E573),ISNUMBER(N573)),E573-N573,NA())</f>
        <v/>
      </c>
      <c r="P573" s="17">
        <f>IF(NOT(ISNUMBER($A573)),NA(),IF(OR($A573&lt;MIN(KW_TP!$A$2:$A$2501),$A573&gt;MAX(KW_TP!$A$2:$A$2501)),NA(),INDEX(KW_TP!$C$2:$C$2501,MATCH($A573,KW_TP!$A$2:$A$2501,1))))</f>
        <v/>
      </c>
    </row>
    <row r="574">
      <c r="A574" s="15">
        <f>IF(ISNUMBER(BBG_Data!A574),BBG_Data!A574,"")</f>
        <v/>
      </c>
      <c r="B574" s="16">
        <f>IF(AND(ISNUMBER($A574),ISNUMBER(BBG_Data!B574)),BBG_Data!B574,NA())</f>
        <v/>
      </c>
      <c r="C574" s="16">
        <f>IF(AND(ISNUMBER($A574),ISNUMBER(BBG_Data!C574)),BBG_Data!C574,NA())</f>
        <v/>
      </c>
      <c r="D574" s="17">
        <f>IF(AND(ISNUMBER($A574),ISNUMBER(BBG_Data!D574)),BBG_Data!D574,NA())</f>
        <v/>
      </c>
      <c r="E574" s="17">
        <f>IF(AND(ISNUMBER($A574),ISNUMBER(BBG_Data!E574)),BBG_Data!E574,NA())</f>
        <v/>
      </c>
      <c r="F574" s="18">
        <f>IF(AND(ISNUMBER(B574),ISNUMBER(B573)),(B574-B573)*100,"")</f>
        <v/>
      </c>
      <c r="G574" s="18">
        <f>IF(AND(ISNUMBER(C574),ISNUMBER(C573)),(C574-C573)*100,"")</f>
        <v/>
      </c>
      <c r="H574" s="18">
        <f>IF(OR(NOT(ISNUMBER($A574)),ROW()-2&lt;Settings!$B$11),NA(),IF(COUNT(OFFSET(F574,1-Settings!$B$11,0,Settings!$B$11,1))&lt;Settings!$B$11,NA(),STDEV(OFFSET(F574,1-Settings!$B$11,0,Settings!$B$11,1))*SQRT(Settings!$B$13)))</f>
        <v/>
      </c>
      <c r="I574" s="18">
        <f>IF(OR(NOT(ISNUMBER($A574)),ROW()-2&lt;Settings!$B$12),NA(),IF(COUNT(OFFSET(F574,1-Settings!$B$12,0,Settings!$B$12,1))&lt;Settings!$B$12,NA(),STDEV(OFFSET(F574,1-Settings!$B$12,0,Settings!$B$12,1))*SQRT(Settings!$B$13)))</f>
        <v/>
      </c>
      <c r="J574" s="18">
        <f>IF(OR(NOT(ISNUMBER($A574)),ROW()-2&lt;Settings!$B$11),NA(),IF(COUNT(OFFSET(G574,1-Settings!$B$11,0,Settings!$B$11,1))&lt;Settings!$B$11,NA(),STDEV(OFFSET(G574,1-Settings!$B$11,0,Settings!$B$11,1))*SQRT(Settings!$B$13)))</f>
        <v/>
      </c>
      <c r="K574" s="18">
        <f>IF(OR(NOT(ISNUMBER($A574)),ROW()-2&lt;Settings!$B$12),NA(),IF(COUNT(OFFSET(G574,1-Settings!$B$12,0,Settings!$B$12,1))&lt;Settings!$B$12,NA(),STDEV(OFFSET(G574,1-Settings!$B$12,0,Settings!$B$12,1))*SQRT(Settings!$B$13)))</f>
        <v/>
      </c>
      <c r="L574" s="18">
        <f>IF(AND(ISNUMBER(D574),ISNUMBER(H574)),D574-H574,NA())</f>
        <v/>
      </c>
      <c r="M574" s="18">
        <f>IF(AND(ISNUMBER(E574),ISNUMBER(K574)),E574-K574,NA())</f>
        <v/>
      </c>
      <c r="N574" s="18">
        <f>IF(NOT(ISNUMBER($A574)),NA(),IF(COUNT(OFFSET(G574,1,0,Settings!$B$12,1))&lt;Settings!$B$12,NA(),STDEV(OFFSET(G574,1,0,Settings!$B$12,1))*SQRT(Settings!$B$13)))</f>
        <v/>
      </c>
      <c r="O574" s="18">
        <f>IF(AND(ISNUMBER(E574),ISNUMBER(N574)),E574-N574,NA())</f>
        <v/>
      </c>
      <c r="P574" s="17">
        <f>IF(NOT(ISNUMBER($A574)),NA(),IF(OR($A574&lt;MIN(KW_TP!$A$2:$A$2501),$A574&gt;MAX(KW_TP!$A$2:$A$2501)),NA(),INDEX(KW_TP!$C$2:$C$2501,MATCH($A574,KW_TP!$A$2:$A$2501,1))))</f>
        <v/>
      </c>
    </row>
    <row r="575">
      <c r="A575" s="15">
        <f>IF(ISNUMBER(BBG_Data!A575),BBG_Data!A575,"")</f>
        <v/>
      </c>
      <c r="B575" s="16">
        <f>IF(AND(ISNUMBER($A575),ISNUMBER(BBG_Data!B575)),BBG_Data!B575,NA())</f>
        <v/>
      </c>
      <c r="C575" s="16">
        <f>IF(AND(ISNUMBER($A575),ISNUMBER(BBG_Data!C575)),BBG_Data!C575,NA())</f>
        <v/>
      </c>
      <c r="D575" s="17">
        <f>IF(AND(ISNUMBER($A575),ISNUMBER(BBG_Data!D575)),BBG_Data!D575,NA())</f>
        <v/>
      </c>
      <c r="E575" s="17">
        <f>IF(AND(ISNUMBER($A575),ISNUMBER(BBG_Data!E575)),BBG_Data!E575,NA())</f>
        <v/>
      </c>
      <c r="F575" s="18">
        <f>IF(AND(ISNUMBER(B575),ISNUMBER(B574)),(B575-B574)*100,"")</f>
        <v/>
      </c>
      <c r="G575" s="18">
        <f>IF(AND(ISNUMBER(C575),ISNUMBER(C574)),(C575-C574)*100,"")</f>
        <v/>
      </c>
      <c r="H575" s="18">
        <f>IF(OR(NOT(ISNUMBER($A575)),ROW()-2&lt;Settings!$B$11),NA(),IF(COUNT(OFFSET(F575,1-Settings!$B$11,0,Settings!$B$11,1))&lt;Settings!$B$11,NA(),STDEV(OFFSET(F575,1-Settings!$B$11,0,Settings!$B$11,1))*SQRT(Settings!$B$13)))</f>
        <v/>
      </c>
      <c r="I575" s="18">
        <f>IF(OR(NOT(ISNUMBER($A575)),ROW()-2&lt;Settings!$B$12),NA(),IF(COUNT(OFFSET(F575,1-Settings!$B$12,0,Settings!$B$12,1))&lt;Settings!$B$12,NA(),STDEV(OFFSET(F575,1-Settings!$B$12,0,Settings!$B$12,1))*SQRT(Settings!$B$13)))</f>
        <v/>
      </c>
      <c r="J575" s="18">
        <f>IF(OR(NOT(ISNUMBER($A575)),ROW()-2&lt;Settings!$B$11),NA(),IF(COUNT(OFFSET(G575,1-Settings!$B$11,0,Settings!$B$11,1))&lt;Settings!$B$11,NA(),STDEV(OFFSET(G575,1-Settings!$B$11,0,Settings!$B$11,1))*SQRT(Settings!$B$13)))</f>
        <v/>
      </c>
      <c r="K575" s="18">
        <f>IF(OR(NOT(ISNUMBER($A575)),ROW()-2&lt;Settings!$B$12),NA(),IF(COUNT(OFFSET(G575,1-Settings!$B$12,0,Settings!$B$12,1))&lt;Settings!$B$12,NA(),STDEV(OFFSET(G575,1-Settings!$B$12,0,Settings!$B$12,1))*SQRT(Settings!$B$13)))</f>
        <v/>
      </c>
      <c r="L575" s="18">
        <f>IF(AND(ISNUMBER(D575),ISNUMBER(H575)),D575-H575,NA())</f>
        <v/>
      </c>
      <c r="M575" s="18">
        <f>IF(AND(ISNUMBER(E575),ISNUMBER(K575)),E575-K575,NA())</f>
        <v/>
      </c>
      <c r="N575" s="18">
        <f>IF(NOT(ISNUMBER($A575)),NA(),IF(COUNT(OFFSET(G575,1,0,Settings!$B$12,1))&lt;Settings!$B$12,NA(),STDEV(OFFSET(G575,1,0,Settings!$B$12,1))*SQRT(Settings!$B$13)))</f>
        <v/>
      </c>
      <c r="O575" s="18">
        <f>IF(AND(ISNUMBER(E575),ISNUMBER(N575)),E575-N575,NA())</f>
        <v/>
      </c>
      <c r="P575" s="17">
        <f>IF(NOT(ISNUMBER($A575)),NA(),IF(OR($A575&lt;MIN(KW_TP!$A$2:$A$2501),$A575&gt;MAX(KW_TP!$A$2:$A$2501)),NA(),INDEX(KW_TP!$C$2:$C$2501,MATCH($A575,KW_TP!$A$2:$A$2501,1))))</f>
        <v/>
      </c>
    </row>
    <row r="576">
      <c r="A576" s="15">
        <f>IF(ISNUMBER(BBG_Data!A576),BBG_Data!A576,"")</f>
        <v/>
      </c>
      <c r="B576" s="16">
        <f>IF(AND(ISNUMBER($A576),ISNUMBER(BBG_Data!B576)),BBG_Data!B576,NA())</f>
        <v/>
      </c>
      <c r="C576" s="16">
        <f>IF(AND(ISNUMBER($A576),ISNUMBER(BBG_Data!C576)),BBG_Data!C576,NA())</f>
        <v/>
      </c>
      <c r="D576" s="17">
        <f>IF(AND(ISNUMBER($A576),ISNUMBER(BBG_Data!D576)),BBG_Data!D576,NA())</f>
        <v/>
      </c>
      <c r="E576" s="17">
        <f>IF(AND(ISNUMBER($A576),ISNUMBER(BBG_Data!E576)),BBG_Data!E576,NA())</f>
        <v/>
      </c>
      <c r="F576" s="18">
        <f>IF(AND(ISNUMBER(B576),ISNUMBER(B575)),(B576-B575)*100,"")</f>
        <v/>
      </c>
      <c r="G576" s="18">
        <f>IF(AND(ISNUMBER(C576),ISNUMBER(C575)),(C576-C575)*100,"")</f>
        <v/>
      </c>
      <c r="H576" s="18">
        <f>IF(OR(NOT(ISNUMBER($A576)),ROW()-2&lt;Settings!$B$11),NA(),IF(COUNT(OFFSET(F576,1-Settings!$B$11,0,Settings!$B$11,1))&lt;Settings!$B$11,NA(),STDEV(OFFSET(F576,1-Settings!$B$11,0,Settings!$B$11,1))*SQRT(Settings!$B$13)))</f>
        <v/>
      </c>
      <c r="I576" s="18">
        <f>IF(OR(NOT(ISNUMBER($A576)),ROW()-2&lt;Settings!$B$12),NA(),IF(COUNT(OFFSET(F576,1-Settings!$B$12,0,Settings!$B$12,1))&lt;Settings!$B$12,NA(),STDEV(OFFSET(F576,1-Settings!$B$12,0,Settings!$B$12,1))*SQRT(Settings!$B$13)))</f>
        <v/>
      </c>
      <c r="J576" s="18">
        <f>IF(OR(NOT(ISNUMBER($A576)),ROW()-2&lt;Settings!$B$11),NA(),IF(COUNT(OFFSET(G576,1-Settings!$B$11,0,Settings!$B$11,1))&lt;Settings!$B$11,NA(),STDEV(OFFSET(G576,1-Settings!$B$11,0,Settings!$B$11,1))*SQRT(Settings!$B$13)))</f>
        <v/>
      </c>
      <c r="K576" s="18">
        <f>IF(OR(NOT(ISNUMBER($A576)),ROW()-2&lt;Settings!$B$12),NA(),IF(COUNT(OFFSET(G576,1-Settings!$B$12,0,Settings!$B$12,1))&lt;Settings!$B$12,NA(),STDEV(OFFSET(G576,1-Settings!$B$12,0,Settings!$B$12,1))*SQRT(Settings!$B$13)))</f>
        <v/>
      </c>
      <c r="L576" s="18">
        <f>IF(AND(ISNUMBER(D576),ISNUMBER(H576)),D576-H576,NA())</f>
        <v/>
      </c>
      <c r="M576" s="18">
        <f>IF(AND(ISNUMBER(E576),ISNUMBER(K576)),E576-K576,NA())</f>
        <v/>
      </c>
      <c r="N576" s="18">
        <f>IF(NOT(ISNUMBER($A576)),NA(),IF(COUNT(OFFSET(G576,1,0,Settings!$B$12,1))&lt;Settings!$B$12,NA(),STDEV(OFFSET(G576,1,0,Settings!$B$12,1))*SQRT(Settings!$B$13)))</f>
        <v/>
      </c>
      <c r="O576" s="18">
        <f>IF(AND(ISNUMBER(E576),ISNUMBER(N576)),E576-N576,NA())</f>
        <v/>
      </c>
      <c r="P576" s="17">
        <f>IF(NOT(ISNUMBER($A576)),NA(),IF(OR($A576&lt;MIN(KW_TP!$A$2:$A$2501),$A576&gt;MAX(KW_TP!$A$2:$A$2501)),NA(),INDEX(KW_TP!$C$2:$C$2501,MATCH($A576,KW_TP!$A$2:$A$2501,1))))</f>
        <v/>
      </c>
    </row>
    <row r="577">
      <c r="A577" s="15">
        <f>IF(ISNUMBER(BBG_Data!A577),BBG_Data!A577,"")</f>
        <v/>
      </c>
      <c r="B577" s="16">
        <f>IF(AND(ISNUMBER($A577),ISNUMBER(BBG_Data!B577)),BBG_Data!B577,NA())</f>
        <v/>
      </c>
      <c r="C577" s="16">
        <f>IF(AND(ISNUMBER($A577),ISNUMBER(BBG_Data!C577)),BBG_Data!C577,NA())</f>
        <v/>
      </c>
      <c r="D577" s="17">
        <f>IF(AND(ISNUMBER($A577),ISNUMBER(BBG_Data!D577)),BBG_Data!D577,NA())</f>
        <v/>
      </c>
      <c r="E577" s="17">
        <f>IF(AND(ISNUMBER($A577),ISNUMBER(BBG_Data!E577)),BBG_Data!E577,NA())</f>
        <v/>
      </c>
      <c r="F577" s="18">
        <f>IF(AND(ISNUMBER(B577),ISNUMBER(B576)),(B577-B576)*100,"")</f>
        <v/>
      </c>
      <c r="G577" s="18">
        <f>IF(AND(ISNUMBER(C577),ISNUMBER(C576)),(C577-C576)*100,"")</f>
        <v/>
      </c>
      <c r="H577" s="18">
        <f>IF(OR(NOT(ISNUMBER($A577)),ROW()-2&lt;Settings!$B$11),NA(),IF(COUNT(OFFSET(F577,1-Settings!$B$11,0,Settings!$B$11,1))&lt;Settings!$B$11,NA(),STDEV(OFFSET(F577,1-Settings!$B$11,0,Settings!$B$11,1))*SQRT(Settings!$B$13)))</f>
        <v/>
      </c>
      <c r="I577" s="18">
        <f>IF(OR(NOT(ISNUMBER($A577)),ROW()-2&lt;Settings!$B$12),NA(),IF(COUNT(OFFSET(F577,1-Settings!$B$12,0,Settings!$B$12,1))&lt;Settings!$B$12,NA(),STDEV(OFFSET(F577,1-Settings!$B$12,0,Settings!$B$12,1))*SQRT(Settings!$B$13)))</f>
        <v/>
      </c>
      <c r="J577" s="18">
        <f>IF(OR(NOT(ISNUMBER($A577)),ROW()-2&lt;Settings!$B$11),NA(),IF(COUNT(OFFSET(G577,1-Settings!$B$11,0,Settings!$B$11,1))&lt;Settings!$B$11,NA(),STDEV(OFFSET(G577,1-Settings!$B$11,0,Settings!$B$11,1))*SQRT(Settings!$B$13)))</f>
        <v/>
      </c>
      <c r="K577" s="18">
        <f>IF(OR(NOT(ISNUMBER($A577)),ROW()-2&lt;Settings!$B$12),NA(),IF(COUNT(OFFSET(G577,1-Settings!$B$12,0,Settings!$B$12,1))&lt;Settings!$B$12,NA(),STDEV(OFFSET(G577,1-Settings!$B$12,0,Settings!$B$12,1))*SQRT(Settings!$B$13)))</f>
        <v/>
      </c>
      <c r="L577" s="18">
        <f>IF(AND(ISNUMBER(D577),ISNUMBER(H577)),D577-H577,NA())</f>
        <v/>
      </c>
      <c r="M577" s="18">
        <f>IF(AND(ISNUMBER(E577),ISNUMBER(K577)),E577-K577,NA())</f>
        <v/>
      </c>
      <c r="N577" s="18">
        <f>IF(NOT(ISNUMBER($A577)),NA(),IF(COUNT(OFFSET(G577,1,0,Settings!$B$12,1))&lt;Settings!$B$12,NA(),STDEV(OFFSET(G577,1,0,Settings!$B$12,1))*SQRT(Settings!$B$13)))</f>
        <v/>
      </c>
      <c r="O577" s="18">
        <f>IF(AND(ISNUMBER(E577),ISNUMBER(N577)),E577-N577,NA())</f>
        <v/>
      </c>
      <c r="P577" s="17">
        <f>IF(NOT(ISNUMBER($A577)),NA(),IF(OR($A577&lt;MIN(KW_TP!$A$2:$A$2501),$A577&gt;MAX(KW_TP!$A$2:$A$2501)),NA(),INDEX(KW_TP!$C$2:$C$2501,MATCH($A577,KW_TP!$A$2:$A$2501,1))))</f>
        <v/>
      </c>
    </row>
    <row r="578">
      <c r="A578" s="15">
        <f>IF(ISNUMBER(BBG_Data!A578),BBG_Data!A578,"")</f>
        <v/>
      </c>
      <c r="B578" s="16">
        <f>IF(AND(ISNUMBER($A578),ISNUMBER(BBG_Data!B578)),BBG_Data!B578,NA())</f>
        <v/>
      </c>
      <c r="C578" s="16">
        <f>IF(AND(ISNUMBER($A578),ISNUMBER(BBG_Data!C578)),BBG_Data!C578,NA())</f>
        <v/>
      </c>
      <c r="D578" s="17">
        <f>IF(AND(ISNUMBER($A578),ISNUMBER(BBG_Data!D578)),BBG_Data!D578,NA())</f>
        <v/>
      </c>
      <c r="E578" s="17">
        <f>IF(AND(ISNUMBER($A578),ISNUMBER(BBG_Data!E578)),BBG_Data!E578,NA())</f>
        <v/>
      </c>
      <c r="F578" s="18">
        <f>IF(AND(ISNUMBER(B578),ISNUMBER(B577)),(B578-B577)*100,"")</f>
        <v/>
      </c>
      <c r="G578" s="18">
        <f>IF(AND(ISNUMBER(C578),ISNUMBER(C577)),(C578-C577)*100,"")</f>
        <v/>
      </c>
      <c r="H578" s="18">
        <f>IF(OR(NOT(ISNUMBER($A578)),ROW()-2&lt;Settings!$B$11),NA(),IF(COUNT(OFFSET(F578,1-Settings!$B$11,0,Settings!$B$11,1))&lt;Settings!$B$11,NA(),STDEV(OFFSET(F578,1-Settings!$B$11,0,Settings!$B$11,1))*SQRT(Settings!$B$13)))</f>
        <v/>
      </c>
      <c r="I578" s="18">
        <f>IF(OR(NOT(ISNUMBER($A578)),ROW()-2&lt;Settings!$B$12),NA(),IF(COUNT(OFFSET(F578,1-Settings!$B$12,0,Settings!$B$12,1))&lt;Settings!$B$12,NA(),STDEV(OFFSET(F578,1-Settings!$B$12,0,Settings!$B$12,1))*SQRT(Settings!$B$13)))</f>
        <v/>
      </c>
      <c r="J578" s="18">
        <f>IF(OR(NOT(ISNUMBER($A578)),ROW()-2&lt;Settings!$B$11),NA(),IF(COUNT(OFFSET(G578,1-Settings!$B$11,0,Settings!$B$11,1))&lt;Settings!$B$11,NA(),STDEV(OFFSET(G578,1-Settings!$B$11,0,Settings!$B$11,1))*SQRT(Settings!$B$13)))</f>
        <v/>
      </c>
      <c r="K578" s="18">
        <f>IF(OR(NOT(ISNUMBER($A578)),ROW()-2&lt;Settings!$B$12),NA(),IF(COUNT(OFFSET(G578,1-Settings!$B$12,0,Settings!$B$12,1))&lt;Settings!$B$12,NA(),STDEV(OFFSET(G578,1-Settings!$B$12,0,Settings!$B$12,1))*SQRT(Settings!$B$13)))</f>
        <v/>
      </c>
      <c r="L578" s="18">
        <f>IF(AND(ISNUMBER(D578),ISNUMBER(H578)),D578-H578,NA())</f>
        <v/>
      </c>
      <c r="M578" s="18">
        <f>IF(AND(ISNUMBER(E578),ISNUMBER(K578)),E578-K578,NA())</f>
        <v/>
      </c>
      <c r="N578" s="18">
        <f>IF(NOT(ISNUMBER($A578)),NA(),IF(COUNT(OFFSET(G578,1,0,Settings!$B$12,1))&lt;Settings!$B$12,NA(),STDEV(OFFSET(G578,1,0,Settings!$B$12,1))*SQRT(Settings!$B$13)))</f>
        <v/>
      </c>
      <c r="O578" s="18">
        <f>IF(AND(ISNUMBER(E578),ISNUMBER(N578)),E578-N578,NA())</f>
        <v/>
      </c>
      <c r="P578" s="17">
        <f>IF(NOT(ISNUMBER($A578)),NA(),IF(OR($A578&lt;MIN(KW_TP!$A$2:$A$2501),$A578&gt;MAX(KW_TP!$A$2:$A$2501)),NA(),INDEX(KW_TP!$C$2:$C$2501,MATCH($A578,KW_TP!$A$2:$A$2501,1))))</f>
        <v/>
      </c>
    </row>
    <row r="579">
      <c r="A579" s="15">
        <f>IF(ISNUMBER(BBG_Data!A579),BBG_Data!A579,"")</f>
        <v/>
      </c>
      <c r="B579" s="16">
        <f>IF(AND(ISNUMBER($A579),ISNUMBER(BBG_Data!B579)),BBG_Data!B579,NA())</f>
        <v/>
      </c>
      <c r="C579" s="16">
        <f>IF(AND(ISNUMBER($A579),ISNUMBER(BBG_Data!C579)),BBG_Data!C579,NA())</f>
        <v/>
      </c>
      <c r="D579" s="17">
        <f>IF(AND(ISNUMBER($A579),ISNUMBER(BBG_Data!D579)),BBG_Data!D579,NA())</f>
        <v/>
      </c>
      <c r="E579" s="17">
        <f>IF(AND(ISNUMBER($A579),ISNUMBER(BBG_Data!E579)),BBG_Data!E579,NA())</f>
        <v/>
      </c>
      <c r="F579" s="18">
        <f>IF(AND(ISNUMBER(B579),ISNUMBER(B578)),(B579-B578)*100,"")</f>
        <v/>
      </c>
      <c r="G579" s="18">
        <f>IF(AND(ISNUMBER(C579),ISNUMBER(C578)),(C579-C578)*100,"")</f>
        <v/>
      </c>
      <c r="H579" s="18">
        <f>IF(OR(NOT(ISNUMBER($A579)),ROW()-2&lt;Settings!$B$11),NA(),IF(COUNT(OFFSET(F579,1-Settings!$B$11,0,Settings!$B$11,1))&lt;Settings!$B$11,NA(),STDEV(OFFSET(F579,1-Settings!$B$11,0,Settings!$B$11,1))*SQRT(Settings!$B$13)))</f>
        <v/>
      </c>
      <c r="I579" s="18">
        <f>IF(OR(NOT(ISNUMBER($A579)),ROW()-2&lt;Settings!$B$12),NA(),IF(COUNT(OFFSET(F579,1-Settings!$B$12,0,Settings!$B$12,1))&lt;Settings!$B$12,NA(),STDEV(OFFSET(F579,1-Settings!$B$12,0,Settings!$B$12,1))*SQRT(Settings!$B$13)))</f>
        <v/>
      </c>
      <c r="J579" s="18">
        <f>IF(OR(NOT(ISNUMBER($A579)),ROW()-2&lt;Settings!$B$11),NA(),IF(COUNT(OFFSET(G579,1-Settings!$B$11,0,Settings!$B$11,1))&lt;Settings!$B$11,NA(),STDEV(OFFSET(G579,1-Settings!$B$11,0,Settings!$B$11,1))*SQRT(Settings!$B$13)))</f>
        <v/>
      </c>
      <c r="K579" s="18">
        <f>IF(OR(NOT(ISNUMBER($A579)),ROW()-2&lt;Settings!$B$12),NA(),IF(COUNT(OFFSET(G579,1-Settings!$B$12,0,Settings!$B$12,1))&lt;Settings!$B$12,NA(),STDEV(OFFSET(G579,1-Settings!$B$12,0,Settings!$B$12,1))*SQRT(Settings!$B$13)))</f>
        <v/>
      </c>
      <c r="L579" s="18">
        <f>IF(AND(ISNUMBER(D579),ISNUMBER(H579)),D579-H579,NA())</f>
        <v/>
      </c>
      <c r="M579" s="18">
        <f>IF(AND(ISNUMBER(E579),ISNUMBER(K579)),E579-K579,NA())</f>
        <v/>
      </c>
      <c r="N579" s="18">
        <f>IF(NOT(ISNUMBER($A579)),NA(),IF(COUNT(OFFSET(G579,1,0,Settings!$B$12,1))&lt;Settings!$B$12,NA(),STDEV(OFFSET(G579,1,0,Settings!$B$12,1))*SQRT(Settings!$B$13)))</f>
        <v/>
      </c>
      <c r="O579" s="18">
        <f>IF(AND(ISNUMBER(E579),ISNUMBER(N579)),E579-N579,NA())</f>
        <v/>
      </c>
      <c r="P579" s="17">
        <f>IF(NOT(ISNUMBER($A579)),NA(),IF(OR($A579&lt;MIN(KW_TP!$A$2:$A$2501),$A579&gt;MAX(KW_TP!$A$2:$A$2501)),NA(),INDEX(KW_TP!$C$2:$C$2501,MATCH($A579,KW_TP!$A$2:$A$2501,1))))</f>
        <v/>
      </c>
    </row>
    <row r="580">
      <c r="A580" s="15">
        <f>IF(ISNUMBER(BBG_Data!A580),BBG_Data!A580,"")</f>
        <v/>
      </c>
      <c r="B580" s="16">
        <f>IF(AND(ISNUMBER($A580),ISNUMBER(BBG_Data!B580)),BBG_Data!B580,NA())</f>
        <v/>
      </c>
      <c r="C580" s="16">
        <f>IF(AND(ISNUMBER($A580),ISNUMBER(BBG_Data!C580)),BBG_Data!C580,NA())</f>
        <v/>
      </c>
      <c r="D580" s="17">
        <f>IF(AND(ISNUMBER($A580),ISNUMBER(BBG_Data!D580)),BBG_Data!D580,NA())</f>
        <v/>
      </c>
      <c r="E580" s="17">
        <f>IF(AND(ISNUMBER($A580),ISNUMBER(BBG_Data!E580)),BBG_Data!E580,NA())</f>
        <v/>
      </c>
      <c r="F580" s="18">
        <f>IF(AND(ISNUMBER(B580),ISNUMBER(B579)),(B580-B579)*100,"")</f>
        <v/>
      </c>
      <c r="G580" s="18">
        <f>IF(AND(ISNUMBER(C580),ISNUMBER(C579)),(C580-C579)*100,"")</f>
        <v/>
      </c>
      <c r="H580" s="18">
        <f>IF(OR(NOT(ISNUMBER($A580)),ROW()-2&lt;Settings!$B$11),NA(),IF(COUNT(OFFSET(F580,1-Settings!$B$11,0,Settings!$B$11,1))&lt;Settings!$B$11,NA(),STDEV(OFFSET(F580,1-Settings!$B$11,0,Settings!$B$11,1))*SQRT(Settings!$B$13)))</f>
        <v/>
      </c>
      <c r="I580" s="18">
        <f>IF(OR(NOT(ISNUMBER($A580)),ROW()-2&lt;Settings!$B$12),NA(),IF(COUNT(OFFSET(F580,1-Settings!$B$12,0,Settings!$B$12,1))&lt;Settings!$B$12,NA(),STDEV(OFFSET(F580,1-Settings!$B$12,0,Settings!$B$12,1))*SQRT(Settings!$B$13)))</f>
        <v/>
      </c>
      <c r="J580" s="18">
        <f>IF(OR(NOT(ISNUMBER($A580)),ROW()-2&lt;Settings!$B$11),NA(),IF(COUNT(OFFSET(G580,1-Settings!$B$11,0,Settings!$B$11,1))&lt;Settings!$B$11,NA(),STDEV(OFFSET(G580,1-Settings!$B$11,0,Settings!$B$11,1))*SQRT(Settings!$B$13)))</f>
        <v/>
      </c>
      <c r="K580" s="18">
        <f>IF(OR(NOT(ISNUMBER($A580)),ROW()-2&lt;Settings!$B$12),NA(),IF(COUNT(OFFSET(G580,1-Settings!$B$12,0,Settings!$B$12,1))&lt;Settings!$B$12,NA(),STDEV(OFFSET(G580,1-Settings!$B$12,0,Settings!$B$12,1))*SQRT(Settings!$B$13)))</f>
        <v/>
      </c>
      <c r="L580" s="18">
        <f>IF(AND(ISNUMBER(D580),ISNUMBER(H580)),D580-H580,NA())</f>
        <v/>
      </c>
      <c r="M580" s="18">
        <f>IF(AND(ISNUMBER(E580),ISNUMBER(K580)),E580-K580,NA())</f>
        <v/>
      </c>
      <c r="N580" s="18">
        <f>IF(NOT(ISNUMBER($A580)),NA(),IF(COUNT(OFFSET(G580,1,0,Settings!$B$12,1))&lt;Settings!$B$12,NA(),STDEV(OFFSET(G580,1,0,Settings!$B$12,1))*SQRT(Settings!$B$13)))</f>
        <v/>
      </c>
      <c r="O580" s="18">
        <f>IF(AND(ISNUMBER(E580),ISNUMBER(N580)),E580-N580,NA())</f>
        <v/>
      </c>
      <c r="P580" s="17">
        <f>IF(NOT(ISNUMBER($A580)),NA(),IF(OR($A580&lt;MIN(KW_TP!$A$2:$A$2501),$A580&gt;MAX(KW_TP!$A$2:$A$2501)),NA(),INDEX(KW_TP!$C$2:$C$2501,MATCH($A580,KW_TP!$A$2:$A$2501,1))))</f>
        <v/>
      </c>
    </row>
    <row r="581">
      <c r="A581" s="15">
        <f>IF(ISNUMBER(BBG_Data!A581),BBG_Data!A581,"")</f>
        <v/>
      </c>
      <c r="B581" s="16">
        <f>IF(AND(ISNUMBER($A581),ISNUMBER(BBG_Data!B581)),BBG_Data!B581,NA())</f>
        <v/>
      </c>
      <c r="C581" s="16">
        <f>IF(AND(ISNUMBER($A581),ISNUMBER(BBG_Data!C581)),BBG_Data!C581,NA())</f>
        <v/>
      </c>
      <c r="D581" s="17">
        <f>IF(AND(ISNUMBER($A581),ISNUMBER(BBG_Data!D581)),BBG_Data!D581,NA())</f>
        <v/>
      </c>
      <c r="E581" s="17">
        <f>IF(AND(ISNUMBER($A581),ISNUMBER(BBG_Data!E581)),BBG_Data!E581,NA())</f>
        <v/>
      </c>
      <c r="F581" s="18">
        <f>IF(AND(ISNUMBER(B581),ISNUMBER(B580)),(B581-B580)*100,"")</f>
        <v/>
      </c>
      <c r="G581" s="18">
        <f>IF(AND(ISNUMBER(C581),ISNUMBER(C580)),(C581-C580)*100,"")</f>
        <v/>
      </c>
      <c r="H581" s="18">
        <f>IF(OR(NOT(ISNUMBER($A581)),ROW()-2&lt;Settings!$B$11),NA(),IF(COUNT(OFFSET(F581,1-Settings!$B$11,0,Settings!$B$11,1))&lt;Settings!$B$11,NA(),STDEV(OFFSET(F581,1-Settings!$B$11,0,Settings!$B$11,1))*SQRT(Settings!$B$13)))</f>
        <v/>
      </c>
      <c r="I581" s="18">
        <f>IF(OR(NOT(ISNUMBER($A581)),ROW()-2&lt;Settings!$B$12),NA(),IF(COUNT(OFFSET(F581,1-Settings!$B$12,0,Settings!$B$12,1))&lt;Settings!$B$12,NA(),STDEV(OFFSET(F581,1-Settings!$B$12,0,Settings!$B$12,1))*SQRT(Settings!$B$13)))</f>
        <v/>
      </c>
      <c r="J581" s="18">
        <f>IF(OR(NOT(ISNUMBER($A581)),ROW()-2&lt;Settings!$B$11),NA(),IF(COUNT(OFFSET(G581,1-Settings!$B$11,0,Settings!$B$11,1))&lt;Settings!$B$11,NA(),STDEV(OFFSET(G581,1-Settings!$B$11,0,Settings!$B$11,1))*SQRT(Settings!$B$13)))</f>
        <v/>
      </c>
      <c r="K581" s="18">
        <f>IF(OR(NOT(ISNUMBER($A581)),ROW()-2&lt;Settings!$B$12),NA(),IF(COUNT(OFFSET(G581,1-Settings!$B$12,0,Settings!$B$12,1))&lt;Settings!$B$12,NA(),STDEV(OFFSET(G581,1-Settings!$B$12,0,Settings!$B$12,1))*SQRT(Settings!$B$13)))</f>
        <v/>
      </c>
      <c r="L581" s="18">
        <f>IF(AND(ISNUMBER(D581),ISNUMBER(H581)),D581-H581,NA())</f>
        <v/>
      </c>
      <c r="M581" s="18">
        <f>IF(AND(ISNUMBER(E581),ISNUMBER(K581)),E581-K581,NA())</f>
        <v/>
      </c>
      <c r="N581" s="18">
        <f>IF(NOT(ISNUMBER($A581)),NA(),IF(COUNT(OFFSET(G581,1,0,Settings!$B$12,1))&lt;Settings!$B$12,NA(),STDEV(OFFSET(G581,1,0,Settings!$B$12,1))*SQRT(Settings!$B$13)))</f>
        <v/>
      </c>
      <c r="O581" s="18">
        <f>IF(AND(ISNUMBER(E581),ISNUMBER(N581)),E581-N581,NA())</f>
        <v/>
      </c>
      <c r="P581" s="17">
        <f>IF(NOT(ISNUMBER($A581)),NA(),IF(OR($A581&lt;MIN(KW_TP!$A$2:$A$2501),$A581&gt;MAX(KW_TP!$A$2:$A$2501)),NA(),INDEX(KW_TP!$C$2:$C$2501,MATCH($A581,KW_TP!$A$2:$A$2501,1))))</f>
        <v/>
      </c>
    </row>
    <row r="582">
      <c r="A582" s="15">
        <f>IF(ISNUMBER(BBG_Data!A582),BBG_Data!A582,"")</f>
        <v/>
      </c>
      <c r="B582" s="16">
        <f>IF(AND(ISNUMBER($A582),ISNUMBER(BBG_Data!B582)),BBG_Data!B582,NA())</f>
        <v/>
      </c>
      <c r="C582" s="16">
        <f>IF(AND(ISNUMBER($A582),ISNUMBER(BBG_Data!C582)),BBG_Data!C582,NA())</f>
        <v/>
      </c>
      <c r="D582" s="17">
        <f>IF(AND(ISNUMBER($A582),ISNUMBER(BBG_Data!D582)),BBG_Data!D582,NA())</f>
        <v/>
      </c>
      <c r="E582" s="17">
        <f>IF(AND(ISNUMBER($A582),ISNUMBER(BBG_Data!E582)),BBG_Data!E582,NA())</f>
        <v/>
      </c>
      <c r="F582" s="18">
        <f>IF(AND(ISNUMBER(B582),ISNUMBER(B581)),(B582-B581)*100,"")</f>
        <v/>
      </c>
      <c r="G582" s="18">
        <f>IF(AND(ISNUMBER(C582),ISNUMBER(C581)),(C582-C581)*100,"")</f>
        <v/>
      </c>
      <c r="H582" s="18">
        <f>IF(OR(NOT(ISNUMBER($A582)),ROW()-2&lt;Settings!$B$11),NA(),IF(COUNT(OFFSET(F582,1-Settings!$B$11,0,Settings!$B$11,1))&lt;Settings!$B$11,NA(),STDEV(OFFSET(F582,1-Settings!$B$11,0,Settings!$B$11,1))*SQRT(Settings!$B$13)))</f>
        <v/>
      </c>
      <c r="I582" s="18">
        <f>IF(OR(NOT(ISNUMBER($A582)),ROW()-2&lt;Settings!$B$12),NA(),IF(COUNT(OFFSET(F582,1-Settings!$B$12,0,Settings!$B$12,1))&lt;Settings!$B$12,NA(),STDEV(OFFSET(F582,1-Settings!$B$12,0,Settings!$B$12,1))*SQRT(Settings!$B$13)))</f>
        <v/>
      </c>
      <c r="J582" s="18">
        <f>IF(OR(NOT(ISNUMBER($A582)),ROW()-2&lt;Settings!$B$11),NA(),IF(COUNT(OFFSET(G582,1-Settings!$B$11,0,Settings!$B$11,1))&lt;Settings!$B$11,NA(),STDEV(OFFSET(G582,1-Settings!$B$11,0,Settings!$B$11,1))*SQRT(Settings!$B$13)))</f>
        <v/>
      </c>
      <c r="K582" s="18">
        <f>IF(OR(NOT(ISNUMBER($A582)),ROW()-2&lt;Settings!$B$12),NA(),IF(COUNT(OFFSET(G582,1-Settings!$B$12,0,Settings!$B$12,1))&lt;Settings!$B$12,NA(),STDEV(OFFSET(G582,1-Settings!$B$12,0,Settings!$B$12,1))*SQRT(Settings!$B$13)))</f>
        <v/>
      </c>
      <c r="L582" s="18">
        <f>IF(AND(ISNUMBER(D582),ISNUMBER(H582)),D582-H582,NA())</f>
        <v/>
      </c>
      <c r="M582" s="18">
        <f>IF(AND(ISNUMBER(E582),ISNUMBER(K582)),E582-K582,NA())</f>
        <v/>
      </c>
      <c r="N582" s="18">
        <f>IF(NOT(ISNUMBER($A582)),NA(),IF(COUNT(OFFSET(G582,1,0,Settings!$B$12,1))&lt;Settings!$B$12,NA(),STDEV(OFFSET(G582,1,0,Settings!$B$12,1))*SQRT(Settings!$B$13)))</f>
        <v/>
      </c>
      <c r="O582" s="18">
        <f>IF(AND(ISNUMBER(E582),ISNUMBER(N582)),E582-N582,NA())</f>
        <v/>
      </c>
      <c r="P582" s="17">
        <f>IF(NOT(ISNUMBER($A582)),NA(),IF(OR($A582&lt;MIN(KW_TP!$A$2:$A$2501),$A582&gt;MAX(KW_TP!$A$2:$A$2501)),NA(),INDEX(KW_TP!$C$2:$C$2501,MATCH($A582,KW_TP!$A$2:$A$2501,1))))</f>
        <v/>
      </c>
    </row>
    <row r="583">
      <c r="A583" s="15">
        <f>IF(ISNUMBER(BBG_Data!A583),BBG_Data!A583,"")</f>
        <v/>
      </c>
      <c r="B583" s="16">
        <f>IF(AND(ISNUMBER($A583),ISNUMBER(BBG_Data!B583)),BBG_Data!B583,NA())</f>
        <v/>
      </c>
      <c r="C583" s="16">
        <f>IF(AND(ISNUMBER($A583),ISNUMBER(BBG_Data!C583)),BBG_Data!C583,NA())</f>
        <v/>
      </c>
      <c r="D583" s="17">
        <f>IF(AND(ISNUMBER($A583),ISNUMBER(BBG_Data!D583)),BBG_Data!D583,NA())</f>
        <v/>
      </c>
      <c r="E583" s="17">
        <f>IF(AND(ISNUMBER($A583),ISNUMBER(BBG_Data!E583)),BBG_Data!E583,NA())</f>
        <v/>
      </c>
      <c r="F583" s="18">
        <f>IF(AND(ISNUMBER(B583),ISNUMBER(B582)),(B583-B582)*100,"")</f>
        <v/>
      </c>
      <c r="G583" s="18">
        <f>IF(AND(ISNUMBER(C583),ISNUMBER(C582)),(C583-C582)*100,"")</f>
        <v/>
      </c>
      <c r="H583" s="18">
        <f>IF(OR(NOT(ISNUMBER($A583)),ROW()-2&lt;Settings!$B$11),NA(),IF(COUNT(OFFSET(F583,1-Settings!$B$11,0,Settings!$B$11,1))&lt;Settings!$B$11,NA(),STDEV(OFFSET(F583,1-Settings!$B$11,0,Settings!$B$11,1))*SQRT(Settings!$B$13)))</f>
        <v/>
      </c>
      <c r="I583" s="18">
        <f>IF(OR(NOT(ISNUMBER($A583)),ROW()-2&lt;Settings!$B$12),NA(),IF(COUNT(OFFSET(F583,1-Settings!$B$12,0,Settings!$B$12,1))&lt;Settings!$B$12,NA(),STDEV(OFFSET(F583,1-Settings!$B$12,0,Settings!$B$12,1))*SQRT(Settings!$B$13)))</f>
        <v/>
      </c>
      <c r="J583" s="18">
        <f>IF(OR(NOT(ISNUMBER($A583)),ROW()-2&lt;Settings!$B$11),NA(),IF(COUNT(OFFSET(G583,1-Settings!$B$11,0,Settings!$B$11,1))&lt;Settings!$B$11,NA(),STDEV(OFFSET(G583,1-Settings!$B$11,0,Settings!$B$11,1))*SQRT(Settings!$B$13)))</f>
        <v/>
      </c>
      <c r="K583" s="18">
        <f>IF(OR(NOT(ISNUMBER($A583)),ROW()-2&lt;Settings!$B$12),NA(),IF(COUNT(OFFSET(G583,1-Settings!$B$12,0,Settings!$B$12,1))&lt;Settings!$B$12,NA(),STDEV(OFFSET(G583,1-Settings!$B$12,0,Settings!$B$12,1))*SQRT(Settings!$B$13)))</f>
        <v/>
      </c>
      <c r="L583" s="18">
        <f>IF(AND(ISNUMBER(D583),ISNUMBER(H583)),D583-H583,NA())</f>
        <v/>
      </c>
      <c r="M583" s="18">
        <f>IF(AND(ISNUMBER(E583),ISNUMBER(K583)),E583-K583,NA())</f>
        <v/>
      </c>
      <c r="N583" s="18">
        <f>IF(NOT(ISNUMBER($A583)),NA(),IF(COUNT(OFFSET(G583,1,0,Settings!$B$12,1))&lt;Settings!$B$12,NA(),STDEV(OFFSET(G583,1,0,Settings!$B$12,1))*SQRT(Settings!$B$13)))</f>
        <v/>
      </c>
      <c r="O583" s="18">
        <f>IF(AND(ISNUMBER(E583),ISNUMBER(N583)),E583-N583,NA())</f>
        <v/>
      </c>
      <c r="P583" s="17">
        <f>IF(NOT(ISNUMBER($A583)),NA(),IF(OR($A583&lt;MIN(KW_TP!$A$2:$A$2501),$A583&gt;MAX(KW_TP!$A$2:$A$2501)),NA(),INDEX(KW_TP!$C$2:$C$2501,MATCH($A583,KW_TP!$A$2:$A$2501,1))))</f>
        <v/>
      </c>
    </row>
    <row r="584">
      <c r="A584" s="15">
        <f>IF(ISNUMBER(BBG_Data!A584),BBG_Data!A584,"")</f>
        <v/>
      </c>
      <c r="B584" s="16">
        <f>IF(AND(ISNUMBER($A584),ISNUMBER(BBG_Data!B584)),BBG_Data!B584,NA())</f>
        <v/>
      </c>
      <c r="C584" s="16">
        <f>IF(AND(ISNUMBER($A584),ISNUMBER(BBG_Data!C584)),BBG_Data!C584,NA())</f>
        <v/>
      </c>
      <c r="D584" s="17">
        <f>IF(AND(ISNUMBER($A584),ISNUMBER(BBG_Data!D584)),BBG_Data!D584,NA())</f>
        <v/>
      </c>
      <c r="E584" s="17">
        <f>IF(AND(ISNUMBER($A584),ISNUMBER(BBG_Data!E584)),BBG_Data!E584,NA())</f>
        <v/>
      </c>
      <c r="F584" s="18">
        <f>IF(AND(ISNUMBER(B584),ISNUMBER(B583)),(B584-B583)*100,"")</f>
        <v/>
      </c>
      <c r="G584" s="18">
        <f>IF(AND(ISNUMBER(C584),ISNUMBER(C583)),(C584-C583)*100,"")</f>
        <v/>
      </c>
      <c r="H584" s="18">
        <f>IF(OR(NOT(ISNUMBER($A584)),ROW()-2&lt;Settings!$B$11),NA(),IF(COUNT(OFFSET(F584,1-Settings!$B$11,0,Settings!$B$11,1))&lt;Settings!$B$11,NA(),STDEV(OFFSET(F584,1-Settings!$B$11,0,Settings!$B$11,1))*SQRT(Settings!$B$13)))</f>
        <v/>
      </c>
      <c r="I584" s="18">
        <f>IF(OR(NOT(ISNUMBER($A584)),ROW()-2&lt;Settings!$B$12),NA(),IF(COUNT(OFFSET(F584,1-Settings!$B$12,0,Settings!$B$12,1))&lt;Settings!$B$12,NA(),STDEV(OFFSET(F584,1-Settings!$B$12,0,Settings!$B$12,1))*SQRT(Settings!$B$13)))</f>
        <v/>
      </c>
      <c r="J584" s="18">
        <f>IF(OR(NOT(ISNUMBER($A584)),ROW()-2&lt;Settings!$B$11),NA(),IF(COUNT(OFFSET(G584,1-Settings!$B$11,0,Settings!$B$11,1))&lt;Settings!$B$11,NA(),STDEV(OFFSET(G584,1-Settings!$B$11,0,Settings!$B$11,1))*SQRT(Settings!$B$13)))</f>
        <v/>
      </c>
      <c r="K584" s="18">
        <f>IF(OR(NOT(ISNUMBER($A584)),ROW()-2&lt;Settings!$B$12),NA(),IF(COUNT(OFFSET(G584,1-Settings!$B$12,0,Settings!$B$12,1))&lt;Settings!$B$12,NA(),STDEV(OFFSET(G584,1-Settings!$B$12,0,Settings!$B$12,1))*SQRT(Settings!$B$13)))</f>
        <v/>
      </c>
      <c r="L584" s="18">
        <f>IF(AND(ISNUMBER(D584),ISNUMBER(H584)),D584-H584,NA())</f>
        <v/>
      </c>
      <c r="M584" s="18">
        <f>IF(AND(ISNUMBER(E584),ISNUMBER(K584)),E584-K584,NA())</f>
        <v/>
      </c>
      <c r="N584" s="18">
        <f>IF(NOT(ISNUMBER($A584)),NA(),IF(COUNT(OFFSET(G584,1,0,Settings!$B$12,1))&lt;Settings!$B$12,NA(),STDEV(OFFSET(G584,1,0,Settings!$B$12,1))*SQRT(Settings!$B$13)))</f>
        <v/>
      </c>
      <c r="O584" s="18">
        <f>IF(AND(ISNUMBER(E584),ISNUMBER(N584)),E584-N584,NA())</f>
        <v/>
      </c>
      <c r="P584" s="17">
        <f>IF(NOT(ISNUMBER($A584)),NA(),IF(OR($A584&lt;MIN(KW_TP!$A$2:$A$2501),$A584&gt;MAX(KW_TP!$A$2:$A$2501)),NA(),INDEX(KW_TP!$C$2:$C$2501,MATCH($A584,KW_TP!$A$2:$A$2501,1))))</f>
        <v/>
      </c>
    </row>
    <row r="585">
      <c r="A585" s="15">
        <f>IF(ISNUMBER(BBG_Data!A585),BBG_Data!A585,"")</f>
        <v/>
      </c>
      <c r="B585" s="16">
        <f>IF(AND(ISNUMBER($A585),ISNUMBER(BBG_Data!B585)),BBG_Data!B585,NA())</f>
        <v/>
      </c>
      <c r="C585" s="16">
        <f>IF(AND(ISNUMBER($A585),ISNUMBER(BBG_Data!C585)),BBG_Data!C585,NA())</f>
        <v/>
      </c>
      <c r="D585" s="17">
        <f>IF(AND(ISNUMBER($A585),ISNUMBER(BBG_Data!D585)),BBG_Data!D585,NA())</f>
        <v/>
      </c>
      <c r="E585" s="17">
        <f>IF(AND(ISNUMBER($A585),ISNUMBER(BBG_Data!E585)),BBG_Data!E585,NA())</f>
        <v/>
      </c>
      <c r="F585" s="18">
        <f>IF(AND(ISNUMBER(B585),ISNUMBER(B584)),(B585-B584)*100,"")</f>
        <v/>
      </c>
      <c r="G585" s="18">
        <f>IF(AND(ISNUMBER(C585),ISNUMBER(C584)),(C585-C584)*100,"")</f>
        <v/>
      </c>
      <c r="H585" s="18">
        <f>IF(OR(NOT(ISNUMBER($A585)),ROW()-2&lt;Settings!$B$11),NA(),IF(COUNT(OFFSET(F585,1-Settings!$B$11,0,Settings!$B$11,1))&lt;Settings!$B$11,NA(),STDEV(OFFSET(F585,1-Settings!$B$11,0,Settings!$B$11,1))*SQRT(Settings!$B$13)))</f>
        <v/>
      </c>
      <c r="I585" s="18">
        <f>IF(OR(NOT(ISNUMBER($A585)),ROW()-2&lt;Settings!$B$12),NA(),IF(COUNT(OFFSET(F585,1-Settings!$B$12,0,Settings!$B$12,1))&lt;Settings!$B$12,NA(),STDEV(OFFSET(F585,1-Settings!$B$12,0,Settings!$B$12,1))*SQRT(Settings!$B$13)))</f>
        <v/>
      </c>
      <c r="J585" s="18">
        <f>IF(OR(NOT(ISNUMBER($A585)),ROW()-2&lt;Settings!$B$11),NA(),IF(COUNT(OFFSET(G585,1-Settings!$B$11,0,Settings!$B$11,1))&lt;Settings!$B$11,NA(),STDEV(OFFSET(G585,1-Settings!$B$11,0,Settings!$B$11,1))*SQRT(Settings!$B$13)))</f>
        <v/>
      </c>
      <c r="K585" s="18">
        <f>IF(OR(NOT(ISNUMBER($A585)),ROW()-2&lt;Settings!$B$12),NA(),IF(COUNT(OFFSET(G585,1-Settings!$B$12,0,Settings!$B$12,1))&lt;Settings!$B$12,NA(),STDEV(OFFSET(G585,1-Settings!$B$12,0,Settings!$B$12,1))*SQRT(Settings!$B$13)))</f>
        <v/>
      </c>
      <c r="L585" s="18">
        <f>IF(AND(ISNUMBER(D585),ISNUMBER(H585)),D585-H585,NA())</f>
        <v/>
      </c>
      <c r="M585" s="18">
        <f>IF(AND(ISNUMBER(E585),ISNUMBER(K585)),E585-K585,NA())</f>
        <v/>
      </c>
      <c r="N585" s="18">
        <f>IF(NOT(ISNUMBER($A585)),NA(),IF(COUNT(OFFSET(G585,1,0,Settings!$B$12,1))&lt;Settings!$B$12,NA(),STDEV(OFFSET(G585,1,0,Settings!$B$12,1))*SQRT(Settings!$B$13)))</f>
        <v/>
      </c>
      <c r="O585" s="18">
        <f>IF(AND(ISNUMBER(E585),ISNUMBER(N585)),E585-N585,NA())</f>
        <v/>
      </c>
      <c r="P585" s="17">
        <f>IF(NOT(ISNUMBER($A585)),NA(),IF(OR($A585&lt;MIN(KW_TP!$A$2:$A$2501),$A585&gt;MAX(KW_TP!$A$2:$A$2501)),NA(),INDEX(KW_TP!$C$2:$C$2501,MATCH($A585,KW_TP!$A$2:$A$2501,1))))</f>
        <v/>
      </c>
    </row>
    <row r="586">
      <c r="A586" s="15">
        <f>IF(ISNUMBER(BBG_Data!A586),BBG_Data!A586,"")</f>
        <v/>
      </c>
      <c r="B586" s="16">
        <f>IF(AND(ISNUMBER($A586),ISNUMBER(BBG_Data!B586)),BBG_Data!B586,NA())</f>
        <v/>
      </c>
      <c r="C586" s="16">
        <f>IF(AND(ISNUMBER($A586),ISNUMBER(BBG_Data!C586)),BBG_Data!C586,NA())</f>
        <v/>
      </c>
      <c r="D586" s="17">
        <f>IF(AND(ISNUMBER($A586),ISNUMBER(BBG_Data!D586)),BBG_Data!D586,NA())</f>
        <v/>
      </c>
      <c r="E586" s="17">
        <f>IF(AND(ISNUMBER($A586),ISNUMBER(BBG_Data!E586)),BBG_Data!E586,NA())</f>
        <v/>
      </c>
      <c r="F586" s="18">
        <f>IF(AND(ISNUMBER(B586),ISNUMBER(B585)),(B586-B585)*100,"")</f>
        <v/>
      </c>
      <c r="G586" s="18">
        <f>IF(AND(ISNUMBER(C586),ISNUMBER(C585)),(C586-C585)*100,"")</f>
        <v/>
      </c>
      <c r="H586" s="18">
        <f>IF(OR(NOT(ISNUMBER($A586)),ROW()-2&lt;Settings!$B$11),NA(),IF(COUNT(OFFSET(F586,1-Settings!$B$11,0,Settings!$B$11,1))&lt;Settings!$B$11,NA(),STDEV(OFFSET(F586,1-Settings!$B$11,0,Settings!$B$11,1))*SQRT(Settings!$B$13)))</f>
        <v/>
      </c>
      <c r="I586" s="18">
        <f>IF(OR(NOT(ISNUMBER($A586)),ROW()-2&lt;Settings!$B$12),NA(),IF(COUNT(OFFSET(F586,1-Settings!$B$12,0,Settings!$B$12,1))&lt;Settings!$B$12,NA(),STDEV(OFFSET(F586,1-Settings!$B$12,0,Settings!$B$12,1))*SQRT(Settings!$B$13)))</f>
        <v/>
      </c>
      <c r="J586" s="18">
        <f>IF(OR(NOT(ISNUMBER($A586)),ROW()-2&lt;Settings!$B$11),NA(),IF(COUNT(OFFSET(G586,1-Settings!$B$11,0,Settings!$B$11,1))&lt;Settings!$B$11,NA(),STDEV(OFFSET(G586,1-Settings!$B$11,0,Settings!$B$11,1))*SQRT(Settings!$B$13)))</f>
        <v/>
      </c>
      <c r="K586" s="18">
        <f>IF(OR(NOT(ISNUMBER($A586)),ROW()-2&lt;Settings!$B$12),NA(),IF(COUNT(OFFSET(G586,1-Settings!$B$12,0,Settings!$B$12,1))&lt;Settings!$B$12,NA(),STDEV(OFFSET(G586,1-Settings!$B$12,0,Settings!$B$12,1))*SQRT(Settings!$B$13)))</f>
        <v/>
      </c>
      <c r="L586" s="18">
        <f>IF(AND(ISNUMBER(D586),ISNUMBER(H586)),D586-H586,NA())</f>
        <v/>
      </c>
      <c r="M586" s="18">
        <f>IF(AND(ISNUMBER(E586),ISNUMBER(K586)),E586-K586,NA())</f>
        <v/>
      </c>
      <c r="N586" s="18">
        <f>IF(NOT(ISNUMBER($A586)),NA(),IF(COUNT(OFFSET(G586,1,0,Settings!$B$12,1))&lt;Settings!$B$12,NA(),STDEV(OFFSET(G586,1,0,Settings!$B$12,1))*SQRT(Settings!$B$13)))</f>
        <v/>
      </c>
      <c r="O586" s="18">
        <f>IF(AND(ISNUMBER(E586),ISNUMBER(N586)),E586-N586,NA())</f>
        <v/>
      </c>
      <c r="P586" s="17">
        <f>IF(NOT(ISNUMBER($A586)),NA(),IF(OR($A586&lt;MIN(KW_TP!$A$2:$A$2501),$A586&gt;MAX(KW_TP!$A$2:$A$2501)),NA(),INDEX(KW_TP!$C$2:$C$2501,MATCH($A586,KW_TP!$A$2:$A$2501,1))))</f>
        <v/>
      </c>
    </row>
    <row r="587">
      <c r="A587" s="15">
        <f>IF(ISNUMBER(BBG_Data!A587),BBG_Data!A587,"")</f>
        <v/>
      </c>
      <c r="B587" s="16">
        <f>IF(AND(ISNUMBER($A587),ISNUMBER(BBG_Data!B587)),BBG_Data!B587,NA())</f>
        <v/>
      </c>
      <c r="C587" s="16">
        <f>IF(AND(ISNUMBER($A587),ISNUMBER(BBG_Data!C587)),BBG_Data!C587,NA())</f>
        <v/>
      </c>
      <c r="D587" s="17">
        <f>IF(AND(ISNUMBER($A587),ISNUMBER(BBG_Data!D587)),BBG_Data!D587,NA())</f>
        <v/>
      </c>
      <c r="E587" s="17">
        <f>IF(AND(ISNUMBER($A587),ISNUMBER(BBG_Data!E587)),BBG_Data!E587,NA())</f>
        <v/>
      </c>
      <c r="F587" s="18">
        <f>IF(AND(ISNUMBER(B587),ISNUMBER(B586)),(B587-B586)*100,"")</f>
        <v/>
      </c>
      <c r="G587" s="18">
        <f>IF(AND(ISNUMBER(C587),ISNUMBER(C586)),(C587-C586)*100,"")</f>
        <v/>
      </c>
      <c r="H587" s="18">
        <f>IF(OR(NOT(ISNUMBER($A587)),ROW()-2&lt;Settings!$B$11),NA(),IF(COUNT(OFFSET(F587,1-Settings!$B$11,0,Settings!$B$11,1))&lt;Settings!$B$11,NA(),STDEV(OFFSET(F587,1-Settings!$B$11,0,Settings!$B$11,1))*SQRT(Settings!$B$13)))</f>
        <v/>
      </c>
      <c r="I587" s="18">
        <f>IF(OR(NOT(ISNUMBER($A587)),ROW()-2&lt;Settings!$B$12),NA(),IF(COUNT(OFFSET(F587,1-Settings!$B$12,0,Settings!$B$12,1))&lt;Settings!$B$12,NA(),STDEV(OFFSET(F587,1-Settings!$B$12,0,Settings!$B$12,1))*SQRT(Settings!$B$13)))</f>
        <v/>
      </c>
      <c r="J587" s="18">
        <f>IF(OR(NOT(ISNUMBER($A587)),ROW()-2&lt;Settings!$B$11),NA(),IF(COUNT(OFFSET(G587,1-Settings!$B$11,0,Settings!$B$11,1))&lt;Settings!$B$11,NA(),STDEV(OFFSET(G587,1-Settings!$B$11,0,Settings!$B$11,1))*SQRT(Settings!$B$13)))</f>
        <v/>
      </c>
      <c r="K587" s="18">
        <f>IF(OR(NOT(ISNUMBER($A587)),ROW()-2&lt;Settings!$B$12),NA(),IF(COUNT(OFFSET(G587,1-Settings!$B$12,0,Settings!$B$12,1))&lt;Settings!$B$12,NA(),STDEV(OFFSET(G587,1-Settings!$B$12,0,Settings!$B$12,1))*SQRT(Settings!$B$13)))</f>
        <v/>
      </c>
      <c r="L587" s="18">
        <f>IF(AND(ISNUMBER(D587),ISNUMBER(H587)),D587-H587,NA())</f>
        <v/>
      </c>
      <c r="M587" s="18">
        <f>IF(AND(ISNUMBER(E587),ISNUMBER(K587)),E587-K587,NA())</f>
        <v/>
      </c>
      <c r="N587" s="18">
        <f>IF(NOT(ISNUMBER($A587)),NA(),IF(COUNT(OFFSET(G587,1,0,Settings!$B$12,1))&lt;Settings!$B$12,NA(),STDEV(OFFSET(G587,1,0,Settings!$B$12,1))*SQRT(Settings!$B$13)))</f>
        <v/>
      </c>
      <c r="O587" s="18">
        <f>IF(AND(ISNUMBER(E587),ISNUMBER(N587)),E587-N587,NA())</f>
        <v/>
      </c>
      <c r="P587" s="17">
        <f>IF(NOT(ISNUMBER($A587)),NA(),IF(OR($A587&lt;MIN(KW_TP!$A$2:$A$2501),$A587&gt;MAX(KW_TP!$A$2:$A$2501)),NA(),INDEX(KW_TP!$C$2:$C$2501,MATCH($A587,KW_TP!$A$2:$A$2501,1))))</f>
        <v/>
      </c>
    </row>
    <row r="588">
      <c r="A588" s="15">
        <f>IF(ISNUMBER(BBG_Data!A588),BBG_Data!A588,"")</f>
        <v/>
      </c>
      <c r="B588" s="16">
        <f>IF(AND(ISNUMBER($A588),ISNUMBER(BBG_Data!B588)),BBG_Data!B588,NA())</f>
        <v/>
      </c>
      <c r="C588" s="16">
        <f>IF(AND(ISNUMBER($A588),ISNUMBER(BBG_Data!C588)),BBG_Data!C588,NA())</f>
        <v/>
      </c>
      <c r="D588" s="17">
        <f>IF(AND(ISNUMBER($A588),ISNUMBER(BBG_Data!D588)),BBG_Data!D588,NA())</f>
        <v/>
      </c>
      <c r="E588" s="17">
        <f>IF(AND(ISNUMBER($A588),ISNUMBER(BBG_Data!E588)),BBG_Data!E588,NA())</f>
        <v/>
      </c>
      <c r="F588" s="18">
        <f>IF(AND(ISNUMBER(B588),ISNUMBER(B587)),(B588-B587)*100,"")</f>
        <v/>
      </c>
      <c r="G588" s="18">
        <f>IF(AND(ISNUMBER(C588),ISNUMBER(C587)),(C588-C587)*100,"")</f>
        <v/>
      </c>
      <c r="H588" s="18">
        <f>IF(OR(NOT(ISNUMBER($A588)),ROW()-2&lt;Settings!$B$11),NA(),IF(COUNT(OFFSET(F588,1-Settings!$B$11,0,Settings!$B$11,1))&lt;Settings!$B$11,NA(),STDEV(OFFSET(F588,1-Settings!$B$11,0,Settings!$B$11,1))*SQRT(Settings!$B$13)))</f>
        <v/>
      </c>
      <c r="I588" s="18">
        <f>IF(OR(NOT(ISNUMBER($A588)),ROW()-2&lt;Settings!$B$12),NA(),IF(COUNT(OFFSET(F588,1-Settings!$B$12,0,Settings!$B$12,1))&lt;Settings!$B$12,NA(),STDEV(OFFSET(F588,1-Settings!$B$12,0,Settings!$B$12,1))*SQRT(Settings!$B$13)))</f>
        <v/>
      </c>
      <c r="J588" s="18">
        <f>IF(OR(NOT(ISNUMBER($A588)),ROW()-2&lt;Settings!$B$11),NA(),IF(COUNT(OFFSET(G588,1-Settings!$B$11,0,Settings!$B$11,1))&lt;Settings!$B$11,NA(),STDEV(OFFSET(G588,1-Settings!$B$11,0,Settings!$B$11,1))*SQRT(Settings!$B$13)))</f>
        <v/>
      </c>
      <c r="K588" s="18">
        <f>IF(OR(NOT(ISNUMBER($A588)),ROW()-2&lt;Settings!$B$12),NA(),IF(COUNT(OFFSET(G588,1-Settings!$B$12,0,Settings!$B$12,1))&lt;Settings!$B$12,NA(),STDEV(OFFSET(G588,1-Settings!$B$12,0,Settings!$B$12,1))*SQRT(Settings!$B$13)))</f>
        <v/>
      </c>
      <c r="L588" s="18">
        <f>IF(AND(ISNUMBER(D588),ISNUMBER(H588)),D588-H588,NA())</f>
        <v/>
      </c>
      <c r="M588" s="18">
        <f>IF(AND(ISNUMBER(E588),ISNUMBER(K588)),E588-K588,NA())</f>
        <v/>
      </c>
      <c r="N588" s="18">
        <f>IF(NOT(ISNUMBER($A588)),NA(),IF(COUNT(OFFSET(G588,1,0,Settings!$B$12,1))&lt;Settings!$B$12,NA(),STDEV(OFFSET(G588,1,0,Settings!$B$12,1))*SQRT(Settings!$B$13)))</f>
        <v/>
      </c>
      <c r="O588" s="18">
        <f>IF(AND(ISNUMBER(E588),ISNUMBER(N588)),E588-N588,NA())</f>
        <v/>
      </c>
      <c r="P588" s="17">
        <f>IF(NOT(ISNUMBER($A588)),NA(),IF(OR($A588&lt;MIN(KW_TP!$A$2:$A$2501),$A588&gt;MAX(KW_TP!$A$2:$A$2501)),NA(),INDEX(KW_TP!$C$2:$C$2501,MATCH($A588,KW_TP!$A$2:$A$2501,1))))</f>
        <v/>
      </c>
    </row>
    <row r="589">
      <c r="A589" s="15">
        <f>IF(ISNUMBER(BBG_Data!A589),BBG_Data!A589,"")</f>
        <v/>
      </c>
      <c r="B589" s="16">
        <f>IF(AND(ISNUMBER($A589),ISNUMBER(BBG_Data!B589)),BBG_Data!B589,NA())</f>
        <v/>
      </c>
      <c r="C589" s="16">
        <f>IF(AND(ISNUMBER($A589),ISNUMBER(BBG_Data!C589)),BBG_Data!C589,NA())</f>
        <v/>
      </c>
      <c r="D589" s="17">
        <f>IF(AND(ISNUMBER($A589),ISNUMBER(BBG_Data!D589)),BBG_Data!D589,NA())</f>
        <v/>
      </c>
      <c r="E589" s="17">
        <f>IF(AND(ISNUMBER($A589),ISNUMBER(BBG_Data!E589)),BBG_Data!E589,NA())</f>
        <v/>
      </c>
      <c r="F589" s="18">
        <f>IF(AND(ISNUMBER(B589),ISNUMBER(B588)),(B589-B588)*100,"")</f>
        <v/>
      </c>
      <c r="G589" s="18">
        <f>IF(AND(ISNUMBER(C589),ISNUMBER(C588)),(C589-C588)*100,"")</f>
        <v/>
      </c>
      <c r="H589" s="18">
        <f>IF(OR(NOT(ISNUMBER($A589)),ROW()-2&lt;Settings!$B$11),NA(),IF(COUNT(OFFSET(F589,1-Settings!$B$11,0,Settings!$B$11,1))&lt;Settings!$B$11,NA(),STDEV(OFFSET(F589,1-Settings!$B$11,0,Settings!$B$11,1))*SQRT(Settings!$B$13)))</f>
        <v/>
      </c>
      <c r="I589" s="18">
        <f>IF(OR(NOT(ISNUMBER($A589)),ROW()-2&lt;Settings!$B$12),NA(),IF(COUNT(OFFSET(F589,1-Settings!$B$12,0,Settings!$B$12,1))&lt;Settings!$B$12,NA(),STDEV(OFFSET(F589,1-Settings!$B$12,0,Settings!$B$12,1))*SQRT(Settings!$B$13)))</f>
        <v/>
      </c>
      <c r="J589" s="18">
        <f>IF(OR(NOT(ISNUMBER($A589)),ROW()-2&lt;Settings!$B$11),NA(),IF(COUNT(OFFSET(G589,1-Settings!$B$11,0,Settings!$B$11,1))&lt;Settings!$B$11,NA(),STDEV(OFFSET(G589,1-Settings!$B$11,0,Settings!$B$11,1))*SQRT(Settings!$B$13)))</f>
        <v/>
      </c>
      <c r="K589" s="18">
        <f>IF(OR(NOT(ISNUMBER($A589)),ROW()-2&lt;Settings!$B$12),NA(),IF(COUNT(OFFSET(G589,1-Settings!$B$12,0,Settings!$B$12,1))&lt;Settings!$B$12,NA(),STDEV(OFFSET(G589,1-Settings!$B$12,0,Settings!$B$12,1))*SQRT(Settings!$B$13)))</f>
        <v/>
      </c>
      <c r="L589" s="18">
        <f>IF(AND(ISNUMBER(D589),ISNUMBER(H589)),D589-H589,NA())</f>
        <v/>
      </c>
      <c r="M589" s="18">
        <f>IF(AND(ISNUMBER(E589),ISNUMBER(K589)),E589-K589,NA())</f>
        <v/>
      </c>
      <c r="N589" s="18">
        <f>IF(NOT(ISNUMBER($A589)),NA(),IF(COUNT(OFFSET(G589,1,0,Settings!$B$12,1))&lt;Settings!$B$12,NA(),STDEV(OFFSET(G589,1,0,Settings!$B$12,1))*SQRT(Settings!$B$13)))</f>
        <v/>
      </c>
      <c r="O589" s="18">
        <f>IF(AND(ISNUMBER(E589),ISNUMBER(N589)),E589-N589,NA())</f>
        <v/>
      </c>
      <c r="P589" s="17">
        <f>IF(NOT(ISNUMBER($A589)),NA(),IF(OR($A589&lt;MIN(KW_TP!$A$2:$A$2501),$A589&gt;MAX(KW_TP!$A$2:$A$2501)),NA(),INDEX(KW_TP!$C$2:$C$2501,MATCH($A589,KW_TP!$A$2:$A$2501,1))))</f>
        <v/>
      </c>
    </row>
    <row r="590">
      <c r="A590" s="15">
        <f>IF(ISNUMBER(BBG_Data!A590),BBG_Data!A590,"")</f>
        <v/>
      </c>
      <c r="B590" s="16">
        <f>IF(AND(ISNUMBER($A590),ISNUMBER(BBG_Data!B590)),BBG_Data!B590,NA())</f>
        <v/>
      </c>
      <c r="C590" s="16">
        <f>IF(AND(ISNUMBER($A590),ISNUMBER(BBG_Data!C590)),BBG_Data!C590,NA())</f>
        <v/>
      </c>
      <c r="D590" s="17">
        <f>IF(AND(ISNUMBER($A590),ISNUMBER(BBG_Data!D590)),BBG_Data!D590,NA())</f>
        <v/>
      </c>
      <c r="E590" s="17">
        <f>IF(AND(ISNUMBER($A590),ISNUMBER(BBG_Data!E590)),BBG_Data!E590,NA())</f>
        <v/>
      </c>
      <c r="F590" s="18">
        <f>IF(AND(ISNUMBER(B590),ISNUMBER(B589)),(B590-B589)*100,"")</f>
        <v/>
      </c>
      <c r="G590" s="18">
        <f>IF(AND(ISNUMBER(C590),ISNUMBER(C589)),(C590-C589)*100,"")</f>
        <v/>
      </c>
      <c r="H590" s="18">
        <f>IF(OR(NOT(ISNUMBER($A590)),ROW()-2&lt;Settings!$B$11),NA(),IF(COUNT(OFFSET(F590,1-Settings!$B$11,0,Settings!$B$11,1))&lt;Settings!$B$11,NA(),STDEV(OFFSET(F590,1-Settings!$B$11,0,Settings!$B$11,1))*SQRT(Settings!$B$13)))</f>
        <v/>
      </c>
      <c r="I590" s="18">
        <f>IF(OR(NOT(ISNUMBER($A590)),ROW()-2&lt;Settings!$B$12),NA(),IF(COUNT(OFFSET(F590,1-Settings!$B$12,0,Settings!$B$12,1))&lt;Settings!$B$12,NA(),STDEV(OFFSET(F590,1-Settings!$B$12,0,Settings!$B$12,1))*SQRT(Settings!$B$13)))</f>
        <v/>
      </c>
      <c r="J590" s="18">
        <f>IF(OR(NOT(ISNUMBER($A590)),ROW()-2&lt;Settings!$B$11),NA(),IF(COUNT(OFFSET(G590,1-Settings!$B$11,0,Settings!$B$11,1))&lt;Settings!$B$11,NA(),STDEV(OFFSET(G590,1-Settings!$B$11,0,Settings!$B$11,1))*SQRT(Settings!$B$13)))</f>
        <v/>
      </c>
      <c r="K590" s="18">
        <f>IF(OR(NOT(ISNUMBER($A590)),ROW()-2&lt;Settings!$B$12),NA(),IF(COUNT(OFFSET(G590,1-Settings!$B$12,0,Settings!$B$12,1))&lt;Settings!$B$12,NA(),STDEV(OFFSET(G590,1-Settings!$B$12,0,Settings!$B$12,1))*SQRT(Settings!$B$13)))</f>
        <v/>
      </c>
      <c r="L590" s="18">
        <f>IF(AND(ISNUMBER(D590),ISNUMBER(H590)),D590-H590,NA())</f>
        <v/>
      </c>
      <c r="M590" s="18">
        <f>IF(AND(ISNUMBER(E590),ISNUMBER(K590)),E590-K590,NA())</f>
        <v/>
      </c>
      <c r="N590" s="18">
        <f>IF(NOT(ISNUMBER($A590)),NA(),IF(COUNT(OFFSET(G590,1,0,Settings!$B$12,1))&lt;Settings!$B$12,NA(),STDEV(OFFSET(G590,1,0,Settings!$B$12,1))*SQRT(Settings!$B$13)))</f>
        <v/>
      </c>
      <c r="O590" s="18">
        <f>IF(AND(ISNUMBER(E590),ISNUMBER(N590)),E590-N590,NA())</f>
        <v/>
      </c>
      <c r="P590" s="17">
        <f>IF(NOT(ISNUMBER($A590)),NA(),IF(OR($A590&lt;MIN(KW_TP!$A$2:$A$2501),$A590&gt;MAX(KW_TP!$A$2:$A$2501)),NA(),INDEX(KW_TP!$C$2:$C$2501,MATCH($A590,KW_TP!$A$2:$A$2501,1))))</f>
        <v/>
      </c>
    </row>
    <row r="591">
      <c r="A591" s="15">
        <f>IF(ISNUMBER(BBG_Data!A591),BBG_Data!A591,"")</f>
        <v/>
      </c>
      <c r="B591" s="16">
        <f>IF(AND(ISNUMBER($A591),ISNUMBER(BBG_Data!B591)),BBG_Data!B591,NA())</f>
        <v/>
      </c>
      <c r="C591" s="16">
        <f>IF(AND(ISNUMBER($A591),ISNUMBER(BBG_Data!C591)),BBG_Data!C591,NA())</f>
        <v/>
      </c>
      <c r="D591" s="17">
        <f>IF(AND(ISNUMBER($A591),ISNUMBER(BBG_Data!D591)),BBG_Data!D591,NA())</f>
        <v/>
      </c>
      <c r="E591" s="17">
        <f>IF(AND(ISNUMBER($A591),ISNUMBER(BBG_Data!E591)),BBG_Data!E591,NA())</f>
        <v/>
      </c>
      <c r="F591" s="18">
        <f>IF(AND(ISNUMBER(B591),ISNUMBER(B590)),(B591-B590)*100,"")</f>
        <v/>
      </c>
      <c r="G591" s="18">
        <f>IF(AND(ISNUMBER(C591),ISNUMBER(C590)),(C591-C590)*100,"")</f>
        <v/>
      </c>
      <c r="H591" s="18">
        <f>IF(OR(NOT(ISNUMBER($A591)),ROW()-2&lt;Settings!$B$11),NA(),IF(COUNT(OFFSET(F591,1-Settings!$B$11,0,Settings!$B$11,1))&lt;Settings!$B$11,NA(),STDEV(OFFSET(F591,1-Settings!$B$11,0,Settings!$B$11,1))*SQRT(Settings!$B$13)))</f>
        <v/>
      </c>
      <c r="I591" s="18">
        <f>IF(OR(NOT(ISNUMBER($A591)),ROW()-2&lt;Settings!$B$12),NA(),IF(COUNT(OFFSET(F591,1-Settings!$B$12,0,Settings!$B$12,1))&lt;Settings!$B$12,NA(),STDEV(OFFSET(F591,1-Settings!$B$12,0,Settings!$B$12,1))*SQRT(Settings!$B$13)))</f>
        <v/>
      </c>
      <c r="J591" s="18">
        <f>IF(OR(NOT(ISNUMBER($A591)),ROW()-2&lt;Settings!$B$11),NA(),IF(COUNT(OFFSET(G591,1-Settings!$B$11,0,Settings!$B$11,1))&lt;Settings!$B$11,NA(),STDEV(OFFSET(G591,1-Settings!$B$11,0,Settings!$B$11,1))*SQRT(Settings!$B$13)))</f>
        <v/>
      </c>
      <c r="K591" s="18">
        <f>IF(OR(NOT(ISNUMBER($A591)),ROW()-2&lt;Settings!$B$12),NA(),IF(COUNT(OFFSET(G591,1-Settings!$B$12,0,Settings!$B$12,1))&lt;Settings!$B$12,NA(),STDEV(OFFSET(G591,1-Settings!$B$12,0,Settings!$B$12,1))*SQRT(Settings!$B$13)))</f>
        <v/>
      </c>
      <c r="L591" s="18">
        <f>IF(AND(ISNUMBER(D591),ISNUMBER(H591)),D591-H591,NA())</f>
        <v/>
      </c>
      <c r="M591" s="18">
        <f>IF(AND(ISNUMBER(E591),ISNUMBER(K591)),E591-K591,NA())</f>
        <v/>
      </c>
      <c r="N591" s="18">
        <f>IF(NOT(ISNUMBER($A591)),NA(),IF(COUNT(OFFSET(G591,1,0,Settings!$B$12,1))&lt;Settings!$B$12,NA(),STDEV(OFFSET(G591,1,0,Settings!$B$12,1))*SQRT(Settings!$B$13)))</f>
        <v/>
      </c>
      <c r="O591" s="18">
        <f>IF(AND(ISNUMBER(E591),ISNUMBER(N591)),E591-N591,NA())</f>
        <v/>
      </c>
      <c r="P591" s="17">
        <f>IF(NOT(ISNUMBER($A591)),NA(),IF(OR($A591&lt;MIN(KW_TP!$A$2:$A$2501),$A591&gt;MAX(KW_TP!$A$2:$A$2501)),NA(),INDEX(KW_TP!$C$2:$C$2501,MATCH($A591,KW_TP!$A$2:$A$2501,1))))</f>
        <v/>
      </c>
    </row>
    <row r="592">
      <c r="A592" s="15">
        <f>IF(ISNUMBER(BBG_Data!A592),BBG_Data!A592,"")</f>
        <v/>
      </c>
      <c r="B592" s="16">
        <f>IF(AND(ISNUMBER($A592),ISNUMBER(BBG_Data!B592)),BBG_Data!B592,NA())</f>
        <v/>
      </c>
      <c r="C592" s="16">
        <f>IF(AND(ISNUMBER($A592),ISNUMBER(BBG_Data!C592)),BBG_Data!C592,NA())</f>
        <v/>
      </c>
      <c r="D592" s="17">
        <f>IF(AND(ISNUMBER($A592),ISNUMBER(BBG_Data!D592)),BBG_Data!D592,NA())</f>
        <v/>
      </c>
      <c r="E592" s="17">
        <f>IF(AND(ISNUMBER($A592),ISNUMBER(BBG_Data!E592)),BBG_Data!E592,NA())</f>
        <v/>
      </c>
      <c r="F592" s="18">
        <f>IF(AND(ISNUMBER(B592),ISNUMBER(B591)),(B592-B591)*100,"")</f>
        <v/>
      </c>
      <c r="G592" s="18">
        <f>IF(AND(ISNUMBER(C592),ISNUMBER(C591)),(C592-C591)*100,"")</f>
        <v/>
      </c>
      <c r="H592" s="18">
        <f>IF(OR(NOT(ISNUMBER($A592)),ROW()-2&lt;Settings!$B$11),NA(),IF(COUNT(OFFSET(F592,1-Settings!$B$11,0,Settings!$B$11,1))&lt;Settings!$B$11,NA(),STDEV(OFFSET(F592,1-Settings!$B$11,0,Settings!$B$11,1))*SQRT(Settings!$B$13)))</f>
        <v/>
      </c>
      <c r="I592" s="18">
        <f>IF(OR(NOT(ISNUMBER($A592)),ROW()-2&lt;Settings!$B$12),NA(),IF(COUNT(OFFSET(F592,1-Settings!$B$12,0,Settings!$B$12,1))&lt;Settings!$B$12,NA(),STDEV(OFFSET(F592,1-Settings!$B$12,0,Settings!$B$12,1))*SQRT(Settings!$B$13)))</f>
        <v/>
      </c>
      <c r="J592" s="18">
        <f>IF(OR(NOT(ISNUMBER($A592)),ROW()-2&lt;Settings!$B$11),NA(),IF(COUNT(OFFSET(G592,1-Settings!$B$11,0,Settings!$B$11,1))&lt;Settings!$B$11,NA(),STDEV(OFFSET(G592,1-Settings!$B$11,0,Settings!$B$11,1))*SQRT(Settings!$B$13)))</f>
        <v/>
      </c>
      <c r="K592" s="18">
        <f>IF(OR(NOT(ISNUMBER($A592)),ROW()-2&lt;Settings!$B$12),NA(),IF(COUNT(OFFSET(G592,1-Settings!$B$12,0,Settings!$B$12,1))&lt;Settings!$B$12,NA(),STDEV(OFFSET(G592,1-Settings!$B$12,0,Settings!$B$12,1))*SQRT(Settings!$B$13)))</f>
        <v/>
      </c>
      <c r="L592" s="18">
        <f>IF(AND(ISNUMBER(D592),ISNUMBER(H592)),D592-H592,NA())</f>
        <v/>
      </c>
      <c r="M592" s="18">
        <f>IF(AND(ISNUMBER(E592),ISNUMBER(K592)),E592-K592,NA())</f>
        <v/>
      </c>
      <c r="N592" s="18">
        <f>IF(NOT(ISNUMBER($A592)),NA(),IF(COUNT(OFFSET(G592,1,0,Settings!$B$12,1))&lt;Settings!$B$12,NA(),STDEV(OFFSET(G592,1,0,Settings!$B$12,1))*SQRT(Settings!$B$13)))</f>
        <v/>
      </c>
      <c r="O592" s="18">
        <f>IF(AND(ISNUMBER(E592),ISNUMBER(N592)),E592-N592,NA())</f>
        <v/>
      </c>
      <c r="P592" s="17">
        <f>IF(NOT(ISNUMBER($A592)),NA(),IF(OR($A592&lt;MIN(KW_TP!$A$2:$A$2501),$A592&gt;MAX(KW_TP!$A$2:$A$2501)),NA(),INDEX(KW_TP!$C$2:$C$2501,MATCH($A592,KW_TP!$A$2:$A$2501,1))))</f>
        <v/>
      </c>
    </row>
    <row r="593">
      <c r="A593" s="15">
        <f>IF(ISNUMBER(BBG_Data!A593),BBG_Data!A593,"")</f>
        <v/>
      </c>
      <c r="B593" s="16">
        <f>IF(AND(ISNUMBER($A593),ISNUMBER(BBG_Data!B593)),BBG_Data!B593,NA())</f>
        <v/>
      </c>
      <c r="C593" s="16">
        <f>IF(AND(ISNUMBER($A593),ISNUMBER(BBG_Data!C593)),BBG_Data!C593,NA())</f>
        <v/>
      </c>
      <c r="D593" s="17">
        <f>IF(AND(ISNUMBER($A593),ISNUMBER(BBG_Data!D593)),BBG_Data!D593,NA())</f>
        <v/>
      </c>
      <c r="E593" s="17">
        <f>IF(AND(ISNUMBER($A593),ISNUMBER(BBG_Data!E593)),BBG_Data!E593,NA())</f>
        <v/>
      </c>
      <c r="F593" s="18">
        <f>IF(AND(ISNUMBER(B593),ISNUMBER(B592)),(B593-B592)*100,"")</f>
        <v/>
      </c>
      <c r="G593" s="18">
        <f>IF(AND(ISNUMBER(C593),ISNUMBER(C592)),(C593-C592)*100,"")</f>
        <v/>
      </c>
      <c r="H593" s="18">
        <f>IF(OR(NOT(ISNUMBER($A593)),ROW()-2&lt;Settings!$B$11),NA(),IF(COUNT(OFFSET(F593,1-Settings!$B$11,0,Settings!$B$11,1))&lt;Settings!$B$11,NA(),STDEV(OFFSET(F593,1-Settings!$B$11,0,Settings!$B$11,1))*SQRT(Settings!$B$13)))</f>
        <v/>
      </c>
      <c r="I593" s="18">
        <f>IF(OR(NOT(ISNUMBER($A593)),ROW()-2&lt;Settings!$B$12),NA(),IF(COUNT(OFFSET(F593,1-Settings!$B$12,0,Settings!$B$12,1))&lt;Settings!$B$12,NA(),STDEV(OFFSET(F593,1-Settings!$B$12,0,Settings!$B$12,1))*SQRT(Settings!$B$13)))</f>
        <v/>
      </c>
      <c r="J593" s="18">
        <f>IF(OR(NOT(ISNUMBER($A593)),ROW()-2&lt;Settings!$B$11),NA(),IF(COUNT(OFFSET(G593,1-Settings!$B$11,0,Settings!$B$11,1))&lt;Settings!$B$11,NA(),STDEV(OFFSET(G593,1-Settings!$B$11,0,Settings!$B$11,1))*SQRT(Settings!$B$13)))</f>
        <v/>
      </c>
      <c r="K593" s="18">
        <f>IF(OR(NOT(ISNUMBER($A593)),ROW()-2&lt;Settings!$B$12),NA(),IF(COUNT(OFFSET(G593,1-Settings!$B$12,0,Settings!$B$12,1))&lt;Settings!$B$12,NA(),STDEV(OFFSET(G593,1-Settings!$B$12,0,Settings!$B$12,1))*SQRT(Settings!$B$13)))</f>
        <v/>
      </c>
      <c r="L593" s="18">
        <f>IF(AND(ISNUMBER(D593),ISNUMBER(H593)),D593-H593,NA())</f>
        <v/>
      </c>
      <c r="M593" s="18">
        <f>IF(AND(ISNUMBER(E593),ISNUMBER(K593)),E593-K593,NA())</f>
        <v/>
      </c>
      <c r="N593" s="18">
        <f>IF(NOT(ISNUMBER($A593)),NA(),IF(COUNT(OFFSET(G593,1,0,Settings!$B$12,1))&lt;Settings!$B$12,NA(),STDEV(OFFSET(G593,1,0,Settings!$B$12,1))*SQRT(Settings!$B$13)))</f>
        <v/>
      </c>
      <c r="O593" s="18">
        <f>IF(AND(ISNUMBER(E593),ISNUMBER(N593)),E593-N593,NA())</f>
        <v/>
      </c>
      <c r="P593" s="17">
        <f>IF(NOT(ISNUMBER($A593)),NA(),IF(OR($A593&lt;MIN(KW_TP!$A$2:$A$2501),$A593&gt;MAX(KW_TP!$A$2:$A$2501)),NA(),INDEX(KW_TP!$C$2:$C$2501,MATCH($A593,KW_TP!$A$2:$A$2501,1))))</f>
        <v/>
      </c>
    </row>
    <row r="594">
      <c r="A594" s="15">
        <f>IF(ISNUMBER(BBG_Data!A594),BBG_Data!A594,"")</f>
        <v/>
      </c>
      <c r="B594" s="16">
        <f>IF(AND(ISNUMBER($A594),ISNUMBER(BBG_Data!B594)),BBG_Data!B594,NA())</f>
        <v/>
      </c>
      <c r="C594" s="16">
        <f>IF(AND(ISNUMBER($A594),ISNUMBER(BBG_Data!C594)),BBG_Data!C594,NA())</f>
        <v/>
      </c>
      <c r="D594" s="17">
        <f>IF(AND(ISNUMBER($A594),ISNUMBER(BBG_Data!D594)),BBG_Data!D594,NA())</f>
        <v/>
      </c>
      <c r="E594" s="17">
        <f>IF(AND(ISNUMBER($A594),ISNUMBER(BBG_Data!E594)),BBG_Data!E594,NA())</f>
        <v/>
      </c>
      <c r="F594" s="18">
        <f>IF(AND(ISNUMBER(B594),ISNUMBER(B593)),(B594-B593)*100,"")</f>
        <v/>
      </c>
      <c r="G594" s="18">
        <f>IF(AND(ISNUMBER(C594),ISNUMBER(C593)),(C594-C593)*100,"")</f>
        <v/>
      </c>
      <c r="H594" s="18">
        <f>IF(OR(NOT(ISNUMBER($A594)),ROW()-2&lt;Settings!$B$11),NA(),IF(COUNT(OFFSET(F594,1-Settings!$B$11,0,Settings!$B$11,1))&lt;Settings!$B$11,NA(),STDEV(OFFSET(F594,1-Settings!$B$11,0,Settings!$B$11,1))*SQRT(Settings!$B$13)))</f>
        <v/>
      </c>
      <c r="I594" s="18">
        <f>IF(OR(NOT(ISNUMBER($A594)),ROW()-2&lt;Settings!$B$12),NA(),IF(COUNT(OFFSET(F594,1-Settings!$B$12,0,Settings!$B$12,1))&lt;Settings!$B$12,NA(),STDEV(OFFSET(F594,1-Settings!$B$12,0,Settings!$B$12,1))*SQRT(Settings!$B$13)))</f>
        <v/>
      </c>
      <c r="J594" s="18">
        <f>IF(OR(NOT(ISNUMBER($A594)),ROW()-2&lt;Settings!$B$11),NA(),IF(COUNT(OFFSET(G594,1-Settings!$B$11,0,Settings!$B$11,1))&lt;Settings!$B$11,NA(),STDEV(OFFSET(G594,1-Settings!$B$11,0,Settings!$B$11,1))*SQRT(Settings!$B$13)))</f>
        <v/>
      </c>
      <c r="K594" s="18">
        <f>IF(OR(NOT(ISNUMBER($A594)),ROW()-2&lt;Settings!$B$12),NA(),IF(COUNT(OFFSET(G594,1-Settings!$B$12,0,Settings!$B$12,1))&lt;Settings!$B$12,NA(),STDEV(OFFSET(G594,1-Settings!$B$12,0,Settings!$B$12,1))*SQRT(Settings!$B$13)))</f>
        <v/>
      </c>
      <c r="L594" s="18">
        <f>IF(AND(ISNUMBER(D594),ISNUMBER(H594)),D594-H594,NA())</f>
        <v/>
      </c>
      <c r="M594" s="18">
        <f>IF(AND(ISNUMBER(E594),ISNUMBER(K594)),E594-K594,NA())</f>
        <v/>
      </c>
      <c r="N594" s="18">
        <f>IF(NOT(ISNUMBER($A594)),NA(),IF(COUNT(OFFSET(G594,1,0,Settings!$B$12,1))&lt;Settings!$B$12,NA(),STDEV(OFFSET(G594,1,0,Settings!$B$12,1))*SQRT(Settings!$B$13)))</f>
        <v/>
      </c>
      <c r="O594" s="18">
        <f>IF(AND(ISNUMBER(E594),ISNUMBER(N594)),E594-N594,NA())</f>
        <v/>
      </c>
      <c r="P594" s="17">
        <f>IF(NOT(ISNUMBER($A594)),NA(),IF(OR($A594&lt;MIN(KW_TP!$A$2:$A$2501),$A594&gt;MAX(KW_TP!$A$2:$A$2501)),NA(),INDEX(KW_TP!$C$2:$C$2501,MATCH($A594,KW_TP!$A$2:$A$2501,1))))</f>
        <v/>
      </c>
    </row>
    <row r="595">
      <c r="A595" s="15">
        <f>IF(ISNUMBER(BBG_Data!A595),BBG_Data!A595,"")</f>
        <v/>
      </c>
      <c r="B595" s="16">
        <f>IF(AND(ISNUMBER($A595),ISNUMBER(BBG_Data!B595)),BBG_Data!B595,NA())</f>
        <v/>
      </c>
      <c r="C595" s="16">
        <f>IF(AND(ISNUMBER($A595),ISNUMBER(BBG_Data!C595)),BBG_Data!C595,NA())</f>
        <v/>
      </c>
      <c r="D595" s="17">
        <f>IF(AND(ISNUMBER($A595),ISNUMBER(BBG_Data!D595)),BBG_Data!D595,NA())</f>
        <v/>
      </c>
      <c r="E595" s="17">
        <f>IF(AND(ISNUMBER($A595),ISNUMBER(BBG_Data!E595)),BBG_Data!E595,NA())</f>
        <v/>
      </c>
      <c r="F595" s="18">
        <f>IF(AND(ISNUMBER(B595),ISNUMBER(B594)),(B595-B594)*100,"")</f>
        <v/>
      </c>
      <c r="G595" s="18">
        <f>IF(AND(ISNUMBER(C595),ISNUMBER(C594)),(C595-C594)*100,"")</f>
        <v/>
      </c>
      <c r="H595" s="18">
        <f>IF(OR(NOT(ISNUMBER($A595)),ROW()-2&lt;Settings!$B$11),NA(),IF(COUNT(OFFSET(F595,1-Settings!$B$11,0,Settings!$B$11,1))&lt;Settings!$B$11,NA(),STDEV(OFFSET(F595,1-Settings!$B$11,0,Settings!$B$11,1))*SQRT(Settings!$B$13)))</f>
        <v/>
      </c>
      <c r="I595" s="18">
        <f>IF(OR(NOT(ISNUMBER($A595)),ROW()-2&lt;Settings!$B$12),NA(),IF(COUNT(OFFSET(F595,1-Settings!$B$12,0,Settings!$B$12,1))&lt;Settings!$B$12,NA(),STDEV(OFFSET(F595,1-Settings!$B$12,0,Settings!$B$12,1))*SQRT(Settings!$B$13)))</f>
        <v/>
      </c>
      <c r="J595" s="18">
        <f>IF(OR(NOT(ISNUMBER($A595)),ROW()-2&lt;Settings!$B$11),NA(),IF(COUNT(OFFSET(G595,1-Settings!$B$11,0,Settings!$B$11,1))&lt;Settings!$B$11,NA(),STDEV(OFFSET(G595,1-Settings!$B$11,0,Settings!$B$11,1))*SQRT(Settings!$B$13)))</f>
        <v/>
      </c>
      <c r="K595" s="18">
        <f>IF(OR(NOT(ISNUMBER($A595)),ROW()-2&lt;Settings!$B$12),NA(),IF(COUNT(OFFSET(G595,1-Settings!$B$12,0,Settings!$B$12,1))&lt;Settings!$B$12,NA(),STDEV(OFFSET(G595,1-Settings!$B$12,0,Settings!$B$12,1))*SQRT(Settings!$B$13)))</f>
        <v/>
      </c>
      <c r="L595" s="18">
        <f>IF(AND(ISNUMBER(D595),ISNUMBER(H595)),D595-H595,NA())</f>
        <v/>
      </c>
      <c r="M595" s="18">
        <f>IF(AND(ISNUMBER(E595),ISNUMBER(K595)),E595-K595,NA())</f>
        <v/>
      </c>
      <c r="N595" s="18">
        <f>IF(NOT(ISNUMBER($A595)),NA(),IF(COUNT(OFFSET(G595,1,0,Settings!$B$12,1))&lt;Settings!$B$12,NA(),STDEV(OFFSET(G595,1,0,Settings!$B$12,1))*SQRT(Settings!$B$13)))</f>
        <v/>
      </c>
      <c r="O595" s="18">
        <f>IF(AND(ISNUMBER(E595),ISNUMBER(N595)),E595-N595,NA())</f>
        <v/>
      </c>
      <c r="P595" s="17">
        <f>IF(NOT(ISNUMBER($A595)),NA(),IF(OR($A595&lt;MIN(KW_TP!$A$2:$A$2501),$A595&gt;MAX(KW_TP!$A$2:$A$2501)),NA(),INDEX(KW_TP!$C$2:$C$2501,MATCH($A595,KW_TP!$A$2:$A$2501,1))))</f>
        <v/>
      </c>
    </row>
    <row r="596">
      <c r="A596" s="15">
        <f>IF(ISNUMBER(BBG_Data!A596),BBG_Data!A596,"")</f>
        <v/>
      </c>
      <c r="B596" s="16">
        <f>IF(AND(ISNUMBER($A596),ISNUMBER(BBG_Data!B596)),BBG_Data!B596,NA())</f>
        <v/>
      </c>
      <c r="C596" s="16">
        <f>IF(AND(ISNUMBER($A596),ISNUMBER(BBG_Data!C596)),BBG_Data!C596,NA())</f>
        <v/>
      </c>
      <c r="D596" s="17">
        <f>IF(AND(ISNUMBER($A596),ISNUMBER(BBG_Data!D596)),BBG_Data!D596,NA())</f>
        <v/>
      </c>
      <c r="E596" s="17">
        <f>IF(AND(ISNUMBER($A596),ISNUMBER(BBG_Data!E596)),BBG_Data!E596,NA())</f>
        <v/>
      </c>
      <c r="F596" s="18">
        <f>IF(AND(ISNUMBER(B596),ISNUMBER(B595)),(B596-B595)*100,"")</f>
        <v/>
      </c>
      <c r="G596" s="18">
        <f>IF(AND(ISNUMBER(C596),ISNUMBER(C595)),(C596-C595)*100,"")</f>
        <v/>
      </c>
      <c r="H596" s="18">
        <f>IF(OR(NOT(ISNUMBER($A596)),ROW()-2&lt;Settings!$B$11),NA(),IF(COUNT(OFFSET(F596,1-Settings!$B$11,0,Settings!$B$11,1))&lt;Settings!$B$11,NA(),STDEV(OFFSET(F596,1-Settings!$B$11,0,Settings!$B$11,1))*SQRT(Settings!$B$13)))</f>
        <v/>
      </c>
      <c r="I596" s="18">
        <f>IF(OR(NOT(ISNUMBER($A596)),ROW()-2&lt;Settings!$B$12),NA(),IF(COUNT(OFFSET(F596,1-Settings!$B$12,0,Settings!$B$12,1))&lt;Settings!$B$12,NA(),STDEV(OFFSET(F596,1-Settings!$B$12,0,Settings!$B$12,1))*SQRT(Settings!$B$13)))</f>
        <v/>
      </c>
      <c r="J596" s="18">
        <f>IF(OR(NOT(ISNUMBER($A596)),ROW()-2&lt;Settings!$B$11),NA(),IF(COUNT(OFFSET(G596,1-Settings!$B$11,0,Settings!$B$11,1))&lt;Settings!$B$11,NA(),STDEV(OFFSET(G596,1-Settings!$B$11,0,Settings!$B$11,1))*SQRT(Settings!$B$13)))</f>
        <v/>
      </c>
      <c r="K596" s="18">
        <f>IF(OR(NOT(ISNUMBER($A596)),ROW()-2&lt;Settings!$B$12),NA(),IF(COUNT(OFFSET(G596,1-Settings!$B$12,0,Settings!$B$12,1))&lt;Settings!$B$12,NA(),STDEV(OFFSET(G596,1-Settings!$B$12,0,Settings!$B$12,1))*SQRT(Settings!$B$13)))</f>
        <v/>
      </c>
      <c r="L596" s="18">
        <f>IF(AND(ISNUMBER(D596),ISNUMBER(H596)),D596-H596,NA())</f>
        <v/>
      </c>
      <c r="M596" s="18">
        <f>IF(AND(ISNUMBER(E596),ISNUMBER(K596)),E596-K596,NA())</f>
        <v/>
      </c>
      <c r="N596" s="18">
        <f>IF(NOT(ISNUMBER($A596)),NA(),IF(COUNT(OFFSET(G596,1,0,Settings!$B$12,1))&lt;Settings!$B$12,NA(),STDEV(OFFSET(G596,1,0,Settings!$B$12,1))*SQRT(Settings!$B$13)))</f>
        <v/>
      </c>
      <c r="O596" s="18">
        <f>IF(AND(ISNUMBER(E596),ISNUMBER(N596)),E596-N596,NA())</f>
        <v/>
      </c>
      <c r="P596" s="17">
        <f>IF(NOT(ISNUMBER($A596)),NA(),IF(OR($A596&lt;MIN(KW_TP!$A$2:$A$2501),$A596&gt;MAX(KW_TP!$A$2:$A$2501)),NA(),INDEX(KW_TP!$C$2:$C$2501,MATCH($A596,KW_TP!$A$2:$A$2501,1))))</f>
        <v/>
      </c>
    </row>
    <row r="597">
      <c r="A597" s="15">
        <f>IF(ISNUMBER(BBG_Data!A597),BBG_Data!A597,"")</f>
        <v/>
      </c>
      <c r="B597" s="16">
        <f>IF(AND(ISNUMBER($A597),ISNUMBER(BBG_Data!B597)),BBG_Data!B597,NA())</f>
        <v/>
      </c>
      <c r="C597" s="16">
        <f>IF(AND(ISNUMBER($A597),ISNUMBER(BBG_Data!C597)),BBG_Data!C597,NA())</f>
        <v/>
      </c>
      <c r="D597" s="17">
        <f>IF(AND(ISNUMBER($A597),ISNUMBER(BBG_Data!D597)),BBG_Data!D597,NA())</f>
        <v/>
      </c>
      <c r="E597" s="17">
        <f>IF(AND(ISNUMBER($A597),ISNUMBER(BBG_Data!E597)),BBG_Data!E597,NA())</f>
        <v/>
      </c>
      <c r="F597" s="18">
        <f>IF(AND(ISNUMBER(B597),ISNUMBER(B596)),(B597-B596)*100,"")</f>
        <v/>
      </c>
      <c r="G597" s="18">
        <f>IF(AND(ISNUMBER(C597),ISNUMBER(C596)),(C597-C596)*100,"")</f>
        <v/>
      </c>
      <c r="H597" s="18">
        <f>IF(OR(NOT(ISNUMBER($A597)),ROW()-2&lt;Settings!$B$11),NA(),IF(COUNT(OFFSET(F597,1-Settings!$B$11,0,Settings!$B$11,1))&lt;Settings!$B$11,NA(),STDEV(OFFSET(F597,1-Settings!$B$11,0,Settings!$B$11,1))*SQRT(Settings!$B$13)))</f>
        <v/>
      </c>
      <c r="I597" s="18">
        <f>IF(OR(NOT(ISNUMBER($A597)),ROW()-2&lt;Settings!$B$12),NA(),IF(COUNT(OFFSET(F597,1-Settings!$B$12,0,Settings!$B$12,1))&lt;Settings!$B$12,NA(),STDEV(OFFSET(F597,1-Settings!$B$12,0,Settings!$B$12,1))*SQRT(Settings!$B$13)))</f>
        <v/>
      </c>
      <c r="J597" s="18">
        <f>IF(OR(NOT(ISNUMBER($A597)),ROW()-2&lt;Settings!$B$11),NA(),IF(COUNT(OFFSET(G597,1-Settings!$B$11,0,Settings!$B$11,1))&lt;Settings!$B$11,NA(),STDEV(OFFSET(G597,1-Settings!$B$11,0,Settings!$B$11,1))*SQRT(Settings!$B$13)))</f>
        <v/>
      </c>
      <c r="K597" s="18">
        <f>IF(OR(NOT(ISNUMBER($A597)),ROW()-2&lt;Settings!$B$12),NA(),IF(COUNT(OFFSET(G597,1-Settings!$B$12,0,Settings!$B$12,1))&lt;Settings!$B$12,NA(),STDEV(OFFSET(G597,1-Settings!$B$12,0,Settings!$B$12,1))*SQRT(Settings!$B$13)))</f>
        <v/>
      </c>
      <c r="L597" s="18">
        <f>IF(AND(ISNUMBER(D597),ISNUMBER(H597)),D597-H597,NA())</f>
        <v/>
      </c>
      <c r="M597" s="18">
        <f>IF(AND(ISNUMBER(E597),ISNUMBER(K597)),E597-K597,NA())</f>
        <v/>
      </c>
      <c r="N597" s="18">
        <f>IF(NOT(ISNUMBER($A597)),NA(),IF(COUNT(OFFSET(G597,1,0,Settings!$B$12,1))&lt;Settings!$B$12,NA(),STDEV(OFFSET(G597,1,0,Settings!$B$12,1))*SQRT(Settings!$B$13)))</f>
        <v/>
      </c>
      <c r="O597" s="18">
        <f>IF(AND(ISNUMBER(E597),ISNUMBER(N597)),E597-N597,NA())</f>
        <v/>
      </c>
      <c r="P597" s="17">
        <f>IF(NOT(ISNUMBER($A597)),NA(),IF(OR($A597&lt;MIN(KW_TP!$A$2:$A$2501),$A597&gt;MAX(KW_TP!$A$2:$A$2501)),NA(),INDEX(KW_TP!$C$2:$C$2501,MATCH($A597,KW_TP!$A$2:$A$2501,1))))</f>
        <v/>
      </c>
    </row>
    <row r="598">
      <c r="A598" s="15">
        <f>IF(ISNUMBER(BBG_Data!A598),BBG_Data!A598,"")</f>
        <v/>
      </c>
      <c r="B598" s="16">
        <f>IF(AND(ISNUMBER($A598),ISNUMBER(BBG_Data!B598)),BBG_Data!B598,NA())</f>
        <v/>
      </c>
      <c r="C598" s="16">
        <f>IF(AND(ISNUMBER($A598),ISNUMBER(BBG_Data!C598)),BBG_Data!C598,NA())</f>
        <v/>
      </c>
      <c r="D598" s="17">
        <f>IF(AND(ISNUMBER($A598),ISNUMBER(BBG_Data!D598)),BBG_Data!D598,NA())</f>
        <v/>
      </c>
      <c r="E598" s="17">
        <f>IF(AND(ISNUMBER($A598),ISNUMBER(BBG_Data!E598)),BBG_Data!E598,NA())</f>
        <v/>
      </c>
      <c r="F598" s="18">
        <f>IF(AND(ISNUMBER(B598),ISNUMBER(B597)),(B598-B597)*100,"")</f>
        <v/>
      </c>
      <c r="G598" s="18">
        <f>IF(AND(ISNUMBER(C598),ISNUMBER(C597)),(C598-C597)*100,"")</f>
        <v/>
      </c>
      <c r="H598" s="18">
        <f>IF(OR(NOT(ISNUMBER($A598)),ROW()-2&lt;Settings!$B$11),NA(),IF(COUNT(OFFSET(F598,1-Settings!$B$11,0,Settings!$B$11,1))&lt;Settings!$B$11,NA(),STDEV(OFFSET(F598,1-Settings!$B$11,0,Settings!$B$11,1))*SQRT(Settings!$B$13)))</f>
        <v/>
      </c>
      <c r="I598" s="18">
        <f>IF(OR(NOT(ISNUMBER($A598)),ROW()-2&lt;Settings!$B$12),NA(),IF(COUNT(OFFSET(F598,1-Settings!$B$12,0,Settings!$B$12,1))&lt;Settings!$B$12,NA(),STDEV(OFFSET(F598,1-Settings!$B$12,0,Settings!$B$12,1))*SQRT(Settings!$B$13)))</f>
        <v/>
      </c>
      <c r="J598" s="18">
        <f>IF(OR(NOT(ISNUMBER($A598)),ROW()-2&lt;Settings!$B$11),NA(),IF(COUNT(OFFSET(G598,1-Settings!$B$11,0,Settings!$B$11,1))&lt;Settings!$B$11,NA(),STDEV(OFFSET(G598,1-Settings!$B$11,0,Settings!$B$11,1))*SQRT(Settings!$B$13)))</f>
        <v/>
      </c>
      <c r="K598" s="18">
        <f>IF(OR(NOT(ISNUMBER($A598)),ROW()-2&lt;Settings!$B$12),NA(),IF(COUNT(OFFSET(G598,1-Settings!$B$12,0,Settings!$B$12,1))&lt;Settings!$B$12,NA(),STDEV(OFFSET(G598,1-Settings!$B$12,0,Settings!$B$12,1))*SQRT(Settings!$B$13)))</f>
        <v/>
      </c>
      <c r="L598" s="18">
        <f>IF(AND(ISNUMBER(D598),ISNUMBER(H598)),D598-H598,NA())</f>
        <v/>
      </c>
      <c r="M598" s="18">
        <f>IF(AND(ISNUMBER(E598),ISNUMBER(K598)),E598-K598,NA())</f>
        <v/>
      </c>
      <c r="N598" s="18">
        <f>IF(NOT(ISNUMBER($A598)),NA(),IF(COUNT(OFFSET(G598,1,0,Settings!$B$12,1))&lt;Settings!$B$12,NA(),STDEV(OFFSET(G598,1,0,Settings!$B$12,1))*SQRT(Settings!$B$13)))</f>
        <v/>
      </c>
      <c r="O598" s="18">
        <f>IF(AND(ISNUMBER(E598),ISNUMBER(N598)),E598-N598,NA())</f>
        <v/>
      </c>
      <c r="P598" s="17">
        <f>IF(NOT(ISNUMBER($A598)),NA(),IF(OR($A598&lt;MIN(KW_TP!$A$2:$A$2501),$A598&gt;MAX(KW_TP!$A$2:$A$2501)),NA(),INDEX(KW_TP!$C$2:$C$2501,MATCH($A598,KW_TP!$A$2:$A$2501,1))))</f>
        <v/>
      </c>
    </row>
    <row r="599">
      <c r="A599" s="15">
        <f>IF(ISNUMBER(BBG_Data!A599),BBG_Data!A599,"")</f>
        <v/>
      </c>
      <c r="B599" s="16">
        <f>IF(AND(ISNUMBER($A599),ISNUMBER(BBG_Data!B599)),BBG_Data!B599,NA())</f>
        <v/>
      </c>
      <c r="C599" s="16">
        <f>IF(AND(ISNUMBER($A599),ISNUMBER(BBG_Data!C599)),BBG_Data!C599,NA())</f>
        <v/>
      </c>
      <c r="D599" s="17">
        <f>IF(AND(ISNUMBER($A599),ISNUMBER(BBG_Data!D599)),BBG_Data!D599,NA())</f>
        <v/>
      </c>
      <c r="E599" s="17">
        <f>IF(AND(ISNUMBER($A599),ISNUMBER(BBG_Data!E599)),BBG_Data!E599,NA())</f>
        <v/>
      </c>
      <c r="F599" s="18">
        <f>IF(AND(ISNUMBER(B599),ISNUMBER(B598)),(B599-B598)*100,"")</f>
        <v/>
      </c>
      <c r="G599" s="18">
        <f>IF(AND(ISNUMBER(C599),ISNUMBER(C598)),(C599-C598)*100,"")</f>
        <v/>
      </c>
      <c r="H599" s="18">
        <f>IF(OR(NOT(ISNUMBER($A599)),ROW()-2&lt;Settings!$B$11),NA(),IF(COUNT(OFFSET(F599,1-Settings!$B$11,0,Settings!$B$11,1))&lt;Settings!$B$11,NA(),STDEV(OFFSET(F599,1-Settings!$B$11,0,Settings!$B$11,1))*SQRT(Settings!$B$13)))</f>
        <v/>
      </c>
      <c r="I599" s="18">
        <f>IF(OR(NOT(ISNUMBER($A599)),ROW()-2&lt;Settings!$B$12),NA(),IF(COUNT(OFFSET(F599,1-Settings!$B$12,0,Settings!$B$12,1))&lt;Settings!$B$12,NA(),STDEV(OFFSET(F599,1-Settings!$B$12,0,Settings!$B$12,1))*SQRT(Settings!$B$13)))</f>
        <v/>
      </c>
      <c r="J599" s="18">
        <f>IF(OR(NOT(ISNUMBER($A599)),ROW()-2&lt;Settings!$B$11),NA(),IF(COUNT(OFFSET(G599,1-Settings!$B$11,0,Settings!$B$11,1))&lt;Settings!$B$11,NA(),STDEV(OFFSET(G599,1-Settings!$B$11,0,Settings!$B$11,1))*SQRT(Settings!$B$13)))</f>
        <v/>
      </c>
      <c r="K599" s="18">
        <f>IF(OR(NOT(ISNUMBER($A599)),ROW()-2&lt;Settings!$B$12),NA(),IF(COUNT(OFFSET(G599,1-Settings!$B$12,0,Settings!$B$12,1))&lt;Settings!$B$12,NA(),STDEV(OFFSET(G599,1-Settings!$B$12,0,Settings!$B$12,1))*SQRT(Settings!$B$13)))</f>
        <v/>
      </c>
      <c r="L599" s="18">
        <f>IF(AND(ISNUMBER(D599),ISNUMBER(H599)),D599-H599,NA())</f>
        <v/>
      </c>
      <c r="M599" s="18">
        <f>IF(AND(ISNUMBER(E599),ISNUMBER(K599)),E599-K599,NA())</f>
        <v/>
      </c>
      <c r="N599" s="18">
        <f>IF(NOT(ISNUMBER($A599)),NA(),IF(COUNT(OFFSET(G599,1,0,Settings!$B$12,1))&lt;Settings!$B$12,NA(),STDEV(OFFSET(G599,1,0,Settings!$B$12,1))*SQRT(Settings!$B$13)))</f>
        <v/>
      </c>
      <c r="O599" s="18">
        <f>IF(AND(ISNUMBER(E599),ISNUMBER(N599)),E599-N599,NA())</f>
        <v/>
      </c>
      <c r="P599" s="17">
        <f>IF(NOT(ISNUMBER($A599)),NA(),IF(OR($A599&lt;MIN(KW_TP!$A$2:$A$2501),$A599&gt;MAX(KW_TP!$A$2:$A$2501)),NA(),INDEX(KW_TP!$C$2:$C$2501,MATCH($A599,KW_TP!$A$2:$A$2501,1))))</f>
        <v/>
      </c>
    </row>
    <row r="600">
      <c r="A600" s="15">
        <f>IF(ISNUMBER(BBG_Data!A600),BBG_Data!A600,"")</f>
        <v/>
      </c>
      <c r="B600" s="16">
        <f>IF(AND(ISNUMBER($A600),ISNUMBER(BBG_Data!B600)),BBG_Data!B600,NA())</f>
        <v/>
      </c>
      <c r="C600" s="16">
        <f>IF(AND(ISNUMBER($A600),ISNUMBER(BBG_Data!C600)),BBG_Data!C600,NA())</f>
        <v/>
      </c>
      <c r="D600" s="17">
        <f>IF(AND(ISNUMBER($A600),ISNUMBER(BBG_Data!D600)),BBG_Data!D600,NA())</f>
        <v/>
      </c>
      <c r="E600" s="17">
        <f>IF(AND(ISNUMBER($A600),ISNUMBER(BBG_Data!E600)),BBG_Data!E600,NA())</f>
        <v/>
      </c>
      <c r="F600" s="18">
        <f>IF(AND(ISNUMBER(B600),ISNUMBER(B599)),(B600-B599)*100,"")</f>
        <v/>
      </c>
      <c r="G600" s="18">
        <f>IF(AND(ISNUMBER(C600),ISNUMBER(C599)),(C600-C599)*100,"")</f>
        <v/>
      </c>
      <c r="H600" s="18">
        <f>IF(OR(NOT(ISNUMBER($A600)),ROW()-2&lt;Settings!$B$11),NA(),IF(COUNT(OFFSET(F600,1-Settings!$B$11,0,Settings!$B$11,1))&lt;Settings!$B$11,NA(),STDEV(OFFSET(F600,1-Settings!$B$11,0,Settings!$B$11,1))*SQRT(Settings!$B$13)))</f>
        <v/>
      </c>
      <c r="I600" s="18">
        <f>IF(OR(NOT(ISNUMBER($A600)),ROW()-2&lt;Settings!$B$12),NA(),IF(COUNT(OFFSET(F600,1-Settings!$B$12,0,Settings!$B$12,1))&lt;Settings!$B$12,NA(),STDEV(OFFSET(F600,1-Settings!$B$12,0,Settings!$B$12,1))*SQRT(Settings!$B$13)))</f>
        <v/>
      </c>
      <c r="J600" s="18">
        <f>IF(OR(NOT(ISNUMBER($A600)),ROW()-2&lt;Settings!$B$11),NA(),IF(COUNT(OFFSET(G600,1-Settings!$B$11,0,Settings!$B$11,1))&lt;Settings!$B$11,NA(),STDEV(OFFSET(G600,1-Settings!$B$11,0,Settings!$B$11,1))*SQRT(Settings!$B$13)))</f>
        <v/>
      </c>
      <c r="K600" s="18">
        <f>IF(OR(NOT(ISNUMBER($A600)),ROW()-2&lt;Settings!$B$12),NA(),IF(COUNT(OFFSET(G600,1-Settings!$B$12,0,Settings!$B$12,1))&lt;Settings!$B$12,NA(),STDEV(OFFSET(G600,1-Settings!$B$12,0,Settings!$B$12,1))*SQRT(Settings!$B$13)))</f>
        <v/>
      </c>
      <c r="L600" s="18">
        <f>IF(AND(ISNUMBER(D600),ISNUMBER(H600)),D600-H600,NA())</f>
        <v/>
      </c>
      <c r="M600" s="18">
        <f>IF(AND(ISNUMBER(E600),ISNUMBER(K600)),E600-K600,NA())</f>
        <v/>
      </c>
      <c r="N600" s="18">
        <f>IF(NOT(ISNUMBER($A600)),NA(),IF(COUNT(OFFSET(G600,1,0,Settings!$B$12,1))&lt;Settings!$B$12,NA(),STDEV(OFFSET(G600,1,0,Settings!$B$12,1))*SQRT(Settings!$B$13)))</f>
        <v/>
      </c>
      <c r="O600" s="18">
        <f>IF(AND(ISNUMBER(E600),ISNUMBER(N600)),E600-N600,NA())</f>
        <v/>
      </c>
      <c r="P600" s="17">
        <f>IF(NOT(ISNUMBER($A600)),NA(),IF(OR($A600&lt;MIN(KW_TP!$A$2:$A$2501),$A600&gt;MAX(KW_TP!$A$2:$A$2501)),NA(),INDEX(KW_TP!$C$2:$C$2501,MATCH($A600,KW_TP!$A$2:$A$2501,1))))</f>
        <v/>
      </c>
    </row>
    <row r="601">
      <c r="A601" s="15">
        <f>IF(ISNUMBER(BBG_Data!A601),BBG_Data!A601,"")</f>
        <v/>
      </c>
      <c r="B601" s="16">
        <f>IF(AND(ISNUMBER($A601),ISNUMBER(BBG_Data!B601)),BBG_Data!B601,NA())</f>
        <v/>
      </c>
      <c r="C601" s="16">
        <f>IF(AND(ISNUMBER($A601),ISNUMBER(BBG_Data!C601)),BBG_Data!C601,NA())</f>
        <v/>
      </c>
      <c r="D601" s="17">
        <f>IF(AND(ISNUMBER($A601),ISNUMBER(BBG_Data!D601)),BBG_Data!D601,NA())</f>
        <v/>
      </c>
      <c r="E601" s="17">
        <f>IF(AND(ISNUMBER($A601),ISNUMBER(BBG_Data!E601)),BBG_Data!E601,NA())</f>
        <v/>
      </c>
      <c r="F601" s="18">
        <f>IF(AND(ISNUMBER(B601),ISNUMBER(B600)),(B601-B600)*100,"")</f>
        <v/>
      </c>
      <c r="G601" s="18">
        <f>IF(AND(ISNUMBER(C601),ISNUMBER(C600)),(C601-C600)*100,"")</f>
        <v/>
      </c>
      <c r="H601" s="18">
        <f>IF(OR(NOT(ISNUMBER($A601)),ROW()-2&lt;Settings!$B$11),NA(),IF(COUNT(OFFSET(F601,1-Settings!$B$11,0,Settings!$B$11,1))&lt;Settings!$B$11,NA(),STDEV(OFFSET(F601,1-Settings!$B$11,0,Settings!$B$11,1))*SQRT(Settings!$B$13)))</f>
        <v/>
      </c>
      <c r="I601" s="18">
        <f>IF(OR(NOT(ISNUMBER($A601)),ROW()-2&lt;Settings!$B$12),NA(),IF(COUNT(OFFSET(F601,1-Settings!$B$12,0,Settings!$B$12,1))&lt;Settings!$B$12,NA(),STDEV(OFFSET(F601,1-Settings!$B$12,0,Settings!$B$12,1))*SQRT(Settings!$B$13)))</f>
        <v/>
      </c>
      <c r="J601" s="18">
        <f>IF(OR(NOT(ISNUMBER($A601)),ROW()-2&lt;Settings!$B$11),NA(),IF(COUNT(OFFSET(G601,1-Settings!$B$11,0,Settings!$B$11,1))&lt;Settings!$B$11,NA(),STDEV(OFFSET(G601,1-Settings!$B$11,0,Settings!$B$11,1))*SQRT(Settings!$B$13)))</f>
        <v/>
      </c>
      <c r="K601" s="18">
        <f>IF(OR(NOT(ISNUMBER($A601)),ROW()-2&lt;Settings!$B$12),NA(),IF(COUNT(OFFSET(G601,1-Settings!$B$12,0,Settings!$B$12,1))&lt;Settings!$B$12,NA(),STDEV(OFFSET(G601,1-Settings!$B$12,0,Settings!$B$12,1))*SQRT(Settings!$B$13)))</f>
        <v/>
      </c>
      <c r="L601" s="18">
        <f>IF(AND(ISNUMBER(D601),ISNUMBER(H601)),D601-H601,NA())</f>
        <v/>
      </c>
      <c r="M601" s="18">
        <f>IF(AND(ISNUMBER(E601),ISNUMBER(K601)),E601-K601,NA())</f>
        <v/>
      </c>
      <c r="N601" s="18">
        <f>IF(NOT(ISNUMBER($A601)),NA(),IF(COUNT(OFFSET(G601,1,0,Settings!$B$12,1))&lt;Settings!$B$12,NA(),STDEV(OFFSET(G601,1,0,Settings!$B$12,1))*SQRT(Settings!$B$13)))</f>
        <v/>
      </c>
      <c r="O601" s="18">
        <f>IF(AND(ISNUMBER(E601),ISNUMBER(N601)),E601-N601,NA())</f>
        <v/>
      </c>
      <c r="P601" s="17">
        <f>IF(NOT(ISNUMBER($A601)),NA(),IF(OR($A601&lt;MIN(KW_TP!$A$2:$A$2501),$A601&gt;MAX(KW_TP!$A$2:$A$2501)),NA(),INDEX(KW_TP!$C$2:$C$2501,MATCH($A601,KW_TP!$A$2:$A$2501,1))))</f>
        <v/>
      </c>
    </row>
    <row r="602">
      <c r="A602" s="15">
        <f>IF(ISNUMBER(BBG_Data!A602),BBG_Data!A602,"")</f>
        <v/>
      </c>
      <c r="B602" s="16">
        <f>IF(AND(ISNUMBER($A602),ISNUMBER(BBG_Data!B602)),BBG_Data!B602,NA())</f>
        <v/>
      </c>
      <c r="C602" s="16">
        <f>IF(AND(ISNUMBER($A602),ISNUMBER(BBG_Data!C602)),BBG_Data!C602,NA())</f>
        <v/>
      </c>
      <c r="D602" s="17">
        <f>IF(AND(ISNUMBER($A602),ISNUMBER(BBG_Data!D602)),BBG_Data!D602,NA())</f>
        <v/>
      </c>
      <c r="E602" s="17">
        <f>IF(AND(ISNUMBER($A602),ISNUMBER(BBG_Data!E602)),BBG_Data!E602,NA())</f>
        <v/>
      </c>
      <c r="F602" s="18">
        <f>IF(AND(ISNUMBER(B602),ISNUMBER(B601)),(B602-B601)*100,"")</f>
        <v/>
      </c>
      <c r="G602" s="18">
        <f>IF(AND(ISNUMBER(C602),ISNUMBER(C601)),(C602-C601)*100,"")</f>
        <v/>
      </c>
      <c r="H602" s="18">
        <f>IF(OR(NOT(ISNUMBER($A602)),ROW()-2&lt;Settings!$B$11),NA(),IF(COUNT(OFFSET(F602,1-Settings!$B$11,0,Settings!$B$11,1))&lt;Settings!$B$11,NA(),STDEV(OFFSET(F602,1-Settings!$B$11,0,Settings!$B$11,1))*SQRT(Settings!$B$13)))</f>
        <v/>
      </c>
      <c r="I602" s="18">
        <f>IF(OR(NOT(ISNUMBER($A602)),ROW()-2&lt;Settings!$B$12),NA(),IF(COUNT(OFFSET(F602,1-Settings!$B$12,0,Settings!$B$12,1))&lt;Settings!$B$12,NA(),STDEV(OFFSET(F602,1-Settings!$B$12,0,Settings!$B$12,1))*SQRT(Settings!$B$13)))</f>
        <v/>
      </c>
      <c r="J602" s="18">
        <f>IF(OR(NOT(ISNUMBER($A602)),ROW()-2&lt;Settings!$B$11),NA(),IF(COUNT(OFFSET(G602,1-Settings!$B$11,0,Settings!$B$11,1))&lt;Settings!$B$11,NA(),STDEV(OFFSET(G602,1-Settings!$B$11,0,Settings!$B$11,1))*SQRT(Settings!$B$13)))</f>
        <v/>
      </c>
      <c r="K602" s="18">
        <f>IF(OR(NOT(ISNUMBER($A602)),ROW()-2&lt;Settings!$B$12),NA(),IF(COUNT(OFFSET(G602,1-Settings!$B$12,0,Settings!$B$12,1))&lt;Settings!$B$12,NA(),STDEV(OFFSET(G602,1-Settings!$B$12,0,Settings!$B$12,1))*SQRT(Settings!$B$13)))</f>
        <v/>
      </c>
      <c r="L602" s="18">
        <f>IF(AND(ISNUMBER(D602),ISNUMBER(H602)),D602-H602,NA())</f>
        <v/>
      </c>
      <c r="M602" s="18">
        <f>IF(AND(ISNUMBER(E602),ISNUMBER(K602)),E602-K602,NA())</f>
        <v/>
      </c>
      <c r="N602" s="18">
        <f>IF(NOT(ISNUMBER($A602)),NA(),IF(COUNT(OFFSET(G602,1,0,Settings!$B$12,1))&lt;Settings!$B$12,NA(),STDEV(OFFSET(G602,1,0,Settings!$B$12,1))*SQRT(Settings!$B$13)))</f>
        <v/>
      </c>
      <c r="O602" s="18">
        <f>IF(AND(ISNUMBER(E602),ISNUMBER(N602)),E602-N602,NA())</f>
        <v/>
      </c>
      <c r="P602" s="17">
        <f>IF(NOT(ISNUMBER($A602)),NA(),IF(OR($A602&lt;MIN(KW_TP!$A$2:$A$2501),$A602&gt;MAX(KW_TP!$A$2:$A$2501)),NA(),INDEX(KW_TP!$C$2:$C$2501,MATCH($A602,KW_TP!$A$2:$A$2501,1))))</f>
        <v/>
      </c>
    </row>
    <row r="603">
      <c r="A603" s="15">
        <f>IF(ISNUMBER(BBG_Data!A603),BBG_Data!A603,"")</f>
        <v/>
      </c>
      <c r="B603" s="16">
        <f>IF(AND(ISNUMBER($A603),ISNUMBER(BBG_Data!B603)),BBG_Data!B603,NA())</f>
        <v/>
      </c>
      <c r="C603" s="16">
        <f>IF(AND(ISNUMBER($A603),ISNUMBER(BBG_Data!C603)),BBG_Data!C603,NA())</f>
        <v/>
      </c>
      <c r="D603" s="17">
        <f>IF(AND(ISNUMBER($A603),ISNUMBER(BBG_Data!D603)),BBG_Data!D603,NA())</f>
        <v/>
      </c>
      <c r="E603" s="17">
        <f>IF(AND(ISNUMBER($A603),ISNUMBER(BBG_Data!E603)),BBG_Data!E603,NA())</f>
        <v/>
      </c>
      <c r="F603" s="18">
        <f>IF(AND(ISNUMBER(B603),ISNUMBER(B602)),(B603-B602)*100,"")</f>
        <v/>
      </c>
      <c r="G603" s="18">
        <f>IF(AND(ISNUMBER(C603),ISNUMBER(C602)),(C603-C602)*100,"")</f>
        <v/>
      </c>
      <c r="H603" s="18">
        <f>IF(OR(NOT(ISNUMBER($A603)),ROW()-2&lt;Settings!$B$11),NA(),IF(COUNT(OFFSET(F603,1-Settings!$B$11,0,Settings!$B$11,1))&lt;Settings!$B$11,NA(),STDEV(OFFSET(F603,1-Settings!$B$11,0,Settings!$B$11,1))*SQRT(Settings!$B$13)))</f>
        <v/>
      </c>
      <c r="I603" s="18">
        <f>IF(OR(NOT(ISNUMBER($A603)),ROW()-2&lt;Settings!$B$12),NA(),IF(COUNT(OFFSET(F603,1-Settings!$B$12,0,Settings!$B$12,1))&lt;Settings!$B$12,NA(),STDEV(OFFSET(F603,1-Settings!$B$12,0,Settings!$B$12,1))*SQRT(Settings!$B$13)))</f>
        <v/>
      </c>
      <c r="J603" s="18">
        <f>IF(OR(NOT(ISNUMBER($A603)),ROW()-2&lt;Settings!$B$11),NA(),IF(COUNT(OFFSET(G603,1-Settings!$B$11,0,Settings!$B$11,1))&lt;Settings!$B$11,NA(),STDEV(OFFSET(G603,1-Settings!$B$11,0,Settings!$B$11,1))*SQRT(Settings!$B$13)))</f>
        <v/>
      </c>
      <c r="K603" s="18">
        <f>IF(OR(NOT(ISNUMBER($A603)),ROW()-2&lt;Settings!$B$12),NA(),IF(COUNT(OFFSET(G603,1-Settings!$B$12,0,Settings!$B$12,1))&lt;Settings!$B$12,NA(),STDEV(OFFSET(G603,1-Settings!$B$12,0,Settings!$B$12,1))*SQRT(Settings!$B$13)))</f>
        <v/>
      </c>
      <c r="L603" s="18">
        <f>IF(AND(ISNUMBER(D603),ISNUMBER(H603)),D603-H603,NA())</f>
        <v/>
      </c>
      <c r="M603" s="18">
        <f>IF(AND(ISNUMBER(E603),ISNUMBER(K603)),E603-K603,NA())</f>
        <v/>
      </c>
      <c r="N603" s="18">
        <f>IF(NOT(ISNUMBER($A603)),NA(),IF(COUNT(OFFSET(G603,1,0,Settings!$B$12,1))&lt;Settings!$B$12,NA(),STDEV(OFFSET(G603,1,0,Settings!$B$12,1))*SQRT(Settings!$B$13)))</f>
        <v/>
      </c>
      <c r="O603" s="18">
        <f>IF(AND(ISNUMBER(E603),ISNUMBER(N603)),E603-N603,NA())</f>
        <v/>
      </c>
      <c r="P603" s="17">
        <f>IF(NOT(ISNUMBER($A603)),NA(),IF(OR($A603&lt;MIN(KW_TP!$A$2:$A$2501),$A603&gt;MAX(KW_TP!$A$2:$A$2501)),NA(),INDEX(KW_TP!$C$2:$C$2501,MATCH($A603,KW_TP!$A$2:$A$2501,1))))</f>
        <v/>
      </c>
    </row>
    <row r="604">
      <c r="A604" s="15">
        <f>IF(ISNUMBER(BBG_Data!A604),BBG_Data!A604,"")</f>
        <v/>
      </c>
      <c r="B604" s="16">
        <f>IF(AND(ISNUMBER($A604),ISNUMBER(BBG_Data!B604)),BBG_Data!B604,NA())</f>
        <v/>
      </c>
      <c r="C604" s="16">
        <f>IF(AND(ISNUMBER($A604),ISNUMBER(BBG_Data!C604)),BBG_Data!C604,NA())</f>
        <v/>
      </c>
      <c r="D604" s="17">
        <f>IF(AND(ISNUMBER($A604),ISNUMBER(BBG_Data!D604)),BBG_Data!D604,NA())</f>
        <v/>
      </c>
      <c r="E604" s="17">
        <f>IF(AND(ISNUMBER($A604),ISNUMBER(BBG_Data!E604)),BBG_Data!E604,NA())</f>
        <v/>
      </c>
      <c r="F604" s="18">
        <f>IF(AND(ISNUMBER(B604),ISNUMBER(B603)),(B604-B603)*100,"")</f>
        <v/>
      </c>
      <c r="G604" s="18">
        <f>IF(AND(ISNUMBER(C604),ISNUMBER(C603)),(C604-C603)*100,"")</f>
        <v/>
      </c>
      <c r="H604" s="18">
        <f>IF(OR(NOT(ISNUMBER($A604)),ROW()-2&lt;Settings!$B$11),NA(),IF(COUNT(OFFSET(F604,1-Settings!$B$11,0,Settings!$B$11,1))&lt;Settings!$B$11,NA(),STDEV(OFFSET(F604,1-Settings!$B$11,0,Settings!$B$11,1))*SQRT(Settings!$B$13)))</f>
        <v/>
      </c>
      <c r="I604" s="18">
        <f>IF(OR(NOT(ISNUMBER($A604)),ROW()-2&lt;Settings!$B$12),NA(),IF(COUNT(OFFSET(F604,1-Settings!$B$12,0,Settings!$B$12,1))&lt;Settings!$B$12,NA(),STDEV(OFFSET(F604,1-Settings!$B$12,0,Settings!$B$12,1))*SQRT(Settings!$B$13)))</f>
        <v/>
      </c>
      <c r="J604" s="18">
        <f>IF(OR(NOT(ISNUMBER($A604)),ROW()-2&lt;Settings!$B$11),NA(),IF(COUNT(OFFSET(G604,1-Settings!$B$11,0,Settings!$B$11,1))&lt;Settings!$B$11,NA(),STDEV(OFFSET(G604,1-Settings!$B$11,0,Settings!$B$11,1))*SQRT(Settings!$B$13)))</f>
        <v/>
      </c>
      <c r="K604" s="18">
        <f>IF(OR(NOT(ISNUMBER($A604)),ROW()-2&lt;Settings!$B$12),NA(),IF(COUNT(OFFSET(G604,1-Settings!$B$12,0,Settings!$B$12,1))&lt;Settings!$B$12,NA(),STDEV(OFFSET(G604,1-Settings!$B$12,0,Settings!$B$12,1))*SQRT(Settings!$B$13)))</f>
        <v/>
      </c>
      <c r="L604" s="18">
        <f>IF(AND(ISNUMBER(D604),ISNUMBER(H604)),D604-H604,NA())</f>
        <v/>
      </c>
      <c r="M604" s="18">
        <f>IF(AND(ISNUMBER(E604),ISNUMBER(K604)),E604-K604,NA())</f>
        <v/>
      </c>
      <c r="N604" s="18">
        <f>IF(NOT(ISNUMBER($A604)),NA(),IF(COUNT(OFFSET(G604,1,0,Settings!$B$12,1))&lt;Settings!$B$12,NA(),STDEV(OFFSET(G604,1,0,Settings!$B$12,1))*SQRT(Settings!$B$13)))</f>
        <v/>
      </c>
      <c r="O604" s="18">
        <f>IF(AND(ISNUMBER(E604),ISNUMBER(N604)),E604-N604,NA())</f>
        <v/>
      </c>
      <c r="P604" s="17">
        <f>IF(NOT(ISNUMBER($A604)),NA(),IF(OR($A604&lt;MIN(KW_TP!$A$2:$A$2501),$A604&gt;MAX(KW_TP!$A$2:$A$2501)),NA(),INDEX(KW_TP!$C$2:$C$2501,MATCH($A604,KW_TP!$A$2:$A$2501,1))))</f>
        <v/>
      </c>
    </row>
    <row r="605">
      <c r="A605" s="15">
        <f>IF(ISNUMBER(BBG_Data!A605),BBG_Data!A605,"")</f>
        <v/>
      </c>
      <c r="B605" s="16">
        <f>IF(AND(ISNUMBER($A605),ISNUMBER(BBG_Data!B605)),BBG_Data!B605,NA())</f>
        <v/>
      </c>
      <c r="C605" s="16">
        <f>IF(AND(ISNUMBER($A605),ISNUMBER(BBG_Data!C605)),BBG_Data!C605,NA())</f>
        <v/>
      </c>
      <c r="D605" s="17">
        <f>IF(AND(ISNUMBER($A605),ISNUMBER(BBG_Data!D605)),BBG_Data!D605,NA())</f>
        <v/>
      </c>
      <c r="E605" s="17">
        <f>IF(AND(ISNUMBER($A605),ISNUMBER(BBG_Data!E605)),BBG_Data!E605,NA())</f>
        <v/>
      </c>
      <c r="F605" s="18">
        <f>IF(AND(ISNUMBER(B605),ISNUMBER(B604)),(B605-B604)*100,"")</f>
        <v/>
      </c>
      <c r="G605" s="18">
        <f>IF(AND(ISNUMBER(C605),ISNUMBER(C604)),(C605-C604)*100,"")</f>
        <v/>
      </c>
      <c r="H605" s="18">
        <f>IF(OR(NOT(ISNUMBER($A605)),ROW()-2&lt;Settings!$B$11),NA(),IF(COUNT(OFFSET(F605,1-Settings!$B$11,0,Settings!$B$11,1))&lt;Settings!$B$11,NA(),STDEV(OFFSET(F605,1-Settings!$B$11,0,Settings!$B$11,1))*SQRT(Settings!$B$13)))</f>
        <v/>
      </c>
      <c r="I605" s="18">
        <f>IF(OR(NOT(ISNUMBER($A605)),ROW()-2&lt;Settings!$B$12),NA(),IF(COUNT(OFFSET(F605,1-Settings!$B$12,0,Settings!$B$12,1))&lt;Settings!$B$12,NA(),STDEV(OFFSET(F605,1-Settings!$B$12,0,Settings!$B$12,1))*SQRT(Settings!$B$13)))</f>
        <v/>
      </c>
      <c r="J605" s="18">
        <f>IF(OR(NOT(ISNUMBER($A605)),ROW()-2&lt;Settings!$B$11),NA(),IF(COUNT(OFFSET(G605,1-Settings!$B$11,0,Settings!$B$11,1))&lt;Settings!$B$11,NA(),STDEV(OFFSET(G605,1-Settings!$B$11,0,Settings!$B$11,1))*SQRT(Settings!$B$13)))</f>
        <v/>
      </c>
      <c r="K605" s="18">
        <f>IF(OR(NOT(ISNUMBER($A605)),ROW()-2&lt;Settings!$B$12),NA(),IF(COUNT(OFFSET(G605,1-Settings!$B$12,0,Settings!$B$12,1))&lt;Settings!$B$12,NA(),STDEV(OFFSET(G605,1-Settings!$B$12,0,Settings!$B$12,1))*SQRT(Settings!$B$13)))</f>
        <v/>
      </c>
      <c r="L605" s="18">
        <f>IF(AND(ISNUMBER(D605),ISNUMBER(H605)),D605-H605,NA())</f>
        <v/>
      </c>
      <c r="M605" s="18">
        <f>IF(AND(ISNUMBER(E605),ISNUMBER(K605)),E605-K605,NA())</f>
        <v/>
      </c>
      <c r="N605" s="18">
        <f>IF(NOT(ISNUMBER($A605)),NA(),IF(COUNT(OFFSET(G605,1,0,Settings!$B$12,1))&lt;Settings!$B$12,NA(),STDEV(OFFSET(G605,1,0,Settings!$B$12,1))*SQRT(Settings!$B$13)))</f>
        <v/>
      </c>
      <c r="O605" s="18">
        <f>IF(AND(ISNUMBER(E605),ISNUMBER(N605)),E605-N605,NA())</f>
        <v/>
      </c>
      <c r="P605" s="17">
        <f>IF(NOT(ISNUMBER($A605)),NA(),IF(OR($A605&lt;MIN(KW_TP!$A$2:$A$2501),$A605&gt;MAX(KW_TP!$A$2:$A$2501)),NA(),INDEX(KW_TP!$C$2:$C$2501,MATCH($A605,KW_TP!$A$2:$A$2501,1))))</f>
        <v/>
      </c>
    </row>
    <row r="606">
      <c r="A606" s="15">
        <f>IF(ISNUMBER(BBG_Data!A606),BBG_Data!A606,"")</f>
        <v/>
      </c>
      <c r="B606" s="16">
        <f>IF(AND(ISNUMBER($A606),ISNUMBER(BBG_Data!B606)),BBG_Data!B606,NA())</f>
        <v/>
      </c>
      <c r="C606" s="16">
        <f>IF(AND(ISNUMBER($A606),ISNUMBER(BBG_Data!C606)),BBG_Data!C606,NA())</f>
        <v/>
      </c>
      <c r="D606" s="17">
        <f>IF(AND(ISNUMBER($A606),ISNUMBER(BBG_Data!D606)),BBG_Data!D606,NA())</f>
        <v/>
      </c>
      <c r="E606" s="17">
        <f>IF(AND(ISNUMBER($A606),ISNUMBER(BBG_Data!E606)),BBG_Data!E606,NA())</f>
        <v/>
      </c>
      <c r="F606" s="18">
        <f>IF(AND(ISNUMBER(B606),ISNUMBER(B605)),(B606-B605)*100,"")</f>
        <v/>
      </c>
      <c r="G606" s="18">
        <f>IF(AND(ISNUMBER(C606),ISNUMBER(C605)),(C606-C605)*100,"")</f>
        <v/>
      </c>
      <c r="H606" s="18">
        <f>IF(OR(NOT(ISNUMBER($A606)),ROW()-2&lt;Settings!$B$11),NA(),IF(COUNT(OFFSET(F606,1-Settings!$B$11,0,Settings!$B$11,1))&lt;Settings!$B$11,NA(),STDEV(OFFSET(F606,1-Settings!$B$11,0,Settings!$B$11,1))*SQRT(Settings!$B$13)))</f>
        <v/>
      </c>
      <c r="I606" s="18">
        <f>IF(OR(NOT(ISNUMBER($A606)),ROW()-2&lt;Settings!$B$12),NA(),IF(COUNT(OFFSET(F606,1-Settings!$B$12,0,Settings!$B$12,1))&lt;Settings!$B$12,NA(),STDEV(OFFSET(F606,1-Settings!$B$12,0,Settings!$B$12,1))*SQRT(Settings!$B$13)))</f>
        <v/>
      </c>
      <c r="J606" s="18">
        <f>IF(OR(NOT(ISNUMBER($A606)),ROW()-2&lt;Settings!$B$11),NA(),IF(COUNT(OFFSET(G606,1-Settings!$B$11,0,Settings!$B$11,1))&lt;Settings!$B$11,NA(),STDEV(OFFSET(G606,1-Settings!$B$11,0,Settings!$B$11,1))*SQRT(Settings!$B$13)))</f>
        <v/>
      </c>
      <c r="K606" s="18">
        <f>IF(OR(NOT(ISNUMBER($A606)),ROW()-2&lt;Settings!$B$12),NA(),IF(COUNT(OFFSET(G606,1-Settings!$B$12,0,Settings!$B$12,1))&lt;Settings!$B$12,NA(),STDEV(OFFSET(G606,1-Settings!$B$12,0,Settings!$B$12,1))*SQRT(Settings!$B$13)))</f>
        <v/>
      </c>
      <c r="L606" s="18">
        <f>IF(AND(ISNUMBER(D606),ISNUMBER(H606)),D606-H606,NA())</f>
        <v/>
      </c>
      <c r="M606" s="18">
        <f>IF(AND(ISNUMBER(E606),ISNUMBER(K606)),E606-K606,NA())</f>
        <v/>
      </c>
      <c r="N606" s="18">
        <f>IF(NOT(ISNUMBER($A606)),NA(),IF(COUNT(OFFSET(G606,1,0,Settings!$B$12,1))&lt;Settings!$B$12,NA(),STDEV(OFFSET(G606,1,0,Settings!$B$12,1))*SQRT(Settings!$B$13)))</f>
        <v/>
      </c>
      <c r="O606" s="18">
        <f>IF(AND(ISNUMBER(E606),ISNUMBER(N606)),E606-N606,NA())</f>
        <v/>
      </c>
      <c r="P606" s="17">
        <f>IF(NOT(ISNUMBER($A606)),NA(),IF(OR($A606&lt;MIN(KW_TP!$A$2:$A$2501),$A606&gt;MAX(KW_TP!$A$2:$A$2501)),NA(),INDEX(KW_TP!$C$2:$C$2501,MATCH($A606,KW_TP!$A$2:$A$2501,1))))</f>
        <v/>
      </c>
    </row>
    <row r="607">
      <c r="A607" s="15">
        <f>IF(ISNUMBER(BBG_Data!A607),BBG_Data!A607,"")</f>
        <v/>
      </c>
      <c r="B607" s="16">
        <f>IF(AND(ISNUMBER($A607),ISNUMBER(BBG_Data!B607)),BBG_Data!B607,NA())</f>
        <v/>
      </c>
      <c r="C607" s="16">
        <f>IF(AND(ISNUMBER($A607),ISNUMBER(BBG_Data!C607)),BBG_Data!C607,NA())</f>
        <v/>
      </c>
      <c r="D607" s="17">
        <f>IF(AND(ISNUMBER($A607),ISNUMBER(BBG_Data!D607)),BBG_Data!D607,NA())</f>
        <v/>
      </c>
      <c r="E607" s="17">
        <f>IF(AND(ISNUMBER($A607),ISNUMBER(BBG_Data!E607)),BBG_Data!E607,NA())</f>
        <v/>
      </c>
      <c r="F607" s="18">
        <f>IF(AND(ISNUMBER(B607),ISNUMBER(B606)),(B607-B606)*100,"")</f>
        <v/>
      </c>
      <c r="G607" s="18">
        <f>IF(AND(ISNUMBER(C607),ISNUMBER(C606)),(C607-C606)*100,"")</f>
        <v/>
      </c>
      <c r="H607" s="18">
        <f>IF(OR(NOT(ISNUMBER($A607)),ROW()-2&lt;Settings!$B$11),NA(),IF(COUNT(OFFSET(F607,1-Settings!$B$11,0,Settings!$B$11,1))&lt;Settings!$B$11,NA(),STDEV(OFFSET(F607,1-Settings!$B$11,0,Settings!$B$11,1))*SQRT(Settings!$B$13)))</f>
        <v/>
      </c>
      <c r="I607" s="18">
        <f>IF(OR(NOT(ISNUMBER($A607)),ROW()-2&lt;Settings!$B$12),NA(),IF(COUNT(OFFSET(F607,1-Settings!$B$12,0,Settings!$B$12,1))&lt;Settings!$B$12,NA(),STDEV(OFFSET(F607,1-Settings!$B$12,0,Settings!$B$12,1))*SQRT(Settings!$B$13)))</f>
        <v/>
      </c>
      <c r="J607" s="18">
        <f>IF(OR(NOT(ISNUMBER($A607)),ROW()-2&lt;Settings!$B$11),NA(),IF(COUNT(OFFSET(G607,1-Settings!$B$11,0,Settings!$B$11,1))&lt;Settings!$B$11,NA(),STDEV(OFFSET(G607,1-Settings!$B$11,0,Settings!$B$11,1))*SQRT(Settings!$B$13)))</f>
        <v/>
      </c>
      <c r="K607" s="18">
        <f>IF(OR(NOT(ISNUMBER($A607)),ROW()-2&lt;Settings!$B$12),NA(),IF(COUNT(OFFSET(G607,1-Settings!$B$12,0,Settings!$B$12,1))&lt;Settings!$B$12,NA(),STDEV(OFFSET(G607,1-Settings!$B$12,0,Settings!$B$12,1))*SQRT(Settings!$B$13)))</f>
        <v/>
      </c>
      <c r="L607" s="18">
        <f>IF(AND(ISNUMBER(D607),ISNUMBER(H607)),D607-H607,NA())</f>
        <v/>
      </c>
      <c r="M607" s="18">
        <f>IF(AND(ISNUMBER(E607),ISNUMBER(K607)),E607-K607,NA())</f>
        <v/>
      </c>
      <c r="N607" s="18">
        <f>IF(NOT(ISNUMBER($A607)),NA(),IF(COUNT(OFFSET(G607,1,0,Settings!$B$12,1))&lt;Settings!$B$12,NA(),STDEV(OFFSET(G607,1,0,Settings!$B$12,1))*SQRT(Settings!$B$13)))</f>
        <v/>
      </c>
      <c r="O607" s="18">
        <f>IF(AND(ISNUMBER(E607),ISNUMBER(N607)),E607-N607,NA())</f>
        <v/>
      </c>
      <c r="P607" s="17">
        <f>IF(NOT(ISNUMBER($A607)),NA(),IF(OR($A607&lt;MIN(KW_TP!$A$2:$A$2501),$A607&gt;MAX(KW_TP!$A$2:$A$2501)),NA(),INDEX(KW_TP!$C$2:$C$2501,MATCH($A607,KW_TP!$A$2:$A$2501,1))))</f>
        <v/>
      </c>
    </row>
    <row r="608">
      <c r="A608" s="15">
        <f>IF(ISNUMBER(BBG_Data!A608),BBG_Data!A608,"")</f>
        <v/>
      </c>
      <c r="B608" s="16">
        <f>IF(AND(ISNUMBER($A608),ISNUMBER(BBG_Data!B608)),BBG_Data!B608,NA())</f>
        <v/>
      </c>
      <c r="C608" s="16">
        <f>IF(AND(ISNUMBER($A608),ISNUMBER(BBG_Data!C608)),BBG_Data!C608,NA())</f>
        <v/>
      </c>
      <c r="D608" s="17">
        <f>IF(AND(ISNUMBER($A608),ISNUMBER(BBG_Data!D608)),BBG_Data!D608,NA())</f>
        <v/>
      </c>
      <c r="E608" s="17">
        <f>IF(AND(ISNUMBER($A608),ISNUMBER(BBG_Data!E608)),BBG_Data!E608,NA())</f>
        <v/>
      </c>
      <c r="F608" s="18">
        <f>IF(AND(ISNUMBER(B608),ISNUMBER(B607)),(B608-B607)*100,"")</f>
        <v/>
      </c>
      <c r="G608" s="18">
        <f>IF(AND(ISNUMBER(C608),ISNUMBER(C607)),(C608-C607)*100,"")</f>
        <v/>
      </c>
      <c r="H608" s="18">
        <f>IF(OR(NOT(ISNUMBER($A608)),ROW()-2&lt;Settings!$B$11),NA(),IF(COUNT(OFFSET(F608,1-Settings!$B$11,0,Settings!$B$11,1))&lt;Settings!$B$11,NA(),STDEV(OFFSET(F608,1-Settings!$B$11,0,Settings!$B$11,1))*SQRT(Settings!$B$13)))</f>
        <v/>
      </c>
      <c r="I608" s="18">
        <f>IF(OR(NOT(ISNUMBER($A608)),ROW()-2&lt;Settings!$B$12),NA(),IF(COUNT(OFFSET(F608,1-Settings!$B$12,0,Settings!$B$12,1))&lt;Settings!$B$12,NA(),STDEV(OFFSET(F608,1-Settings!$B$12,0,Settings!$B$12,1))*SQRT(Settings!$B$13)))</f>
        <v/>
      </c>
      <c r="J608" s="18">
        <f>IF(OR(NOT(ISNUMBER($A608)),ROW()-2&lt;Settings!$B$11),NA(),IF(COUNT(OFFSET(G608,1-Settings!$B$11,0,Settings!$B$11,1))&lt;Settings!$B$11,NA(),STDEV(OFFSET(G608,1-Settings!$B$11,0,Settings!$B$11,1))*SQRT(Settings!$B$13)))</f>
        <v/>
      </c>
      <c r="K608" s="18">
        <f>IF(OR(NOT(ISNUMBER($A608)),ROW()-2&lt;Settings!$B$12),NA(),IF(COUNT(OFFSET(G608,1-Settings!$B$12,0,Settings!$B$12,1))&lt;Settings!$B$12,NA(),STDEV(OFFSET(G608,1-Settings!$B$12,0,Settings!$B$12,1))*SQRT(Settings!$B$13)))</f>
        <v/>
      </c>
      <c r="L608" s="18">
        <f>IF(AND(ISNUMBER(D608),ISNUMBER(H608)),D608-H608,NA())</f>
        <v/>
      </c>
      <c r="M608" s="18">
        <f>IF(AND(ISNUMBER(E608),ISNUMBER(K608)),E608-K608,NA())</f>
        <v/>
      </c>
      <c r="N608" s="18">
        <f>IF(NOT(ISNUMBER($A608)),NA(),IF(COUNT(OFFSET(G608,1,0,Settings!$B$12,1))&lt;Settings!$B$12,NA(),STDEV(OFFSET(G608,1,0,Settings!$B$12,1))*SQRT(Settings!$B$13)))</f>
        <v/>
      </c>
      <c r="O608" s="18">
        <f>IF(AND(ISNUMBER(E608),ISNUMBER(N608)),E608-N608,NA())</f>
        <v/>
      </c>
      <c r="P608" s="17">
        <f>IF(NOT(ISNUMBER($A608)),NA(),IF(OR($A608&lt;MIN(KW_TP!$A$2:$A$2501),$A608&gt;MAX(KW_TP!$A$2:$A$2501)),NA(),INDEX(KW_TP!$C$2:$C$2501,MATCH($A608,KW_TP!$A$2:$A$2501,1))))</f>
        <v/>
      </c>
    </row>
    <row r="609">
      <c r="A609" s="15">
        <f>IF(ISNUMBER(BBG_Data!A609),BBG_Data!A609,"")</f>
        <v/>
      </c>
      <c r="B609" s="16">
        <f>IF(AND(ISNUMBER($A609),ISNUMBER(BBG_Data!B609)),BBG_Data!B609,NA())</f>
        <v/>
      </c>
      <c r="C609" s="16">
        <f>IF(AND(ISNUMBER($A609),ISNUMBER(BBG_Data!C609)),BBG_Data!C609,NA())</f>
        <v/>
      </c>
      <c r="D609" s="17">
        <f>IF(AND(ISNUMBER($A609),ISNUMBER(BBG_Data!D609)),BBG_Data!D609,NA())</f>
        <v/>
      </c>
      <c r="E609" s="17">
        <f>IF(AND(ISNUMBER($A609),ISNUMBER(BBG_Data!E609)),BBG_Data!E609,NA())</f>
        <v/>
      </c>
      <c r="F609" s="18">
        <f>IF(AND(ISNUMBER(B609),ISNUMBER(B608)),(B609-B608)*100,"")</f>
        <v/>
      </c>
      <c r="G609" s="18">
        <f>IF(AND(ISNUMBER(C609),ISNUMBER(C608)),(C609-C608)*100,"")</f>
        <v/>
      </c>
      <c r="H609" s="18">
        <f>IF(OR(NOT(ISNUMBER($A609)),ROW()-2&lt;Settings!$B$11),NA(),IF(COUNT(OFFSET(F609,1-Settings!$B$11,0,Settings!$B$11,1))&lt;Settings!$B$11,NA(),STDEV(OFFSET(F609,1-Settings!$B$11,0,Settings!$B$11,1))*SQRT(Settings!$B$13)))</f>
        <v/>
      </c>
      <c r="I609" s="18">
        <f>IF(OR(NOT(ISNUMBER($A609)),ROW()-2&lt;Settings!$B$12),NA(),IF(COUNT(OFFSET(F609,1-Settings!$B$12,0,Settings!$B$12,1))&lt;Settings!$B$12,NA(),STDEV(OFFSET(F609,1-Settings!$B$12,0,Settings!$B$12,1))*SQRT(Settings!$B$13)))</f>
        <v/>
      </c>
      <c r="J609" s="18">
        <f>IF(OR(NOT(ISNUMBER($A609)),ROW()-2&lt;Settings!$B$11),NA(),IF(COUNT(OFFSET(G609,1-Settings!$B$11,0,Settings!$B$11,1))&lt;Settings!$B$11,NA(),STDEV(OFFSET(G609,1-Settings!$B$11,0,Settings!$B$11,1))*SQRT(Settings!$B$13)))</f>
        <v/>
      </c>
      <c r="K609" s="18">
        <f>IF(OR(NOT(ISNUMBER($A609)),ROW()-2&lt;Settings!$B$12),NA(),IF(COUNT(OFFSET(G609,1-Settings!$B$12,0,Settings!$B$12,1))&lt;Settings!$B$12,NA(),STDEV(OFFSET(G609,1-Settings!$B$12,0,Settings!$B$12,1))*SQRT(Settings!$B$13)))</f>
        <v/>
      </c>
      <c r="L609" s="18">
        <f>IF(AND(ISNUMBER(D609),ISNUMBER(H609)),D609-H609,NA())</f>
        <v/>
      </c>
      <c r="M609" s="18">
        <f>IF(AND(ISNUMBER(E609),ISNUMBER(K609)),E609-K609,NA())</f>
        <v/>
      </c>
      <c r="N609" s="18">
        <f>IF(NOT(ISNUMBER($A609)),NA(),IF(COUNT(OFFSET(G609,1,0,Settings!$B$12,1))&lt;Settings!$B$12,NA(),STDEV(OFFSET(G609,1,0,Settings!$B$12,1))*SQRT(Settings!$B$13)))</f>
        <v/>
      </c>
      <c r="O609" s="18">
        <f>IF(AND(ISNUMBER(E609),ISNUMBER(N609)),E609-N609,NA())</f>
        <v/>
      </c>
      <c r="P609" s="17">
        <f>IF(NOT(ISNUMBER($A609)),NA(),IF(OR($A609&lt;MIN(KW_TP!$A$2:$A$2501),$A609&gt;MAX(KW_TP!$A$2:$A$2501)),NA(),INDEX(KW_TP!$C$2:$C$2501,MATCH($A609,KW_TP!$A$2:$A$2501,1))))</f>
        <v/>
      </c>
    </row>
    <row r="610">
      <c r="A610" s="15">
        <f>IF(ISNUMBER(BBG_Data!A610),BBG_Data!A610,"")</f>
        <v/>
      </c>
      <c r="B610" s="16">
        <f>IF(AND(ISNUMBER($A610),ISNUMBER(BBG_Data!B610)),BBG_Data!B610,NA())</f>
        <v/>
      </c>
      <c r="C610" s="16">
        <f>IF(AND(ISNUMBER($A610),ISNUMBER(BBG_Data!C610)),BBG_Data!C610,NA())</f>
        <v/>
      </c>
      <c r="D610" s="17">
        <f>IF(AND(ISNUMBER($A610),ISNUMBER(BBG_Data!D610)),BBG_Data!D610,NA())</f>
        <v/>
      </c>
      <c r="E610" s="17">
        <f>IF(AND(ISNUMBER($A610),ISNUMBER(BBG_Data!E610)),BBG_Data!E610,NA())</f>
        <v/>
      </c>
      <c r="F610" s="18">
        <f>IF(AND(ISNUMBER(B610),ISNUMBER(B609)),(B610-B609)*100,"")</f>
        <v/>
      </c>
      <c r="G610" s="18">
        <f>IF(AND(ISNUMBER(C610),ISNUMBER(C609)),(C610-C609)*100,"")</f>
        <v/>
      </c>
      <c r="H610" s="18">
        <f>IF(OR(NOT(ISNUMBER($A610)),ROW()-2&lt;Settings!$B$11),NA(),IF(COUNT(OFFSET(F610,1-Settings!$B$11,0,Settings!$B$11,1))&lt;Settings!$B$11,NA(),STDEV(OFFSET(F610,1-Settings!$B$11,0,Settings!$B$11,1))*SQRT(Settings!$B$13)))</f>
        <v/>
      </c>
      <c r="I610" s="18">
        <f>IF(OR(NOT(ISNUMBER($A610)),ROW()-2&lt;Settings!$B$12),NA(),IF(COUNT(OFFSET(F610,1-Settings!$B$12,0,Settings!$B$12,1))&lt;Settings!$B$12,NA(),STDEV(OFFSET(F610,1-Settings!$B$12,0,Settings!$B$12,1))*SQRT(Settings!$B$13)))</f>
        <v/>
      </c>
      <c r="J610" s="18">
        <f>IF(OR(NOT(ISNUMBER($A610)),ROW()-2&lt;Settings!$B$11),NA(),IF(COUNT(OFFSET(G610,1-Settings!$B$11,0,Settings!$B$11,1))&lt;Settings!$B$11,NA(),STDEV(OFFSET(G610,1-Settings!$B$11,0,Settings!$B$11,1))*SQRT(Settings!$B$13)))</f>
        <v/>
      </c>
      <c r="K610" s="18">
        <f>IF(OR(NOT(ISNUMBER($A610)),ROW()-2&lt;Settings!$B$12),NA(),IF(COUNT(OFFSET(G610,1-Settings!$B$12,0,Settings!$B$12,1))&lt;Settings!$B$12,NA(),STDEV(OFFSET(G610,1-Settings!$B$12,0,Settings!$B$12,1))*SQRT(Settings!$B$13)))</f>
        <v/>
      </c>
      <c r="L610" s="18">
        <f>IF(AND(ISNUMBER(D610),ISNUMBER(H610)),D610-H610,NA())</f>
        <v/>
      </c>
      <c r="M610" s="18">
        <f>IF(AND(ISNUMBER(E610),ISNUMBER(K610)),E610-K610,NA())</f>
        <v/>
      </c>
      <c r="N610" s="18">
        <f>IF(NOT(ISNUMBER($A610)),NA(),IF(COUNT(OFFSET(G610,1,0,Settings!$B$12,1))&lt;Settings!$B$12,NA(),STDEV(OFFSET(G610,1,0,Settings!$B$12,1))*SQRT(Settings!$B$13)))</f>
        <v/>
      </c>
      <c r="O610" s="18">
        <f>IF(AND(ISNUMBER(E610),ISNUMBER(N610)),E610-N610,NA())</f>
        <v/>
      </c>
      <c r="P610" s="17">
        <f>IF(NOT(ISNUMBER($A610)),NA(),IF(OR($A610&lt;MIN(KW_TP!$A$2:$A$2501),$A610&gt;MAX(KW_TP!$A$2:$A$2501)),NA(),INDEX(KW_TP!$C$2:$C$2501,MATCH($A610,KW_TP!$A$2:$A$2501,1))))</f>
        <v/>
      </c>
    </row>
    <row r="611">
      <c r="A611" s="15">
        <f>IF(ISNUMBER(BBG_Data!A611),BBG_Data!A611,"")</f>
        <v/>
      </c>
      <c r="B611" s="16">
        <f>IF(AND(ISNUMBER($A611),ISNUMBER(BBG_Data!B611)),BBG_Data!B611,NA())</f>
        <v/>
      </c>
      <c r="C611" s="16">
        <f>IF(AND(ISNUMBER($A611),ISNUMBER(BBG_Data!C611)),BBG_Data!C611,NA())</f>
        <v/>
      </c>
      <c r="D611" s="17">
        <f>IF(AND(ISNUMBER($A611),ISNUMBER(BBG_Data!D611)),BBG_Data!D611,NA())</f>
        <v/>
      </c>
      <c r="E611" s="17">
        <f>IF(AND(ISNUMBER($A611),ISNUMBER(BBG_Data!E611)),BBG_Data!E611,NA())</f>
        <v/>
      </c>
      <c r="F611" s="18">
        <f>IF(AND(ISNUMBER(B611),ISNUMBER(B610)),(B611-B610)*100,"")</f>
        <v/>
      </c>
      <c r="G611" s="18">
        <f>IF(AND(ISNUMBER(C611),ISNUMBER(C610)),(C611-C610)*100,"")</f>
        <v/>
      </c>
      <c r="H611" s="18">
        <f>IF(OR(NOT(ISNUMBER($A611)),ROW()-2&lt;Settings!$B$11),NA(),IF(COUNT(OFFSET(F611,1-Settings!$B$11,0,Settings!$B$11,1))&lt;Settings!$B$11,NA(),STDEV(OFFSET(F611,1-Settings!$B$11,0,Settings!$B$11,1))*SQRT(Settings!$B$13)))</f>
        <v/>
      </c>
      <c r="I611" s="18">
        <f>IF(OR(NOT(ISNUMBER($A611)),ROW()-2&lt;Settings!$B$12),NA(),IF(COUNT(OFFSET(F611,1-Settings!$B$12,0,Settings!$B$12,1))&lt;Settings!$B$12,NA(),STDEV(OFFSET(F611,1-Settings!$B$12,0,Settings!$B$12,1))*SQRT(Settings!$B$13)))</f>
        <v/>
      </c>
      <c r="J611" s="18">
        <f>IF(OR(NOT(ISNUMBER($A611)),ROW()-2&lt;Settings!$B$11),NA(),IF(COUNT(OFFSET(G611,1-Settings!$B$11,0,Settings!$B$11,1))&lt;Settings!$B$11,NA(),STDEV(OFFSET(G611,1-Settings!$B$11,0,Settings!$B$11,1))*SQRT(Settings!$B$13)))</f>
        <v/>
      </c>
      <c r="K611" s="18">
        <f>IF(OR(NOT(ISNUMBER($A611)),ROW()-2&lt;Settings!$B$12),NA(),IF(COUNT(OFFSET(G611,1-Settings!$B$12,0,Settings!$B$12,1))&lt;Settings!$B$12,NA(),STDEV(OFFSET(G611,1-Settings!$B$12,0,Settings!$B$12,1))*SQRT(Settings!$B$13)))</f>
        <v/>
      </c>
      <c r="L611" s="18">
        <f>IF(AND(ISNUMBER(D611),ISNUMBER(H611)),D611-H611,NA())</f>
        <v/>
      </c>
      <c r="M611" s="18">
        <f>IF(AND(ISNUMBER(E611),ISNUMBER(K611)),E611-K611,NA())</f>
        <v/>
      </c>
      <c r="N611" s="18">
        <f>IF(NOT(ISNUMBER($A611)),NA(),IF(COUNT(OFFSET(G611,1,0,Settings!$B$12,1))&lt;Settings!$B$12,NA(),STDEV(OFFSET(G611,1,0,Settings!$B$12,1))*SQRT(Settings!$B$13)))</f>
        <v/>
      </c>
      <c r="O611" s="18">
        <f>IF(AND(ISNUMBER(E611),ISNUMBER(N611)),E611-N611,NA())</f>
        <v/>
      </c>
      <c r="P611" s="17">
        <f>IF(NOT(ISNUMBER($A611)),NA(),IF(OR($A611&lt;MIN(KW_TP!$A$2:$A$2501),$A611&gt;MAX(KW_TP!$A$2:$A$2501)),NA(),INDEX(KW_TP!$C$2:$C$2501,MATCH($A611,KW_TP!$A$2:$A$2501,1))))</f>
        <v/>
      </c>
    </row>
    <row r="612">
      <c r="A612" s="15">
        <f>IF(ISNUMBER(BBG_Data!A612),BBG_Data!A612,"")</f>
        <v/>
      </c>
      <c r="B612" s="16">
        <f>IF(AND(ISNUMBER($A612),ISNUMBER(BBG_Data!B612)),BBG_Data!B612,NA())</f>
        <v/>
      </c>
      <c r="C612" s="16">
        <f>IF(AND(ISNUMBER($A612),ISNUMBER(BBG_Data!C612)),BBG_Data!C612,NA())</f>
        <v/>
      </c>
      <c r="D612" s="17">
        <f>IF(AND(ISNUMBER($A612),ISNUMBER(BBG_Data!D612)),BBG_Data!D612,NA())</f>
        <v/>
      </c>
      <c r="E612" s="17">
        <f>IF(AND(ISNUMBER($A612),ISNUMBER(BBG_Data!E612)),BBG_Data!E612,NA())</f>
        <v/>
      </c>
      <c r="F612" s="18">
        <f>IF(AND(ISNUMBER(B612),ISNUMBER(B611)),(B612-B611)*100,"")</f>
        <v/>
      </c>
      <c r="G612" s="18">
        <f>IF(AND(ISNUMBER(C612),ISNUMBER(C611)),(C612-C611)*100,"")</f>
        <v/>
      </c>
      <c r="H612" s="18">
        <f>IF(OR(NOT(ISNUMBER($A612)),ROW()-2&lt;Settings!$B$11),NA(),IF(COUNT(OFFSET(F612,1-Settings!$B$11,0,Settings!$B$11,1))&lt;Settings!$B$11,NA(),STDEV(OFFSET(F612,1-Settings!$B$11,0,Settings!$B$11,1))*SQRT(Settings!$B$13)))</f>
        <v/>
      </c>
      <c r="I612" s="18">
        <f>IF(OR(NOT(ISNUMBER($A612)),ROW()-2&lt;Settings!$B$12),NA(),IF(COUNT(OFFSET(F612,1-Settings!$B$12,0,Settings!$B$12,1))&lt;Settings!$B$12,NA(),STDEV(OFFSET(F612,1-Settings!$B$12,0,Settings!$B$12,1))*SQRT(Settings!$B$13)))</f>
        <v/>
      </c>
      <c r="J612" s="18">
        <f>IF(OR(NOT(ISNUMBER($A612)),ROW()-2&lt;Settings!$B$11),NA(),IF(COUNT(OFFSET(G612,1-Settings!$B$11,0,Settings!$B$11,1))&lt;Settings!$B$11,NA(),STDEV(OFFSET(G612,1-Settings!$B$11,0,Settings!$B$11,1))*SQRT(Settings!$B$13)))</f>
        <v/>
      </c>
      <c r="K612" s="18">
        <f>IF(OR(NOT(ISNUMBER($A612)),ROW()-2&lt;Settings!$B$12),NA(),IF(COUNT(OFFSET(G612,1-Settings!$B$12,0,Settings!$B$12,1))&lt;Settings!$B$12,NA(),STDEV(OFFSET(G612,1-Settings!$B$12,0,Settings!$B$12,1))*SQRT(Settings!$B$13)))</f>
        <v/>
      </c>
      <c r="L612" s="18">
        <f>IF(AND(ISNUMBER(D612),ISNUMBER(H612)),D612-H612,NA())</f>
        <v/>
      </c>
      <c r="M612" s="18">
        <f>IF(AND(ISNUMBER(E612),ISNUMBER(K612)),E612-K612,NA())</f>
        <v/>
      </c>
      <c r="N612" s="18">
        <f>IF(NOT(ISNUMBER($A612)),NA(),IF(COUNT(OFFSET(G612,1,0,Settings!$B$12,1))&lt;Settings!$B$12,NA(),STDEV(OFFSET(G612,1,0,Settings!$B$12,1))*SQRT(Settings!$B$13)))</f>
        <v/>
      </c>
      <c r="O612" s="18">
        <f>IF(AND(ISNUMBER(E612),ISNUMBER(N612)),E612-N612,NA())</f>
        <v/>
      </c>
      <c r="P612" s="17">
        <f>IF(NOT(ISNUMBER($A612)),NA(),IF(OR($A612&lt;MIN(KW_TP!$A$2:$A$2501),$A612&gt;MAX(KW_TP!$A$2:$A$2501)),NA(),INDEX(KW_TP!$C$2:$C$2501,MATCH($A612,KW_TP!$A$2:$A$2501,1))))</f>
        <v/>
      </c>
    </row>
    <row r="613">
      <c r="A613" s="15">
        <f>IF(ISNUMBER(BBG_Data!A613),BBG_Data!A613,"")</f>
        <v/>
      </c>
      <c r="B613" s="16">
        <f>IF(AND(ISNUMBER($A613),ISNUMBER(BBG_Data!B613)),BBG_Data!B613,NA())</f>
        <v/>
      </c>
      <c r="C613" s="16">
        <f>IF(AND(ISNUMBER($A613),ISNUMBER(BBG_Data!C613)),BBG_Data!C613,NA())</f>
        <v/>
      </c>
      <c r="D613" s="17">
        <f>IF(AND(ISNUMBER($A613),ISNUMBER(BBG_Data!D613)),BBG_Data!D613,NA())</f>
        <v/>
      </c>
      <c r="E613" s="17">
        <f>IF(AND(ISNUMBER($A613),ISNUMBER(BBG_Data!E613)),BBG_Data!E613,NA())</f>
        <v/>
      </c>
      <c r="F613" s="18">
        <f>IF(AND(ISNUMBER(B613),ISNUMBER(B612)),(B613-B612)*100,"")</f>
        <v/>
      </c>
      <c r="G613" s="18">
        <f>IF(AND(ISNUMBER(C613),ISNUMBER(C612)),(C613-C612)*100,"")</f>
        <v/>
      </c>
      <c r="H613" s="18">
        <f>IF(OR(NOT(ISNUMBER($A613)),ROW()-2&lt;Settings!$B$11),NA(),IF(COUNT(OFFSET(F613,1-Settings!$B$11,0,Settings!$B$11,1))&lt;Settings!$B$11,NA(),STDEV(OFFSET(F613,1-Settings!$B$11,0,Settings!$B$11,1))*SQRT(Settings!$B$13)))</f>
        <v/>
      </c>
      <c r="I613" s="18">
        <f>IF(OR(NOT(ISNUMBER($A613)),ROW()-2&lt;Settings!$B$12),NA(),IF(COUNT(OFFSET(F613,1-Settings!$B$12,0,Settings!$B$12,1))&lt;Settings!$B$12,NA(),STDEV(OFFSET(F613,1-Settings!$B$12,0,Settings!$B$12,1))*SQRT(Settings!$B$13)))</f>
        <v/>
      </c>
      <c r="J613" s="18">
        <f>IF(OR(NOT(ISNUMBER($A613)),ROW()-2&lt;Settings!$B$11),NA(),IF(COUNT(OFFSET(G613,1-Settings!$B$11,0,Settings!$B$11,1))&lt;Settings!$B$11,NA(),STDEV(OFFSET(G613,1-Settings!$B$11,0,Settings!$B$11,1))*SQRT(Settings!$B$13)))</f>
        <v/>
      </c>
      <c r="K613" s="18">
        <f>IF(OR(NOT(ISNUMBER($A613)),ROW()-2&lt;Settings!$B$12),NA(),IF(COUNT(OFFSET(G613,1-Settings!$B$12,0,Settings!$B$12,1))&lt;Settings!$B$12,NA(),STDEV(OFFSET(G613,1-Settings!$B$12,0,Settings!$B$12,1))*SQRT(Settings!$B$13)))</f>
        <v/>
      </c>
      <c r="L613" s="18">
        <f>IF(AND(ISNUMBER(D613),ISNUMBER(H613)),D613-H613,NA())</f>
        <v/>
      </c>
      <c r="M613" s="18">
        <f>IF(AND(ISNUMBER(E613),ISNUMBER(K613)),E613-K613,NA())</f>
        <v/>
      </c>
      <c r="N613" s="18">
        <f>IF(NOT(ISNUMBER($A613)),NA(),IF(COUNT(OFFSET(G613,1,0,Settings!$B$12,1))&lt;Settings!$B$12,NA(),STDEV(OFFSET(G613,1,0,Settings!$B$12,1))*SQRT(Settings!$B$13)))</f>
        <v/>
      </c>
      <c r="O613" s="18">
        <f>IF(AND(ISNUMBER(E613),ISNUMBER(N613)),E613-N613,NA())</f>
        <v/>
      </c>
      <c r="P613" s="17">
        <f>IF(NOT(ISNUMBER($A613)),NA(),IF(OR($A613&lt;MIN(KW_TP!$A$2:$A$2501),$A613&gt;MAX(KW_TP!$A$2:$A$2501)),NA(),INDEX(KW_TP!$C$2:$C$2501,MATCH($A613,KW_TP!$A$2:$A$2501,1))))</f>
        <v/>
      </c>
    </row>
    <row r="614">
      <c r="A614" s="15">
        <f>IF(ISNUMBER(BBG_Data!A614),BBG_Data!A614,"")</f>
        <v/>
      </c>
      <c r="B614" s="16">
        <f>IF(AND(ISNUMBER($A614),ISNUMBER(BBG_Data!B614)),BBG_Data!B614,NA())</f>
        <v/>
      </c>
      <c r="C614" s="16">
        <f>IF(AND(ISNUMBER($A614),ISNUMBER(BBG_Data!C614)),BBG_Data!C614,NA())</f>
        <v/>
      </c>
      <c r="D614" s="17">
        <f>IF(AND(ISNUMBER($A614),ISNUMBER(BBG_Data!D614)),BBG_Data!D614,NA())</f>
        <v/>
      </c>
      <c r="E614" s="17">
        <f>IF(AND(ISNUMBER($A614),ISNUMBER(BBG_Data!E614)),BBG_Data!E614,NA())</f>
        <v/>
      </c>
      <c r="F614" s="18">
        <f>IF(AND(ISNUMBER(B614),ISNUMBER(B613)),(B614-B613)*100,"")</f>
        <v/>
      </c>
      <c r="G614" s="18">
        <f>IF(AND(ISNUMBER(C614),ISNUMBER(C613)),(C614-C613)*100,"")</f>
        <v/>
      </c>
      <c r="H614" s="18">
        <f>IF(OR(NOT(ISNUMBER($A614)),ROW()-2&lt;Settings!$B$11),NA(),IF(COUNT(OFFSET(F614,1-Settings!$B$11,0,Settings!$B$11,1))&lt;Settings!$B$11,NA(),STDEV(OFFSET(F614,1-Settings!$B$11,0,Settings!$B$11,1))*SQRT(Settings!$B$13)))</f>
        <v/>
      </c>
      <c r="I614" s="18">
        <f>IF(OR(NOT(ISNUMBER($A614)),ROW()-2&lt;Settings!$B$12),NA(),IF(COUNT(OFFSET(F614,1-Settings!$B$12,0,Settings!$B$12,1))&lt;Settings!$B$12,NA(),STDEV(OFFSET(F614,1-Settings!$B$12,0,Settings!$B$12,1))*SQRT(Settings!$B$13)))</f>
        <v/>
      </c>
      <c r="J614" s="18">
        <f>IF(OR(NOT(ISNUMBER($A614)),ROW()-2&lt;Settings!$B$11),NA(),IF(COUNT(OFFSET(G614,1-Settings!$B$11,0,Settings!$B$11,1))&lt;Settings!$B$11,NA(),STDEV(OFFSET(G614,1-Settings!$B$11,0,Settings!$B$11,1))*SQRT(Settings!$B$13)))</f>
        <v/>
      </c>
      <c r="K614" s="18">
        <f>IF(OR(NOT(ISNUMBER($A614)),ROW()-2&lt;Settings!$B$12),NA(),IF(COUNT(OFFSET(G614,1-Settings!$B$12,0,Settings!$B$12,1))&lt;Settings!$B$12,NA(),STDEV(OFFSET(G614,1-Settings!$B$12,0,Settings!$B$12,1))*SQRT(Settings!$B$13)))</f>
        <v/>
      </c>
      <c r="L614" s="18">
        <f>IF(AND(ISNUMBER(D614),ISNUMBER(H614)),D614-H614,NA())</f>
        <v/>
      </c>
      <c r="M614" s="18">
        <f>IF(AND(ISNUMBER(E614),ISNUMBER(K614)),E614-K614,NA())</f>
        <v/>
      </c>
      <c r="N614" s="18">
        <f>IF(NOT(ISNUMBER($A614)),NA(),IF(COUNT(OFFSET(G614,1,0,Settings!$B$12,1))&lt;Settings!$B$12,NA(),STDEV(OFFSET(G614,1,0,Settings!$B$12,1))*SQRT(Settings!$B$13)))</f>
        <v/>
      </c>
      <c r="O614" s="18">
        <f>IF(AND(ISNUMBER(E614),ISNUMBER(N614)),E614-N614,NA())</f>
        <v/>
      </c>
      <c r="P614" s="17">
        <f>IF(NOT(ISNUMBER($A614)),NA(),IF(OR($A614&lt;MIN(KW_TP!$A$2:$A$2501),$A614&gt;MAX(KW_TP!$A$2:$A$2501)),NA(),INDEX(KW_TP!$C$2:$C$2501,MATCH($A614,KW_TP!$A$2:$A$2501,1))))</f>
        <v/>
      </c>
    </row>
    <row r="615">
      <c r="A615" s="15">
        <f>IF(ISNUMBER(BBG_Data!A615),BBG_Data!A615,"")</f>
        <v/>
      </c>
      <c r="B615" s="16">
        <f>IF(AND(ISNUMBER($A615),ISNUMBER(BBG_Data!B615)),BBG_Data!B615,NA())</f>
        <v/>
      </c>
      <c r="C615" s="16">
        <f>IF(AND(ISNUMBER($A615),ISNUMBER(BBG_Data!C615)),BBG_Data!C615,NA())</f>
        <v/>
      </c>
      <c r="D615" s="17">
        <f>IF(AND(ISNUMBER($A615),ISNUMBER(BBG_Data!D615)),BBG_Data!D615,NA())</f>
        <v/>
      </c>
      <c r="E615" s="17">
        <f>IF(AND(ISNUMBER($A615),ISNUMBER(BBG_Data!E615)),BBG_Data!E615,NA())</f>
        <v/>
      </c>
      <c r="F615" s="18">
        <f>IF(AND(ISNUMBER(B615),ISNUMBER(B614)),(B615-B614)*100,"")</f>
        <v/>
      </c>
      <c r="G615" s="18">
        <f>IF(AND(ISNUMBER(C615),ISNUMBER(C614)),(C615-C614)*100,"")</f>
        <v/>
      </c>
      <c r="H615" s="18">
        <f>IF(OR(NOT(ISNUMBER($A615)),ROW()-2&lt;Settings!$B$11),NA(),IF(COUNT(OFFSET(F615,1-Settings!$B$11,0,Settings!$B$11,1))&lt;Settings!$B$11,NA(),STDEV(OFFSET(F615,1-Settings!$B$11,0,Settings!$B$11,1))*SQRT(Settings!$B$13)))</f>
        <v/>
      </c>
      <c r="I615" s="18">
        <f>IF(OR(NOT(ISNUMBER($A615)),ROW()-2&lt;Settings!$B$12),NA(),IF(COUNT(OFFSET(F615,1-Settings!$B$12,0,Settings!$B$12,1))&lt;Settings!$B$12,NA(),STDEV(OFFSET(F615,1-Settings!$B$12,0,Settings!$B$12,1))*SQRT(Settings!$B$13)))</f>
        <v/>
      </c>
      <c r="J615" s="18">
        <f>IF(OR(NOT(ISNUMBER($A615)),ROW()-2&lt;Settings!$B$11),NA(),IF(COUNT(OFFSET(G615,1-Settings!$B$11,0,Settings!$B$11,1))&lt;Settings!$B$11,NA(),STDEV(OFFSET(G615,1-Settings!$B$11,0,Settings!$B$11,1))*SQRT(Settings!$B$13)))</f>
        <v/>
      </c>
      <c r="K615" s="18">
        <f>IF(OR(NOT(ISNUMBER($A615)),ROW()-2&lt;Settings!$B$12),NA(),IF(COUNT(OFFSET(G615,1-Settings!$B$12,0,Settings!$B$12,1))&lt;Settings!$B$12,NA(),STDEV(OFFSET(G615,1-Settings!$B$12,0,Settings!$B$12,1))*SQRT(Settings!$B$13)))</f>
        <v/>
      </c>
      <c r="L615" s="18">
        <f>IF(AND(ISNUMBER(D615),ISNUMBER(H615)),D615-H615,NA())</f>
        <v/>
      </c>
      <c r="M615" s="18">
        <f>IF(AND(ISNUMBER(E615),ISNUMBER(K615)),E615-K615,NA())</f>
        <v/>
      </c>
      <c r="N615" s="18">
        <f>IF(NOT(ISNUMBER($A615)),NA(),IF(COUNT(OFFSET(G615,1,0,Settings!$B$12,1))&lt;Settings!$B$12,NA(),STDEV(OFFSET(G615,1,0,Settings!$B$12,1))*SQRT(Settings!$B$13)))</f>
        <v/>
      </c>
      <c r="O615" s="18">
        <f>IF(AND(ISNUMBER(E615),ISNUMBER(N615)),E615-N615,NA())</f>
        <v/>
      </c>
      <c r="P615" s="17">
        <f>IF(NOT(ISNUMBER($A615)),NA(),IF(OR($A615&lt;MIN(KW_TP!$A$2:$A$2501),$A615&gt;MAX(KW_TP!$A$2:$A$2501)),NA(),INDEX(KW_TP!$C$2:$C$2501,MATCH($A615,KW_TP!$A$2:$A$2501,1))))</f>
        <v/>
      </c>
    </row>
    <row r="616">
      <c r="A616" s="15">
        <f>IF(ISNUMBER(BBG_Data!A616),BBG_Data!A616,"")</f>
        <v/>
      </c>
      <c r="B616" s="16">
        <f>IF(AND(ISNUMBER($A616),ISNUMBER(BBG_Data!B616)),BBG_Data!B616,NA())</f>
        <v/>
      </c>
      <c r="C616" s="16">
        <f>IF(AND(ISNUMBER($A616),ISNUMBER(BBG_Data!C616)),BBG_Data!C616,NA())</f>
        <v/>
      </c>
      <c r="D616" s="17">
        <f>IF(AND(ISNUMBER($A616),ISNUMBER(BBG_Data!D616)),BBG_Data!D616,NA())</f>
        <v/>
      </c>
      <c r="E616" s="17">
        <f>IF(AND(ISNUMBER($A616),ISNUMBER(BBG_Data!E616)),BBG_Data!E616,NA())</f>
        <v/>
      </c>
      <c r="F616" s="18">
        <f>IF(AND(ISNUMBER(B616),ISNUMBER(B615)),(B616-B615)*100,"")</f>
        <v/>
      </c>
      <c r="G616" s="18">
        <f>IF(AND(ISNUMBER(C616),ISNUMBER(C615)),(C616-C615)*100,"")</f>
        <v/>
      </c>
      <c r="H616" s="18">
        <f>IF(OR(NOT(ISNUMBER($A616)),ROW()-2&lt;Settings!$B$11),NA(),IF(COUNT(OFFSET(F616,1-Settings!$B$11,0,Settings!$B$11,1))&lt;Settings!$B$11,NA(),STDEV(OFFSET(F616,1-Settings!$B$11,0,Settings!$B$11,1))*SQRT(Settings!$B$13)))</f>
        <v/>
      </c>
      <c r="I616" s="18">
        <f>IF(OR(NOT(ISNUMBER($A616)),ROW()-2&lt;Settings!$B$12),NA(),IF(COUNT(OFFSET(F616,1-Settings!$B$12,0,Settings!$B$12,1))&lt;Settings!$B$12,NA(),STDEV(OFFSET(F616,1-Settings!$B$12,0,Settings!$B$12,1))*SQRT(Settings!$B$13)))</f>
        <v/>
      </c>
      <c r="J616" s="18">
        <f>IF(OR(NOT(ISNUMBER($A616)),ROW()-2&lt;Settings!$B$11),NA(),IF(COUNT(OFFSET(G616,1-Settings!$B$11,0,Settings!$B$11,1))&lt;Settings!$B$11,NA(),STDEV(OFFSET(G616,1-Settings!$B$11,0,Settings!$B$11,1))*SQRT(Settings!$B$13)))</f>
        <v/>
      </c>
      <c r="K616" s="18">
        <f>IF(OR(NOT(ISNUMBER($A616)),ROW()-2&lt;Settings!$B$12),NA(),IF(COUNT(OFFSET(G616,1-Settings!$B$12,0,Settings!$B$12,1))&lt;Settings!$B$12,NA(),STDEV(OFFSET(G616,1-Settings!$B$12,0,Settings!$B$12,1))*SQRT(Settings!$B$13)))</f>
        <v/>
      </c>
      <c r="L616" s="18">
        <f>IF(AND(ISNUMBER(D616),ISNUMBER(H616)),D616-H616,NA())</f>
        <v/>
      </c>
      <c r="M616" s="18">
        <f>IF(AND(ISNUMBER(E616),ISNUMBER(K616)),E616-K616,NA())</f>
        <v/>
      </c>
      <c r="N616" s="18">
        <f>IF(NOT(ISNUMBER($A616)),NA(),IF(COUNT(OFFSET(G616,1,0,Settings!$B$12,1))&lt;Settings!$B$12,NA(),STDEV(OFFSET(G616,1,0,Settings!$B$12,1))*SQRT(Settings!$B$13)))</f>
        <v/>
      </c>
      <c r="O616" s="18">
        <f>IF(AND(ISNUMBER(E616),ISNUMBER(N616)),E616-N616,NA())</f>
        <v/>
      </c>
      <c r="P616" s="17">
        <f>IF(NOT(ISNUMBER($A616)),NA(),IF(OR($A616&lt;MIN(KW_TP!$A$2:$A$2501),$A616&gt;MAX(KW_TP!$A$2:$A$2501)),NA(),INDEX(KW_TP!$C$2:$C$2501,MATCH($A616,KW_TP!$A$2:$A$2501,1))))</f>
        <v/>
      </c>
    </row>
    <row r="617">
      <c r="A617" s="15">
        <f>IF(ISNUMBER(BBG_Data!A617),BBG_Data!A617,"")</f>
        <v/>
      </c>
      <c r="B617" s="16">
        <f>IF(AND(ISNUMBER($A617),ISNUMBER(BBG_Data!B617)),BBG_Data!B617,NA())</f>
        <v/>
      </c>
      <c r="C617" s="16">
        <f>IF(AND(ISNUMBER($A617),ISNUMBER(BBG_Data!C617)),BBG_Data!C617,NA())</f>
        <v/>
      </c>
      <c r="D617" s="17">
        <f>IF(AND(ISNUMBER($A617),ISNUMBER(BBG_Data!D617)),BBG_Data!D617,NA())</f>
        <v/>
      </c>
      <c r="E617" s="17">
        <f>IF(AND(ISNUMBER($A617),ISNUMBER(BBG_Data!E617)),BBG_Data!E617,NA())</f>
        <v/>
      </c>
      <c r="F617" s="18">
        <f>IF(AND(ISNUMBER(B617),ISNUMBER(B616)),(B617-B616)*100,"")</f>
        <v/>
      </c>
      <c r="G617" s="18">
        <f>IF(AND(ISNUMBER(C617),ISNUMBER(C616)),(C617-C616)*100,"")</f>
        <v/>
      </c>
      <c r="H617" s="18">
        <f>IF(OR(NOT(ISNUMBER($A617)),ROW()-2&lt;Settings!$B$11),NA(),IF(COUNT(OFFSET(F617,1-Settings!$B$11,0,Settings!$B$11,1))&lt;Settings!$B$11,NA(),STDEV(OFFSET(F617,1-Settings!$B$11,0,Settings!$B$11,1))*SQRT(Settings!$B$13)))</f>
        <v/>
      </c>
      <c r="I617" s="18">
        <f>IF(OR(NOT(ISNUMBER($A617)),ROW()-2&lt;Settings!$B$12),NA(),IF(COUNT(OFFSET(F617,1-Settings!$B$12,0,Settings!$B$12,1))&lt;Settings!$B$12,NA(),STDEV(OFFSET(F617,1-Settings!$B$12,0,Settings!$B$12,1))*SQRT(Settings!$B$13)))</f>
        <v/>
      </c>
      <c r="J617" s="18">
        <f>IF(OR(NOT(ISNUMBER($A617)),ROW()-2&lt;Settings!$B$11),NA(),IF(COUNT(OFFSET(G617,1-Settings!$B$11,0,Settings!$B$11,1))&lt;Settings!$B$11,NA(),STDEV(OFFSET(G617,1-Settings!$B$11,0,Settings!$B$11,1))*SQRT(Settings!$B$13)))</f>
        <v/>
      </c>
      <c r="K617" s="18">
        <f>IF(OR(NOT(ISNUMBER($A617)),ROW()-2&lt;Settings!$B$12),NA(),IF(COUNT(OFFSET(G617,1-Settings!$B$12,0,Settings!$B$12,1))&lt;Settings!$B$12,NA(),STDEV(OFFSET(G617,1-Settings!$B$12,0,Settings!$B$12,1))*SQRT(Settings!$B$13)))</f>
        <v/>
      </c>
      <c r="L617" s="18">
        <f>IF(AND(ISNUMBER(D617),ISNUMBER(H617)),D617-H617,NA())</f>
        <v/>
      </c>
      <c r="M617" s="18">
        <f>IF(AND(ISNUMBER(E617),ISNUMBER(K617)),E617-K617,NA())</f>
        <v/>
      </c>
      <c r="N617" s="18">
        <f>IF(NOT(ISNUMBER($A617)),NA(),IF(COUNT(OFFSET(G617,1,0,Settings!$B$12,1))&lt;Settings!$B$12,NA(),STDEV(OFFSET(G617,1,0,Settings!$B$12,1))*SQRT(Settings!$B$13)))</f>
        <v/>
      </c>
      <c r="O617" s="18">
        <f>IF(AND(ISNUMBER(E617),ISNUMBER(N617)),E617-N617,NA())</f>
        <v/>
      </c>
      <c r="P617" s="17">
        <f>IF(NOT(ISNUMBER($A617)),NA(),IF(OR($A617&lt;MIN(KW_TP!$A$2:$A$2501),$A617&gt;MAX(KW_TP!$A$2:$A$2501)),NA(),INDEX(KW_TP!$C$2:$C$2501,MATCH($A617,KW_TP!$A$2:$A$2501,1))))</f>
        <v/>
      </c>
    </row>
    <row r="618">
      <c r="A618" s="15">
        <f>IF(ISNUMBER(BBG_Data!A618),BBG_Data!A618,"")</f>
        <v/>
      </c>
      <c r="B618" s="16">
        <f>IF(AND(ISNUMBER($A618),ISNUMBER(BBG_Data!B618)),BBG_Data!B618,NA())</f>
        <v/>
      </c>
      <c r="C618" s="16">
        <f>IF(AND(ISNUMBER($A618),ISNUMBER(BBG_Data!C618)),BBG_Data!C618,NA())</f>
        <v/>
      </c>
      <c r="D618" s="17">
        <f>IF(AND(ISNUMBER($A618),ISNUMBER(BBG_Data!D618)),BBG_Data!D618,NA())</f>
        <v/>
      </c>
      <c r="E618" s="17">
        <f>IF(AND(ISNUMBER($A618),ISNUMBER(BBG_Data!E618)),BBG_Data!E618,NA())</f>
        <v/>
      </c>
      <c r="F618" s="18">
        <f>IF(AND(ISNUMBER(B618),ISNUMBER(B617)),(B618-B617)*100,"")</f>
        <v/>
      </c>
      <c r="G618" s="18">
        <f>IF(AND(ISNUMBER(C618),ISNUMBER(C617)),(C618-C617)*100,"")</f>
        <v/>
      </c>
      <c r="H618" s="18">
        <f>IF(OR(NOT(ISNUMBER($A618)),ROW()-2&lt;Settings!$B$11),NA(),IF(COUNT(OFFSET(F618,1-Settings!$B$11,0,Settings!$B$11,1))&lt;Settings!$B$11,NA(),STDEV(OFFSET(F618,1-Settings!$B$11,0,Settings!$B$11,1))*SQRT(Settings!$B$13)))</f>
        <v/>
      </c>
      <c r="I618" s="18">
        <f>IF(OR(NOT(ISNUMBER($A618)),ROW()-2&lt;Settings!$B$12),NA(),IF(COUNT(OFFSET(F618,1-Settings!$B$12,0,Settings!$B$12,1))&lt;Settings!$B$12,NA(),STDEV(OFFSET(F618,1-Settings!$B$12,0,Settings!$B$12,1))*SQRT(Settings!$B$13)))</f>
        <v/>
      </c>
      <c r="J618" s="18">
        <f>IF(OR(NOT(ISNUMBER($A618)),ROW()-2&lt;Settings!$B$11),NA(),IF(COUNT(OFFSET(G618,1-Settings!$B$11,0,Settings!$B$11,1))&lt;Settings!$B$11,NA(),STDEV(OFFSET(G618,1-Settings!$B$11,0,Settings!$B$11,1))*SQRT(Settings!$B$13)))</f>
        <v/>
      </c>
      <c r="K618" s="18">
        <f>IF(OR(NOT(ISNUMBER($A618)),ROW()-2&lt;Settings!$B$12),NA(),IF(COUNT(OFFSET(G618,1-Settings!$B$12,0,Settings!$B$12,1))&lt;Settings!$B$12,NA(),STDEV(OFFSET(G618,1-Settings!$B$12,0,Settings!$B$12,1))*SQRT(Settings!$B$13)))</f>
        <v/>
      </c>
      <c r="L618" s="18">
        <f>IF(AND(ISNUMBER(D618),ISNUMBER(H618)),D618-H618,NA())</f>
        <v/>
      </c>
      <c r="M618" s="18">
        <f>IF(AND(ISNUMBER(E618),ISNUMBER(K618)),E618-K618,NA())</f>
        <v/>
      </c>
      <c r="N618" s="18">
        <f>IF(NOT(ISNUMBER($A618)),NA(),IF(COUNT(OFFSET(G618,1,0,Settings!$B$12,1))&lt;Settings!$B$12,NA(),STDEV(OFFSET(G618,1,0,Settings!$B$12,1))*SQRT(Settings!$B$13)))</f>
        <v/>
      </c>
      <c r="O618" s="18">
        <f>IF(AND(ISNUMBER(E618),ISNUMBER(N618)),E618-N618,NA())</f>
        <v/>
      </c>
      <c r="P618" s="17">
        <f>IF(NOT(ISNUMBER($A618)),NA(),IF(OR($A618&lt;MIN(KW_TP!$A$2:$A$2501),$A618&gt;MAX(KW_TP!$A$2:$A$2501)),NA(),INDEX(KW_TP!$C$2:$C$2501,MATCH($A618,KW_TP!$A$2:$A$2501,1))))</f>
        <v/>
      </c>
    </row>
    <row r="619">
      <c r="A619" s="15">
        <f>IF(ISNUMBER(BBG_Data!A619),BBG_Data!A619,"")</f>
        <v/>
      </c>
      <c r="B619" s="16">
        <f>IF(AND(ISNUMBER($A619),ISNUMBER(BBG_Data!B619)),BBG_Data!B619,NA())</f>
        <v/>
      </c>
      <c r="C619" s="16">
        <f>IF(AND(ISNUMBER($A619),ISNUMBER(BBG_Data!C619)),BBG_Data!C619,NA())</f>
        <v/>
      </c>
      <c r="D619" s="17">
        <f>IF(AND(ISNUMBER($A619),ISNUMBER(BBG_Data!D619)),BBG_Data!D619,NA())</f>
        <v/>
      </c>
      <c r="E619" s="17">
        <f>IF(AND(ISNUMBER($A619),ISNUMBER(BBG_Data!E619)),BBG_Data!E619,NA())</f>
        <v/>
      </c>
      <c r="F619" s="18">
        <f>IF(AND(ISNUMBER(B619),ISNUMBER(B618)),(B619-B618)*100,"")</f>
        <v/>
      </c>
      <c r="G619" s="18">
        <f>IF(AND(ISNUMBER(C619),ISNUMBER(C618)),(C619-C618)*100,"")</f>
        <v/>
      </c>
      <c r="H619" s="18">
        <f>IF(OR(NOT(ISNUMBER($A619)),ROW()-2&lt;Settings!$B$11),NA(),IF(COUNT(OFFSET(F619,1-Settings!$B$11,0,Settings!$B$11,1))&lt;Settings!$B$11,NA(),STDEV(OFFSET(F619,1-Settings!$B$11,0,Settings!$B$11,1))*SQRT(Settings!$B$13)))</f>
        <v/>
      </c>
      <c r="I619" s="18">
        <f>IF(OR(NOT(ISNUMBER($A619)),ROW()-2&lt;Settings!$B$12),NA(),IF(COUNT(OFFSET(F619,1-Settings!$B$12,0,Settings!$B$12,1))&lt;Settings!$B$12,NA(),STDEV(OFFSET(F619,1-Settings!$B$12,0,Settings!$B$12,1))*SQRT(Settings!$B$13)))</f>
        <v/>
      </c>
      <c r="J619" s="18">
        <f>IF(OR(NOT(ISNUMBER($A619)),ROW()-2&lt;Settings!$B$11),NA(),IF(COUNT(OFFSET(G619,1-Settings!$B$11,0,Settings!$B$11,1))&lt;Settings!$B$11,NA(),STDEV(OFFSET(G619,1-Settings!$B$11,0,Settings!$B$11,1))*SQRT(Settings!$B$13)))</f>
        <v/>
      </c>
      <c r="K619" s="18">
        <f>IF(OR(NOT(ISNUMBER($A619)),ROW()-2&lt;Settings!$B$12),NA(),IF(COUNT(OFFSET(G619,1-Settings!$B$12,0,Settings!$B$12,1))&lt;Settings!$B$12,NA(),STDEV(OFFSET(G619,1-Settings!$B$12,0,Settings!$B$12,1))*SQRT(Settings!$B$13)))</f>
        <v/>
      </c>
      <c r="L619" s="18">
        <f>IF(AND(ISNUMBER(D619),ISNUMBER(H619)),D619-H619,NA())</f>
        <v/>
      </c>
      <c r="M619" s="18">
        <f>IF(AND(ISNUMBER(E619),ISNUMBER(K619)),E619-K619,NA())</f>
        <v/>
      </c>
      <c r="N619" s="18">
        <f>IF(NOT(ISNUMBER($A619)),NA(),IF(COUNT(OFFSET(G619,1,0,Settings!$B$12,1))&lt;Settings!$B$12,NA(),STDEV(OFFSET(G619,1,0,Settings!$B$12,1))*SQRT(Settings!$B$13)))</f>
        <v/>
      </c>
      <c r="O619" s="18">
        <f>IF(AND(ISNUMBER(E619),ISNUMBER(N619)),E619-N619,NA())</f>
        <v/>
      </c>
      <c r="P619" s="17">
        <f>IF(NOT(ISNUMBER($A619)),NA(),IF(OR($A619&lt;MIN(KW_TP!$A$2:$A$2501),$A619&gt;MAX(KW_TP!$A$2:$A$2501)),NA(),INDEX(KW_TP!$C$2:$C$2501,MATCH($A619,KW_TP!$A$2:$A$2501,1))))</f>
        <v/>
      </c>
    </row>
    <row r="620">
      <c r="A620" s="15">
        <f>IF(ISNUMBER(BBG_Data!A620),BBG_Data!A620,"")</f>
        <v/>
      </c>
      <c r="B620" s="16">
        <f>IF(AND(ISNUMBER($A620),ISNUMBER(BBG_Data!B620)),BBG_Data!B620,NA())</f>
        <v/>
      </c>
      <c r="C620" s="16">
        <f>IF(AND(ISNUMBER($A620),ISNUMBER(BBG_Data!C620)),BBG_Data!C620,NA())</f>
        <v/>
      </c>
      <c r="D620" s="17">
        <f>IF(AND(ISNUMBER($A620),ISNUMBER(BBG_Data!D620)),BBG_Data!D620,NA())</f>
        <v/>
      </c>
      <c r="E620" s="17">
        <f>IF(AND(ISNUMBER($A620),ISNUMBER(BBG_Data!E620)),BBG_Data!E620,NA())</f>
        <v/>
      </c>
      <c r="F620" s="18">
        <f>IF(AND(ISNUMBER(B620),ISNUMBER(B619)),(B620-B619)*100,"")</f>
        <v/>
      </c>
      <c r="G620" s="18">
        <f>IF(AND(ISNUMBER(C620),ISNUMBER(C619)),(C620-C619)*100,"")</f>
        <v/>
      </c>
      <c r="H620" s="18">
        <f>IF(OR(NOT(ISNUMBER($A620)),ROW()-2&lt;Settings!$B$11),NA(),IF(COUNT(OFFSET(F620,1-Settings!$B$11,0,Settings!$B$11,1))&lt;Settings!$B$11,NA(),STDEV(OFFSET(F620,1-Settings!$B$11,0,Settings!$B$11,1))*SQRT(Settings!$B$13)))</f>
        <v/>
      </c>
      <c r="I620" s="18">
        <f>IF(OR(NOT(ISNUMBER($A620)),ROW()-2&lt;Settings!$B$12),NA(),IF(COUNT(OFFSET(F620,1-Settings!$B$12,0,Settings!$B$12,1))&lt;Settings!$B$12,NA(),STDEV(OFFSET(F620,1-Settings!$B$12,0,Settings!$B$12,1))*SQRT(Settings!$B$13)))</f>
        <v/>
      </c>
      <c r="J620" s="18">
        <f>IF(OR(NOT(ISNUMBER($A620)),ROW()-2&lt;Settings!$B$11),NA(),IF(COUNT(OFFSET(G620,1-Settings!$B$11,0,Settings!$B$11,1))&lt;Settings!$B$11,NA(),STDEV(OFFSET(G620,1-Settings!$B$11,0,Settings!$B$11,1))*SQRT(Settings!$B$13)))</f>
        <v/>
      </c>
      <c r="K620" s="18">
        <f>IF(OR(NOT(ISNUMBER($A620)),ROW()-2&lt;Settings!$B$12),NA(),IF(COUNT(OFFSET(G620,1-Settings!$B$12,0,Settings!$B$12,1))&lt;Settings!$B$12,NA(),STDEV(OFFSET(G620,1-Settings!$B$12,0,Settings!$B$12,1))*SQRT(Settings!$B$13)))</f>
        <v/>
      </c>
      <c r="L620" s="18">
        <f>IF(AND(ISNUMBER(D620),ISNUMBER(H620)),D620-H620,NA())</f>
        <v/>
      </c>
      <c r="M620" s="18">
        <f>IF(AND(ISNUMBER(E620),ISNUMBER(K620)),E620-K620,NA())</f>
        <v/>
      </c>
      <c r="N620" s="18">
        <f>IF(NOT(ISNUMBER($A620)),NA(),IF(COUNT(OFFSET(G620,1,0,Settings!$B$12,1))&lt;Settings!$B$12,NA(),STDEV(OFFSET(G620,1,0,Settings!$B$12,1))*SQRT(Settings!$B$13)))</f>
        <v/>
      </c>
      <c r="O620" s="18">
        <f>IF(AND(ISNUMBER(E620),ISNUMBER(N620)),E620-N620,NA())</f>
        <v/>
      </c>
      <c r="P620" s="17">
        <f>IF(NOT(ISNUMBER($A620)),NA(),IF(OR($A620&lt;MIN(KW_TP!$A$2:$A$2501),$A620&gt;MAX(KW_TP!$A$2:$A$2501)),NA(),INDEX(KW_TP!$C$2:$C$2501,MATCH($A620,KW_TP!$A$2:$A$2501,1))))</f>
        <v/>
      </c>
    </row>
    <row r="621">
      <c r="A621" s="15">
        <f>IF(ISNUMBER(BBG_Data!A621),BBG_Data!A621,"")</f>
        <v/>
      </c>
      <c r="B621" s="16">
        <f>IF(AND(ISNUMBER($A621),ISNUMBER(BBG_Data!B621)),BBG_Data!B621,NA())</f>
        <v/>
      </c>
      <c r="C621" s="16">
        <f>IF(AND(ISNUMBER($A621),ISNUMBER(BBG_Data!C621)),BBG_Data!C621,NA())</f>
        <v/>
      </c>
      <c r="D621" s="17">
        <f>IF(AND(ISNUMBER($A621),ISNUMBER(BBG_Data!D621)),BBG_Data!D621,NA())</f>
        <v/>
      </c>
      <c r="E621" s="17">
        <f>IF(AND(ISNUMBER($A621),ISNUMBER(BBG_Data!E621)),BBG_Data!E621,NA())</f>
        <v/>
      </c>
      <c r="F621" s="18">
        <f>IF(AND(ISNUMBER(B621),ISNUMBER(B620)),(B621-B620)*100,"")</f>
        <v/>
      </c>
      <c r="G621" s="18">
        <f>IF(AND(ISNUMBER(C621),ISNUMBER(C620)),(C621-C620)*100,"")</f>
        <v/>
      </c>
      <c r="H621" s="18">
        <f>IF(OR(NOT(ISNUMBER($A621)),ROW()-2&lt;Settings!$B$11),NA(),IF(COUNT(OFFSET(F621,1-Settings!$B$11,0,Settings!$B$11,1))&lt;Settings!$B$11,NA(),STDEV(OFFSET(F621,1-Settings!$B$11,0,Settings!$B$11,1))*SQRT(Settings!$B$13)))</f>
        <v/>
      </c>
      <c r="I621" s="18">
        <f>IF(OR(NOT(ISNUMBER($A621)),ROW()-2&lt;Settings!$B$12),NA(),IF(COUNT(OFFSET(F621,1-Settings!$B$12,0,Settings!$B$12,1))&lt;Settings!$B$12,NA(),STDEV(OFFSET(F621,1-Settings!$B$12,0,Settings!$B$12,1))*SQRT(Settings!$B$13)))</f>
        <v/>
      </c>
      <c r="J621" s="18">
        <f>IF(OR(NOT(ISNUMBER($A621)),ROW()-2&lt;Settings!$B$11),NA(),IF(COUNT(OFFSET(G621,1-Settings!$B$11,0,Settings!$B$11,1))&lt;Settings!$B$11,NA(),STDEV(OFFSET(G621,1-Settings!$B$11,0,Settings!$B$11,1))*SQRT(Settings!$B$13)))</f>
        <v/>
      </c>
      <c r="K621" s="18">
        <f>IF(OR(NOT(ISNUMBER($A621)),ROW()-2&lt;Settings!$B$12),NA(),IF(COUNT(OFFSET(G621,1-Settings!$B$12,0,Settings!$B$12,1))&lt;Settings!$B$12,NA(),STDEV(OFFSET(G621,1-Settings!$B$12,0,Settings!$B$12,1))*SQRT(Settings!$B$13)))</f>
        <v/>
      </c>
      <c r="L621" s="18">
        <f>IF(AND(ISNUMBER(D621),ISNUMBER(H621)),D621-H621,NA())</f>
        <v/>
      </c>
      <c r="M621" s="18">
        <f>IF(AND(ISNUMBER(E621),ISNUMBER(K621)),E621-K621,NA())</f>
        <v/>
      </c>
      <c r="N621" s="18">
        <f>IF(NOT(ISNUMBER($A621)),NA(),IF(COUNT(OFFSET(G621,1,0,Settings!$B$12,1))&lt;Settings!$B$12,NA(),STDEV(OFFSET(G621,1,0,Settings!$B$12,1))*SQRT(Settings!$B$13)))</f>
        <v/>
      </c>
      <c r="O621" s="18">
        <f>IF(AND(ISNUMBER(E621),ISNUMBER(N621)),E621-N621,NA())</f>
        <v/>
      </c>
      <c r="P621" s="17">
        <f>IF(NOT(ISNUMBER($A621)),NA(),IF(OR($A621&lt;MIN(KW_TP!$A$2:$A$2501),$A621&gt;MAX(KW_TP!$A$2:$A$2501)),NA(),INDEX(KW_TP!$C$2:$C$2501,MATCH($A621,KW_TP!$A$2:$A$2501,1))))</f>
        <v/>
      </c>
    </row>
    <row r="622">
      <c r="A622" s="15">
        <f>IF(ISNUMBER(BBG_Data!A622),BBG_Data!A622,"")</f>
        <v/>
      </c>
      <c r="B622" s="16">
        <f>IF(AND(ISNUMBER($A622),ISNUMBER(BBG_Data!B622)),BBG_Data!B622,NA())</f>
        <v/>
      </c>
      <c r="C622" s="16">
        <f>IF(AND(ISNUMBER($A622),ISNUMBER(BBG_Data!C622)),BBG_Data!C622,NA())</f>
        <v/>
      </c>
      <c r="D622" s="17">
        <f>IF(AND(ISNUMBER($A622),ISNUMBER(BBG_Data!D622)),BBG_Data!D622,NA())</f>
        <v/>
      </c>
      <c r="E622" s="17">
        <f>IF(AND(ISNUMBER($A622),ISNUMBER(BBG_Data!E622)),BBG_Data!E622,NA())</f>
        <v/>
      </c>
      <c r="F622" s="18">
        <f>IF(AND(ISNUMBER(B622),ISNUMBER(B621)),(B622-B621)*100,"")</f>
        <v/>
      </c>
      <c r="G622" s="18">
        <f>IF(AND(ISNUMBER(C622),ISNUMBER(C621)),(C622-C621)*100,"")</f>
        <v/>
      </c>
      <c r="H622" s="18">
        <f>IF(OR(NOT(ISNUMBER($A622)),ROW()-2&lt;Settings!$B$11),NA(),IF(COUNT(OFFSET(F622,1-Settings!$B$11,0,Settings!$B$11,1))&lt;Settings!$B$11,NA(),STDEV(OFFSET(F622,1-Settings!$B$11,0,Settings!$B$11,1))*SQRT(Settings!$B$13)))</f>
        <v/>
      </c>
      <c r="I622" s="18">
        <f>IF(OR(NOT(ISNUMBER($A622)),ROW()-2&lt;Settings!$B$12),NA(),IF(COUNT(OFFSET(F622,1-Settings!$B$12,0,Settings!$B$12,1))&lt;Settings!$B$12,NA(),STDEV(OFFSET(F622,1-Settings!$B$12,0,Settings!$B$12,1))*SQRT(Settings!$B$13)))</f>
        <v/>
      </c>
      <c r="J622" s="18">
        <f>IF(OR(NOT(ISNUMBER($A622)),ROW()-2&lt;Settings!$B$11),NA(),IF(COUNT(OFFSET(G622,1-Settings!$B$11,0,Settings!$B$11,1))&lt;Settings!$B$11,NA(),STDEV(OFFSET(G622,1-Settings!$B$11,0,Settings!$B$11,1))*SQRT(Settings!$B$13)))</f>
        <v/>
      </c>
      <c r="K622" s="18">
        <f>IF(OR(NOT(ISNUMBER($A622)),ROW()-2&lt;Settings!$B$12),NA(),IF(COUNT(OFFSET(G622,1-Settings!$B$12,0,Settings!$B$12,1))&lt;Settings!$B$12,NA(),STDEV(OFFSET(G622,1-Settings!$B$12,0,Settings!$B$12,1))*SQRT(Settings!$B$13)))</f>
        <v/>
      </c>
      <c r="L622" s="18">
        <f>IF(AND(ISNUMBER(D622),ISNUMBER(H622)),D622-H622,NA())</f>
        <v/>
      </c>
      <c r="M622" s="18">
        <f>IF(AND(ISNUMBER(E622),ISNUMBER(K622)),E622-K622,NA())</f>
        <v/>
      </c>
      <c r="N622" s="18">
        <f>IF(NOT(ISNUMBER($A622)),NA(),IF(COUNT(OFFSET(G622,1,0,Settings!$B$12,1))&lt;Settings!$B$12,NA(),STDEV(OFFSET(G622,1,0,Settings!$B$12,1))*SQRT(Settings!$B$13)))</f>
        <v/>
      </c>
      <c r="O622" s="18">
        <f>IF(AND(ISNUMBER(E622),ISNUMBER(N622)),E622-N622,NA())</f>
        <v/>
      </c>
      <c r="P622" s="17">
        <f>IF(NOT(ISNUMBER($A622)),NA(),IF(OR($A622&lt;MIN(KW_TP!$A$2:$A$2501),$A622&gt;MAX(KW_TP!$A$2:$A$2501)),NA(),INDEX(KW_TP!$C$2:$C$2501,MATCH($A622,KW_TP!$A$2:$A$2501,1))))</f>
        <v/>
      </c>
    </row>
    <row r="623">
      <c r="A623" s="15">
        <f>IF(ISNUMBER(BBG_Data!A623),BBG_Data!A623,"")</f>
        <v/>
      </c>
      <c r="B623" s="16">
        <f>IF(AND(ISNUMBER($A623),ISNUMBER(BBG_Data!B623)),BBG_Data!B623,NA())</f>
        <v/>
      </c>
      <c r="C623" s="16">
        <f>IF(AND(ISNUMBER($A623),ISNUMBER(BBG_Data!C623)),BBG_Data!C623,NA())</f>
        <v/>
      </c>
      <c r="D623" s="17">
        <f>IF(AND(ISNUMBER($A623),ISNUMBER(BBG_Data!D623)),BBG_Data!D623,NA())</f>
        <v/>
      </c>
      <c r="E623" s="17">
        <f>IF(AND(ISNUMBER($A623),ISNUMBER(BBG_Data!E623)),BBG_Data!E623,NA())</f>
        <v/>
      </c>
      <c r="F623" s="18">
        <f>IF(AND(ISNUMBER(B623),ISNUMBER(B622)),(B623-B622)*100,"")</f>
        <v/>
      </c>
      <c r="G623" s="18">
        <f>IF(AND(ISNUMBER(C623),ISNUMBER(C622)),(C623-C622)*100,"")</f>
        <v/>
      </c>
      <c r="H623" s="18">
        <f>IF(OR(NOT(ISNUMBER($A623)),ROW()-2&lt;Settings!$B$11),NA(),IF(COUNT(OFFSET(F623,1-Settings!$B$11,0,Settings!$B$11,1))&lt;Settings!$B$11,NA(),STDEV(OFFSET(F623,1-Settings!$B$11,0,Settings!$B$11,1))*SQRT(Settings!$B$13)))</f>
        <v/>
      </c>
      <c r="I623" s="18">
        <f>IF(OR(NOT(ISNUMBER($A623)),ROW()-2&lt;Settings!$B$12),NA(),IF(COUNT(OFFSET(F623,1-Settings!$B$12,0,Settings!$B$12,1))&lt;Settings!$B$12,NA(),STDEV(OFFSET(F623,1-Settings!$B$12,0,Settings!$B$12,1))*SQRT(Settings!$B$13)))</f>
        <v/>
      </c>
      <c r="J623" s="18">
        <f>IF(OR(NOT(ISNUMBER($A623)),ROW()-2&lt;Settings!$B$11),NA(),IF(COUNT(OFFSET(G623,1-Settings!$B$11,0,Settings!$B$11,1))&lt;Settings!$B$11,NA(),STDEV(OFFSET(G623,1-Settings!$B$11,0,Settings!$B$11,1))*SQRT(Settings!$B$13)))</f>
        <v/>
      </c>
      <c r="K623" s="18">
        <f>IF(OR(NOT(ISNUMBER($A623)),ROW()-2&lt;Settings!$B$12),NA(),IF(COUNT(OFFSET(G623,1-Settings!$B$12,0,Settings!$B$12,1))&lt;Settings!$B$12,NA(),STDEV(OFFSET(G623,1-Settings!$B$12,0,Settings!$B$12,1))*SQRT(Settings!$B$13)))</f>
        <v/>
      </c>
      <c r="L623" s="18">
        <f>IF(AND(ISNUMBER(D623),ISNUMBER(H623)),D623-H623,NA())</f>
        <v/>
      </c>
      <c r="M623" s="18">
        <f>IF(AND(ISNUMBER(E623),ISNUMBER(K623)),E623-K623,NA())</f>
        <v/>
      </c>
      <c r="N623" s="18">
        <f>IF(NOT(ISNUMBER($A623)),NA(),IF(COUNT(OFFSET(G623,1,0,Settings!$B$12,1))&lt;Settings!$B$12,NA(),STDEV(OFFSET(G623,1,0,Settings!$B$12,1))*SQRT(Settings!$B$13)))</f>
        <v/>
      </c>
      <c r="O623" s="18">
        <f>IF(AND(ISNUMBER(E623),ISNUMBER(N623)),E623-N623,NA())</f>
        <v/>
      </c>
      <c r="P623" s="17">
        <f>IF(NOT(ISNUMBER($A623)),NA(),IF(OR($A623&lt;MIN(KW_TP!$A$2:$A$2501),$A623&gt;MAX(KW_TP!$A$2:$A$2501)),NA(),INDEX(KW_TP!$C$2:$C$2501,MATCH($A623,KW_TP!$A$2:$A$2501,1))))</f>
        <v/>
      </c>
    </row>
    <row r="624">
      <c r="A624" s="15">
        <f>IF(ISNUMBER(BBG_Data!A624),BBG_Data!A624,"")</f>
        <v/>
      </c>
      <c r="B624" s="16">
        <f>IF(AND(ISNUMBER($A624),ISNUMBER(BBG_Data!B624)),BBG_Data!B624,NA())</f>
        <v/>
      </c>
      <c r="C624" s="16">
        <f>IF(AND(ISNUMBER($A624),ISNUMBER(BBG_Data!C624)),BBG_Data!C624,NA())</f>
        <v/>
      </c>
      <c r="D624" s="17">
        <f>IF(AND(ISNUMBER($A624),ISNUMBER(BBG_Data!D624)),BBG_Data!D624,NA())</f>
        <v/>
      </c>
      <c r="E624" s="17">
        <f>IF(AND(ISNUMBER($A624),ISNUMBER(BBG_Data!E624)),BBG_Data!E624,NA())</f>
        <v/>
      </c>
      <c r="F624" s="18">
        <f>IF(AND(ISNUMBER(B624),ISNUMBER(B623)),(B624-B623)*100,"")</f>
        <v/>
      </c>
      <c r="G624" s="18">
        <f>IF(AND(ISNUMBER(C624),ISNUMBER(C623)),(C624-C623)*100,"")</f>
        <v/>
      </c>
      <c r="H624" s="18">
        <f>IF(OR(NOT(ISNUMBER($A624)),ROW()-2&lt;Settings!$B$11),NA(),IF(COUNT(OFFSET(F624,1-Settings!$B$11,0,Settings!$B$11,1))&lt;Settings!$B$11,NA(),STDEV(OFFSET(F624,1-Settings!$B$11,0,Settings!$B$11,1))*SQRT(Settings!$B$13)))</f>
        <v/>
      </c>
      <c r="I624" s="18">
        <f>IF(OR(NOT(ISNUMBER($A624)),ROW()-2&lt;Settings!$B$12),NA(),IF(COUNT(OFFSET(F624,1-Settings!$B$12,0,Settings!$B$12,1))&lt;Settings!$B$12,NA(),STDEV(OFFSET(F624,1-Settings!$B$12,0,Settings!$B$12,1))*SQRT(Settings!$B$13)))</f>
        <v/>
      </c>
      <c r="J624" s="18">
        <f>IF(OR(NOT(ISNUMBER($A624)),ROW()-2&lt;Settings!$B$11),NA(),IF(COUNT(OFFSET(G624,1-Settings!$B$11,0,Settings!$B$11,1))&lt;Settings!$B$11,NA(),STDEV(OFFSET(G624,1-Settings!$B$11,0,Settings!$B$11,1))*SQRT(Settings!$B$13)))</f>
        <v/>
      </c>
      <c r="K624" s="18">
        <f>IF(OR(NOT(ISNUMBER($A624)),ROW()-2&lt;Settings!$B$12),NA(),IF(COUNT(OFFSET(G624,1-Settings!$B$12,0,Settings!$B$12,1))&lt;Settings!$B$12,NA(),STDEV(OFFSET(G624,1-Settings!$B$12,0,Settings!$B$12,1))*SQRT(Settings!$B$13)))</f>
        <v/>
      </c>
      <c r="L624" s="18">
        <f>IF(AND(ISNUMBER(D624),ISNUMBER(H624)),D624-H624,NA())</f>
        <v/>
      </c>
      <c r="M624" s="18">
        <f>IF(AND(ISNUMBER(E624),ISNUMBER(K624)),E624-K624,NA())</f>
        <v/>
      </c>
      <c r="N624" s="18">
        <f>IF(NOT(ISNUMBER($A624)),NA(),IF(COUNT(OFFSET(G624,1,0,Settings!$B$12,1))&lt;Settings!$B$12,NA(),STDEV(OFFSET(G624,1,0,Settings!$B$12,1))*SQRT(Settings!$B$13)))</f>
        <v/>
      </c>
      <c r="O624" s="18">
        <f>IF(AND(ISNUMBER(E624),ISNUMBER(N624)),E624-N624,NA())</f>
        <v/>
      </c>
      <c r="P624" s="17">
        <f>IF(NOT(ISNUMBER($A624)),NA(),IF(OR($A624&lt;MIN(KW_TP!$A$2:$A$2501),$A624&gt;MAX(KW_TP!$A$2:$A$2501)),NA(),INDEX(KW_TP!$C$2:$C$2501,MATCH($A624,KW_TP!$A$2:$A$2501,1))))</f>
        <v/>
      </c>
    </row>
    <row r="625">
      <c r="A625" s="15">
        <f>IF(ISNUMBER(BBG_Data!A625),BBG_Data!A625,"")</f>
        <v/>
      </c>
      <c r="B625" s="16">
        <f>IF(AND(ISNUMBER($A625),ISNUMBER(BBG_Data!B625)),BBG_Data!B625,NA())</f>
        <v/>
      </c>
      <c r="C625" s="16">
        <f>IF(AND(ISNUMBER($A625),ISNUMBER(BBG_Data!C625)),BBG_Data!C625,NA())</f>
        <v/>
      </c>
      <c r="D625" s="17">
        <f>IF(AND(ISNUMBER($A625),ISNUMBER(BBG_Data!D625)),BBG_Data!D625,NA())</f>
        <v/>
      </c>
      <c r="E625" s="17">
        <f>IF(AND(ISNUMBER($A625),ISNUMBER(BBG_Data!E625)),BBG_Data!E625,NA())</f>
        <v/>
      </c>
      <c r="F625" s="18">
        <f>IF(AND(ISNUMBER(B625),ISNUMBER(B624)),(B625-B624)*100,"")</f>
        <v/>
      </c>
      <c r="G625" s="18">
        <f>IF(AND(ISNUMBER(C625),ISNUMBER(C624)),(C625-C624)*100,"")</f>
        <v/>
      </c>
      <c r="H625" s="18">
        <f>IF(OR(NOT(ISNUMBER($A625)),ROW()-2&lt;Settings!$B$11),NA(),IF(COUNT(OFFSET(F625,1-Settings!$B$11,0,Settings!$B$11,1))&lt;Settings!$B$11,NA(),STDEV(OFFSET(F625,1-Settings!$B$11,0,Settings!$B$11,1))*SQRT(Settings!$B$13)))</f>
        <v/>
      </c>
      <c r="I625" s="18">
        <f>IF(OR(NOT(ISNUMBER($A625)),ROW()-2&lt;Settings!$B$12),NA(),IF(COUNT(OFFSET(F625,1-Settings!$B$12,0,Settings!$B$12,1))&lt;Settings!$B$12,NA(),STDEV(OFFSET(F625,1-Settings!$B$12,0,Settings!$B$12,1))*SQRT(Settings!$B$13)))</f>
        <v/>
      </c>
      <c r="J625" s="18">
        <f>IF(OR(NOT(ISNUMBER($A625)),ROW()-2&lt;Settings!$B$11),NA(),IF(COUNT(OFFSET(G625,1-Settings!$B$11,0,Settings!$B$11,1))&lt;Settings!$B$11,NA(),STDEV(OFFSET(G625,1-Settings!$B$11,0,Settings!$B$11,1))*SQRT(Settings!$B$13)))</f>
        <v/>
      </c>
      <c r="K625" s="18">
        <f>IF(OR(NOT(ISNUMBER($A625)),ROW()-2&lt;Settings!$B$12),NA(),IF(COUNT(OFFSET(G625,1-Settings!$B$12,0,Settings!$B$12,1))&lt;Settings!$B$12,NA(),STDEV(OFFSET(G625,1-Settings!$B$12,0,Settings!$B$12,1))*SQRT(Settings!$B$13)))</f>
        <v/>
      </c>
      <c r="L625" s="18">
        <f>IF(AND(ISNUMBER(D625),ISNUMBER(H625)),D625-H625,NA())</f>
        <v/>
      </c>
      <c r="M625" s="18">
        <f>IF(AND(ISNUMBER(E625),ISNUMBER(K625)),E625-K625,NA())</f>
        <v/>
      </c>
      <c r="N625" s="18">
        <f>IF(NOT(ISNUMBER($A625)),NA(),IF(COUNT(OFFSET(G625,1,0,Settings!$B$12,1))&lt;Settings!$B$12,NA(),STDEV(OFFSET(G625,1,0,Settings!$B$12,1))*SQRT(Settings!$B$13)))</f>
        <v/>
      </c>
      <c r="O625" s="18">
        <f>IF(AND(ISNUMBER(E625),ISNUMBER(N625)),E625-N625,NA())</f>
        <v/>
      </c>
      <c r="P625" s="17">
        <f>IF(NOT(ISNUMBER($A625)),NA(),IF(OR($A625&lt;MIN(KW_TP!$A$2:$A$2501),$A625&gt;MAX(KW_TP!$A$2:$A$2501)),NA(),INDEX(KW_TP!$C$2:$C$2501,MATCH($A625,KW_TP!$A$2:$A$2501,1))))</f>
        <v/>
      </c>
    </row>
    <row r="626">
      <c r="A626" s="15">
        <f>IF(ISNUMBER(BBG_Data!A626),BBG_Data!A626,"")</f>
        <v/>
      </c>
      <c r="B626" s="16">
        <f>IF(AND(ISNUMBER($A626),ISNUMBER(BBG_Data!B626)),BBG_Data!B626,NA())</f>
        <v/>
      </c>
      <c r="C626" s="16">
        <f>IF(AND(ISNUMBER($A626),ISNUMBER(BBG_Data!C626)),BBG_Data!C626,NA())</f>
        <v/>
      </c>
      <c r="D626" s="17">
        <f>IF(AND(ISNUMBER($A626),ISNUMBER(BBG_Data!D626)),BBG_Data!D626,NA())</f>
        <v/>
      </c>
      <c r="E626" s="17">
        <f>IF(AND(ISNUMBER($A626),ISNUMBER(BBG_Data!E626)),BBG_Data!E626,NA())</f>
        <v/>
      </c>
      <c r="F626" s="18">
        <f>IF(AND(ISNUMBER(B626),ISNUMBER(B625)),(B626-B625)*100,"")</f>
        <v/>
      </c>
      <c r="G626" s="18">
        <f>IF(AND(ISNUMBER(C626),ISNUMBER(C625)),(C626-C625)*100,"")</f>
        <v/>
      </c>
      <c r="H626" s="18">
        <f>IF(OR(NOT(ISNUMBER($A626)),ROW()-2&lt;Settings!$B$11),NA(),IF(COUNT(OFFSET(F626,1-Settings!$B$11,0,Settings!$B$11,1))&lt;Settings!$B$11,NA(),STDEV(OFFSET(F626,1-Settings!$B$11,0,Settings!$B$11,1))*SQRT(Settings!$B$13)))</f>
        <v/>
      </c>
      <c r="I626" s="18">
        <f>IF(OR(NOT(ISNUMBER($A626)),ROW()-2&lt;Settings!$B$12),NA(),IF(COUNT(OFFSET(F626,1-Settings!$B$12,0,Settings!$B$12,1))&lt;Settings!$B$12,NA(),STDEV(OFFSET(F626,1-Settings!$B$12,0,Settings!$B$12,1))*SQRT(Settings!$B$13)))</f>
        <v/>
      </c>
      <c r="J626" s="18">
        <f>IF(OR(NOT(ISNUMBER($A626)),ROW()-2&lt;Settings!$B$11),NA(),IF(COUNT(OFFSET(G626,1-Settings!$B$11,0,Settings!$B$11,1))&lt;Settings!$B$11,NA(),STDEV(OFFSET(G626,1-Settings!$B$11,0,Settings!$B$11,1))*SQRT(Settings!$B$13)))</f>
        <v/>
      </c>
      <c r="K626" s="18">
        <f>IF(OR(NOT(ISNUMBER($A626)),ROW()-2&lt;Settings!$B$12),NA(),IF(COUNT(OFFSET(G626,1-Settings!$B$12,0,Settings!$B$12,1))&lt;Settings!$B$12,NA(),STDEV(OFFSET(G626,1-Settings!$B$12,0,Settings!$B$12,1))*SQRT(Settings!$B$13)))</f>
        <v/>
      </c>
      <c r="L626" s="18">
        <f>IF(AND(ISNUMBER(D626),ISNUMBER(H626)),D626-H626,NA())</f>
        <v/>
      </c>
      <c r="M626" s="18">
        <f>IF(AND(ISNUMBER(E626),ISNUMBER(K626)),E626-K626,NA())</f>
        <v/>
      </c>
      <c r="N626" s="18">
        <f>IF(NOT(ISNUMBER($A626)),NA(),IF(COUNT(OFFSET(G626,1,0,Settings!$B$12,1))&lt;Settings!$B$12,NA(),STDEV(OFFSET(G626,1,0,Settings!$B$12,1))*SQRT(Settings!$B$13)))</f>
        <v/>
      </c>
      <c r="O626" s="18">
        <f>IF(AND(ISNUMBER(E626),ISNUMBER(N626)),E626-N626,NA())</f>
        <v/>
      </c>
      <c r="P626" s="17">
        <f>IF(NOT(ISNUMBER($A626)),NA(),IF(OR($A626&lt;MIN(KW_TP!$A$2:$A$2501),$A626&gt;MAX(KW_TP!$A$2:$A$2501)),NA(),INDEX(KW_TP!$C$2:$C$2501,MATCH($A626,KW_TP!$A$2:$A$2501,1))))</f>
        <v/>
      </c>
    </row>
    <row r="627">
      <c r="A627" s="15">
        <f>IF(ISNUMBER(BBG_Data!A627),BBG_Data!A627,"")</f>
        <v/>
      </c>
      <c r="B627" s="16">
        <f>IF(AND(ISNUMBER($A627),ISNUMBER(BBG_Data!B627)),BBG_Data!B627,NA())</f>
        <v/>
      </c>
      <c r="C627" s="16">
        <f>IF(AND(ISNUMBER($A627),ISNUMBER(BBG_Data!C627)),BBG_Data!C627,NA())</f>
        <v/>
      </c>
      <c r="D627" s="17">
        <f>IF(AND(ISNUMBER($A627),ISNUMBER(BBG_Data!D627)),BBG_Data!D627,NA())</f>
        <v/>
      </c>
      <c r="E627" s="17">
        <f>IF(AND(ISNUMBER($A627),ISNUMBER(BBG_Data!E627)),BBG_Data!E627,NA())</f>
        <v/>
      </c>
      <c r="F627" s="18">
        <f>IF(AND(ISNUMBER(B627),ISNUMBER(B626)),(B627-B626)*100,"")</f>
        <v/>
      </c>
      <c r="G627" s="18">
        <f>IF(AND(ISNUMBER(C627),ISNUMBER(C626)),(C627-C626)*100,"")</f>
        <v/>
      </c>
      <c r="H627" s="18">
        <f>IF(OR(NOT(ISNUMBER($A627)),ROW()-2&lt;Settings!$B$11),NA(),IF(COUNT(OFFSET(F627,1-Settings!$B$11,0,Settings!$B$11,1))&lt;Settings!$B$11,NA(),STDEV(OFFSET(F627,1-Settings!$B$11,0,Settings!$B$11,1))*SQRT(Settings!$B$13)))</f>
        <v/>
      </c>
      <c r="I627" s="18">
        <f>IF(OR(NOT(ISNUMBER($A627)),ROW()-2&lt;Settings!$B$12),NA(),IF(COUNT(OFFSET(F627,1-Settings!$B$12,0,Settings!$B$12,1))&lt;Settings!$B$12,NA(),STDEV(OFFSET(F627,1-Settings!$B$12,0,Settings!$B$12,1))*SQRT(Settings!$B$13)))</f>
        <v/>
      </c>
      <c r="J627" s="18">
        <f>IF(OR(NOT(ISNUMBER($A627)),ROW()-2&lt;Settings!$B$11),NA(),IF(COUNT(OFFSET(G627,1-Settings!$B$11,0,Settings!$B$11,1))&lt;Settings!$B$11,NA(),STDEV(OFFSET(G627,1-Settings!$B$11,0,Settings!$B$11,1))*SQRT(Settings!$B$13)))</f>
        <v/>
      </c>
      <c r="K627" s="18">
        <f>IF(OR(NOT(ISNUMBER($A627)),ROW()-2&lt;Settings!$B$12),NA(),IF(COUNT(OFFSET(G627,1-Settings!$B$12,0,Settings!$B$12,1))&lt;Settings!$B$12,NA(),STDEV(OFFSET(G627,1-Settings!$B$12,0,Settings!$B$12,1))*SQRT(Settings!$B$13)))</f>
        <v/>
      </c>
      <c r="L627" s="18">
        <f>IF(AND(ISNUMBER(D627),ISNUMBER(H627)),D627-H627,NA())</f>
        <v/>
      </c>
      <c r="M627" s="18">
        <f>IF(AND(ISNUMBER(E627),ISNUMBER(K627)),E627-K627,NA())</f>
        <v/>
      </c>
      <c r="N627" s="18">
        <f>IF(NOT(ISNUMBER($A627)),NA(),IF(COUNT(OFFSET(G627,1,0,Settings!$B$12,1))&lt;Settings!$B$12,NA(),STDEV(OFFSET(G627,1,0,Settings!$B$12,1))*SQRT(Settings!$B$13)))</f>
        <v/>
      </c>
      <c r="O627" s="18">
        <f>IF(AND(ISNUMBER(E627),ISNUMBER(N627)),E627-N627,NA())</f>
        <v/>
      </c>
      <c r="P627" s="17">
        <f>IF(NOT(ISNUMBER($A627)),NA(),IF(OR($A627&lt;MIN(KW_TP!$A$2:$A$2501),$A627&gt;MAX(KW_TP!$A$2:$A$2501)),NA(),INDEX(KW_TP!$C$2:$C$2501,MATCH($A627,KW_TP!$A$2:$A$2501,1))))</f>
        <v/>
      </c>
    </row>
    <row r="628">
      <c r="A628" s="15">
        <f>IF(ISNUMBER(BBG_Data!A628),BBG_Data!A628,"")</f>
        <v/>
      </c>
      <c r="B628" s="16">
        <f>IF(AND(ISNUMBER($A628),ISNUMBER(BBG_Data!B628)),BBG_Data!B628,NA())</f>
        <v/>
      </c>
      <c r="C628" s="16">
        <f>IF(AND(ISNUMBER($A628),ISNUMBER(BBG_Data!C628)),BBG_Data!C628,NA())</f>
        <v/>
      </c>
      <c r="D628" s="17">
        <f>IF(AND(ISNUMBER($A628),ISNUMBER(BBG_Data!D628)),BBG_Data!D628,NA())</f>
        <v/>
      </c>
      <c r="E628" s="17">
        <f>IF(AND(ISNUMBER($A628),ISNUMBER(BBG_Data!E628)),BBG_Data!E628,NA())</f>
        <v/>
      </c>
      <c r="F628" s="18">
        <f>IF(AND(ISNUMBER(B628),ISNUMBER(B627)),(B628-B627)*100,"")</f>
        <v/>
      </c>
      <c r="G628" s="18">
        <f>IF(AND(ISNUMBER(C628),ISNUMBER(C627)),(C628-C627)*100,"")</f>
        <v/>
      </c>
      <c r="H628" s="18">
        <f>IF(OR(NOT(ISNUMBER($A628)),ROW()-2&lt;Settings!$B$11),NA(),IF(COUNT(OFFSET(F628,1-Settings!$B$11,0,Settings!$B$11,1))&lt;Settings!$B$11,NA(),STDEV(OFFSET(F628,1-Settings!$B$11,0,Settings!$B$11,1))*SQRT(Settings!$B$13)))</f>
        <v/>
      </c>
      <c r="I628" s="18">
        <f>IF(OR(NOT(ISNUMBER($A628)),ROW()-2&lt;Settings!$B$12),NA(),IF(COUNT(OFFSET(F628,1-Settings!$B$12,0,Settings!$B$12,1))&lt;Settings!$B$12,NA(),STDEV(OFFSET(F628,1-Settings!$B$12,0,Settings!$B$12,1))*SQRT(Settings!$B$13)))</f>
        <v/>
      </c>
      <c r="J628" s="18">
        <f>IF(OR(NOT(ISNUMBER($A628)),ROW()-2&lt;Settings!$B$11),NA(),IF(COUNT(OFFSET(G628,1-Settings!$B$11,0,Settings!$B$11,1))&lt;Settings!$B$11,NA(),STDEV(OFFSET(G628,1-Settings!$B$11,0,Settings!$B$11,1))*SQRT(Settings!$B$13)))</f>
        <v/>
      </c>
      <c r="K628" s="18">
        <f>IF(OR(NOT(ISNUMBER($A628)),ROW()-2&lt;Settings!$B$12),NA(),IF(COUNT(OFFSET(G628,1-Settings!$B$12,0,Settings!$B$12,1))&lt;Settings!$B$12,NA(),STDEV(OFFSET(G628,1-Settings!$B$12,0,Settings!$B$12,1))*SQRT(Settings!$B$13)))</f>
        <v/>
      </c>
      <c r="L628" s="18">
        <f>IF(AND(ISNUMBER(D628),ISNUMBER(H628)),D628-H628,NA())</f>
        <v/>
      </c>
      <c r="M628" s="18">
        <f>IF(AND(ISNUMBER(E628),ISNUMBER(K628)),E628-K628,NA())</f>
        <v/>
      </c>
      <c r="N628" s="18">
        <f>IF(NOT(ISNUMBER($A628)),NA(),IF(COUNT(OFFSET(G628,1,0,Settings!$B$12,1))&lt;Settings!$B$12,NA(),STDEV(OFFSET(G628,1,0,Settings!$B$12,1))*SQRT(Settings!$B$13)))</f>
        <v/>
      </c>
      <c r="O628" s="18">
        <f>IF(AND(ISNUMBER(E628),ISNUMBER(N628)),E628-N628,NA())</f>
        <v/>
      </c>
      <c r="P628" s="17">
        <f>IF(NOT(ISNUMBER($A628)),NA(),IF(OR($A628&lt;MIN(KW_TP!$A$2:$A$2501),$A628&gt;MAX(KW_TP!$A$2:$A$2501)),NA(),INDEX(KW_TP!$C$2:$C$2501,MATCH($A628,KW_TP!$A$2:$A$2501,1))))</f>
        <v/>
      </c>
    </row>
    <row r="629">
      <c r="A629" s="15">
        <f>IF(ISNUMBER(BBG_Data!A629),BBG_Data!A629,"")</f>
        <v/>
      </c>
      <c r="B629" s="16">
        <f>IF(AND(ISNUMBER($A629),ISNUMBER(BBG_Data!B629)),BBG_Data!B629,NA())</f>
        <v/>
      </c>
      <c r="C629" s="16">
        <f>IF(AND(ISNUMBER($A629),ISNUMBER(BBG_Data!C629)),BBG_Data!C629,NA())</f>
        <v/>
      </c>
      <c r="D629" s="17">
        <f>IF(AND(ISNUMBER($A629),ISNUMBER(BBG_Data!D629)),BBG_Data!D629,NA())</f>
        <v/>
      </c>
      <c r="E629" s="17">
        <f>IF(AND(ISNUMBER($A629),ISNUMBER(BBG_Data!E629)),BBG_Data!E629,NA())</f>
        <v/>
      </c>
      <c r="F629" s="18">
        <f>IF(AND(ISNUMBER(B629),ISNUMBER(B628)),(B629-B628)*100,"")</f>
        <v/>
      </c>
      <c r="G629" s="18">
        <f>IF(AND(ISNUMBER(C629),ISNUMBER(C628)),(C629-C628)*100,"")</f>
        <v/>
      </c>
      <c r="H629" s="18">
        <f>IF(OR(NOT(ISNUMBER($A629)),ROW()-2&lt;Settings!$B$11),NA(),IF(COUNT(OFFSET(F629,1-Settings!$B$11,0,Settings!$B$11,1))&lt;Settings!$B$11,NA(),STDEV(OFFSET(F629,1-Settings!$B$11,0,Settings!$B$11,1))*SQRT(Settings!$B$13)))</f>
        <v/>
      </c>
      <c r="I629" s="18">
        <f>IF(OR(NOT(ISNUMBER($A629)),ROW()-2&lt;Settings!$B$12),NA(),IF(COUNT(OFFSET(F629,1-Settings!$B$12,0,Settings!$B$12,1))&lt;Settings!$B$12,NA(),STDEV(OFFSET(F629,1-Settings!$B$12,0,Settings!$B$12,1))*SQRT(Settings!$B$13)))</f>
        <v/>
      </c>
      <c r="J629" s="18">
        <f>IF(OR(NOT(ISNUMBER($A629)),ROW()-2&lt;Settings!$B$11),NA(),IF(COUNT(OFFSET(G629,1-Settings!$B$11,0,Settings!$B$11,1))&lt;Settings!$B$11,NA(),STDEV(OFFSET(G629,1-Settings!$B$11,0,Settings!$B$11,1))*SQRT(Settings!$B$13)))</f>
        <v/>
      </c>
      <c r="K629" s="18">
        <f>IF(OR(NOT(ISNUMBER($A629)),ROW()-2&lt;Settings!$B$12),NA(),IF(COUNT(OFFSET(G629,1-Settings!$B$12,0,Settings!$B$12,1))&lt;Settings!$B$12,NA(),STDEV(OFFSET(G629,1-Settings!$B$12,0,Settings!$B$12,1))*SQRT(Settings!$B$13)))</f>
        <v/>
      </c>
      <c r="L629" s="18">
        <f>IF(AND(ISNUMBER(D629),ISNUMBER(H629)),D629-H629,NA())</f>
        <v/>
      </c>
      <c r="M629" s="18">
        <f>IF(AND(ISNUMBER(E629),ISNUMBER(K629)),E629-K629,NA())</f>
        <v/>
      </c>
      <c r="N629" s="18">
        <f>IF(NOT(ISNUMBER($A629)),NA(),IF(COUNT(OFFSET(G629,1,0,Settings!$B$12,1))&lt;Settings!$B$12,NA(),STDEV(OFFSET(G629,1,0,Settings!$B$12,1))*SQRT(Settings!$B$13)))</f>
        <v/>
      </c>
      <c r="O629" s="18">
        <f>IF(AND(ISNUMBER(E629),ISNUMBER(N629)),E629-N629,NA())</f>
        <v/>
      </c>
      <c r="P629" s="17">
        <f>IF(NOT(ISNUMBER($A629)),NA(),IF(OR($A629&lt;MIN(KW_TP!$A$2:$A$2501),$A629&gt;MAX(KW_TP!$A$2:$A$2501)),NA(),INDEX(KW_TP!$C$2:$C$2501,MATCH($A629,KW_TP!$A$2:$A$2501,1))))</f>
        <v/>
      </c>
    </row>
    <row r="630">
      <c r="A630" s="15">
        <f>IF(ISNUMBER(BBG_Data!A630),BBG_Data!A630,"")</f>
        <v/>
      </c>
      <c r="B630" s="16">
        <f>IF(AND(ISNUMBER($A630),ISNUMBER(BBG_Data!B630)),BBG_Data!B630,NA())</f>
        <v/>
      </c>
      <c r="C630" s="16">
        <f>IF(AND(ISNUMBER($A630),ISNUMBER(BBG_Data!C630)),BBG_Data!C630,NA())</f>
        <v/>
      </c>
      <c r="D630" s="17">
        <f>IF(AND(ISNUMBER($A630),ISNUMBER(BBG_Data!D630)),BBG_Data!D630,NA())</f>
        <v/>
      </c>
      <c r="E630" s="17">
        <f>IF(AND(ISNUMBER($A630),ISNUMBER(BBG_Data!E630)),BBG_Data!E630,NA())</f>
        <v/>
      </c>
      <c r="F630" s="18">
        <f>IF(AND(ISNUMBER(B630),ISNUMBER(B629)),(B630-B629)*100,"")</f>
        <v/>
      </c>
      <c r="G630" s="18">
        <f>IF(AND(ISNUMBER(C630),ISNUMBER(C629)),(C630-C629)*100,"")</f>
        <v/>
      </c>
      <c r="H630" s="18">
        <f>IF(OR(NOT(ISNUMBER($A630)),ROW()-2&lt;Settings!$B$11),NA(),IF(COUNT(OFFSET(F630,1-Settings!$B$11,0,Settings!$B$11,1))&lt;Settings!$B$11,NA(),STDEV(OFFSET(F630,1-Settings!$B$11,0,Settings!$B$11,1))*SQRT(Settings!$B$13)))</f>
        <v/>
      </c>
      <c r="I630" s="18">
        <f>IF(OR(NOT(ISNUMBER($A630)),ROW()-2&lt;Settings!$B$12),NA(),IF(COUNT(OFFSET(F630,1-Settings!$B$12,0,Settings!$B$12,1))&lt;Settings!$B$12,NA(),STDEV(OFFSET(F630,1-Settings!$B$12,0,Settings!$B$12,1))*SQRT(Settings!$B$13)))</f>
        <v/>
      </c>
      <c r="J630" s="18">
        <f>IF(OR(NOT(ISNUMBER($A630)),ROW()-2&lt;Settings!$B$11),NA(),IF(COUNT(OFFSET(G630,1-Settings!$B$11,0,Settings!$B$11,1))&lt;Settings!$B$11,NA(),STDEV(OFFSET(G630,1-Settings!$B$11,0,Settings!$B$11,1))*SQRT(Settings!$B$13)))</f>
        <v/>
      </c>
      <c r="K630" s="18">
        <f>IF(OR(NOT(ISNUMBER($A630)),ROW()-2&lt;Settings!$B$12),NA(),IF(COUNT(OFFSET(G630,1-Settings!$B$12,0,Settings!$B$12,1))&lt;Settings!$B$12,NA(),STDEV(OFFSET(G630,1-Settings!$B$12,0,Settings!$B$12,1))*SQRT(Settings!$B$13)))</f>
        <v/>
      </c>
      <c r="L630" s="18">
        <f>IF(AND(ISNUMBER(D630),ISNUMBER(H630)),D630-H630,NA())</f>
        <v/>
      </c>
      <c r="M630" s="18">
        <f>IF(AND(ISNUMBER(E630),ISNUMBER(K630)),E630-K630,NA())</f>
        <v/>
      </c>
      <c r="N630" s="18">
        <f>IF(NOT(ISNUMBER($A630)),NA(),IF(COUNT(OFFSET(G630,1,0,Settings!$B$12,1))&lt;Settings!$B$12,NA(),STDEV(OFFSET(G630,1,0,Settings!$B$12,1))*SQRT(Settings!$B$13)))</f>
        <v/>
      </c>
      <c r="O630" s="18">
        <f>IF(AND(ISNUMBER(E630),ISNUMBER(N630)),E630-N630,NA())</f>
        <v/>
      </c>
      <c r="P630" s="17">
        <f>IF(NOT(ISNUMBER($A630)),NA(),IF(OR($A630&lt;MIN(KW_TP!$A$2:$A$2501),$A630&gt;MAX(KW_TP!$A$2:$A$2501)),NA(),INDEX(KW_TP!$C$2:$C$2501,MATCH($A630,KW_TP!$A$2:$A$2501,1))))</f>
        <v/>
      </c>
    </row>
    <row r="631">
      <c r="A631" s="15">
        <f>IF(ISNUMBER(BBG_Data!A631),BBG_Data!A631,"")</f>
        <v/>
      </c>
      <c r="B631" s="16">
        <f>IF(AND(ISNUMBER($A631),ISNUMBER(BBG_Data!B631)),BBG_Data!B631,NA())</f>
        <v/>
      </c>
      <c r="C631" s="16">
        <f>IF(AND(ISNUMBER($A631),ISNUMBER(BBG_Data!C631)),BBG_Data!C631,NA())</f>
        <v/>
      </c>
      <c r="D631" s="17">
        <f>IF(AND(ISNUMBER($A631),ISNUMBER(BBG_Data!D631)),BBG_Data!D631,NA())</f>
        <v/>
      </c>
      <c r="E631" s="17">
        <f>IF(AND(ISNUMBER($A631),ISNUMBER(BBG_Data!E631)),BBG_Data!E631,NA())</f>
        <v/>
      </c>
      <c r="F631" s="18">
        <f>IF(AND(ISNUMBER(B631),ISNUMBER(B630)),(B631-B630)*100,"")</f>
        <v/>
      </c>
      <c r="G631" s="18">
        <f>IF(AND(ISNUMBER(C631),ISNUMBER(C630)),(C631-C630)*100,"")</f>
        <v/>
      </c>
      <c r="H631" s="18">
        <f>IF(OR(NOT(ISNUMBER($A631)),ROW()-2&lt;Settings!$B$11),NA(),IF(COUNT(OFFSET(F631,1-Settings!$B$11,0,Settings!$B$11,1))&lt;Settings!$B$11,NA(),STDEV(OFFSET(F631,1-Settings!$B$11,0,Settings!$B$11,1))*SQRT(Settings!$B$13)))</f>
        <v/>
      </c>
      <c r="I631" s="18">
        <f>IF(OR(NOT(ISNUMBER($A631)),ROW()-2&lt;Settings!$B$12),NA(),IF(COUNT(OFFSET(F631,1-Settings!$B$12,0,Settings!$B$12,1))&lt;Settings!$B$12,NA(),STDEV(OFFSET(F631,1-Settings!$B$12,0,Settings!$B$12,1))*SQRT(Settings!$B$13)))</f>
        <v/>
      </c>
      <c r="J631" s="18">
        <f>IF(OR(NOT(ISNUMBER($A631)),ROW()-2&lt;Settings!$B$11),NA(),IF(COUNT(OFFSET(G631,1-Settings!$B$11,0,Settings!$B$11,1))&lt;Settings!$B$11,NA(),STDEV(OFFSET(G631,1-Settings!$B$11,0,Settings!$B$11,1))*SQRT(Settings!$B$13)))</f>
        <v/>
      </c>
      <c r="K631" s="18">
        <f>IF(OR(NOT(ISNUMBER($A631)),ROW()-2&lt;Settings!$B$12),NA(),IF(COUNT(OFFSET(G631,1-Settings!$B$12,0,Settings!$B$12,1))&lt;Settings!$B$12,NA(),STDEV(OFFSET(G631,1-Settings!$B$12,0,Settings!$B$12,1))*SQRT(Settings!$B$13)))</f>
        <v/>
      </c>
      <c r="L631" s="18">
        <f>IF(AND(ISNUMBER(D631),ISNUMBER(H631)),D631-H631,NA())</f>
        <v/>
      </c>
      <c r="M631" s="18">
        <f>IF(AND(ISNUMBER(E631),ISNUMBER(K631)),E631-K631,NA())</f>
        <v/>
      </c>
      <c r="N631" s="18">
        <f>IF(NOT(ISNUMBER($A631)),NA(),IF(COUNT(OFFSET(G631,1,0,Settings!$B$12,1))&lt;Settings!$B$12,NA(),STDEV(OFFSET(G631,1,0,Settings!$B$12,1))*SQRT(Settings!$B$13)))</f>
        <v/>
      </c>
      <c r="O631" s="18">
        <f>IF(AND(ISNUMBER(E631),ISNUMBER(N631)),E631-N631,NA())</f>
        <v/>
      </c>
      <c r="P631" s="17">
        <f>IF(NOT(ISNUMBER($A631)),NA(),IF(OR($A631&lt;MIN(KW_TP!$A$2:$A$2501),$A631&gt;MAX(KW_TP!$A$2:$A$2501)),NA(),INDEX(KW_TP!$C$2:$C$2501,MATCH($A631,KW_TP!$A$2:$A$2501,1))))</f>
        <v/>
      </c>
    </row>
    <row r="632">
      <c r="A632" s="15">
        <f>IF(ISNUMBER(BBG_Data!A632),BBG_Data!A632,"")</f>
        <v/>
      </c>
      <c r="B632" s="16">
        <f>IF(AND(ISNUMBER($A632),ISNUMBER(BBG_Data!B632)),BBG_Data!B632,NA())</f>
        <v/>
      </c>
      <c r="C632" s="16">
        <f>IF(AND(ISNUMBER($A632),ISNUMBER(BBG_Data!C632)),BBG_Data!C632,NA())</f>
        <v/>
      </c>
      <c r="D632" s="17">
        <f>IF(AND(ISNUMBER($A632),ISNUMBER(BBG_Data!D632)),BBG_Data!D632,NA())</f>
        <v/>
      </c>
      <c r="E632" s="17">
        <f>IF(AND(ISNUMBER($A632),ISNUMBER(BBG_Data!E632)),BBG_Data!E632,NA())</f>
        <v/>
      </c>
      <c r="F632" s="18">
        <f>IF(AND(ISNUMBER(B632),ISNUMBER(B631)),(B632-B631)*100,"")</f>
        <v/>
      </c>
      <c r="G632" s="18">
        <f>IF(AND(ISNUMBER(C632),ISNUMBER(C631)),(C632-C631)*100,"")</f>
        <v/>
      </c>
      <c r="H632" s="18">
        <f>IF(OR(NOT(ISNUMBER($A632)),ROW()-2&lt;Settings!$B$11),NA(),IF(COUNT(OFFSET(F632,1-Settings!$B$11,0,Settings!$B$11,1))&lt;Settings!$B$11,NA(),STDEV(OFFSET(F632,1-Settings!$B$11,0,Settings!$B$11,1))*SQRT(Settings!$B$13)))</f>
        <v/>
      </c>
      <c r="I632" s="18">
        <f>IF(OR(NOT(ISNUMBER($A632)),ROW()-2&lt;Settings!$B$12),NA(),IF(COUNT(OFFSET(F632,1-Settings!$B$12,0,Settings!$B$12,1))&lt;Settings!$B$12,NA(),STDEV(OFFSET(F632,1-Settings!$B$12,0,Settings!$B$12,1))*SQRT(Settings!$B$13)))</f>
        <v/>
      </c>
      <c r="J632" s="18">
        <f>IF(OR(NOT(ISNUMBER($A632)),ROW()-2&lt;Settings!$B$11),NA(),IF(COUNT(OFFSET(G632,1-Settings!$B$11,0,Settings!$B$11,1))&lt;Settings!$B$11,NA(),STDEV(OFFSET(G632,1-Settings!$B$11,0,Settings!$B$11,1))*SQRT(Settings!$B$13)))</f>
        <v/>
      </c>
      <c r="K632" s="18">
        <f>IF(OR(NOT(ISNUMBER($A632)),ROW()-2&lt;Settings!$B$12),NA(),IF(COUNT(OFFSET(G632,1-Settings!$B$12,0,Settings!$B$12,1))&lt;Settings!$B$12,NA(),STDEV(OFFSET(G632,1-Settings!$B$12,0,Settings!$B$12,1))*SQRT(Settings!$B$13)))</f>
        <v/>
      </c>
      <c r="L632" s="18">
        <f>IF(AND(ISNUMBER(D632),ISNUMBER(H632)),D632-H632,NA())</f>
        <v/>
      </c>
      <c r="M632" s="18">
        <f>IF(AND(ISNUMBER(E632),ISNUMBER(K632)),E632-K632,NA())</f>
        <v/>
      </c>
      <c r="N632" s="18">
        <f>IF(NOT(ISNUMBER($A632)),NA(),IF(COUNT(OFFSET(G632,1,0,Settings!$B$12,1))&lt;Settings!$B$12,NA(),STDEV(OFFSET(G632,1,0,Settings!$B$12,1))*SQRT(Settings!$B$13)))</f>
        <v/>
      </c>
      <c r="O632" s="18">
        <f>IF(AND(ISNUMBER(E632),ISNUMBER(N632)),E632-N632,NA())</f>
        <v/>
      </c>
      <c r="P632" s="17">
        <f>IF(NOT(ISNUMBER($A632)),NA(),IF(OR($A632&lt;MIN(KW_TP!$A$2:$A$2501),$A632&gt;MAX(KW_TP!$A$2:$A$2501)),NA(),INDEX(KW_TP!$C$2:$C$2501,MATCH($A632,KW_TP!$A$2:$A$2501,1))))</f>
        <v/>
      </c>
    </row>
    <row r="633">
      <c r="A633" s="15">
        <f>IF(ISNUMBER(BBG_Data!A633),BBG_Data!A633,"")</f>
        <v/>
      </c>
      <c r="B633" s="16">
        <f>IF(AND(ISNUMBER($A633),ISNUMBER(BBG_Data!B633)),BBG_Data!B633,NA())</f>
        <v/>
      </c>
      <c r="C633" s="16">
        <f>IF(AND(ISNUMBER($A633),ISNUMBER(BBG_Data!C633)),BBG_Data!C633,NA())</f>
        <v/>
      </c>
      <c r="D633" s="17">
        <f>IF(AND(ISNUMBER($A633),ISNUMBER(BBG_Data!D633)),BBG_Data!D633,NA())</f>
        <v/>
      </c>
      <c r="E633" s="17">
        <f>IF(AND(ISNUMBER($A633),ISNUMBER(BBG_Data!E633)),BBG_Data!E633,NA())</f>
        <v/>
      </c>
      <c r="F633" s="18">
        <f>IF(AND(ISNUMBER(B633),ISNUMBER(B632)),(B633-B632)*100,"")</f>
        <v/>
      </c>
      <c r="G633" s="18">
        <f>IF(AND(ISNUMBER(C633),ISNUMBER(C632)),(C633-C632)*100,"")</f>
        <v/>
      </c>
      <c r="H633" s="18">
        <f>IF(OR(NOT(ISNUMBER($A633)),ROW()-2&lt;Settings!$B$11),NA(),IF(COUNT(OFFSET(F633,1-Settings!$B$11,0,Settings!$B$11,1))&lt;Settings!$B$11,NA(),STDEV(OFFSET(F633,1-Settings!$B$11,0,Settings!$B$11,1))*SQRT(Settings!$B$13)))</f>
        <v/>
      </c>
      <c r="I633" s="18">
        <f>IF(OR(NOT(ISNUMBER($A633)),ROW()-2&lt;Settings!$B$12),NA(),IF(COUNT(OFFSET(F633,1-Settings!$B$12,0,Settings!$B$12,1))&lt;Settings!$B$12,NA(),STDEV(OFFSET(F633,1-Settings!$B$12,0,Settings!$B$12,1))*SQRT(Settings!$B$13)))</f>
        <v/>
      </c>
      <c r="J633" s="18">
        <f>IF(OR(NOT(ISNUMBER($A633)),ROW()-2&lt;Settings!$B$11),NA(),IF(COUNT(OFFSET(G633,1-Settings!$B$11,0,Settings!$B$11,1))&lt;Settings!$B$11,NA(),STDEV(OFFSET(G633,1-Settings!$B$11,0,Settings!$B$11,1))*SQRT(Settings!$B$13)))</f>
        <v/>
      </c>
      <c r="K633" s="18">
        <f>IF(OR(NOT(ISNUMBER($A633)),ROW()-2&lt;Settings!$B$12),NA(),IF(COUNT(OFFSET(G633,1-Settings!$B$12,0,Settings!$B$12,1))&lt;Settings!$B$12,NA(),STDEV(OFFSET(G633,1-Settings!$B$12,0,Settings!$B$12,1))*SQRT(Settings!$B$13)))</f>
        <v/>
      </c>
      <c r="L633" s="18">
        <f>IF(AND(ISNUMBER(D633),ISNUMBER(H633)),D633-H633,NA())</f>
        <v/>
      </c>
      <c r="M633" s="18">
        <f>IF(AND(ISNUMBER(E633),ISNUMBER(K633)),E633-K633,NA())</f>
        <v/>
      </c>
      <c r="N633" s="18">
        <f>IF(NOT(ISNUMBER($A633)),NA(),IF(COUNT(OFFSET(G633,1,0,Settings!$B$12,1))&lt;Settings!$B$12,NA(),STDEV(OFFSET(G633,1,0,Settings!$B$12,1))*SQRT(Settings!$B$13)))</f>
        <v/>
      </c>
      <c r="O633" s="18">
        <f>IF(AND(ISNUMBER(E633),ISNUMBER(N633)),E633-N633,NA())</f>
        <v/>
      </c>
      <c r="P633" s="17">
        <f>IF(NOT(ISNUMBER($A633)),NA(),IF(OR($A633&lt;MIN(KW_TP!$A$2:$A$2501),$A633&gt;MAX(KW_TP!$A$2:$A$2501)),NA(),INDEX(KW_TP!$C$2:$C$2501,MATCH($A633,KW_TP!$A$2:$A$2501,1))))</f>
        <v/>
      </c>
    </row>
    <row r="634">
      <c r="A634" s="15">
        <f>IF(ISNUMBER(BBG_Data!A634),BBG_Data!A634,"")</f>
        <v/>
      </c>
      <c r="B634" s="16">
        <f>IF(AND(ISNUMBER($A634),ISNUMBER(BBG_Data!B634)),BBG_Data!B634,NA())</f>
        <v/>
      </c>
      <c r="C634" s="16">
        <f>IF(AND(ISNUMBER($A634),ISNUMBER(BBG_Data!C634)),BBG_Data!C634,NA())</f>
        <v/>
      </c>
      <c r="D634" s="17">
        <f>IF(AND(ISNUMBER($A634),ISNUMBER(BBG_Data!D634)),BBG_Data!D634,NA())</f>
        <v/>
      </c>
      <c r="E634" s="17">
        <f>IF(AND(ISNUMBER($A634),ISNUMBER(BBG_Data!E634)),BBG_Data!E634,NA())</f>
        <v/>
      </c>
      <c r="F634" s="18">
        <f>IF(AND(ISNUMBER(B634),ISNUMBER(B633)),(B634-B633)*100,"")</f>
        <v/>
      </c>
      <c r="G634" s="18">
        <f>IF(AND(ISNUMBER(C634),ISNUMBER(C633)),(C634-C633)*100,"")</f>
        <v/>
      </c>
      <c r="H634" s="18">
        <f>IF(OR(NOT(ISNUMBER($A634)),ROW()-2&lt;Settings!$B$11),NA(),IF(COUNT(OFFSET(F634,1-Settings!$B$11,0,Settings!$B$11,1))&lt;Settings!$B$11,NA(),STDEV(OFFSET(F634,1-Settings!$B$11,0,Settings!$B$11,1))*SQRT(Settings!$B$13)))</f>
        <v/>
      </c>
      <c r="I634" s="18">
        <f>IF(OR(NOT(ISNUMBER($A634)),ROW()-2&lt;Settings!$B$12),NA(),IF(COUNT(OFFSET(F634,1-Settings!$B$12,0,Settings!$B$12,1))&lt;Settings!$B$12,NA(),STDEV(OFFSET(F634,1-Settings!$B$12,0,Settings!$B$12,1))*SQRT(Settings!$B$13)))</f>
        <v/>
      </c>
      <c r="J634" s="18">
        <f>IF(OR(NOT(ISNUMBER($A634)),ROW()-2&lt;Settings!$B$11),NA(),IF(COUNT(OFFSET(G634,1-Settings!$B$11,0,Settings!$B$11,1))&lt;Settings!$B$11,NA(),STDEV(OFFSET(G634,1-Settings!$B$11,0,Settings!$B$11,1))*SQRT(Settings!$B$13)))</f>
        <v/>
      </c>
      <c r="K634" s="18">
        <f>IF(OR(NOT(ISNUMBER($A634)),ROW()-2&lt;Settings!$B$12),NA(),IF(COUNT(OFFSET(G634,1-Settings!$B$12,0,Settings!$B$12,1))&lt;Settings!$B$12,NA(),STDEV(OFFSET(G634,1-Settings!$B$12,0,Settings!$B$12,1))*SQRT(Settings!$B$13)))</f>
        <v/>
      </c>
      <c r="L634" s="18">
        <f>IF(AND(ISNUMBER(D634),ISNUMBER(H634)),D634-H634,NA())</f>
        <v/>
      </c>
      <c r="M634" s="18">
        <f>IF(AND(ISNUMBER(E634),ISNUMBER(K634)),E634-K634,NA())</f>
        <v/>
      </c>
      <c r="N634" s="18">
        <f>IF(NOT(ISNUMBER($A634)),NA(),IF(COUNT(OFFSET(G634,1,0,Settings!$B$12,1))&lt;Settings!$B$12,NA(),STDEV(OFFSET(G634,1,0,Settings!$B$12,1))*SQRT(Settings!$B$13)))</f>
        <v/>
      </c>
      <c r="O634" s="18">
        <f>IF(AND(ISNUMBER(E634),ISNUMBER(N634)),E634-N634,NA())</f>
        <v/>
      </c>
      <c r="P634" s="17">
        <f>IF(NOT(ISNUMBER($A634)),NA(),IF(OR($A634&lt;MIN(KW_TP!$A$2:$A$2501),$A634&gt;MAX(KW_TP!$A$2:$A$2501)),NA(),INDEX(KW_TP!$C$2:$C$2501,MATCH($A634,KW_TP!$A$2:$A$2501,1))))</f>
        <v/>
      </c>
    </row>
    <row r="635">
      <c r="A635" s="15">
        <f>IF(ISNUMBER(BBG_Data!A635),BBG_Data!A635,"")</f>
        <v/>
      </c>
      <c r="B635" s="16">
        <f>IF(AND(ISNUMBER($A635),ISNUMBER(BBG_Data!B635)),BBG_Data!B635,NA())</f>
        <v/>
      </c>
      <c r="C635" s="16">
        <f>IF(AND(ISNUMBER($A635),ISNUMBER(BBG_Data!C635)),BBG_Data!C635,NA())</f>
        <v/>
      </c>
      <c r="D635" s="17">
        <f>IF(AND(ISNUMBER($A635),ISNUMBER(BBG_Data!D635)),BBG_Data!D635,NA())</f>
        <v/>
      </c>
      <c r="E635" s="17">
        <f>IF(AND(ISNUMBER($A635),ISNUMBER(BBG_Data!E635)),BBG_Data!E635,NA())</f>
        <v/>
      </c>
      <c r="F635" s="18">
        <f>IF(AND(ISNUMBER(B635),ISNUMBER(B634)),(B635-B634)*100,"")</f>
        <v/>
      </c>
      <c r="G635" s="18">
        <f>IF(AND(ISNUMBER(C635),ISNUMBER(C634)),(C635-C634)*100,"")</f>
        <v/>
      </c>
      <c r="H635" s="18">
        <f>IF(OR(NOT(ISNUMBER($A635)),ROW()-2&lt;Settings!$B$11),NA(),IF(COUNT(OFFSET(F635,1-Settings!$B$11,0,Settings!$B$11,1))&lt;Settings!$B$11,NA(),STDEV(OFFSET(F635,1-Settings!$B$11,0,Settings!$B$11,1))*SQRT(Settings!$B$13)))</f>
        <v/>
      </c>
      <c r="I635" s="18">
        <f>IF(OR(NOT(ISNUMBER($A635)),ROW()-2&lt;Settings!$B$12),NA(),IF(COUNT(OFFSET(F635,1-Settings!$B$12,0,Settings!$B$12,1))&lt;Settings!$B$12,NA(),STDEV(OFFSET(F635,1-Settings!$B$12,0,Settings!$B$12,1))*SQRT(Settings!$B$13)))</f>
        <v/>
      </c>
      <c r="J635" s="18">
        <f>IF(OR(NOT(ISNUMBER($A635)),ROW()-2&lt;Settings!$B$11),NA(),IF(COUNT(OFFSET(G635,1-Settings!$B$11,0,Settings!$B$11,1))&lt;Settings!$B$11,NA(),STDEV(OFFSET(G635,1-Settings!$B$11,0,Settings!$B$11,1))*SQRT(Settings!$B$13)))</f>
        <v/>
      </c>
      <c r="K635" s="18">
        <f>IF(OR(NOT(ISNUMBER($A635)),ROW()-2&lt;Settings!$B$12),NA(),IF(COUNT(OFFSET(G635,1-Settings!$B$12,0,Settings!$B$12,1))&lt;Settings!$B$12,NA(),STDEV(OFFSET(G635,1-Settings!$B$12,0,Settings!$B$12,1))*SQRT(Settings!$B$13)))</f>
        <v/>
      </c>
      <c r="L635" s="18">
        <f>IF(AND(ISNUMBER(D635),ISNUMBER(H635)),D635-H635,NA())</f>
        <v/>
      </c>
      <c r="M635" s="18">
        <f>IF(AND(ISNUMBER(E635),ISNUMBER(K635)),E635-K635,NA())</f>
        <v/>
      </c>
      <c r="N635" s="18">
        <f>IF(NOT(ISNUMBER($A635)),NA(),IF(COUNT(OFFSET(G635,1,0,Settings!$B$12,1))&lt;Settings!$B$12,NA(),STDEV(OFFSET(G635,1,0,Settings!$B$12,1))*SQRT(Settings!$B$13)))</f>
        <v/>
      </c>
      <c r="O635" s="18">
        <f>IF(AND(ISNUMBER(E635),ISNUMBER(N635)),E635-N635,NA())</f>
        <v/>
      </c>
      <c r="P635" s="17">
        <f>IF(NOT(ISNUMBER($A635)),NA(),IF(OR($A635&lt;MIN(KW_TP!$A$2:$A$2501),$A635&gt;MAX(KW_TP!$A$2:$A$2501)),NA(),INDEX(KW_TP!$C$2:$C$2501,MATCH($A635,KW_TP!$A$2:$A$2501,1))))</f>
        <v/>
      </c>
    </row>
    <row r="636">
      <c r="A636" s="15">
        <f>IF(ISNUMBER(BBG_Data!A636),BBG_Data!A636,"")</f>
        <v/>
      </c>
      <c r="B636" s="16">
        <f>IF(AND(ISNUMBER($A636),ISNUMBER(BBG_Data!B636)),BBG_Data!B636,NA())</f>
        <v/>
      </c>
      <c r="C636" s="16">
        <f>IF(AND(ISNUMBER($A636),ISNUMBER(BBG_Data!C636)),BBG_Data!C636,NA())</f>
        <v/>
      </c>
      <c r="D636" s="17">
        <f>IF(AND(ISNUMBER($A636),ISNUMBER(BBG_Data!D636)),BBG_Data!D636,NA())</f>
        <v/>
      </c>
      <c r="E636" s="17">
        <f>IF(AND(ISNUMBER($A636),ISNUMBER(BBG_Data!E636)),BBG_Data!E636,NA())</f>
        <v/>
      </c>
      <c r="F636" s="18">
        <f>IF(AND(ISNUMBER(B636),ISNUMBER(B635)),(B636-B635)*100,"")</f>
        <v/>
      </c>
      <c r="G636" s="18">
        <f>IF(AND(ISNUMBER(C636),ISNUMBER(C635)),(C636-C635)*100,"")</f>
        <v/>
      </c>
      <c r="H636" s="18">
        <f>IF(OR(NOT(ISNUMBER($A636)),ROW()-2&lt;Settings!$B$11),NA(),IF(COUNT(OFFSET(F636,1-Settings!$B$11,0,Settings!$B$11,1))&lt;Settings!$B$11,NA(),STDEV(OFFSET(F636,1-Settings!$B$11,0,Settings!$B$11,1))*SQRT(Settings!$B$13)))</f>
        <v/>
      </c>
      <c r="I636" s="18">
        <f>IF(OR(NOT(ISNUMBER($A636)),ROW()-2&lt;Settings!$B$12),NA(),IF(COUNT(OFFSET(F636,1-Settings!$B$12,0,Settings!$B$12,1))&lt;Settings!$B$12,NA(),STDEV(OFFSET(F636,1-Settings!$B$12,0,Settings!$B$12,1))*SQRT(Settings!$B$13)))</f>
        <v/>
      </c>
      <c r="J636" s="18">
        <f>IF(OR(NOT(ISNUMBER($A636)),ROW()-2&lt;Settings!$B$11),NA(),IF(COUNT(OFFSET(G636,1-Settings!$B$11,0,Settings!$B$11,1))&lt;Settings!$B$11,NA(),STDEV(OFFSET(G636,1-Settings!$B$11,0,Settings!$B$11,1))*SQRT(Settings!$B$13)))</f>
        <v/>
      </c>
      <c r="K636" s="18">
        <f>IF(OR(NOT(ISNUMBER($A636)),ROW()-2&lt;Settings!$B$12),NA(),IF(COUNT(OFFSET(G636,1-Settings!$B$12,0,Settings!$B$12,1))&lt;Settings!$B$12,NA(),STDEV(OFFSET(G636,1-Settings!$B$12,0,Settings!$B$12,1))*SQRT(Settings!$B$13)))</f>
        <v/>
      </c>
      <c r="L636" s="18">
        <f>IF(AND(ISNUMBER(D636),ISNUMBER(H636)),D636-H636,NA())</f>
        <v/>
      </c>
      <c r="M636" s="18">
        <f>IF(AND(ISNUMBER(E636),ISNUMBER(K636)),E636-K636,NA())</f>
        <v/>
      </c>
      <c r="N636" s="18">
        <f>IF(NOT(ISNUMBER($A636)),NA(),IF(COUNT(OFFSET(G636,1,0,Settings!$B$12,1))&lt;Settings!$B$12,NA(),STDEV(OFFSET(G636,1,0,Settings!$B$12,1))*SQRT(Settings!$B$13)))</f>
        <v/>
      </c>
      <c r="O636" s="18">
        <f>IF(AND(ISNUMBER(E636),ISNUMBER(N636)),E636-N636,NA())</f>
        <v/>
      </c>
      <c r="P636" s="17">
        <f>IF(NOT(ISNUMBER($A636)),NA(),IF(OR($A636&lt;MIN(KW_TP!$A$2:$A$2501),$A636&gt;MAX(KW_TP!$A$2:$A$2501)),NA(),INDEX(KW_TP!$C$2:$C$2501,MATCH($A636,KW_TP!$A$2:$A$2501,1))))</f>
        <v/>
      </c>
    </row>
    <row r="637">
      <c r="A637" s="15">
        <f>IF(ISNUMBER(BBG_Data!A637),BBG_Data!A637,"")</f>
        <v/>
      </c>
      <c r="B637" s="16">
        <f>IF(AND(ISNUMBER($A637),ISNUMBER(BBG_Data!B637)),BBG_Data!B637,NA())</f>
        <v/>
      </c>
      <c r="C637" s="16">
        <f>IF(AND(ISNUMBER($A637),ISNUMBER(BBG_Data!C637)),BBG_Data!C637,NA())</f>
        <v/>
      </c>
      <c r="D637" s="17">
        <f>IF(AND(ISNUMBER($A637),ISNUMBER(BBG_Data!D637)),BBG_Data!D637,NA())</f>
        <v/>
      </c>
      <c r="E637" s="17">
        <f>IF(AND(ISNUMBER($A637),ISNUMBER(BBG_Data!E637)),BBG_Data!E637,NA())</f>
        <v/>
      </c>
      <c r="F637" s="18">
        <f>IF(AND(ISNUMBER(B637),ISNUMBER(B636)),(B637-B636)*100,"")</f>
        <v/>
      </c>
      <c r="G637" s="18">
        <f>IF(AND(ISNUMBER(C637),ISNUMBER(C636)),(C637-C636)*100,"")</f>
        <v/>
      </c>
      <c r="H637" s="18">
        <f>IF(OR(NOT(ISNUMBER($A637)),ROW()-2&lt;Settings!$B$11),NA(),IF(COUNT(OFFSET(F637,1-Settings!$B$11,0,Settings!$B$11,1))&lt;Settings!$B$11,NA(),STDEV(OFFSET(F637,1-Settings!$B$11,0,Settings!$B$11,1))*SQRT(Settings!$B$13)))</f>
        <v/>
      </c>
      <c r="I637" s="18">
        <f>IF(OR(NOT(ISNUMBER($A637)),ROW()-2&lt;Settings!$B$12),NA(),IF(COUNT(OFFSET(F637,1-Settings!$B$12,0,Settings!$B$12,1))&lt;Settings!$B$12,NA(),STDEV(OFFSET(F637,1-Settings!$B$12,0,Settings!$B$12,1))*SQRT(Settings!$B$13)))</f>
        <v/>
      </c>
      <c r="J637" s="18">
        <f>IF(OR(NOT(ISNUMBER($A637)),ROW()-2&lt;Settings!$B$11),NA(),IF(COUNT(OFFSET(G637,1-Settings!$B$11,0,Settings!$B$11,1))&lt;Settings!$B$11,NA(),STDEV(OFFSET(G637,1-Settings!$B$11,0,Settings!$B$11,1))*SQRT(Settings!$B$13)))</f>
        <v/>
      </c>
      <c r="K637" s="18">
        <f>IF(OR(NOT(ISNUMBER($A637)),ROW()-2&lt;Settings!$B$12),NA(),IF(COUNT(OFFSET(G637,1-Settings!$B$12,0,Settings!$B$12,1))&lt;Settings!$B$12,NA(),STDEV(OFFSET(G637,1-Settings!$B$12,0,Settings!$B$12,1))*SQRT(Settings!$B$13)))</f>
        <v/>
      </c>
      <c r="L637" s="18">
        <f>IF(AND(ISNUMBER(D637),ISNUMBER(H637)),D637-H637,NA())</f>
        <v/>
      </c>
      <c r="M637" s="18">
        <f>IF(AND(ISNUMBER(E637),ISNUMBER(K637)),E637-K637,NA())</f>
        <v/>
      </c>
      <c r="N637" s="18">
        <f>IF(NOT(ISNUMBER($A637)),NA(),IF(COUNT(OFFSET(G637,1,0,Settings!$B$12,1))&lt;Settings!$B$12,NA(),STDEV(OFFSET(G637,1,0,Settings!$B$12,1))*SQRT(Settings!$B$13)))</f>
        <v/>
      </c>
      <c r="O637" s="18">
        <f>IF(AND(ISNUMBER(E637),ISNUMBER(N637)),E637-N637,NA())</f>
        <v/>
      </c>
      <c r="P637" s="17">
        <f>IF(NOT(ISNUMBER($A637)),NA(),IF(OR($A637&lt;MIN(KW_TP!$A$2:$A$2501),$A637&gt;MAX(KW_TP!$A$2:$A$2501)),NA(),INDEX(KW_TP!$C$2:$C$2501,MATCH($A637,KW_TP!$A$2:$A$2501,1))))</f>
        <v/>
      </c>
    </row>
    <row r="638">
      <c r="A638" s="15">
        <f>IF(ISNUMBER(BBG_Data!A638),BBG_Data!A638,"")</f>
        <v/>
      </c>
      <c r="B638" s="16">
        <f>IF(AND(ISNUMBER($A638),ISNUMBER(BBG_Data!B638)),BBG_Data!B638,NA())</f>
        <v/>
      </c>
      <c r="C638" s="16">
        <f>IF(AND(ISNUMBER($A638),ISNUMBER(BBG_Data!C638)),BBG_Data!C638,NA())</f>
        <v/>
      </c>
      <c r="D638" s="17">
        <f>IF(AND(ISNUMBER($A638),ISNUMBER(BBG_Data!D638)),BBG_Data!D638,NA())</f>
        <v/>
      </c>
      <c r="E638" s="17">
        <f>IF(AND(ISNUMBER($A638),ISNUMBER(BBG_Data!E638)),BBG_Data!E638,NA())</f>
        <v/>
      </c>
      <c r="F638" s="18">
        <f>IF(AND(ISNUMBER(B638),ISNUMBER(B637)),(B638-B637)*100,"")</f>
        <v/>
      </c>
      <c r="G638" s="18">
        <f>IF(AND(ISNUMBER(C638),ISNUMBER(C637)),(C638-C637)*100,"")</f>
        <v/>
      </c>
      <c r="H638" s="18">
        <f>IF(OR(NOT(ISNUMBER($A638)),ROW()-2&lt;Settings!$B$11),NA(),IF(COUNT(OFFSET(F638,1-Settings!$B$11,0,Settings!$B$11,1))&lt;Settings!$B$11,NA(),STDEV(OFFSET(F638,1-Settings!$B$11,0,Settings!$B$11,1))*SQRT(Settings!$B$13)))</f>
        <v/>
      </c>
      <c r="I638" s="18">
        <f>IF(OR(NOT(ISNUMBER($A638)),ROW()-2&lt;Settings!$B$12),NA(),IF(COUNT(OFFSET(F638,1-Settings!$B$12,0,Settings!$B$12,1))&lt;Settings!$B$12,NA(),STDEV(OFFSET(F638,1-Settings!$B$12,0,Settings!$B$12,1))*SQRT(Settings!$B$13)))</f>
        <v/>
      </c>
      <c r="J638" s="18">
        <f>IF(OR(NOT(ISNUMBER($A638)),ROW()-2&lt;Settings!$B$11),NA(),IF(COUNT(OFFSET(G638,1-Settings!$B$11,0,Settings!$B$11,1))&lt;Settings!$B$11,NA(),STDEV(OFFSET(G638,1-Settings!$B$11,0,Settings!$B$11,1))*SQRT(Settings!$B$13)))</f>
        <v/>
      </c>
      <c r="K638" s="18">
        <f>IF(OR(NOT(ISNUMBER($A638)),ROW()-2&lt;Settings!$B$12),NA(),IF(COUNT(OFFSET(G638,1-Settings!$B$12,0,Settings!$B$12,1))&lt;Settings!$B$12,NA(),STDEV(OFFSET(G638,1-Settings!$B$12,0,Settings!$B$12,1))*SQRT(Settings!$B$13)))</f>
        <v/>
      </c>
      <c r="L638" s="18">
        <f>IF(AND(ISNUMBER(D638),ISNUMBER(H638)),D638-H638,NA())</f>
        <v/>
      </c>
      <c r="M638" s="18">
        <f>IF(AND(ISNUMBER(E638),ISNUMBER(K638)),E638-K638,NA())</f>
        <v/>
      </c>
      <c r="N638" s="18">
        <f>IF(NOT(ISNUMBER($A638)),NA(),IF(COUNT(OFFSET(G638,1,0,Settings!$B$12,1))&lt;Settings!$B$12,NA(),STDEV(OFFSET(G638,1,0,Settings!$B$12,1))*SQRT(Settings!$B$13)))</f>
        <v/>
      </c>
      <c r="O638" s="18">
        <f>IF(AND(ISNUMBER(E638),ISNUMBER(N638)),E638-N638,NA())</f>
        <v/>
      </c>
      <c r="P638" s="17">
        <f>IF(NOT(ISNUMBER($A638)),NA(),IF(OR($A638&lt;MIN(KW_TP!$A$2:$A$2501),$A638&gt;MAX(KW_TP!$A$2:$A$2501)),NA(),INDEX(KW_TP!$C$2:$C$2501,MATCH($A638,KW_TP!$A$2:$A$2501,1))))</f>
        <v/>
      </c>
    </row>
    <row r="639">
      <c r="A639" s="15">
        <f>IF(ISNUMBER(BBG_Data!A639),BBG_Data!A639,"")</f>
        <v/>
      </c>
      <c r="B639" s="16">
        <f>IF(AND(ISNUMBER($A639),ISNUMBER(BBG_Data!B639)),BBG_Data!B639,NA())</f>
        <v/>
      </c>
      <c r="C639" s="16">
        <f>IF(AND(ISNUMBER($A639),ISNUMBER(BBG_Data!C639)),BBG_Data!C639,NA())</f>
        <v/>
      </c>
      <c r="D639" s="17">
        <f>IF(AND(ISNUMBER($A639),ISNUMBER(BBG_Data!D639)),BBG_Data!D639,NA())</f>
        <v/>
      </c>
      <c r="E639" s="17">
        <f>IF(AND(ISNUMBER($A639),ISNUMBER(BBG_Data!E639)),BBG_Data!E639,NA())</f>
        <v/>
      </c>
      <c r="F639" s="18">
        <f>IF(AND(ISNUMBER(B639),ISNUMBER(B638)),(B639-B638)*100,"")</f>
        <v/>
      </c>
      <c r="G639" s="18">
        <f>IF(AND(ISNUMBER(C639),ISNUMBER(C638)),(C639-C638)*100,"")</f>
        <v/>
      </c>
      <c r="H639" s="18">
        <f>IF(OR(NOT(ISNUMBER($A639)),ROW()-2&lt;Settings!$B$11),NA(),IF(COUNT(OFFSET(F639,1-Settings!$B$11,0,Settings!$B$11,1))&lt;Settings!$B$11,NA(),STDEV(OFFSET(F639,1-Settings!$B$11,0,Settings!$B$11,1))*SQRT(Settings!$B$13)))</f>
        <v/>
      </c>
      <c r="I639" s="18">
        <f>IF(OR(NOT(ISNUMBER($A639)),ROW()-2&lt;Settings!$B$12),NA(),IF(COUNT(OFFSET(F639,1-Settings!$B$12,0,Settings!$B$12,1))&lt;Settings!$B$12,NA(),STDEV(OFFSET(F639,1-Settings!$B$12,0,Settings!$B$12,1))*SQRT(Settings!$B$13)))</f>
        <v/>
      </c>
      <c r="J639" s="18">
        <f>IF(OR(NOT(ISNUMBER($A639)),ROW()-2&lt;Settings!$B$11),NA(),IF(COUNT(OFFSET(G639,1-Settings!$B$11,0,Settings!$B$11,1))&lt;Settings!$B$11,NA(),STDEV(OFFSET(G639,1-Settings!$B$11,0,Settings!$B$11,1))*SQRT(Settings!$B$13)))</f>
        <v/>
      </c>
      <c r="K639" s="18">
        <f>IF(OR(NOT(ISNUMBER($A639)),ROW()-2&lt;Settings!$B$12),NA(),IF(COUNT(OFFSET(G639,1-Settings!$B$12,0,Settings!$B$12,1))&lt;Settings!$B$12,NA(),STDEV(OFFSET(G639,1-Settings!$B$12,0,Settings!$B$12,1))*SQRT(Settings!$B$13)))</f>
        <v/>
      </c>
      <c r="L639" s="18">
        <f>IF(AND(ISNUMBER(D639),ISNUMBER(H639)),D639-H639,NA())</f>
        <v/>
      </c>
      <c r="M639" s="18">
        <f>IF(AND(ISNUMBER(E639),ISNUMBER(K639)),E639-K639,NA())</f>
        <v/>
      </c>
      <c r="N639" s="18">
        <f>IF(NOT(ISNUMBER($A639)),NA(),IF(COUNT(OFFSET(G639,1,0,Settings!$B$12,1))&lt;Settings!$B$12,NA(),STDEV(OFFSET(G639,1,0,Settings!$B$12,1))*SQRT(Settings!$B$13)))</f>
        <v/>
      </c>
      <c r="O639" s="18">
        <f>IF(AND(ISNUMBER(E639),ISNUMBER(N639)),E639-N639,NA())</f>
        <v/>
      </c>
      <c r="P639" s="17">
        <f>IF(NOT(ISNUMBER($A639)),NA(),IF(OR($A639&lt;MIN(KW_TP!$A$2:$A$2501),$A639&gt;MAX(KW_TP!$A$2:$A$2501)),NA(),INDEX(KW_TP!$C$2:$C$2501,MATCH($A639,KW_TP!$A$2:$A$2501,1))))</f>
        <v/>
      </c>
    </row>
    <row r="640">
      <c r="A640" s="15">
        <f>IF(ISNUMBER(BBG_Data!A640),BBG_Data!A640,"")</f>
        <v/>
      </c>
      <c r="B640" s="16">
        <f>IF(AND(ISNUMBER($A640),ISNUMBER(BBG_Data!B640)),BBG_Data!B640,NA())</f>
        <v/>
      </c>
      <c r="C640" s="16">
        <f>IF(AND(ISNUMBER($A640),ISNUMBER(BBG_Data!C640)),BBG_Data!C640,NA())</f>
        <v/>
      </c>
      <c r="D640" s="17">
        <f>IF(AND(ISNUMBER($A640),ISNUMBER(BBG_Data!D640)),BBG_Data!D640,NA())</f>
        <v/>
      </c>
      <c r="E640" s="17">
        <f>IF(AND(ISNUMBER($A640),ISNUMBER(BBG_Data!E640)),BBG_Data!E640,NA())</f>
        <v/>
      </c>
      <c r="F640" s="18">
        <f>IF(AND(ISNUMBER(B640),ISNUMBER(B639)),(B640-B639)*100,"")</f>
        <v/>
      </c>
      <c r="G640" s="18">
        <f>IF(AND(ISNUMBER(C640),ISNUMBER(C639)),(C640-C639)*100,"")</f>
        <v/>
      </c>
      <c r="H640" s="18">
        <f>IF(OR(NOT(ISNUMBER($A640)),ROW()-2&lt;Settings!$B$11),NA(),IF(COUNT(OFFSET(F640,1-Settings!$B$11,0,Settings!$B$11,1))&lt;Settings!$B$11,NA(),STDEV(OFFSET(F640,1-Settings!$B$11,0,Settings!$B$11,1))*SQRT(Settings!$B$13)))</f>
        <v/>
      </c>
      <c r="I640" s="18">
        <f>IF(OR(NOT(ISNUMBER($A640)),ROW()-2&lt;Settings!$B$12),NA(),IF(COUNT(OFFSET(F640,1-Settings!$B$12,0,Settings!$B$12,1))&lt;Settings!$B$12,NA(),STDEV(OFFSET(F640,1-Settings!$B$12,0,Settings!$B$12,1))*SQRT(Settings!$B$13)))</f>
        <v/>
      </c>
      <c r="J640" s="18">
        <f>IF(OR(NOT(ISNUMBER($A640)),ROW()-2&lt;Settings!$B$11),NA(),IF(COUNT(OFFSET(G640,1-Settings!$B$11,0,Settings!$B$11,1))&lt;Settings!$B$11,NA(),STDEV(OFFSET(G640,1-Settings!$B$11,0,Settings!$B$11,1))*SQRT(Settings!$B$13)))</f>
        <v/>
      </c>
      <c r="K640" s="18">
        <f>IF(OR(NOT(ISNUMBER($A640)),ROW()-2&lt;Settings!$B$12),NA(),IF(COUNT(OFFSET(G640,1-Settings!$B$12,0,Settings!$B$12,1))&lt;Settings!$B$12,NA(),STDEV(OFFSET(G640,1-Settings!$B$12,0,Settings!$B$12,1))*SQRT(Settings!$B$13)))</f>
        <v/>
      </c>
      <c r="L640" s="18">
        <f>IF(AND(ISNUMBER(D640),ISNUMBER(H640)),D640-H640,NA())</f>
        <v/>
      </c>
      <c r="M640" s="18">
        <f>IF(AND(ISNUMBER(E640),ISNUMBER(K640)),E640-K640,NA())</f>
        <v/>
      </c>
      <c r="N640" s="18">
        <f>IF(NOT(ISNUMBER($A640)),NA(),IF(COUNT(OFFSET(G640,1,0,Settings!$B$12,1))&lt;Settings!$B$12,NA(),STDEV(OFFSET(G640,1,0,Settings!$B$12,1))*SQRT(Settings!$B$13)))</f>
        <v/>
      </c>
      <c r="O640" s="18">
        <f>IF(AND(ISNUMBER(E640),ISNUMBER(N640)),E640-N640,NA())</f>
        <v/>
      </c>
      <c r="P640" s="17">
        <f>IF(NOT(ISNUMBER($A640)),NA(),IF(OR($A640&lt;MIN(KW_TP!$A$2:$A$2501),$A640&gt;MAX(KW_TP!$A$2:$A$2501)),NA(),INDEX(KW_TP!$C$2:$C$2501,MATCH($A640,KW_TP!$A$2:$A$2501,1))))</f>
        <v/>
      </c>
    </row>
    <row r="641">
      <c r="A641" s="15">
        <f>IF(ISNUMBER(BBG_Data!A641),BBG_Data!A641,"")</f>
        <v/>
      </c>
      <c r="B641" s="16">
        <f>IF(AND(ISNUMBER($A641),ISNUMBER(BBG_Data!B641)),BBG_Data!B641,NA())</f>
        <v/>
      </c>
      <c r="C641" s="16">
        <f>IF(AND(ISNUMBER($A641),ISNUMBER(BBG_Data!C641)),BBG_Data!C641,NA())</f>
        <v/>
      </c>
      <c r="D641" s="17">
        <f>IF(AND(ISNUMBER($A641),ISNUMBER(BBG_Data!D641)),BBG_Data!D641,NA())</f>
        <v/>
      </c>
      <c r="E641" s="17">
        <f>IF(AND(ISNUMBER($A641),ISNUMBER(BBG_Data!E641)),BBG_Data!E641,NA())</f>
        <v/>
      </c>
      <c r="F641" s="18">
        <f>IF(AND(ISNUMBER(B641),ISNUMBER(B640)),(B641-B640)*100,"")</f>
        <v/>
      </c>
      <c r="G641" s="18">
        <f>IF(AND(ISNUMBER(C641),ISNUMBER(C640)),(C641-C640)*100,"")</f>
        <v/>
      </c>
      <c r="H641" s="18">
        <f>IF(OR(NOT(ISNUMBER($A641)),ROW()-2&lt;Settings!$B$11),NA(),IF(COUNT(OFFSET(F641,1-Settings!$B$11,0,Settings!$B$11,1))&lt;Settings!$B$11,NA(),STDEV(OFFSET(F641,1-Settings!$B$11,0,Settings!$B$11,1))*SQRT(Settings!$B$13)))</f>
        <v/>
      </c>
      <c r="I641" s="18">
        <f>IF(OR(NOT(ISNUMBER($A641)),ROW()-2&lt;Settings!$B$12),NA(),IF(COUNT(OFFSET(F641,1-Settings!$B$12,0,Settings!$B$12,1))&lt;Settings!$B$12,NA(),STDEV(OFFSET(F641,1-Settings!$B$12,0,Settings!$B$12,1))*SQRT(Settings!$B$13)))</f>
        <v/>
      </c>
      <c r="J641" s="18">
        <f>IF(OR(NOT(ISNUMBER($A641)),ROW()-2&lt;Settings!$B$11),NA(),IF(COUNT(OFFSET(G641,1-Settings!$B$11,0,Settings!$B$11,1))&lt;Settings!$B$11,NA(),STDEV(OFFSET(G641,1-Settings!$B$11,0,Settings!$B$11,1))*SQRT(Settings!$B$13)))</f>
        <v/>
      </c>
      <c r="K641" s="18">
        <f>IF(OR(NOT(ISNUMBER($A641)),ROW()-2&lt;Settings!$B$12),NA(),IF(COUNT(OFFSET(G641,1-Settings!$B$12,0,Settings!$B$12,1))&lt;Settings!$B$12,NA(),STDEV(OFFSET(G641,1-Settings!$B$12,0,Settings!$B$12,1))*SQRT(Settings!$B$13)))</f>
        <v/>
      </c>
      <c r="L641" s="18">
        <f>IF(AND(ISNUMBER(D641),ISNUMBER(H641)),D641-H641,NA())</f>
        <v/>
      </c>
      <c r="M641" s="18">
        <f>IF(AND(ISNUMBER(E641),ISNUMBER(K641)),E641-K641,NA())</f>
        <v/>
      </c>
      <c r="N641" s="18">
        <f>IF(NOT(ISNUMBER($A641)),NA(),IF(COUNT(OFFSET(G641,1,0,Settings!$B$12,1))&lt;Settings!$B$12,NA(),STDEV(OFFSET(G641,1,0,Settings!$B$12,1))*SQRT(Settings!$B$13)))</f>
        <v/>
      </c>
      <c r="O641" s="18">
        <f>IF(AND(ISNUMBER(E641),ISNUMBER(N641)),E641-N641,NA())</f>
        <v/>
      </c>
      <c r="P641" s="17">
        <f>IF(NOT(ISNUMBER($A641)),NA(),IF(OR($A641&lt;MIN(KW_TP!$A$2:$A$2501),$A641&gt;MAX(KW_TP!$A$2:$A$2501)),NA(),INDEX(KW_TP!$C$2:$C$2501,MATCH($A641,KW_TP!$A$2:$A$2501,1))))</f>
        <v/>
      </c>
    </row>
    <row r="642">
      <c r="A642" s="15">
        <f>IF(ISNUMBER(BBG_Data!A642),BBG_Data!A642,"")</f>
        <v/>
      </c>
      <c r="B642" s="16">
        <f>IF(AND(ISNUMBER($A642),ISNUMBER(BBG_Data!B642)),BBG_Data!B642,NA())</f>
        <v/>
      </c>
      <c r="C642" s="16">
        <f>IF(AND(ISNUMBER($A642),ISNUMBER(BBG_Data!C642)),BBG_Data!C642,NA())</f>
        <v/>
      </c>
      <c r="D642" s="17">
        <f>IF(AND(ISNUMBER($A642),ISNUMBER(BBG_Data!D642)),BBG_Data!D642,NA())</f>
        <v/>
      </c>
      <c r="E642" s="17">
        <f>IF(AND(ISNUMBER($A642),ISNUMBER(BBG_Data!E642)),BBG_Data!E642,NA())</f>
        <v/>
      </c>
      <c r="F642" s="18">
        <f>IF(AND(ISNUMBER(B642),ISNUMBER(B641)),(B642-B641)*100,"")</f>
        <v/>
      </c>
      <c r="G642" s="18">
        <f>IF(AND(ISNUMBER(C642),ISNUMBER(C641)),(C642-C641)*100,"")</f>
        <v/>
      </c>
      <c r="H642" s="18">
        <f>IF(OR(NOT(ISNUMBER($A642)),ROW()-2&lt;Settings!$B$11),NA(),IF(COUNT(OFFSET(F642,1-Settings!$B$11,0,Settings!$B$11,1))&lt;Settings!$B$11,NA(),STDEV(OFFSET(F642,1-Settings!$B$11,0,Settings!$B$11,1))*SQRT(Settings!$B$13)))</f>
        <v/>
      </c>
      <c r="I642" s="18">
        <f>IF(OR(NOT(ISNUMBER($A642)),ROW()-2&lt;Settings!$B$12),NA(),IF(COUNT(OFFSET(F642,1-Settings!$B$12,0,Settings!$B$12,1))&lt;Settings!$B$12,NA(),STDEV(OFFSET(F642,1-Settings!$B$12,0,Settings!$B$12,1))*SQRT(Settings!$B$13)))</f>
        <v/>
      </c>
      <c r="J642" s="18">
        <f>IF(OR(NOT(ISNUMBER($A642)),ROW()-2&lt;Settings!$B$11),NA(),IF(COUNT(OFFSET(G642,1-Settings!$B$11,0,Settings!$B$11,1))&lt;Settings!$B$11,NA(),STDEV(OFFSET(G642,1-Settings!$B$11,0,Settings!$B$11,1))*SQRT(Settings!$B$13)))</f>
        <v/>
      </c>
      <c r="K642" s="18">
        <f>IF(OR(NOT(ISNUMBER($A642)),ROW()-2&lt;Settings!$B$12),NA(),IF(COUNT(OFFSET(G642,1-Settings!$B$12,0,Settings!$B$12,1))&lt;Settings!$B$12,NA(),STDEV(OFFSET(G642,1-Settings!$B$12,0,Settings!$B$12,1))*SQRT(Settings!$B$13)))</f>
        <v/>
      </c>
      <c r="L642" s="18">
        <f>IF(AND(ISNUMBER(D642),ISNUMBER(H642)),D642-H642,NA())</f>
        <v/>
      </c>
      <c r="M642" s="18">
        <f>IF(AND(ISNUMBER(E642),ISNUMBER(K642)),E642-K642,NA())</f>
        <v/>
      </c>
      <c r="N642" s="18">
        <f>IF(NOT(ISNUMBER($A642)),NA(),IF(COUNT(OFFSET(G642,1,0,Settings!$B$12,1))&lt;Settings!$B$12,NA(),STDEV(OFFSET(G642,1,0,Settings!$B$12,1))*SQRT(Settings!$B$13)))</f>
        <v/>
      </c>
      <c r="O642" s="18">
        <f>IF(AND(ISNUMBER(E642),ISNUMBER(N642)),E642-N642,NA())</f>
        <v/>
      </c>
      <c r="P642" s="17">
        <f>IF(NOT(ISNUMBER($A642)),NA(),IF(OR($A642&lt;MIN(KW_TP!$A$2:$A$2501),$A642&gt;MAX(KW_TP!$A$2:$A$2501)),NA(),INDEX(KW_TP!$C$2:$C$2501,MATCH($A642,KW_TP!$A$2:$A$2501,1))))</f>
        <v/>
      </c>
    </row>
    <row r="643">
      <c r="A643" s="15">
        <f>IF(ISNUMBER(BBG_Data!A643),BBG_Data!A643,"")</f>
        <v/>
      </c>
      <c r="B643" s="16">
        <f>IF(AND(ISNUMBER($A643),ISNUMBER(BBG_Data!B643)),BBG_Data!B643,NA())</f>
        <v/>
      </c>
      <c r="C643" s="16">
        <f>IF(AND(ISNUMBER($A643),ISNUMBER(BBG_Data!C643)),BBG_Data!C643,NA())</f>
        <v/>
      </c>
      <c r="D643" s="17">
        <f>IF(AND(ISNUMBER($A643),ISNUMBER(BBG_Data!D643)),BBG_Data!D643,NA())</f>
        <v/>
      </c>
      <c r="E643" s="17">
        <f>IF(AND(ISNUMBER($A643),ISNUMBER(BBG_Data!E643)),BBG_Data!E643,NA())</f>
        <v/>
      </c>
      <c r="F643" s="18">
        <f>IF(AND(ISNUMBER(B643),ISNUMBER(B642)),(B643-B642)*100,"")</f>
        <v/>
      </c>
      <c r="G643" s="18">
        <f>IF(AND(ISNUMBER(C643),ISNUMBER(C642)),(C643-C642)*100,"")</f>
        <v/>
      </c>
      <c r="H643" s="18">
        <f>IF(OR(NOT(ISNUMBER($A643)),ROW()-2&lt;Settings!$B$11),NA(),IF(COUNT(OFFSET(F643,1-Settings!$B$11,0,Settings!$B$11,1))&lt;Settings!$B$11,NA(),STDEV(OFFSET(F643,1-Settings!$B$11,0,Settings!$B$11,1))*SQRT(Settings!$B$13)))</f>
        <v/>
      </c>
      <c r="I643" s="18">
        <f>IF(OR(NOT(ISNUMBER($A643)),ROW()-2&lt;Settings!$B$12),NA(),IF(COUNT(OFFSET(F643,1-Settings!$B$12,0,Settings!$B$12,1))&lt;Settings!$B$12,NA(),STDEV(OFFSET(F643,1-Settings!$B$12,0,Settings!$B$12,1))*SQRT(Settings!$B$13)))</f>
        <v/>
      </c>
      <c r="J643" s="18">
        <f>IF(OR(NOT(ISNUMBER($A643)),ROW()-2&lt;Settings!$B$11),NA(),IF(COUNT(OFFSET(G643,1-Settings!$B$11,0,Settings!$B$11,1))&lt;Settings!$B$11,NA(),STDEV(OFFSET(G643,1-Settings!$B$11,0,Settings!$B$11,1))*SQRT(Settings!$B$13)))</f>
        <v/>
      </c>
      <c r="K643" s="18">
        <f>IF(OR(NOT(ISNUMBER($A643)),ROW()-2&lt;Settings!$B$12),NA(),IF(COUNT(OFFSET(G643,1-Settings!$B$12,0,Settings!$B$12,1))&lt;Settings!$B$12,NA(),STDEV(OFFSET(G643,1-Settings!$B$12,0,Settings!$B$12,1))*SQRT(Settings!$B$13)))</f>
        <v/>
      </c>
      <c r="L643" s="18">
        <f>IF(AND(ISNUMBER(D643),ISNUMBER(H643)),D643-H643,NA())</f>
        <v/>
      </c>
      <c r="M643" s="18">
        <f>IF(AND(ISNUMBER(E643),ISNUMBER(K643)),E643-K643,NA())</f>
        <v/>
      </c>
      <c r="N643" s="18">
        <f>IF(NOT(ISNUMBER($A643)),NA(),IF(COUNT(OFFSET(G643,1,0,Settings!$B$12,1))&lt;Settings!$B$12,NA(),STDEV(OFFSET(G643,1,0,Settings!$B$12,1))*SQRT(Settings!$B$13)))</f>
        <v/>
      </c>
      <c r="O643" s="18">
        <f>IF(AND(ISNUMBER(E643),ISNUMBER(N643)),E643-N643,NA())</f>
        <v/>
      </c>
      <c r="P643" s="17">
        <f>IF(NOT(ISNUMBER($A643)),NA(),IF(OR($A643&lt;MIN(KW_TP!$A$2:$A$2501),$A643&gt;MAX(KW_TP!$A$2:$A$2501)),NA(),INDEX(KW_TP!$C$2:$C$2501,MATCH($A643,KW_TP!$A$2:$A$2501,1))))</f>
        <v/>
      </c>
    </row>
    <row r="644">
      <c r="A644" s="15">
        <f>IF(ISNUMBER(BBG_Data!A644),BBG_Data!A644,"")</f>
        <v/>
      </c>
      <c r="B644" s="16">
        <f>IF(AND(ISNUMBER($A644),ISNUMBER(BBG_Data!B644)),BBG_Data!B644,NA())</f>
        <v/>
      </c>
      <c r="C644" s="16">
        <f>IF(AND(ISNUMBER($A644),ISNUMBER(BBG_Data!C644)),BBG_Data!C644,NA())</f>
        <v/>
      </c>
      <c r="D644" s="17">
        <f>IF(AND(ISNUMBER($A644),ISNUMBER(BBG_Data!D644)),BBG_Data!D644,NA())</f>
        <v/>
      </c>
      <c r="E644" s="17">
        <f>IF(AND(ISNUMBER($A644),ISNUMBER(BBG_Data!E644)),BBG_Data!E644,NA())</f>
        <v/>
      </c>
      <c r="F644" s="18">
        <f>IF(AND(ISNUMBER(B644),ISNUMBER(B643)),(B644-B643)*100,"")</f>
        <v/>
      </c>
      <c r="G644" s="18">
        <f>IF(AND(ISNUMBER(C644),ISNUMBER(C643)),(C644-C643)*100,"")</f>
        <v/>
      </c>
      <c r="H644" s="18">
        <f>IF(OR(NOT(ISNUMBER($A644)),ROW()-2&lt;Settings!$B$11),NA(),IF(COUNT(OFFSET(F644,1-Settings!$B$11,0,Settings!$B$11,1))&lt;Settings!$B$11,NA(),STDEV(OFFSET(F644,1-Settings!$B$11,0,Settings!$B$11,1))*SQRT(Settings!$B$13)))</f>
        <v/>
      </c>
      <c r="I644" s="18">
        <f>IF(OR(NOT(ISNUMBER($A644)),ROW()-2&lt;Settings!$B$12),NA(),IF(COUNT(OFFSET(F644,1-Settings!$B$12,0,Settings!$B$12,1))&lt;Settings!$B$12,NA(),STDEV(OFFSET(F644,1-Settings!$B$12,0,Settings!$B$12,1))*SQRT(Settings!$B$13)))</f>
        <v/>
      </c>
      <c r="J644" s="18">
        <f>IF(OR(NOT(ISNUMBER($A644)),ROW()-2&lt;Settings!$B$11),NA(),IF(COUNT(OFFSET(G644,1-Settings!$B$11,0,Settings!$B$11,1))&lt;Settings!$B$11,NA(),STDEV(OFFSET(G644,1-Settings!$B$11,0,Settings!$B$11,1))*SQRT(Settings!$B$13)))</f>
        <v/>
      </c>
      <c r="K644" s="18">
        <f>IF(OR(NOT(ISNUMBER($A644)),ROW()-2&lt;Settings!$B$12),NA(),IF(COUNT(OFFSET(G644,1-Settings!$B$12,0,Settings!$B$12,1))&lt;Settings!$B$12,NA(),STDEV(OFFSET(G644,1-Settings!$B$12,0,Settings!$B$12,1))*SQRT(Settings!$B$13)))</f>
        <v/>
      </c>
      <c r="L644" s="18">
        <f>IF(AND(ISNUMBER(D644),ISNUMBER(H644)),D644-H644,NA())</f>
        <v/>
      </c>
      <c r="M644" s="18">
        <f>IF(AND(ISNUMBER(E644),ISNUMBER(K644)),E644-K644,NA())</f>
        <v/>
      </c>
      <c r="N644" s="18">
        <f>IF(NOT(ISNUMBER($A644)),NA(),IF(COUNT(OFFSET(G644,1,0,Settings!$B$12,1))&lt;Settings!$B$12,NA(),STDEV(OFFSET(G644,1,0,Settings!$B$12,1))*SQRT(Settings!$B$13)))</f>
        <v/>
      </c>
      <c r="O644" s="18">
        <f>IF(AND(ISNUMBER(E644),ISNUMBER(N644)),E644-N644,NA())</f>
        <v/>
      </c>
      <c r="P644" s="17">
        <f>IF(NOT(ISNUMBER($A644)),NA(),IF(OR($A644&lt;MIN(KW_TP!$A$2:$A$2501),$A644&gt;MAX(KW_TP!$A$2:$A$2501)),NA(),INDEX(KW_TP!$C$2:$C$2501,MATCH($A644,KW_TP!$A$2:$A$2501,1))))</f>
        <v/>
      </c>
    </row>
    <row r="645">
      <c r="A645" s="15">
        <f>IF(ISNUMBER(BBG_Data!A645),BBG_Data!A645,"")</f>
        <v/>
      </c>
      <c r="B645" s="16">
        <f>IF(AND(ISNUMBER($A645),ISNUMBER(BBG_Data!B645)),BBG_Data!B645,NA())</f>
        <v/>
      </c>
      <c r="C645" s="16">
        <f>IF(AND(ISNUMBER($A645),ISNUMBER(BBG_Data!C645)),BBG_Data!C645,NA())</f>
        <v/>
      </c>
      <c r="D645" s="17">
        <f>IF(AND(ISNUMBER($A645),ISNUMBER(BBG_Data!D645)),BBG_Data!D645,NA())</f>
        <v/>
      </c>
      <c r="E645" s="17">
        <f>IF(AND(ISNUMBER($A645),ISNUMBER(BBG_Data!E645)),BBG_Data!E645,NA())</f>
        <v/>
      </c>
      <c r="F645" s="18">
        <f>IF(AND(ISNUMBER(B645),ISNUMBER(B644)),(B645-B644)*100,"")</f>
        <v/>
      </c>
      <c r="G645" s="18">
        <f>IF(AND(ISNUMBER(C645),ISNUMBER(C644)),(C645-C644)*100,"")</f>
        <v/>
      </c>
      <c r="H645" s="18">
        <f>IF(OR(NOT(ISNUMBER($A645)),ROW()-2&lt;Settings!$B$11),NA(),IF(COUNT(OFFSET(F645,1-Settings!$B$11,0,Settings!$B$11,1))&lt;Settings!$B$11,NA(),STDEV(OFFSET(F645,1-Settings!$B$11,0,Settings!$B$11,1))*SQRT(Settings!$B$13)))</f>
        <v/>
      </c>
      <c r="I645" s="18">
        <f>IF(OR(NOT(ISNUMBER($A645)),ROW()-2&lt;Settings!$B$12),NA(),IF(COUNT(OFFSET(F645,1-Settings!$B$12,0,Settings!$B$12,1))&lt;Settings!$B$12,NA(),STDEV(OFFSET(F645,1-Settings!$B$12,0,Settings!$B$12,1))*SQRT(Settings!$B$13)))</f>
        <v/>
      </c>
      <c r="J645" s="18">
        <f>IF(OR(NOT(ISNUMBER($A645)),ROW()-2&lt;Settings!$B$11),NA(),IF(COUNT(OFFSET(G645,1-Settings!$B$11,0,Settings!$B$11,1))&lt;Settings!$B$11,NA(),STDEV(OFFSET(G645,1-Settings!$B$11,0,Settings!$B$11,1))*SQRT(Settings!$B$13)))</f>
        <v/>
      </c>
      <c r="K645" s="18">
        <f>IF(OR(NOT(ISNUMBER($A645)),ROW()-2&lt;Settings!$B$12),NA(),IF(COUNT(OFFSET(G645,1-Settings!$B$12,0,Settings!$B$12,1))&lt;Settings!$B$12,NA(),STDEV(OFFSET(G645,1-Settings!$B$12,0,Settings!$B$12,1))*SQRT(Settings!$B$13)))</f>
        <v/>
      </c>
      <c r="L645" s="18">
        <f>IF(AND(ISNUMBER(D645),ISNUMBER(H645)),D645-H645,NA())</f>
        <v/>
      </c>
      <c r="M645" s="18">
        <f>IF(AND(ISNUMBER(E645),ISNUMBER(K645)),E645-K645,NA())</f>
        <v/>
      </c>
      <c r="N645" s="18">
        <f>IF(NOT(ISNUMBER($A645)),NA(),IF(COUNT(OFFSET(G645,1,0,Settings!$B$12,1))&lt;Settings!$B$12,NA(),STDEV(OFFSET(G645,1,0,Settings!$B$12,1))*SQRT(Settings!$B$13)))</f>
        <v/>
      </c>
      <c r="O645" s="18">
        <f>IF(AND(ISNUMBER(E645),ISNUMBER(N645)),E645-N645,NA())</f>
        <v/>
      </c>
      <c r="P645" s="17">
        <f>IF(NOT(ISNUMBER($A645)),NA(),IF(OR($A645&lt;MIN(KW_TP!$A$2:$A$2501),$A645&gt;MAX(KW_TP!$A$2:$A$2501)),NA(),INDEX(KW_TP!$C$2:$C$2501,MATCH($A645,KW_TP!$A$2:$A$2501,1))))</f>
        <v/>
      </c>
    </row>
    <row r="646">
      <c r="A646" s="15">
        <f>IF(ISNUMBER(BBG_Data!A646),BBG_Data!A646,"")</f>
        <v/>
      </c>
      <c r="B646" s="16">
        <f>IF(AND(ISNUMBER($A646),ISNUMBER(BBG_Data!B646)),BBG_Data!B646,NA())</f>
        <v/>
      </c>
      <c r="C646" s="16">
        <f>IF(AND(ISNUMBER($A646),ISNUMBER(BBG_Data!C646)),BBG_Data!C646,NA())</f>
        <v/>
      </c>
      <c r="D646" s="17">
        <f>IF(AND(ISNUMBER($A646),ISNUMBER(BBG_Data!D646)),BBG_Data!D646,NA())</f>
        <v/>
      </c>
      <c r="E646" s="17">
        <f>IF(AND(ISNUMBER($A646),ISNUMBER(BBG_Data!E646)),BBG_Data!E646,NA())</f>
        <v/>
      </c>
      <c r="F646" s="18">
        <f>IF(AND(ISNUMBER(B646),ISNUMBER(B645)),(B646-B645)*100,"")</f>
        <v/>
      </c>
      <c r="G646" s="18">
        <f>IF(AND(ISNUMBER(C646),ISNUMBER(C645)),(C646-C645)*100,"")</f>
        <v/>
      </c>
      <c r="H646" s="18">
        <f>IF(OR(NOT(ISNUMBER($A646)),ROW()-2&lt;Settings!$B$11),NA(),IF(COUNT(OFFSET(F646,1-Settings!$B$11,0,Settings!$B$11,1))&lt;Settings!$B$11,NA(),STDEV(OFFSET(F646,1-Settings!$B$11,0,Settings!$B$11,1))*SQRT(Settings!$B$13)))</f>
        <v/>
      </c>
      <c r="I646" s="18">
        <f>IF(OR(NOT(ISNUMBER($A646)),ROW()-2&lt;Settings!$B$12),NA(),IF(COUNT(OFFSET(F646,1-Settings!$B$12,0,Settings!$B$12,1))&lt;Settings!$B$12,NA(),STDEV(OFFSET(F646,1-Settings!$B$12,0,Settings!$B$12,1))*SQRT(Settings!$B$13)))</f>
        <v/>
      </c>
      <c r="J646" s="18">
        <f>IF(OR(NOT(ISNUMBER($A646)),ROW()-2&lt;Settings!$B$11),NA(),IF(COUNT(OFFSET(G646,1-Settings!$B$11,0,Settings!$B$11,1))&lt;Settings!$B$11,NA(),STDEV(OFFSET(G646,1-Settings!$B$11,0,Settings!$B$11,1))*SQRT(Settings!$B$13)))</f>
        <v/>
      </c>
      <c r="K646" s="18">
        <f>IF(OR(NOT(ISNUMBER($A646)),ROW()-2&lt;Settings!$B$12),NA(),IF(COUNT(OFFSET(G646,1-Settings!$B$12,0,Settings!$B$12,1))&lt;Settings!$B$12,NA(),STDEV(OFFSET(G646,1-Settings!$B$12,0,Settings!$B$12,1))*SQRT(Settings!$B$13)))</f>
        <v/>
      </c>
      <c r="L646" s="18">
        <f>IF(AND(ISNUMBER(D646),ISNUMBER(H646)),D646-H646,NA())</f>
        <v/>
      </c>
      <c r="M646" s="18">
        <f>IF(AND(ISNUMBER(E646),ISNUMBER(K646)),E646-K646,NA())</f>
        <v/>
      </c>
      <c r="N646" s="18">
        <f>IF(NOT(ISNUMBER($A646)),NA(),IF(COUNT(OFFSET(G646,1,0,Settings!$B$12,1))&lt;Settings!$B$12,NA(),STDEV(OFFSET(G646,1,0,Settings!$B$12,1))*SQRT(Settings!$B$13)))</f>
        <v/>
      </c>
      <c r="O646" s="18">
        <f>IF(AND(ISNUMBER(E646),ISNUMBER(N646)),E646-N646,NA())</f>
        <v/>
      </c>
      <c r="P646" s="17">
        <f>IF(NOT(ISNUMBER($A646)),NA(),IF(OR($A646&lt;MIN(KW_TP!$A$2:$A$2501),$A646&gt;MAX(KW_TP!$A$2:$A$2501)),NA(),INDEX(KW_TP!$C$2:$C$2501,MATCH($A646,KW_TP!$A$2:$A$2501,1))))</f>
        <v/>
      </c>
    </row>
    <row r="647">
      <c r="A647" s="15">
        <f>IF(ISNUMBER(BBG_Data!A647),BBG_Data!A647,"")</f>
        <v/>
      </c>
      <c r="B647" s="16">
        <f>IF(AND(ISNUMBER($A647),ISNUMBER(BBG_Data!B647)),BBG_Data!B647,NA())</f>
        <v/>
      </c>
      <c r="C647" s="16">
        <f>IF(AND(ISNUMBER($A647),ISNUMBER(BBG_Data!C647)),BBG_Data!C647,NA())</f>
        <v/>
      </c>
      <c r="D647" s="17">
        <f>IF(AND(ISNUMBER($A647),ISNUMBER(BBG_Data!D647)),BBG_Data!D647,NA())</f>
        <v/>
      </c>
      <c r="E647" s="17">
        <f>IF(AND(ISNUMBER($A647),ISNUMBER(BBG_Data!E647)),BBG_Data!E647,NA())</f>
        <v/>
      </c>
      <c r="F647" s="18">
        <f>IF(AND(ISNUMBER(B647),ISNUMBER(B646)),(B647-B646)*100,"")</f>
        <v/>
      </c>
      <c r="G647" s="18">
        <f>IF(AND(ISNUMBER(C647),ISNUMBER(C646)),(C647-C646)*100,"")</f>
        <v/>
      </c>
      <c r="H647" s="18">
        <f>IF(OR(NOT(ISNUMBER($A647)),ROW()-2&lt;Settings!$B$11),NA(),IF(COUNT(OFFSET(F647,1-Settings!$B$11,0,Settings!$B$11,1))&lt;Settings!$B$11,NA(),STDEV(OFFSET(F647,1-Settings!$B$11,0,Settings!$B$11,1))*SQRT(Settings!$B$13)))</f>
        <v/>
      </c>
      <c r="I647" s="18">
        <f>IF(OR(NOT(ISNUMBER($A647)),ROW()-2&lt;Settings!$B$12),NA(),IF(COUNT(OFFSET(F647,1-Settings!$B$12,0,Settings!$B$12,1))&lt;Settings!$B$12,NA(),STDEV(OFFSET(F647,1-Settings!$B$12,0,Settings!$B$12,1))*SQRT(Settings!$B$13)))</f>
        <v/>
      </c>
      <c r="J647" s="18">
        <f>IF(OR(NOT(ISNUMBER($A647)),ROW()-2&lt;Settings!$B$11),NA(),IF(COUNT(OFFSET(G647,1-Settings!$B$11,0,Settings!$B$11,1))&lt;Settings!$B$11,NA(),STDEV(OFFSET(G647,1-Settings!$B$11,0,Settings!$B$11,1))*SQRT(Settings!$B$13)))</f>
        <v/>
      </c>
      <c r="K647" s="18">
        <f>IF(OR(NOT(ISNUMBER($A647)),ROW()-2&lt;Settings!$B$12),NA(),IF(COUNT(OFFSET(G647,1-Settings!$B$12,0,Settings!$B$12,1))&lt;Settings!$B$12,NA(),STDEV(OFFSET(G647,1-Settings!$B$12,0,Settings!$B$12,1))*SQRT(Settings!$B$13)))</f>
        <v/>
      </c>
      <c r="L647" s="18">
        <f>IF(AND(ISNUMBER(D647),ISNUMBER(H647)),D647-H647,NA())</f>
        <v/>
      </c>
      <c r="M647" s="18">
        <f>IF(AND(ISNUMBER(E647),ISNUMBER(K647)),E647-K647,NA())</f>
        <v/>
      </c>
      <c r="N647" s="18">
        <f>IF(NOT(ISNUMBER($A647)),NA(),IF(COUNT(OFFSET(G647,1,0,Settings!$B$12,1))&lt;Settings!$B$12,NA(),STDEV(OFFSET(G647,1,0,Settings!$B$12,1))*SQRT(Settings!$B$13)))</f>
        <v/>
      </c>
      <c r="O647" s="18">
        <f>IF(AND(ISNUMBER(E647),ISNUMBER(N647)),E647-N647,NA())</f>
        <v/>
      </c>
      <c r="P647" s="17">
        <f>IF(NOT(ISNUMBER($A647)),NA(),IF(OR($A647&lt;MIN(KW_TP!$A$2:$A$2501),$A647&gt;MAX(KW_TP!$A$2:$A$2501)),NA(),INDEX(KW_TP!$C$2:$C$2501,MATCH($A647,KW_TP!$A$2:$A$2501,1))))</f>
        <v/>
      </c>
    </row>
    <row r="648">
      <c r="A648" s="15">
        <f>IF(ISNUMBER(BBG_Data!A648),BBG_Data!A648,"")</f>
        <v/>
      </c>
      <c r="B648" s="16">
        <f>IF(AND(ISNUMBER($A648),ISNUMBER(BBG_Data!B648)),BBG_Data!B648,NA())</f>
        <v/>
      </c>
      <c r="C648" s="16">
        <f>IF(AND(ISNUMBER($A648),ISNUMBER(BBG_Data!C648)),BBG_Data!C648,NA())</f>
        <v/>
      </c>
      <c r="D648" s="17">
        <f>IF(AND(ISNUMBER($A648),ISNUMBER(BBG_Data!D648)),BBG_Data!D648,NA())</f>
        <v/>
      </c>
      <c r="E648" s="17">
        <f>IF(AND(ISNUMBER($A648),ISNUMBER(BBG_Data!E648)),BBG_Data!E648,NA())</f>
        <v/>
      </c>
      <c r="F648" s="18">
        <f>IF(AND(ISNUMBER(B648),ISNUMBER(B647)),(B648-B647)*100,"")</f>
        <v/>
      </c>
      <c r="G648" s="18">
        <f>IF(AND(ISNUMBER(C648),ISNUMBER(C647)),(C648-C647)*100,"")</f>
        <v/>
      </c>
      <c r="H648" s="18">
        <f>IF(OR(NOT(ISNUMBER($A648)),ROW()-2&lt;Settings!$B$11),NA(),IF(COUNT(OFFSET(F648,1-Settings!$B$11,0,Settings!$B$11,1))&lt;Settings!$B$11,NA(),STDEV(OFFSET(F648,1-Settings!$B$11,0,Settings!$B$11,1))*SQRT(Settings!$B$13)))</f>
        <v/>
      </c>
      <c r="I648" s="18">
        <f>IF(OR(NOT(ISNUMBER($A648)),ROW()-2&lt;Settings!$B$12),NA(),IF(COUNT(OFFSET(F648,1-Settings!$B$12,0,Settings!$B$12,1))&lt;Settings!$B$12,NA(),STDEV(OFFSET(F648,1-Settings!$B$12,0,Settings!$B$12,1))*SQRT(Settings!$B$13)))</f>
        <v/>
      </c>
      <c r="J648" s="18">
        <f>IF(OR(NOT(ISNUMBER($A648)),ROW()-2&lt;Settings!$B$11),NA(),IF(COUNT(OFFSET(G648,1-Settings!$B$11,0,Settings!$B$11,1))&lt;Settings!$B$11,NA(),STDEV(OFFSET(G648,1-Settings!$B$11,0,Settings!$B$11,1))*SQRT(Settings!$B$13)))</f>
        <v/>
      </c>
      <c r="K648" s="18">
        <f>IF(OR(NOT(ISNUMBER($A648)),ROW()-2&lt;Settings!$B$12),NA(),IF(COUNT(OFFSET(G648,1-Settings!$B$12,0,Settings!$B$12,1))&lt;Settings!$B$12,NA(),STDEV(OFFSET(G648,1-Settings!$B$12,0,Settings!$B$12,1))*SQRT(Settings!$B$13)))</f>
        <v/>
      </c>
      <c r="L648" s="18">
        <f>IF(AND(ISNUMBER(D648),ISNUMBER(H648)),D648-H648,NA())</f>
        <v/>
      </c>
      <c r="M648" s="18">
        <f>IF(AND(ISNUMBER(E648),ISNUMBER(K648)),E648-K648,NA())</f>
        <v/>
      </c>
      <c r="N648" s="18">
        <f>IF(NOT(ISNUMBER($A648)),NA(),IF(COUNT(OFFSET(G648,1,0,Settings!$B$12,1))&lt;Settings!$B$12,NA(),STDEV(OFFSET(G648,1,0,Settings!$B$12,1))*SQRT(Settings!$B$13)))</f>
        <v/>
      </c>
      <c r="O648" s="18">
        <f>IF(AND(ISNUMBER(E648),ISNUMBER(N648)),E648-N648,NA())</f>
        <v/>
      </c>
      <c r="P648" s="17">
        <f>IF(NOT(ISNUMBER($A648)),NA(),IF(OR($A648&lt;MIN(KW_TP!$A$2:$A$2501),$A648&gt;MAX(KW_TP!$A$2:$A$2501)),NA(),INDEX(KW_TP!$C$2:$C$2501,MATCH($A648,KW_TP!$A$2:$A$2501,1))))</f>
        <v/>
      </c>
    </row>
    <row r="649">
      <c r="A649" s="15">
        <f>IF(ISNUMBER(BBG_Data!A649),BBG_Data!A649,"")</f>
        <v/>
      </c>
      <c r="B649" s="16">
        <f>IF(AND(ISNUMBER($A649),ISNUMBER(BBG_Data!B649)),BBG_Data!B649,NA())</f>
        <v/>
      </c>
      <c r="C649" s="16">
        <f>IF(AND(ISNUMBER($A649),ISNUMBER(BBG_Data!C649)),BBG_Data!C649,NA())</f>
        <v/>
      </c>
      <c r="D649" s="17">
        <f>IF(AND(ISNUMBER($A649),ISNUMBER(BBG_Data!D649)),BBG_Data!D649,NA())</f>
        <v/>
      </c>
      <c r="E649" s="17">
        <f>IF(AND(ISNUMBER($A649),ISNUMBER(BBG_Data!E649)),BBG_Data!E649,NA())</f>
        <v/>
      </c>
      <c r="F649" s="18">
        <f>IF(AND(ISNUMBER(B649),ISNUMBER(B648)),(B649-B648)*100,"")</f>
        <v/>
      </c>
      <c r="G649" s="18">
        <f>IF(AND(ISNUMBER(C649),ISNUMBER(C648)),(C649-C648)*100,"")</f>
        <v/>
      </c>
      <c r="H649" s="18">
        <f>IF(OR(NOT(ISNUMBER($A649)),ROW()-2&lt;Settings!$B$11),NA(),IF(COUNT(OFFSET(F649,1-Settings!$B$11,0,Settings!$B$11,1))&lt;Settings!$B$11,NA(),STDEV(OFFSET(F649,1-Settings!$B$11,0,Settings!$B$11,1))*SQRT(Settings!$B$13)))</f>
        <v/>
      </c>
      <c r="I649" s="18">
        <f>IF(OR(NOT(ISNUMBER($A649)),ROW()-2&lt;Settings!$B$12),NA(),IF(COUNT(OFFSET(F649,1-Settings!$B$12,0,Settings!$B$12,1))&lt;Settings!$B$12,NA(),STDEV(OFFSET(F649,1-Settings!$B$12,0,Settings!$B$12,1))*SQRT(Settings!$B$13)))</f>
        <v/>
      </c>
      <c r="J649" s="18">
        <f>IF(OR(NOT(ISNUMBER($A649)),ROW()-2&lt;Settings!$B$11),NA(),IF(COUNT(OFFSET(G649,1-Settings!$B$11,0,Settings!$B$11,1))&lt;Settings!$B$11,NA(),STDEV(OFFSET(G649,1-Settings!$B$11,0,Settings!$B$11,1))*SQRT(Settings!$B$13)))</f>
        <v/>
      </c>
      <c r="K649" s="18">
        <f>IF(OR(NOT(ISNUMBER($A649)),ROW()-2&lt;Settings!$B$12),NA(),IF(COUNT(OFFSET(G649,1-Settings!$B$12,0,Settings!$B$12,1))&lt;Settings!$B$12,NA(),STDEV(OFFSET(G649,1-Settings!$B$12,0,Settings!$B$12,1))*SQRT(Settings!$B$13)))</f>
        <v/>
      </c>
      <c r="L649" s="18">
        <f>IF(AND(ISNUMBER(D649),ISNUMBER(H649)),D649-H649,NA())</f>
        <v/>
      </c>
      <c r="M649" s="18">
        <f>IF(AND(ISNUMBER(E649),ISNUMBER(K649)),E649-K649,NA())</f>
        <v/>
      </c>
      <c r="N649" s="18">
        <f>IF(NOT(ISNUMBER($A649)),NA(),IF(COUNT(OFFSET(G649,1,0,Settings!$B$12,1))&lt;Settings!$B$12,NA(),STDEV(OFFSET(G649,1,0,Settings!$B$12,1))*SQRT(Settings!$B$13)))</f>
        <v/>
      </c>
      <c r="O649" s="18">
        <f>IF(AND(ISNUMBER(E649),ISNUMBER(N649)),E649-N649,NA())</f>
        <v/>
      </c>
      <c r="P649" s="17">
        <f>IF(NOT(ISNUMBER($A649)),NA(),IF(OR($A649&lt;MIN(KW_TP!$A$2:$A$2501),$A649&gt;MAX(KW_TP!$A$2:$A$2501)),NA(),INDEX(KW_TP!$C$2:$C$2501,MATCH($A649,KW_TP!$A$2:$A$2501,1))))</f>
        <v/>
      </c>
    </row>
    <row r="650">
      <c r="A650" s="15">
        <f>IF(ISNUMBER(BBG_Data!A650),BBG_Data!A650,"")</f>
        <v/>
      </c>
      <c r="B650" s="16">
        <f>IF(AND(ISNUMBER($A650),ISNUMBER(BBG_Data!B650)),BBG_Data!B650,NA())</f>
        <v/>
      </c>
      <c r="C650" s="16">
        <f>IF(AND(ISNUMBER($A650),ISNUMBER(BBG_Data!C650)),BBG_Data!C650,NA())</f>
        <v/>
      </c>
      <c r="D650" s="17">
        <f>IF(AND(ISNUMBER($A650),ISNUMBER(BBG_Data!D650)),BBG_Data!D650,NA())</f>
        <v/>
      </c>
      <c r="E650" s="17">
        <f>IF(AND(ISNUMBER($A650),ISNUMBER(BBG_Data!E650)),BBG_Data!E650,NA())</f>
        <v/>
      </c>
      <c r="F650" s="18">
        <f>IF(AND(ISNUMBER(B650),ISNUMBER(B649)),(B650-B649)*100,"")</f>
        <v/>
      </c>
      <c r="G650" s="18">
        <f>IF(AND(ISNUMBER(C650),ISNUMBER(C649)),(C650-C649)*100,"")</f>
        <v/>
      </c>
      <c r="H650" s="18">
        <f>IF(OR(NOT(ISNUMBER($A650)),ROW()-2&lt;Settings!$B$11),NA(),IF(COUNT(OFFSET(F650,1-Settings!$B$11,0,Settings!$B$11,1))&lt;Settings!$B$11,NA(),STDEV(OFFSET(F650,1-Settings!$B$11,0,Settings!$B$11,1))*SQRT(Settings!$B$13)))</f>
        <v/>
      </c>
      <c r="I650" s="18">
        <f>IF(OR(NOT(ISNUMBER($A650)),ROW()-2&lt;Settings!$B$12),NA(),IF(COUNT(OFFSET(F650,1-Settings!$B$12,0,Settings!$B$12,1))&lt;Settings!$B$12,NA(),STDEV(OFFSET(F650,1-Settings!$B$12,0,Settings!$B$12,1))*SQRT(Settings!$B$13)))</f>
        <v/>
      </c>
      <c r="J650" s="18">
        <f>IF(OR(NOT(ISNUMBER($A650)),ROW()-2&lt;Settings!$B$11),NA(),IF(COUNT(OFFSET(G650,1-Settings!$B$11,0,Settings!$B$11,1))&lt;Settings!$B$11,NA(),STDEV(OFFSET(G650,1-Settings!$B$11,0,Settings!$B$11,1))*SQRT(Settings!$B$13)))</f>
        <v/>
      </c>
      <c r="K650" s="18">
        <f>IF(OR(NOT(ISNUMBER($A650)),ROW()-2&lt;Settings!$B$12),NA(),IF(COUNT(OFFSET(G650,1-Settings!$B$12,0,Settings!$B$12,1))&lt;Settings!$B$12,NA(),STDEV(OFFSET(G650,1-Settings!$B$12,0,Settings!$B$12,1))*SQRT(Settings!$B$13)))</f>
        <v/>
      </c>
      <c r="L650" s="18">
        <f>IF(AND(ISNUMBER(D650),ISNUMBER(H650)),D650-H650,NA())</f>
        <v/>
      </c>
      <c r="M650" s="18">
        <f>IF(AND(ISNUMBER(E650),ISNUMBER(K650)),E650-K650,NA())</f>
        <v/>
      </c>
      <c r="N650" s="18">
        <f>IF(NOT(ISNUMBER($A650)),NA(),IF(COUNT(OFFSET(G650,1,0,Settings!$B$12,1))&lt;Settings!$B$12,NA(),STDEV(OFFSET(G650,1,0,Settings!$B$12,1))*SQRT(Settings!$B$13)))</f>
        <v/>
      </c>
      <c r="O650" s="18">
        <f>IF(AND(ISNUMBER(E650),ISNUMBER(N650)),E650-N650,NA())</f>
        <v/>
      </c>
      <c r="P650" s="17">
        <f>IF(NOT(ISNUMBER($A650)),NA(),IF(OR($A650&lt;MIN(KW_TP!$A$2:$A$2501),$A650&gt;MAX(KW_TP!$A$2:$A$2501)),NA(),INDEX(KW_TP!$C$2:$C$2501,MATCH($A650,KW_TP!$A$2:$A$2501,1))))</f>
        <v/>
      </c>
    </row>
    <row r="651">
      <c r="A651" s="15">
        <f>IF(ISNUMBER(BBG_Data!A651),BBG_Data!A651,"")</f>
        <v/>
      </c>
      <c r="B651" s="16">
        <f>IF(AND(ISNUMBER($A651),ISNUMBER(BBG_Data!B651)),BBG_Data!B651,NA())</f>
        <v/>
      </c>
      <c r="C651" s="16">
        <f>IF(AND(ISNUMBER($A651),ISNUMBER(BBG_Data!C651)),BBG_Data!C651,NA())</f>
        <v/>
      </c>
      <c r="D651" s="17">
        <f>IF(AND(ISNUMBER($A651),ISNUMBER(BBG_Data!D651)),BBG_Data!D651,NA())</f>
        <v/>
      </c>
      <c r="E651" s="17">
        <f>IF(AND(ISNUMBER($A651),ISNUMBER(BBG_Data!E651)),BBG_Data!E651,NA())</f>
        <v/>
      </c>
      <c r="F651" s="18">
        <f>IF(AND(ISNUMBER(B651),ISNUMBER(B650)),(B651-B650)*100,"")</f>
        <v/>
      </c>
      <c r="G651" s="18">
        <f>IF(AND(ISNUMBER(C651),ISNUMBER(C650)),(C651-C650)*100,"")</f>
        <v/>
      </c>
      <c r="H651" s="18">
        <f>IF(OR(NOT(ISNUMBER($A651)),ROW()-2&lt;Settings!$B$11),NA(),IF(COUNT(OFFSET(F651,1-Settings!$B$11,0,Settings!$B$11,1))&lt;Settings!$B$11,NA(),STDEV(OFFSET(F651,1-Settings!$B$11,0,Settings!$B$11,1))*SQRT(Settings!$B$13)))</f>
        <v/>
      </c>
      <c r="I651" s="18">
        <f>IF(OR(NOT(ISNUMBER($A651)),ROW()-2&lt;Settings!$B$12),NA(),IF(COUNT(OFFSET(F651,1-Settings!$B$12,0,Settings!$B$12,1))&lt;Settings!$B$12,NA(),STDEV(OFFSET(F651,1-Settings!$B$12,0,Settings!$B$12,1))*SQRT(Settings!$B$13)))</f>
        <v/>
      </c>
      <c r="J651" s="18">
        <f>IF(OR(NOT(ISNUMBER($A651)),ROW()-2&lt;Settings!$B$11),NA(),IF(COUNT(OFFSET(G651,1-Settings!$B$11,0,Settings!$B$11,1))&lt;Settings!$B$11,NA(),STDEV(OFFSET(G651,1-Settings!$B$11,0,Settings!$B$11,1))*SQRT(Settings!$B$13)))</f>
        <v/>
      </c>
      <c r="K651" s="18">
        <f>IF(OR(NOT(ISNUMBER($A651)),ROW()-2&lt;Settings!$B$12),NA(),IF(COUNT(OFFSET(G651,1-Settings!$B$12,0,Settings!$B$12,1))&lt;Settings!$B$12,NA(),STDEV(OFFSET(G651,1-Settings!$B$12,0,Settings!$B$12,1))*SQRT(Settings!$B$13)))</f>
        <v/>
      </c>
      <c r="L651" s="18">
        <f>IF(AND(ISNUMBER(D651),ISNUMBER(H651)),D651-H651,NA())</f>
        <v/>
      </c>
      <c r="M651" s="18">
        <f>IF(AND(ISNUMBER(E651),ISNUMBER(K651)),E651-K651,NA())</f>
        <v/>
      </c>
      <c r="N651" s="18">
        <f>IF(NOT(ISNUMBER($A651)),NA(),IF(COUNT(OFFSET(G651,1,0,Settings!$B$12,1))&lt;Settings!$B$12,NA(),STDEV(OFFSET(G651,1,0,Settings!$B$12,1))*SQRT(Settings!$B$13)))</f>
        <v/>
      </c>
      <c r="O651" s="18">
        <f>IF(AND(ISNUMBER(E651),ISNUMBER(N651)),E651-N651,NA())</f>
        <v/>
      </c>
      <c r="P651" s="17">
        <f>IF(NOT(ISNUMBER($A651)),NA(),IF(OR($A651&lt;MIN(KW_TP!$A$2:$A$2501),$A651&gt;MAX(KW_TP!$A$2:$A$2501)),NA(),INDEX(KW_TP!$C$2:$C$2501,MATCH($A651,KW_TP!$A$2:$A$2501,1))))</f>
        <v/>
      </c>
    </row>
    <row r="652">
      <c r="A652" s="15">
        <f>IF(ISNUMBER(BBG_Data!A652),BBG_Data!A652,"")</f>
        <v/>
      </c>
      <c r="B652" s="16">
        <f>IF(AND(ISNUMBER($A652),ISNUMBER(BBG_Data!B652)),BBG_Data!B652,NA())</f>
        <v/>
      </c>
      <c r="C652" s="16">
        <f>IF(AND(ISNUMBER($A652),ISNUMBER(BBG_Data!C652)),BBG_Data!C652,NA())</f>
        <v/>
      </c>
      <c r="D652" s="17">
        <f>IF(AND(ISNUMBER($A652),ISNUMBER(BBG_Data!D652)),BBG_Data!D652,NA())</f>
        <v/>
      </c>
      <c r="E652" s="17">
        <f>IF(AND(ISNUMBER($A652),ISNUMBER(BBG_Data!E652)),BBG_Data!E652,NA())</f>
        <v/>
      </c>
      <c r="F652" s="18">
        <f>IF(AND(ISNUMBER(B652),ISNUMBER(B651)),(B652-B651)*100,"")</f>
        <v/>
      </c>
      <c r="G652" s="18">
        <f>IF(AND(ISNUMBER(C652),ISNUMBER(C651)),(C652-C651)*100,"")</f>
        <v/>
      </c>
      <c r="H652" s="18">
        <f>IF(OR(NOT(ISNUMBER($A652)),ROW()-2&lt;Settings!$B$11),NA(),IF(COUNT(OFFSET(F652,1-Settings!$B$11,0,Settings!$B$11,1))&lt;Settings!$B$11,NA(),STDEV(OFFSET(F652,1-Settings!$B$11,0,Settings!$B$11,1))*SQRT(Settings!$B$13)))</f>
        <v/>
      </c>
      <c r="I652" s="18">
        <f>IF(OR(NOT(ISNUMBER($A652)),ROW()-2&lt;Settings!$B$12),NA(),IF(COUNT(OFFSET(F652,1-Settings!$B$12,0,Settings!$B$12,1))&lt;Settings!$B$12,NA(),STDEV(OFFSET(F652,1-Settings!$B$12,0,Settings!$B$12,1))*SQRT(Settings!$B$13)))</f>
        <v/>
      </c>
      <c r="J652" s="18">
        <f>IF(OR(NOT(ISNUMBER($A652)),ROW()-2&lt;Settings!$B$11),NA(),IF(COUNT(OFFSET(G652,1-Settings!$B$11,0,Settings!$B$11,1))&lt;Settings!$B$11,NA(),STDEV(OFFSET(G652,1-Settings!$B$11,0,Settings!$B$11,1))*SQRT(Settings!$B$13)))</f>
        <v/>
      </c>
      <c r="K652" s="18">
        <f>IF(OR(NOT(ISNUMBER($A652)),ROW()-2&lt;Settings!$B$12),NA(),IF(COUNT(OFFSET(G652,1-Settings!$B$12,0,Settings!$B$12,1))&lt;Settings!$B$12,NA(),STDEV(OFFSET(G652,1-Settings!$B$12,0,Settings!$B$12,1))*SQRT(Settings!$B$13)))</f>
        <v/>
      </c>
      <c r="L652" s="18">
        <f>IF(AND(ISNUMBER(D652),ISNUMBER(H652)),D652-H652,NA())</f>
        <v/>
      </c>
      <c r="M652" s="18">
        <f>IF(AND(ISNUMBER(E652),ISNUMBER(K652)),E652-K652,NA())</f>
        <v/>
      </c>
      <c r="N652" s="18">
        <f>IF(NOT(ISNUMBER($A652)),NA(),IF(COUNT(OFFSET(G652,1,0,Settings!$B$12,1))&lt;Settings!$B$12,NA(),STDEV(OFFSET(G652,1,0,Settings!$B$12,1))*SQRT(Settings!$B$13)))</f>
        <v/>
      </c>
      <c r="O652" s="18">
        <f>IF(AND(ISNUMBER(E652),ISNUMBER(N652)),E652-N652,NA())</f>
        <v/>
      </c>
      <c r="P652" s="17">
        <f>IF(NOT(ISNUMBER($A652)),NA(),IF(OR($A652&lt;MIN(KW_TP!$A$2:$A$2501),$A652&gt;MAX(KW_TP!$A$2:$A$2501)),NA(),INDEX(KW_TP!$C$2:$C$2501,MATCH($A652,KW_TP!$A$2:$A$2501,1))))</f>
        <v/>
      </c>
    </row>
    <row r="653">
      <c r="A653" s="15">
        <f>IF(ISNUMBER(BBG_Data!A653),BBG_Data!A653,"")</f>
        <v/>
      </c>
      <c r="B653" s="16">
        <f>IF(AND(ISNUMBER($A653),ISNUMBER(BBG_Data!B653)),BBG_Data!B653,NA())</f>
        <v/>
      </c>
      <c r="C653" s="16">
        <f>IF(AND(ISNUMBER($A653),ISNUMBER(BBG_Data!C653)),BBG_Data!C653,NA())</f>
        <v/>
      </c>
      <c r="D653" s="17">
        <f>IF(AND(ISNUMBER($A653),ISNUMBER(BBG_Data!D653)),BBG_Data!D653,NA())</f>
        <v/>
      </c>
      <c r="E653" s="17">
        <f>IF(AND(ISNUMBER($A653),ISNUMBER(BBG_Data!E653)),BBG_Data!E653,NA())</f>
        <v/>
      </c>
      <c r="F653" s="18">
        <f>IF(AND(ISNUMBER(B653),ISNUMBER(B652)),(B653-B652)*100,"")</f>
        <v/>
      </c>
      <c r="G653" s="18">
        <f>IF(AND(ISNUMBER(C653),ISNUMBER(C652)),(C653-C652)*100,"")</f>
        <v/>
      </c>
      <c r="H653" s="18">
        <f>IF(OR(NOT(ISNUMBER($A653)),ROW()-2&lt;Settings!$B$11),NA(),IF(COUNT(OFFSET(F653,1-Settings!$B$11,0,Settings!$B$11,1))&lt;Settings!$B$11,NA(),STDEV(OFFSET(F653,1-Settings!$B$11,0,Settings!$B$11,1))*SQRT(Settings!$B$13)))</f>
        <v/>
      </c>
      <c r="I653" s="18">
        <f>IF(OR(NOT(ISNUMBER($A653)),ROW()-2&lt;Settings!$B$12),NA(),IF(COUNT(OFFSET(F653,1-Settings!$B$12,0,Settings!$B$12,1))&lt;Settings!$B$12,NA(),STDEV(OFFSET(F653,1-Settings!$B$12,0,Settings!$B$12,1))*SQRT(Settings!$B$13)))</f>
        <v/>
      </c>
      <c r="J653" s="18">
        <f>IF(OR(NOT(ISNUMBER($A653)),ROW()-2&lt;Settings!$B$11),NA(),IF(COUNT(OFFSET(G653,1-Settings!$B$11,0,Settings!$B$11,1))&lt;Settings!$B$11,NA(),STDEV(OFFSET(G653,1-Settings!$B$11,0,Settings!$B$11,1))*SQRT(Settings!$B$13)))</f>
        <v/>
      </c>
      <c r="K653" s="18">
        <f>IF(OR(NOT(ISNUMBER($A653)),ROW()-2&lt;Settings!$B$12),NA(),IF(COUNT(OFFSET(G653,1-Settings!$B$12,0,Settings!$B$12,1))&lt;Settings!$B$12,NA(),STDEV(OFFSET(G653,1-Settings!$B$12,0,Settings!$B$12,1))*SQRT(Settings!$B$13)))</f>
        <v/>
      </c>
      <c r="L653" s="18">
        <f>IF(AND(ISNUMBER(D653),ISNUMBER(H653)),D653-H653,NA())</f>
        <v/>
      </c>
      <c r="M653" s="18">
        <f>IF(AND(ISNUMBER(E653),ISNUMBER(K653)),E653-K653,NA())</f>
        <v/>
      </c>
      <c r="N653" s="18">
        <f>IF(NOT(ISNUMBER($A653)),NA(),IF(COUNT(OFFSET(G653,1,0,Settings!$B$12,1))&lt;Settings!$B$12,NA(),STDEV(OFFSET(G653,1,0,Settings!$B$12,1))*SQRT(Settings!$B$13)))</f>
        <v/>
      </c>
      <c r="O653" s="18">
        <f>IF(AND(ISNUMBER(E653),ISNUMBER(N653)),E653-N653,NA())</f>
        <v/>
      </c>
      <c r="P653" s="17">
        <f>IF(NOT(ISNUMBER($A653)),NA(),IF(OR($A653&lt;MIN(KW_TP!$A$2:$A$2501),$A653&gt;MAX(KW_TP!$A$2:$A$2501)),NA(),INDEX(KW_TP!$C$2:$C$2501,MATCH($A653,KW_TP!$A$2:$A$2501,1))))</f>
        <v/>
      </c>
    </row>
    <row r="654">
      <c r="A654" s="15">
        <f>IF(ISNUMBER(BBG_Data!A654),BBG_Data!A654,"")</f>
        <v/>
      </c>
      <c r="B654" s="16">
        <f>IF(AND(ISNUMBER($A654),ISNUMBER(BBG_Data!B654)),BBG_Data!B654,NA())</f>
        <v/>
      </c>
      <c r="C654" s="16">
        <f>IF(AND(ISNUMBER($A654),ISNUMBER(BBG_Data!C654)),BBG_Data!C654,NA())</f>
        <v/>
      </c>
      <c r="D654" s="17">
        <f>IF(AND(ISNUMBER($A654),ISNUMBER(BBG_Data!D654)),BBG_Data!D654,NA())</f>
        <v/>
      </c>
      <c r="E654" s="17">
        <f>IF(AND(ISNUMBER($A654),ISNUMBER(BBG_Data!E654)),BBG_Data!E654,NA())</f>
        <v/>
      </c>
      <c r="F654" s="18">
        <f>IF(AND(ISNUMBER(B654),ISNUMBER(B653)),(B654-B653)*100,"")</f>
        <v/>
      </c>
      <c r="G654" s="18">
        <f>IF(AND(ISNUMBER(C654),ISNUMBER(C653)),(C654-C653)*100,"")</f>
        <v/>
      </c>
      <c r="H654" s="18">
        <f>IF(OR(NOT(ISNUMBER($A654)),ROW()-2&lt;Settings!$B$11),NA(),IF(COUNT(OFFSET(F654,1-Settings!$B$11,0,Settings!$B$11,1))&lt;Settings!$B$11,NA(),STDEV(OFFSET(F654,1-Settings!$B$11,0,Settings!$B$11,1))*SQRT(Settings!$B$13)))</f>
        <v/>
      </c>
      <c r="I654" s="18">
        <f>IF(OR(NOT(ISNUMBER($A654)),ROW()-2&lt;Settings!$B$12),NA(),IF(COUNT(OFFSET(F654,1-Settings!$B$12,0,Settings!$B$12,1))&lt;Settings!$B$12,NA(),STDEV(OFFSET(F654,1-Settings!$B$12,0,Settings!$B$12,1))*SQRT(Settings!$B$13)))</f>
        <v/>
      </c>
      <c r="J654" s="18">
        <f>IF(OR(NOT(ISNUMBER($A654)),ROW()-2&lt;Settings!$B$11),NA(),IF(COUNT(OFFSET(G654,1-Settings!$B$11,0,Settings!$B$11,1))&lt;Settings!$B$11,NA(),STDEV(OFFSET(G654,1-Settings!$B$11,0,Settings!$B$11,1))*SQRT(Settings!$B$13)))</f>
        <v/>
      </c>
      <c r="K654" s="18">
        <f>IF(OR(NOT(ISNUMBER($A654)),ROW()-2&lt;Settings!$B$12),NA(),IF(COUNT(OFFSET(G654,1-Settings!$B$12,0,Settings!$B$12,1))&lt;Settings!$B$12,NA(),STDEV(OFFSET(G654,1-Settings!$B$12,0,Settings!$B$12,1))*SQRT(Settings!$B$13)))</f>
        <v/>
      </c>
      <c r="L654" s="18">
        <f>IF(AND(ISNUMBER(D654),ISNUMBER(H654)),D654-H654,NA())</f>
        <v/>
      </c>
      <c r="M654" s="18">
        <f>IF(AND(ISNUMBER(E654),ISNUMBER(K654)),E654-K654,NA())</f>
        <v/>
      </c>
      <c r="N654" s="18">
        <f>IF(NOT(ISNUMBER($A654)),NA(),IF(COUNT(OFFSET(G654,1,0,Settings!$B$12,1))&lt;Settings!$B$12,NA(),STDEV(OFFSET(G654,1,0,Settings!$B$12,1))*SQRT(Settings!$B$13)))</f>
        <v/>
      </c>
      <c r="O654" s="18">
        <f>IF(AND(ISNUMBER(E654),ISNUMBER(N654)),E654-N654,NA())</f>
        <v/>
      </c>
      <c r="P654" s="17">
        <f>IF(NOT(ISNUMBER($A654)),NA(),IF(OR($A654&lt;MIN(KW_TP!$A$2:$A$2501),$A654&gt;MAX(KW_TP!$A$2:$A$2501)),NA(),INDEX(KW_TP!$C$2:$C$2501,MATCH($A654,KW_TP!$A$2:$A$2501,1))))</f>
        <v/>
      </c>
    </row>
    <row r="655">
      <c r="A655" s="15">
        <f>IF(ISNUMBER(BBG_Data!A655),BBG_Data!A655,"")</f>
        <v/>
      </c>
      <c r="B655" s="16">
        <f>IF(AND(ISNUMBER($A655),ISNUMBER(BBG_Data!B655)),BBG_Data!B655,NA())</f>
        <v/>
      </c>
      <c r="C655" s="16">
        <f>IF(AND(ISNUMBER($A655),ISNUMBER(BBG_Data!C655)),BBG_Data!C655,NA())</f>
        <v/>
      </c>
      <c r="D655" s="17">
        <f>IF(AND(ISNUMBER($A655),ISNUMBER(BBG_Data!D655)),BBG_Data!D655,NA())</f>
        <v/>
      </c>
      <c r="E655" s="17">
        <f>IF(AND(ISNUMBER($A655),ISNUMBER(BBG_Data!E655)),BBG_Data!E655,NA())</f>
        <v/>
      </c>
      <c r="F655" s="18">
        <f>IF(AND(ISNUMBER(B655),ISNUMBER(B654)),(B655-B654)*100,"")</f>
        <v/>
      </c>
      <c r="G655" s="18">
        <f>IF(AND(ISNUMBER(C655),ISNUMBER(C654)),(C655-C654)*100,"")</f>
        <v/>
      </c>
      <c r="H655" s="18">
        <f>IF(OR(NOT(ISNUMBER($A655)),ROW()-2&lt;Settings!$B$11),NA(),IF(COUNT(OFFSET(F655,1-Settings!$B$11,0,Settings!$B$11,1))&lt;Settings!$B$11,NA(),STDEV(OFFSET(F655,1-Settings!$B$11,0,Settings!$B$11,1))*SQRT(Settings!$B$13)))</f>
        <v/>
      </c>
      <c r="I655" s="18">
        <f>IF(OR(NOT(ISNUMBER($A655)),ROW()-2&lt;Settings!$B$12),NA(),IF(COUNT(OFFSET(F655,1-Settings!$B$12,0,Settings!$B$12,1))&lt;Settings!$B$12,NA(),STDEV(OFFSET(F655,1-Settings!$B$12,0,Settings!$B$12,1))*SQRT(Settings!$B$13)))</f>
        <v/>
      </c>
      <c r="J655" s="18">
        <f>IF(OR(NOT(ISNUMBER($A655)),ROW()-2&lt;Settings!$B$11),NA(),IF(COUNT(OFFSET(G655,1-Settings!$B$11,0,Settings!$B$11,1))&lt;Settings!$B$11,NA(),STDEV(OFFSET(G655,1-Settings!$B$11,0,Settings!$B$11,1))*SQRT(Settings!$B$13)))</f>
        <v/>
      </c>
      <c r="K655" s="18">
        <f>IF(OR(NOT(ISNUMBER($A655)),ROW()-2&lt;Settings!$B$12),NA(),IF(COUNT(OFFSET(G655,1-Settings!$B$12,0,Settings!$B$12,1))&lt;Settings!$B$12,NA(),STDEV(OFFSET(G655,1-Settings!$B$12,0,Settings!$B$12,1))*SQRT(Settings!$B$13)))</f>
        <v/>
      </c>
      <c r="L655" s="18">
        <f>IF(AND(ISNUMBER(D655),ISNUMBER(H655)),D655-H655,NA())</f>
        <v/>
      </c>
      <c r="M655" s="18">
        <f>IF(AND(ISNUMBER(E655),ISNUMBER(K655)),E655-K655,NA())</f>
        <v/>
      </c>
      <c r="N655" s="18">
        <f>IF(NOT(ISNUMBER($A655)),NA(),IF(COUNT(OFFSET(G655,1,0,Settings!$B$12,1))&lt;Settings!$B$12,NA(),STDEV(OFFSET(G655,1,0,Settings!$B$12,1))*SQRT(Settings!$B$13)))</f>
        <v/>
      </c>
      <c r="O655" s="18">
        <f>IF(AND(ISNUMBER(E655),ISNUMBER(N655)),E655-N655,NA())</f>
        <v/>
      </c>
      <c r="P655" s="17">
        <f>IF(NOT(ISNUMBER($A655)),NA(),IF(OR($A655&lt;MIN(KW_TP!$A$2:$A$2501),$A655&gt;MAX(KW_TP!$A$2:$A$2501)),NA(),INDEX(KW_TP!$C$2:$C$2501,MATCH($A655,KW_TP!$A$2:$A$2501,1))))</f>
        <v/>
      </c>
    </row>
    <row r="656">
      <c r="A656" s="15">
        <f>IF(ISNUMBER(BBG_Data!A656),BBG_Data!A656,"")</f>
        <v/>
      </c>
      <c r="B656" s="16">
        <f>IF(AND(ISNUMBER($A656),ISNUMBER(BBG_Data!B656)),BBG_Data!B656,NA())</f>
        <v/>
      </c>
      <c r="C656" s="16">
        <f>IF(AND(ISNUMBER($A656),ISNUMBER(BBG_Data!C656)),BBG_Data!C656,NA())</f>
        <v/>
      </c>
      <c r="D656" s="17">
        <f>IF(AND(ISNUMBER($A656),ISNUMBER(BBG_Data!D656)),BBG_Data!D656,NA())</f>
        <v/>
      </c>
      <c r="E656" s="17">
        <f>IF(AND(ISNUMBER($A656),ISNUMBER(BBG_Data!E656)),BBG_Data!E656,NA())</f>
        <v/>
      </c>
      <c r="F656" s="18">
        <f>IF(AND(ISNUMBER(B656),ISNUMBER(B655)),(B656-B655)*100,"")</f>
        <v/>
      </c>
      <c r="G656" s="18">
        <f>IF(AND(ISNUMBER(C656),ISNUMBER(C655)),(C656-C655)*100,"")</f>
        <v/>
      </c>
      <c r="H656" s="18">
        <f>IF(OR(NOT(ISNUMBER($A656)),ROW()-2&lt;Settings!$B$11),NA(),IF(COUNT(OFFSET(F656,1-Settings!$B$11,0,Settings!$B$11,1))&lt;Settings!$B$11,NA(),STDEV(OFFSET(F656,1-Settings!$B$11,0,Settings!$B$11,1))*SQRT(Settings!$B$13)))</f>
        <v/>
      </c>
      <c r="I656" s="18">
        <f>IF(OR(NOT(ISNUMBER($A656)),ROW()-2&lt;Settings!$B$12),NA(),IF(COUNT(OFFSET(F656,1-Settings!$B$12,0,Settings!$B$12,1))&lt;Settings!$B$12,NA(),STDEV(OFFSET(F656,1-Settings!$B$12,0,Settings!$B$12,1))*SQRT(Settings!$B$13)))</f>
        <v/>
      </c>
      <c r="J656" s="18">
        <f>IF(OR(NOT(ISNUMBER($A656)),ROW()-2&lt;Settings!$B$11),NA(),IF(COUNT(OFFSET(G656,1-Settings!$B$11,0,Settings!$B$11,1))&lt;Settings!$B$11,NA(),STDEV(OFFSET(G656,1-Settings!$B$11,0,Settings!$B$11,1))*SQRT(Settings!$B$13)))</f>
        <v/>
      </c>
      <c r="K656" s="18">
        <f>IF(OR(NOT(ISNUMBER($A656)),ROW()-2&lt;Settings!$B$12),NA(),IF(COUNT(OFFSET(G656,1-Settings!$B$12,0,Settings!$B$12,1))&lt;Settings!$B$12,NA(),STDEV(OFFSET(G656,1-Settings!$B$12,0,Settings!$B$12,1))*SQRT(Settings!$B$13)))</f>
        <v/>
      </c>
      <c r="L656" s="18">
        <f>IF(AND(ISNUMBER(D656),ISNUMBER(H656)),D656-H656,NA())</f>
        <v/>
      </c>
      <c r="M656" s="18">
        <f>IF(AND(ISNUMBER(E656),ISNUMBER(K656)),E656-K656,NA())</f>
        <v/>
      </c>
      <c r="N656" s="18">
        <f>IF(NOT(ISNUMBER($A656)),NA(),IF(COUNT(OFFSET(G656,1,0,Settings!$B$12,1))&lt;Settings!$B$12,NA(),STDEV(OFFSET(G656,1,0,Settings!$B$12,1))*SQRT(Settings!$B$13)))</f>
        <v/>
      </c>
      <c r="O656" s="18">
        <f>IF(AND(ISNUMBER(E656),ISNUMBER(N656)),E656-N656,NA())</f>
        <v/>
      </c>
      <c r="P656" s="17">
        <f>IF(NOT(ISNUMBER($A656)),NA(),IF(OR($A656&lt;MIN(KW_TP!$A$2:$A$2501),$A656&gt;MAX(KW_TP!$A$2:$A$2501)),NA(),INDEX(KW_TP!$C$2:$C$2501,MATCH($A656,KW_TP!$A$2:$A$2501,1))))</f>
        <v/>
      </c>
    </row>
    <row r="657">
      <c r="A657" s="15">
        <f>IF(ISNUMBER(BBG_Data!A657),BBG_Data!A657,"")</f>
        <v/>
      </c>
      <c r="B657" s="16">
        <f>IF(AND(ISNUMBER($A657),ISNUMBER(BBG_Data!B657)),BBG_Data!B657,NA())</f>
        <v/>
      </c>
      <c r="C657" s="16">
        <f>IF(AND(ISNUMBER($A657),ISNUMBER(BBG_Data!C657)),BBG_Data!C657,NA())</f>
        <v/>
      </c>
      <c r="D657" s="17">
        <f>IF(AND(ISNUMBER($A657),ISNUMBER(BBG_Data!D657)),BBG_Data!D657,NA())</f>
        <v/>
      </c>
      <c r="E657" s="17">
        <f>IF(AND(ISNUMBER($A657),ISNUMBER(BBG_Data!E657)),BBG_Data!E657,NA())</f>
        <v/>
      </c>
      <c r="F657" s="18">
        <f>IF(AND(ISNUMBER(B657),ISNUMBER(B656)),(B657-B656)*100,"")</f>
        <v/>
      </c>
      <c r="G657" s="18">
        <f>IF(AND(ISNUMBER(C657),ISNUMBER(C656)),(C657-C656)*100,"")</f>
        <v/>
      </c>
      <c r="H657" s="18">
        <f>IF(OR(NOT(ISNUMBER($A657)),ROW()-2&lt;Settings!$B$11),NA(),IF(COUNT(OFFSET(F657,1-Settings!$B$11,0,Settings!$B$11,1))&lt;Settings!$B$11,NA(),STDEV(OFFSET(F657,1-Settings!$B$11,0,Settings!$B$11,1))*SQRT(Settings!$B$13)))</f>
        <v/>
      </c>
      <c r="I657" s="18">
        <f>IF(OR(NOT(ISNUMBER($A657)),ROW()-2&lt;Settings!$B$12),NA(),IF(COUNT(OFFSET(F657,1-Settings!$B$12,0,Settings!$B$12,1))&lt;Settings!$B$12,NA(),STDEV(OFFSET(F657,1-Settings!$B$12,0,Settings!$B$12,1))*SQRT(Settings!$B$13)))</f>
        <v/>
      </c>
      <c r="J657" s="18">
        <f>IF(OR(NOT(ISNUMBER($A657)),ROW()-2&lt;Settings!$B$11),NA(),IF(COUNT(OFFSET(G657,1-Settings!$B$11,0,Settings!$B$11,1))&lt;Settings!$B$11,NA(),STDEV(OFFSET(G657,1-Settings!$B$11,0,Settings!$B$11,1))*SQRT(Settings!$B$13)))</f>
        <v/>
      </c>
      <c r="K657" s="18">
        <f>IF(OR(NOT(ISNUMBER($A657)),ROW()-2&lt;Settings!$B$12),NA(),IF(COUNT(OFFSET(G657,1-Settings!$B$12,0,Settings!$B$12,1))&lt;Settings!$B$12,NA(),STDEV(OFFSET(G657,1-Settings!$B$12,0,Settings!$B$12,1))*SQRT(Settings!$B$13)))</f>
        <v/>
      </c>
      <c r="L657" s="18">
        <f>IF(AND(ISNUMBER(D657),ISNUMBER(H657)),D657-H657,NA())</f>
        <v/>
      </c>
      <c r="M657" s="18">
        <f>IF(AND(ISNUMBER(E657),ISNUMBER(K657)),E657-K657,NA())</f>
        <v/>
      </c>
      <c r="N657" s="18">
        <f>IF(NOT(ISNUMBER($A657)),NA(),IF(COUNT(OFFSET(G657,1,0,Settings!$B$12,1))&lt;Settings!$B$12,NA(),STDEV(OFFSET(G657,1,0,Settings!$B$12,1))*SQRT(Settings!$B$13)))</f>
        <v/>
      </c>
      <c r="O657" s="18">
        <f>IF(AND(ISNUMBER(E657),ISNUMBER(N657)),E657-N657,NA())</f>
        <v/>
      </c>
      <c r="P657" s="17">
        <f>IF(NOT(ISNUMBER($A657)),NA(),IF(OR($A657&lt;MIN(KW_TP!$A$2:$A$2501),$A657&gt;MAX(KW_TP!$A$2:$A$2501)),NA(),INDEX(KW_TP!$C$2:$C$2501,MATCH($A657,KW_TP!$A$2:$A$2501,1))))</f>
        <v/>
      </c>
    </row>
    <row r="658">
      <c r="A658" s="15">
        <f>IF(ISNUMBER(BBG_Data!A658),BBG_Data!A658,"")</f>
        <v/>
      </c>
      <c r="B658" s="16">
        <f>IF(AND(ISNUMBER($A658),ISNUMBER(BBG_Data!B658)),BBG_Data!B658,NA())</f>
        <v/>
      </c>
      <c r="C658" s="16">
        <f>IF(AND(ISNUMBER($A658),ISNUMBER(BBG_Data!C658)),BBG_Data!C658,NA())</f>
        <v/>
      </c>
      <c r="D658" s="17">
        <f>IF(AND(ISNUMBER($A658),ISNUMBER(BBG_Data!D658)),BBG_Data!D658,NA())</f>
        <v/>
      </c>
      <c r="E658" s="17">
        <f>IF(AND(ISNUMBER($A658),ISNUMBER(BBG_Data!E658)),BBG_Data!E658,NA())</f>
        <v/>
      </c>
      <c r="F658" s="18">
        <f>IF(AND(ISNUMBER(B658),ISNUMBER(B657)),(B658-B657)*100,"")</f>
        <v/>
      </c>
      <c r="G658" s="18">
        <f>IF(AND(ISNUMBER(C658),ISNUMBER(C657)),(C658-C657)*100,"")</f>
        <v/>
      </c>
      <c r="H658" s="18">
        <f>IF(OR(NOT(ISNUMBER($A658)),ROW()-2&lt;Settings!$B$11),NA(),IF(COUNT(OFFSET(F658,1-Settings!$B$11,0,Settings!$B$11,1))&lt;Settings!$B$11,NA(),STDEV(OFFSET(F658,1-Settings!$B$11,0,Settings!$B$11,1))*SQRT(Settings!$B$13)))</f>
        <v/>
      </c>
      <c r="I658" s="18">
        <f>IF(OR(NOT(ISNUMBER($A658)),ROW()-2&lt;Settings!$B$12),NA(),IF(COUNT(OFFSET(F658,1-Settings!$B$12,0,Settings!$B$12,1))&lt;Settings!$B$12,NA(),STDEV(OFFSET(F658,1-Settings!$B$12,0,Settings!$B$12,1))*SQRT(Settings!$B$13)))</f>
        <v/>
      </c>
      <c r="J658" s="18">
        <f>IF(OR(NOT(ISNUMBER($A658)),ROW()-2&lt;Settings!$B$11),NA(),IF(COUNT(OFFSET(G658,1-Settings!$B$11,0,Settings!$B$11,1))&lt;Settings!$B$11,NA(),STDEV(OFFSET(G658,1-Settings!$B$11,0,Settings!$B$11,1))*SQRT(Settings!$B$13)))</f>
        <v/>
      </c>
      <c r="K658" s="18">
        <f>IF(OR(NOT(ISNUMBER($A658)),ROW()-2&lt;Settings!$B$12),NA(),IF(COUNT(OFFSET(G658,1-Settings!$B$12,0,Settings!$B$12,1))&lt;Settings!$B$12,NA(),STDEV(OFFSET(G658,1-Settings!$B$12,0,Settings!$B$12,1))*SQRT(Settings!$B$13)))</f>
        <v/>
      </c>
      <c r="L658" s="18">
        <f>IF(AND(ISNUMBER(D658),ISNUMBER(H658)),D658-H658,NA())</f>
        <v/>
      </c>
      <c r="M658" s="18">
        <f>IF(AND(ISNUMBER(E658),ISNUMBER(K658)),E658-K658,NA())</f>
        <v/>
      </c>
      <c r="N658" s="18">
        <f>IF(NOT(ISNUMBER($A658)),NA(),IF(COUNT(OFFSET(G658,1,0,Settings!$B$12,1))&lt;Settings!$B$12,NA(),STDEV(OFFSET(G658,1,0,Settings!$B$12,1))*SQRT(Settings!$B$13)))</f>
        <v/>
      </c>
      <c r="O658" s="18">
        <f>IF(AND(ISNUMBER(E658),ISNUMBER(N658)),E658-N658,NA())</f>
        <v/>
      </c>
      <c r="P658" s="17">
        <f>IF(NOT(ISNUMBER($A658)),NA(),IF(OR($A658&lt;MIN(KW_TP!$A$2:$A$2501),$A658&gt;MAX(KW_TP!$A$2:$A$2501)),NA(),INDEX(KW_TP!$C$2:$C$2501,MATCH($A658,KW_TP!$A$2:$A$2501,1))))</f>
        <v/>
      </c>
    </row>
    <row r="659">
      <c r="A659" s="15">
        <f>IF(ISNUMBER(BBG_Data!A659),BBG_Data!A659,"")</f>
        <v/>
      </c>
      <c r="B659" s="16">
        <f>IF(AND(ISNUMBER($A659),ISNUMBER(BBG_Data!B659)),BBG_Data!B659,NA())</f>
        <v/>
      </c>
      <c r="C659" s="16">
        <f>IF(AND(ISNUMBER($A659),ISNUMBER(BBG_Data!C659)),BBG_Data!C659,NA())</f>
        <v/>
      </c>
      <c r="D659" s="17">
        <f>IF(AND(ISNUMBER($A659),ISNUMBER(BBG_Data!D659)),BBG_Data!D659,NA())</f>
        <v/>
      </c>
      <c r="E659" s="17">
        <f>IF(AND(ISNUMBER($A659),ISNUMBER(BBG_Data!E659)),BBG_Data!E659,NA())</f>
        <v/>
      </c>
      <c r="F659" s="18">
        <f>IF(AND(ISNUMBER(B659),ISNUMBER(B658)),(B659-B658)*100,"")</f>
        <v/>
      </c>
      <c r="G659" s="18">
        <f>IF(AND(ISNUMBER(C659),ISNUMBER(C658)),(C659-C658)*100,"")</f>
        <v/>
      </c>
      <c r="H659" s="18">
        <f>IF(OR(NOT(ISNUMBER($A659)),ROW()-2&lt;Settings!$B$11),NA(),IF(COUNT(OFFSET(F659,1-Settings!$B$11,0,Settings!$B$11,1))&lt;Settings!$B$11,NA(),STDEV(OFFSET(F659,1-Settings!$B$11,0,Settings!$B$11,1))*SQRT(Settings!$B$13)))</f>
        <v/>
      </c>
      <c r="I659" s="18">
        <f>IF(OR(NOT(ISNUMBER($A659)),ROW()-2&lt;Settings!$B$12),NA(),IF(COUNT(OFFSET(F659,1-Settings!$B$12,0,Settings!$B$12,1))&lt;Settings!$B$12,NA(),STDEV(OFFSET(F659,1-Settings!$B$12,0,Settings!$B$12,1))*SQRT(Settings!$B$13)))</f>
        <v/>
      </c>
      <c r="J659" s="18">
        <f>IF(OR(NOT(ISNUMBER($A659)),ROW()-2&lt;Settings!$B$11),NA(),IF(COUNT(OFFSET(G659,1-Settings!$B$11,0,Settings!$B$11,1))&lt;Settings!$B$11,NA(),STDEV(OFFSET(G659,1-Settings!$B$11,0,Settings!$B$11,1))*SQRT(Settings!$B$13)))</f>
        <v/>
      </c>
      <c r="K659" s="18">
        <f>IF(OR(NOT(ISNUMBER($A659)),ROW()-2&lt;Settings!$B$12),NA(),IF(COUNT(OFFSET(G659,1-Settings!$B$12,0,Settings!$B$12,1))&lt;Settings!$B$12,NA(),STDEV(OFFSET(G659,1-Settings!$B$12,0,Settings!$B$12,1))*SQRT(Settings!$B$13)))</f>
        <v/>
      </c>
      <c r="L659" s="18">
        <f>IF(AND(ISNUMBER(D659),ISNUMBER(H659)),D659-H659,NA())</f>
        <v/>
      </c>
      <c r="M659" s="18">
        <f>IF(AND(ISNUMBER(E659),ISNUMBER(K659)),E659-K659,NA())</f>
        <v/>
      </c>
      <c r="N659" s="18">
        <f>IF(NOT(ISNUMBER($A659)),NA(),IF(COUNT(OFFSET(G659,1,0,Settings!$B$12,1))&lt;Settings!$B$12,NA(),STDEV(OFFSET(G659,1,0,Settings!$B$12,1))*SQRT(Settings!$B$13)))</f>
        <v/>
      </c>
      <c r="O659" s="18">
        <f>IF(AND(ISNUMBER(E659),ISNUMBER(N659)),E659-N659,NA())</f>
        <v/>
      </c>
      <c r="P659" s="17">
        <f>IF(NOT(ISNUMBER($A659)),NA(),IF(OR($A659&lt;MIN(KW_TP!$A$2:$A$2501),$A659&gt;MAX(KW_TP!$A$2:$A$2501)),NA(),INDEX(KW_TP!$C$2:$C$2501,MATCH($A659,KW_TP!$A$2:$A$2501,1))))</f>
        <v/>
      </c>
    </row>
    <row r="660">
      <c r="A660" s="15">
        <f>IF(ISNUMBER(BBG_Data!A660),BBG_Data!A660,"")</f>
        <v/>
      </c>
      <c r="B660" s="16">
        <f>IF(AND(ISNUMBER($A660),ISNUMBER(BBG_Data!B660)),BBG_Data!B660,NA())</f>
        <v/>
      </c>
      <c r="C660" s="16">
        <f>IF(AND(ISNUMBER($A660),ISNUMBER(BBG_Data!C660)),BBG_Data!C660,NA())</f>
        <v/>
      </c>
      <c r="D660" s="17">
        <f>IF(AND(ISNUMBER($A660),ISNUMBER(BBG_Data!D660)),BBG_Data!D660,NA())</f>
        <v/>
      </c>
      <c r="E660" s="17">
        <f>IF(AND(ISNUMBER($A660),ISNUMBER(BBG_Data!E660)),BBG_Data!E660,NA())</f>
        <v/>
      </c>
      <c r="F660" s="18">
        <f>IF(AND(ISNUMBER(B660),ISNUMBER(B659)),(B660-B659)*100,"")</f>
        <v/>
      </c>
      <c r="G660" s="18">
        <f>IF(AND(ISNUMBER(C660),ISNUMBER(C659)),(C660-C659)*100,"")</f>
        <v/>
      </c>
      <c r="H660" s="18">
        <f>IF(OR(NOT(ISNUMBER($A660)),ROW()-2&lt;Settings!$B$11),NA(),IF(COUNT(OFFSET(F660,1-Settings!$B$11,0,Settings!$B$11,1))&lt;Settings!$B$11,NA(),STDEV(OFFSET(F660,1-Settings!$B$11,0,Settings!$B$11,1))*SQRT(Settings!$B$13)))</f>
        <v/>
      </c>
      <c r="I660" s="18">
        <f>IF(OR(NOT(ISNUMBER($A660)),ROW()-2&lt;Settings!$B$12),NA(),IF(COUNT(OFFSET(F660,1-Settings!$B$12,0,Settings!$B$12,1))&lt;Settings!$B$12,NA(),STDEV(OFFSET(F660,1-Settings!$B$12,0,Settings!$B$12,1))*SQRT(Settings!$B$13)))</f>
        <v/>
      </c>
      <c r="J660" s="18">
        <f>IF(OR(NOT(ISNUMBER($A660)),ROW()-2&lt;Settings!$B$11),NA(),IF(COUNT(OFFSET(G660,1-Settings!$B$11,0,Settings!$B$11,1))&lt;Settings!$B$11,NA(),STDEV(OFFSET(G660,1-Settings!$B$11,0,Settings!$B$11,1))*SQRT(Settings!$B$13)))</f>
        <v/>
      </c>
      <c r="K660" s="18">
        <f>IF(OR(NOT(ISNUMBER($A660)),ROW()-2&lt;Settings!$B$12),NA(),IF(COUNT(OFFSET(G660,1-Settings!$B$12,0,Settings!$B$12,1))&lt;Settings!$B$12,NA(),STDEV(OFFSET(G660,1-Settings!$B$12,0,Settings!$B$12,1))*SQRT(Settings!$B$13)))</f>
        <v/>
      </c>
      <c r="L660" s="18">
        <f>IF(AND(ISNUMBER(D660),ISNUMBER(H660)),D660-H660,NA())</f>
        <v/>
      </c>
      <c r="M660" s="18">
        <f>IF(AND(ISNUMBER(E660),ISNUMBER(K660)),E660-K660,NA())</f>
        <v/>
      </c>
      <c r="N660" s="18">
        <f>IF(NOT(ISNUMBER($A660)),NA(),IF(COUNT(OFFSET(G660,1,0,Settings!$B$12,1))&lt;Settings!$B$12,NA(),STDEV(OFFSET(G660,1,0,Settings!$B$12,1))*SQRT(Settings!$B$13)))</f>
        <v/>
      </c>
      <c r="O660" s="18">
        <f>IF(AND(ISNUMBER(E660),ISNUMBER(N660)),E660-N660,NA())</f>
        <v/>
      </c>
      <c r="P660" s="17">
        <f>IF(NOT(ISNUMBER($A660)),NA(),IF(OR($A660&lt;MIN(KW_TP!$A$2:$A$2501),$A660&gt;MAX(KW_TP!$A$2:$A$2501)),NA(),INDEX(KW_TP!$C$2:$C$2501,MATCH($A660,KW_TP!$A$2:$A$2501,1))))</f>
        <v/>
      </c>
    </row>
    <row r="661">
      <c r="A661" s="15">
        <f>IF(ISNUMBER(BBG_Data!A661),BBG_Data!A661,"")</f>
        <v/>
      </c>
      <c r="B661" s="16">
        <f>IF(AND(ISNUMBER($A661),ISNUMBER(BBG_Data!B661)),BBG_Data!B661,NA())</f>
        <v/>
      </c>
      <c r="C661" s="16">
        <f>IF(AND(ISNUMBER($A661),ISNUMBER(BBG_Data!C661)),BBG_Data!C661,NA())</f>
        <v/>
      </c>
      <c r="D661" s="17">
        <f>IF(AND(ISNUMBER($A661),ISNUMBER(BBG_Data!D661)),BBG_Data!D661,NA())</f>
        <v/>
      </c>
      <c r="E661" s="17">
        <f>IF(AND(ISNUMBER($A661),ISNUMBER(BBG_Data!E661)),BBG_Data!E661,NA())</f>
        <v/>
      </c>
      <c r="F661" s="18">
        <f>IF(AND(ISNUMBER(B661),ISNUMBER(B660)),(B661-B660)*100,"")</f>
        <v/>
      </c>
      <c r="G661" s="18">
        <f>IF(AND(ISNUMBER(C661),ISNUMBER(C660)),(C661-C660)*100,"")</f>
        <v/>
      </c>
      <c r="H661" s="18">
        <f>IF(OR(NOT(ISNUMBER($A661)),ROW()-2&lt;Settings!$B$11),NA(),IF(COUNT(OFFSET(F661,1-Settings!$B$11,0,Settings!$B$11,1))&lt;Settings!$B$11,NA(),STDEV(OFFSET(F661,1-Settings!$B$11,0,Settings!$B$11,1))*SQRT(Settings!$B$13)))</f>
        <v/>
      </c>
      <c r="I661" s="18">
        <f>IF(OR(NOT(ISNUMBER($A661)),ROW()-2&lt;Settings!$B$12),NA(),IF(COUNT(OFFSET(F661,1-Settings!$B$12,0,Settings!$B$12,1))&lt;Settings!$B$12,NA(),STDEV(OFFSET(F661,1-Settings!$B$12,0,Settings!$B$12,1))*SQRT(Settings!$B$13)))</f>
        <v/>
      </c>
      <c r="J661" s="18">
        <f>IF(OR(NOT(ISNUMBER($A661)),ROW()-2&lt;Settings!$B$11),NA(),IF(COUNT(OFFSET(G661,1-Settings!$B$11,0,Settings!$B$11,1))&lt;Settings!$B$11,NA(),STDEV(OFFSET(G661,1-Settings!$B$11,0,Settings!$B$11,1))*SQRT(Settings!$B$13)))</f>
        <v/>
      </c>
      <c r="K661" s="18">
        <f>IF(OR(NOT(ISNUMBER($A661)),ROW()-2&lt;Settings!$B$12),NA(),IF(COUNT(OFFSET(G661,1-Settings!$B$12,0,Settings!$B$12,1))&lt;Settings!$B$12,NA(),STDEV(OFFSET(G661,1-Settings!$B$12,0,Settings!$B$12,1))*SQRT(Settings!$B$13)))</f>
        <v/>
      </c>
      <c r="L661" s="18">
        <f>IF(AND(ISNUMBER(D661),ISNUMBER(H661)),D661-H661,NA())</f>
        <v/>
      </c>
      <c r="M661" s="18">
        <f>IF(AND(ISNUMBER(E661),ISNUMBER(K661)),E661-K661,NA())</f>
        <v/>
      </c>
      <c r="N661" s="18">
        <f>IF(NOT(ISNUMBER($A661)),NA(),IF(COUNT(OFFSET(G661,1,0,Settings!$B$12,1))&lt;Settings!$B$12,NA(),STDEV(OFFSET(G661,1,0,Settings!$B$12,1))*SQRT(Settings!$B$13)))</f>
        <v/>
      </c>
      <c r="O661" s="18">
        <f>IF(AND(ISNUMBER(E661),ISNUMBER(N661)),E661-N661,NA())</f>
        <v/>
      </c>
      <c r="P661" s="17">
        <f>IF(NOT(ISNUMBER($A661)),NA(),IF(OR($A661&lt;MIN(KW_TP!$A$2:$A$2501),$A661&gt;MAX(KW_TP!$A$2:$A$2501)),NA(),INDEX(KW_TP!$C$2:$C$2501,MATCH($A661,KW_TP!$A$2:$A$2501,1))))</f>
        <v/>
      </c>
    </row>
    <row r="662">
      <c r="A662" s="15">
        <f>IF(ISNUMBER(BBG_Data!A662),BBG_Data!A662,"")</f>
        <v/>
      </c>
      <c r="B662" s="16">
        <f>IF(AND(ISNUMBER($A662),ISNUMBER(BBG_Data!B662)),BBG_Data!B662,NA())</f>
        <v/>
      </c>
      <c r="C662" s="16">
        <f>IF(AND(ISNUMBER($A662),ISNUMBER(BBG_Data!C662)),BBG_Data!C662,NA())</f>
        <v/>
      </c>
      <c r="D662" s="17">
        <f>IF(AND(ISNUMBER($A662),ISNUMBER(BBG_Data!D662)),BBG_Data!D662,NA())</f>
        <v/>
      </c>
      <c r="E662" s="17">
        <f>IF(AND(ISNUMBER($A662),ISNUMBER(BBG_Data!E662)),BBG_Data!E662,NA())</f>
        <v/>
      </c>
      <c r="F662" s="18">
        <f>IF(AND(ISNUMBER(B662),ISNUMBER(B661)),(B662-B661)*100,"")</f>
        <v/>
      </c>
      <c r="G662" s="18">
        <f>IF(AND(ISNUMBER(C662),ISNUMBER(C661)),(C662-C661)*100,"")</f>
        <v/>
      </c>
      <c r="H662" s="18">
        <f>IF(OR(NOT(ISNUMBER($A662)),ROW()-2&lt;Settings!$B$11),NA(),IF(COUNT(OFFSET(F662,1-Settings!$B$11,0,Settings!$B$11,1))&lt;Settings!$B$11,NA(),STDEV(OFFSET(F662,1-Settings!$B$11,0,Settings!$B$11,1))*SQRT(Settings!$B$13)))</f>
        <v/>
      </c>
      <c r="I662" s="18">
        <f>IF(OR(NOT(ISNUMBER($A662)),ROW()-2&lt;Settings!$B$12),NA(),IF(COUNT(OFFSET(F662,1-Settings!$B$12,0,Settings!$B$12,1))&lt;Settings!$B$12,NA(),STDEV(OFFSET(F662,1-Settings!$B$12,0,Settings!$B$12,1))*SQRT(Settings!$B$13)))</f>
        <v/>
      </c>
      <c r="J662" s="18">
        <f>IF(OR(NOT(ISNUMBER($A662)),ROW()-2&lt;Settings!$B$11),NA(),IF(COUNT(OFFSET(G662,1-Settings!$B$11,0,Settings!$B$11,1))&lt;Settings!$B$11,NA(),STDEV(OFFSET(G662,1-Settings!$B$11,0,Settings!$B$11,1))*SQRT(Settings!$B$13)))</f>
        <v/>
      </c>
      <c r="K662" s="18">
        <f>IF(OR(NOT(ISNUMBER($A662)),ROW()-2&lt;Settings!$B$12),NA(),IF(COUNT(OFFSET(G662,1-Settings!$B$12,0,Settings!$B$12,1))&lt;Settings!$B$12,NA(),STDEV(OFFSET(G662,1-Settings!$B$12,0,Settings!$B$12,1))*SQRT(Settings!$B$13)))</f>
        <v/>
      </c>
      <c r="L662" s="18">
        <f>IF(AND(ISNUMBER(D662),ISNUMBER(H662)),D662-H662,NA())</f>
        <v/>
      </c>
      <c r="M662" s="18">
        <f>IF(AND(ISNUMBER(E662),ISNUMBER(K662)),E662-K662,NA())</f>
        <v/>
      </c>
      <c r="N662" s="18">
        <f>IF(NOT(ISNUMBER($A662)),NA(),IF(COUNT(OFFSET(G662,1,0,Settings!$B$12,1))&lt;Settings!$B$12,NA(),STDEV(OFFSET(G662,1,0,Settings!$B$12,1))*SQRT(Settings!$B$13)))</f>
        <v/>
      </c>
      <c r="O662" s="18">
        <f>IF(AND(ISNUMBER(E662),ISNUMBER(N662)),E662-N662,NA())</f>
        <v/>
      </c>
      <c r="P662" s="17">
        <f>IF(NOT(ISNUMBER($A662)),NA(),IF(OR($A662&lt;MIN(KW_TP!$A$2:$A$2501),$A662&gt;MAX(KW_TP!$A$2:$A$2501)),NA(),INDEX(KW_TP!$C$2:$C$2501,MATCH($A662,KW_TP!$A$2:$A$2501,1))))</f>
        <v/>
      </c>
    </row>
    <row r="663">
      <c r="A663" s="15">
        <f>IF(ISNUMBER(BBG_Data!A663),BBG_Data!A663,"")</f>
        <v/>
      </c>
      <c r="B663" s="16">
        <f>IF(AND(ISNUMBER($A663),ISNUMBER(BBG_Data!B663)),BBG_Data!B663,NA())</f>
        <v/>
      </c>
      <c r="C663" s="16">
        <f>IF(AND(ISNUMBER($A663),ISNUMBER(BBG_Data!C663)),BBG_Data!C663,NA())</f>
        <v/>
      </c>
      <c r="D663" s="17">
        <f>IF(AND(ISNUMBER($A663),ISNUMBER(BBG_Data!D663)),BBG_Data!D663,NA())</f>
        <v/>
      </c>
      <c r="E663" s="17">
        <f>IF(AND(ISNUMBER($A663),ISNUMBER(BBG_Data!E663)),BBG_Data!E663,NA())</f>
        <v/>
      </c>
      <c r="F663" s="18">
        <f>IF(AND(ISNUMBER(B663),ISNUMBER(B662)),(B663-B662)*100,"")</f>
        <v/>
      </c>
      <c r="G663" s="18">
        <f>IF(AND(ISNUMBER(C663),ISNUMBER(C662)),(C663-C662)*100,"")</f>
        <v/>
      </c>
      <c r="H663" s="18">
        <f>IF(OR(NOT(ISNUMBER($A663)),ROW()-2&lt;Settings!$B$11),NA(),IF(COUNT(OFFSET(F663,1-Settings!$B$11,0,Settings!$B$11,1))&lt;Settings!$B$11,NA(),STDEV(OFFSET(F663,1-Settings!$B$11,0,Settings!$B$11,1))*SQRT(Settings!$B$13)))</f>
        <v/>
      </c>
      <c r="I663" s="18">
        <f>IF(OR(NOT(ISNUMBER($A663)),ROW()-2&lt;Settings!$B$12),NA(),IF(COUNT(OFFSET(F663,1-Settings!$B$12,0,Settings!$B$12,1))&lt;Settings!$B$12,NA(),STDEV(OFFSET(F663,1-Settings!$B$12,0,Settings!$B$12,1))*SQRT(Settings!$B$13)))</f>
        <v/>
      </c>
      <c r="J663" s="18">
        <f>IF(OR(NOT(ISNUMBER($A663)),ROW()-2&lt;Settings!$B$11),NA(),IF(COUNT(OFFSET(G663,1-Settings!$B$11,0,Settings!$B$11,1))&lt;Settings!$B$11,NA(),STDEV(OFFSET(G663,1-Settings!$B$11,0,Settings!$B$11,1))*SQRT(Settings!$B$13)))</f>
        <v/>
      </c>
      <c r="K663" s="18">
        <f>IF(OR(NOT(ISNUMBER($A663)),ROW()-2&lt;Settings!$B$12),NA(),IF(COUNT(OFFSET(G663,1-Settings!$B$12,0,Settings!$B$12,1))&lt;Settings!$B$12,NA(),STDEV(OFFSET(G663,1-Settings!$B$12,0,Settings!$B$12,1))*SQRT(Settings!$B$13)))</f>
        <v/>
      </c>
      <c r="L663" s="18">
        <f>IF(AND(ISNUMBER(D663),ISNUMBER(H663)),D663-H663,NA())</f>
        <v/>
      </c>
      <c r="M663" s="18">
        <f>IF(AND(ISNUMBER(E663),ISNUMBER(K663)),E663-K663,NA())</f>
        <v/>
      </c>
      <c r="N663" s="18">
        <f>IF(NOT(ISNUMBER($A663)),NA(),IF(COUNT(OFFSET(G663,1,0,Settings!$B$12,1))&lt;Settings!$B$12,NA(),STDEV(OFFSET(G663,1,0,Settings!$B$12,1))*SQRT(Settings!$B$13)))</f>
        <v/>
      </c>
      <c r="O663" s="18">
        <f>IF(AND(ISNUMBER(E663),ISNUMBER(N663)),E663-N663,NA())</f>
        <v/>
      </c>
      <c r="P663" s="17">
        <f>IF(NOT(ISNUMBER($A663)),NA(),IF(OR($A663&lt;MIN(KW_TP!$A$2:$A$2501),$A663&gt;MAX(KW_TP!$A$2:$A$2501)),NA(),INDEX(KW_TP!$C$2:$C$2501,MATCH($A663,KW_TP!$A$2:$A$2501,1))))</f>
        <v/>
      </c>
    </row>
    <row r="664">
      <c r="A664" s="15">
        <f>IF(ISNUMBER(BBG_Data!A664),BBG_Data!A664,"")</f>
        <v/>
      </c>
      <c r="B664" s="16">
        <f>IF(AND(ISNUMBER($A664),ISNUMBER(BBG_Data!B664)),BBG_Data!B664,NA())</f>
        <v/>
      </c>
      <c r="C664" s="16">
        <f>IF(AND(ISNUMBER($A664),ISNUMBER(BBG_Data!C664)),BBG_Data!C664,NA())</f>
        <v/>
      </c>
      <c r="D664" s="17">
        <f>IF(AND(ISNUMBER($A664),ISNUMBER(BBG_Data!D664)),BBG_Data!D664,NA())</f>
        <v/>
      </c>
      <c r="E664" s="17">
        <f>IF(AND(ISNUMBER($A664),ISNUMBER(BBG_Data!E664)),BBG_Data!E664,NA())</f>
        <v/>
      </c>
      <c r="F664" s="18">
        <f>IF(AND(ISNUMBER(B664),ISNUMBER(B663)),(B664-B663)*100,"")</f>
        <v/>
      </c>
      <c r="G664" s="18">
        <f>IF(AND(ISNUMBER(C664),ISNUMBER(C663)),(C664-C663)*100,"")</f>
        <v/>
      </c>
      <c r="H664" s="18">
        <f>IF(OR(NOT(ISNUMBER($A664)),ROW()-2&lt;Settings!$B$11),NA(),IF(COUNT(OFFSET(F664,1-Settings!$B$11,0,Settings!$B$11,1))&lt;Settings!$B$11,NA(),STDEV(OFFSET(F664,1-Settings!$B$11,0,Settings!$B$11,1))*SQRT(Settings!$B$13)))</f>
        <v/>
      </c>
      <c r="I664" s="18">
        <f>IF(OR(NOT(ISNUMBER($A664)),ROW()-2&lt;Settings!$B$12),NA(),IF(COUNT(OFFSET(F664,1-Settings!$B$12,0,Settings!$B$12,1))&lt;Settings!$B$12,NA(),STDEV(OFFSET(F664,1-Settings!$B$12,0,Settings!$B$12,1))*SQRT(Settings!$B$13)))</f>
        <v/>
      </c>
      <c r="J664" s="18">
        <f>IF(OR(NOT(ISNUMBER($A664)),ROW()-2&lt;Settings!$B$11),NA(),IF(COUNT(OFFSET(G664,1-Settings!$B$11,0,Settings!$B$11,1))&lt;Settings!$B$11,NA(),STDEV(OFFSET(G664,1-Settings!$B$11,0,Settings!$B$11,1))*SQRT(Settings!$B$13)))</f>
        <v/>
      </c>
      <c r="K664" s="18">
        <f>IF(OR(NOT(ISNUMBER($A664)),ROW()-2&lt;Settings!$B$12),NA(),IF(COUNT(OFFSET(G664,1-Settings!$B$12,0,Settings!$B$12,1))&lt;Settings!$B$12,NA(),STDEV(OFFSET(G664,1-Settings!$B$12,0,Settings!$B$12,1))*SQRT(Settings!$B$13)))</f>
        <v/>
      </c>
      <c r="L664" s="18">
        <f>IF(AND(ISNUMBER(D664),ISNUMBER(H664)),D664-H664,NA())</f>
        <v/>
      </c>
      <c r="M664" s="18">
        <f>IF(AND(ISNUMBER(E664),ISNUMBER(K664)),E664-K664,NA())</f>
        <v/>
      </c>
      <c r="N664" s="18">
        <f>IF(NOT(ISNUMBER($A664)),NA(),IF(COUNT(OFFSET(G664,1,0,Settings!$B$12,1))&lt;Settings!$B$12,NA(),STDEV(OFFSET(G664,1,0,Settings!$B$12,1))*SQRT(Settings!$B$13)))</f>
        <v/>
      </c>
      <c r="O664" s="18">
        <f>IF(AND(ISNUMBER(E664),ISNUMBER(N664)),E664-N664,NA())</f>
        <v/>
      </c>
      <c r="P664" s="17">
        <f>IF(NOT(ISNUMBER($A664)),NA(),IF(OR($A664&lt;MIN(KW_TP!$A$2:$A$2501),$A664&gt;MAX(KW_TP!$A$2:$A$2501)),NA(),INDEX(KW_TP!$C$2:$C$2501,MATCH($A664,KW_TP!$A$2:$A$2501,1))))</f>
        <v/>
      </c>
    </row>
    <row r="665">
      <c r="A665" s="15">
        <f>IF(ISNUMBER(BBG_Data!A665),BBG_Data!A665,"")</f>
        <v/>
      </c>
      <c r="B665" s="16">
        <f>IF(AND(ISNUMBER($A665),ISNUMBER(BBG_Data!B665)),BBG_Data!B665,NA())</f>
        <v/>
      </c>
      <c r="C665" s="16">
        <f>IF(AND(ISNUMBER($A665),ISNUMBER(BBG_Data!C665)),BBG_Data!C665,NA())</f>
        <v/>
      </c>
      <c r="D665" s="17">
        <f>IF(AND(ISNUMBER($A665),ISNUMBER(BBG_Data!D665)),BBG_Data!D665,NA())</f>
        <v/>
      </c>
      <c r="E665" s="17">
        <f>IF(AND(ISNUMBER($A665),ISNUMBER(BBG_Data!E665)),BBG_Data!E665,NA())</f>
        <v/>
      </c>
      <c r="F665" s="18">
        <f>IF(AND(ISNUMBER(B665),ISNUMBER(B664)),(B665-B664)*100,"")</f>
        <v/>
      </c>
      <c r="G665" s="18">
        <f>IF(AND(ISNUMBER(C665),ISNUMBER(C664)),(C665-C664)*100,"")</f>
        <v/>
      </c>
      <c r="H665" s="18">
        <f>IF(OR(NOT(ISNUMBER($A665)),ROW()-2&lt;Settings!$B$11),NA(),IF(COUNT(OFFSET(F665,1-Settings!$B$11,0,Settings!$B$11,1))&lt;Settings!$B$11,NA(),STDEV(OFFSET(F665,1-Settings!$B$11,0,Settings!$B$11,1))*SQRT(Settings!$B$13)))</f>
        <v/>
      </c>
      <c r="I665" s="18">
        <f>IF(OR(NOT(ISNUMBER($A665)),ROW()-2&lt;Settings!$B$12),NA(),IF(COUNT(OFFSET(F665,1-Settings!$B$12,0,Settings!$B$12,1))&lt;Settings!$B$12,NA(),STDEV(OFFSET(F665,1-Settings!$B$12,0,Settings!$B$12,1))*SQRT(Settings!$B$13)))</f>
        <v/>
      </c>
      <c r="J665" s="18">
        <f>IF(OR(NOT(ISNUMBER($A665)),ROW()-2&lt;Settings!$B$11),NA(),IF(COUNT(OFFSET(G665,1-Settings!$B$11,0,Settings!$B$11,1))&lt;Settings!$B$11,NA(),STDEV(OFFSET(G665,1-Settings!$B$11,0,Settings!$B$11,1))*SQRT(Settings!$B$13)))</f>
        <v/>
      </c>
      <c r="K665" s="18">
        <f>IF(OR(NOT(ISNUMBER($A665)),ROW()-2&lt;Settings!$B$12),NA(),IF(COUNT(OFFSET(G665,1-Settings!$B$12,0,Settings!$B$12,1))&lt;Settings!$B$12,NA(),STDEV(OFFSET(G665,1-Settings!$B$12,0,Settings!$B$12,1))*SQRT(Settings!$B$13)))</f>
        <v/>
      </c>
      <c r="L665" s="18">
        <f>IF(AND(ISNUMBER(D665),ISNUMBER(H665)),D665-H665,NA())</f>
        <v/>
      </c>
      <c r="M665" s="18">
        <f>IF(AND(ISNUMBER(E665),ISNUMBER(K665)),E665-K665,NA())</f>
        <v/>
      </c>
      <c r="N665" s="18">
        <f>IF(NOT(ISNUMBER($A665)),NA(),IF(COUNT(OFFSET(G665,1,0,Settings!$B$12,1))&lt;Settings!$B$12,NA(),STDEV(OFFSET(G665,1,0,Settings!$B$12,1))*SQRT(Settings!$B$13)))</f>
        <v/>
      </c>
      <c r="O665" s="18">
        <f>IF(AND(ISNUMBER(E665),ISNUMBER(N665)),E665-N665,NA())</f>
        <v/>
      </c>
      <c r="P665" s="17">
        <f>IF(NOT(ISNUMBER($A665)),NA(),IF(OR($A665&lt;MIN(KW_TP!$A$2:$A$2501),$A665&gt;MAX(KW_TP!$A$2:$A$2501)),NA(),INDEX(KW_TP!$C$2:$C$2501,MATCH($A665,KW_TP!$A$2:$A$2501,1))))</f>
        <v/>
      </c>
    </row>
    <row r="666">
      <c r="A666" s="15">
        <f>IF(ISNUMBER(BBG_Data!A666),BBG_Data!A666,"")</f>
        <v/>
      </c>
      <c r="B666" s="16">
        <f>IF(AND(ISNUMBER($A666),ISNUMBER(BBG_Data!B666)),BBG_Data!B666,NA())</f>
        <v/>
      </c>
      <c r="C666" s="16">
        <f>IF(AND(ISNUMBER($A666),ISNUMBER(BBG_Data!C666)),BBG_Data!C666,NA())</f>
        <v/>
      </c>
      <c r="D666" s="17">
        <f>IF(AND(ISNUMBER($A666),ISNUMBER(BBG_Data!D666)),BBG_Data!D666,NA())</f>
        <v/>
      </c>
      <c r="E666" s="17">
        <f>IF(AND(ISNUMBER($A666),ISNUMBER(BBG_Data!E666)),BBG_Data!E666,NA())</f>
        <v/>
      </c>
      <c r="F666" s="18">
        <f>IF(AND(ISNUMBER(B666),ISNUMBER(B665)),(B666-B665)*100,"")</f>
        <v/>
      </c>
      <c r="G666" s="18">
        <f>IF(AND(ISNUMBER(C666),ISNUMBER(C665)),(C666-C665)*100,"")</f>
        <v/>
      </c>
      <c r="H666" s="18">
        <f>IF(OR(NOT(ISNUMBER($A666)),ROW()-2&lt;Settings!$B$11),NA(),IF(COUNT(OFFSET(F666,1-Settings!$B$11,0,Settings!$B$11,1))&lt;Settings!$B$11,NA(),STDEV(OFFSET(F666,1-Settings!$B$11,0,Settings!$B$11,1))*SQRT(Settings!$B$13)))</f>
        <v/>
      </c>
      <c r="I666" s="18">
        <f>IF(OR(NOT(ISNUMBER($A666)),ROW()-2&lt;Settings!$B$12),NA(),IF(COUNT(OFFSET(F666,1-Settings!$B$12,0,Settings!$B$12,1))&lt;Settings!$B$12,NA(),STDEV(OFFSET(F666,1-Settings!$B$12,0,Settings!$B$12,1))*SQRT(Settings!$B$13)))</f>
        <v/>
      </c>
      <c r="J666" s="18">
        <f>IF(OR(NOT(ISNUMBER($A666)),ROW()-2&lt;Settings!$B$11),NA(),IF(COUNT(OFFSET(G666,1-Settings!$B$11,0,Settings!$B$11,1))&lt;Settings!$B$11,NA(),STDEV(OFFSET(G666,1-Settings!$B$11,0,Settings!$B$11,1))*SQRT(Settings!$B$13)))</f>
        <v/>
      </c>
      <c r="K666" s="18">
        <f>IF(OR(NOT(ISNUMBER($A666)),ROW()-2&lt;Settings!$B$12),NA(),IF(COUNT(OFFSET(G666,1-Settings!$B$12,0,Settings!$B$12,1))&lt;Settings!$B$12,NA(),STDEV(OFFSET(G666,1-Settings!$B$12,0,Settings!$B$12,1))*SQRT(Settings!$B$13)))</f>
        <v/>
      </c>
      <c r="L666" s="18">
        <f>IF(AND(ISNUMBER(D666),ISNUMBER(H666)),D666-H666,NA())</f>
        <v/>
      </c>
      <c r="M666" s="18">
        <f>IF(AND(ISNUMBER(E666),ISNUMBER(K666)),E666-K666,NA())</f>
        <v/>
      </c>
      <c r="N666" s="18">
        <f>IF(NOT(ISNUMBER($A666)),NA(),IF(COUNT(OFFSET(G666,1,0,Settings!$B$12,1))&lt;Settings!$B$12,NA(),STDEV(OFFSET(G666,1,0,Settings!$B$12,1))*SQRT(Settings!$B$13)))</f>
        <v/>
      </c>
      <c r="O666" s="18">
        <f>IF(AND(ISNUMBER(E666),ISNUMBER(N666)),E666-N666,NA())</f>
        <v/>
      </c>
      <c r="P666" s="17">
        <f>IF(NOT(ISNUMBER($A666)),NA(),IF(OR($A666&lt;MIN(KW_TP!$A$2:$A$2501),$A666&gt;MAX(KW_TP!$A$2:$A$2501)),NA(),INDEX(KW_TP!$C$2:$C$2501,MATCH($A666,KW_TP!$A$2:$A$2501,1))))</f>
        <v/>
      </c>
    </row>
    <row r="667">
      <c r="A667" s="15">
        <f>IF(ISNUMBER(BBG_Data!A667),BBG_Data!A667,"")</f>
        <v/>
      </c>
      <c r="B667" s="16">
        <f>IF(AND(ISNUMBER($A667),ISNUMBER(BBG_Data!B667)),BBG_Data!B667,NA())</f>
        <v/>
      </c>
      <c r="C667" s="16">
        <f>IF(AND(ISNUMBER($A667),ISNUMBER(BBG_Data!C667)),BBG_Data!C667,NA())</f>
        <v/>
      </c>
      <c r="D667" s="17">
        <f>IF(AND(ISNUMBER($A667),ISNUMBER(BBG_Data!D667)),BBG_Data!D667,NA())</f>
        <v/>
      </c>
      <c r="E667" s="17">
        <f>IF(AND(ISNUMBER($A667),ISNUMBER(BBG_Data!E667)),BBG_Data!E667,NA())</f>
        <v/>
      </c>
      <c r="F667" s="18">
        <f>IF(AND(ISNUMBER(B667),ISNUMBER(B666)),(B667-B666)*100,"")</f>
        <v/>
      </c>
      <c r="G667" s="18">
        <f>IF(AND(ISNUMBER(C667),ISNUMBER(C666)),(C667-C666)*100,"")</f>
        <v/>
      </c>
      <c r="H667" s="18">
        <f>IF(OR(NOT(ISNUMBER($A667)),ROW()-2&lt;Settings!$B$11),NA(),IF(COUNT(OFFSET(F667,1-Settings!$B$11,0,Settings!$B$11,1))&lt;Settings!$B$11,NA(),STDEV(OFFSET(F667,1-Settings!$B$11,0,Settings!$B$11,1))*SQRT(Settings!$B$13)))</f>
        <v/>
      </c>
      <c r="I667" s="18">
        <f>IF(OR(NOT(ISNUMBER($A667)),ROW()-2&lt;Settings!$B$12),NA(),IF(COUNT(OFFSET(F667,1-Settings!$B$12,0,Settings!$B$12,1))&lt;Settings!$B$12,NA(),STDEV(OFFSET(F667,1-Settings!$B$12,0,Settings!$B$12,1))*SQRT(Settings!$B$13)))</f>
        <v/>
      </c>
      <c r="J667" s="18">
        <f>IF(OR(NOT(ISNUMBER($A667)),ROW()-2&lt;Settings!$B$11),NA(),IF(COUNT(OFFSET(G667,1-Settings!$B$11,0,Settings!$B$11,1))&lt;Settings!$B$11,NA(),STDEV(OFFSET(G667,1-Settings!$B$11,0,Settings!$B$11,1))*SQRT(Settings!$B$13)))</f>
        <v/>
      </c>
      <c r="K667" s="18">
        <f>IF(OR(NOT(ISNUMBER($A667)),ROW()-2&lt;Settings!$B$12),NA(),IF(COUNT(OFFSET(G667,1-Settings!$B$12,0,Settings!$B$12,1))&lt;Settings!$B$12,NA(),STDEV(OFFSET(G667,1-Settings!$B$12,0,Settings!$B$12,1))*SQRT(Settings!$B$13)))</f>
        <v/>
      </c>
      <c r="L667" s="18">
        <f>IF(AND(ISNUMBER(D667),ISNUMBER(H667)),D667-H667,NA())</f>
        <v/>
      </c>
      <c r="M667" s="18">
        <f>IF(AND(ISNUMBER(E667),ISNUMBER(K667)),E667-K667,NA())</f>
        <v/>
      </c>
      <c r="N667" s="18">
        <f>IF(NOT(ISNUMBER($A667)),NA(),IF(COUNT(OFFSET(G667,1,0,Settings!$B$12,1))&lt;Settings!$B$12,NA(),STDEV(OFFSET(G667,1,0,Settings!$B$12,1))*SQRT(Settings!$B$13)))</f>
        <v/>
      </c>
      <c r="O667" s="18">
        <f>IF(AND(ISNUMBER(E667),ISNUMBER(N667)),E667-N667,NA())</f>
        <v/>
      </c>
      <c r="P667" s="17">
        <f>IF(NOT(ISNUMBER($A667)),NA(),IF(OR($A667&lt;MIN(KW_TP!$A$2:$A$2501),$A667&gt;MAX(KW_TP!$A$2:$A$2501)),NA(),INDEX(KW_TP!$C$2:$C$2501,MATCH($A667,KW_TP!$A$2:$A$2501,1))))</f>
        <v/>
      </c>
    </row>
    <row r="668">
      <c r="A668" s="15">
        <f>IF(ISNUMBER(BBG_Data!A668),BBG_Data!A668,"")</f>
        <v/>
      </c>
      <c r="B668" s="16">
        <f>IF(AND(ISNUMBER($A668),ISNUMBER(BBG_Data!B668)),BBG_Data!B668,NA())</f>
        <v/>
      </c>
      <c r="C668" s="16">
        <f>IF(AND(ISNUMBER($A668),ISNUMBER(BBG_Data!C668)),BBG_Data!C668,NA())</f>
        <v/>
      </c>
      <c r="D668" s="17">
        <f>IF(AND(ISNUMBER($A668),ISNUMBER(BBG_Data!D668)),BBG_Data!D668,NA())</f>
        <v/>
      </c>
      <c r="E668" s="17">
        <f>IF(AND(ISNUMBER($A668),ISNUMBER(BBG_Data!E668)),BBG_Data!E668,NA())</f>
        <v/>
      </c>
      <c r="F668" s="18">
        <f>IF(AND(ISNUMBER(B668),ISNUMBER(B667)),(B668-B667)*100,"")</f>
        <v/>
      </c>
      <c r="G668" s="18">
        <f>IF(AND(ISNUMBER(C668),ISNUMBER(C667)),(C668-C667)*100,"")</f>
        <v/>
      </c>
      <c r="H668" s="18">
        <f>IF(OR(NOT(ISNUMBER($A668)),ROW()-2&lt;Settings!$B$11),NA(),IF(COUNT(OFFSET(F668,1-Settings!$B$11,0,Settings!$B$11,1))&lt;Settings!$B$11,NA(),STDEV(OFFSET(F668,1-Settings!$B$11,0,Settings!$B$11,1))*SQRT(Settings!$B$13)))</f>
        <v/>
      </c>
      <c r="I668" s="18">
        <f>IF(OR(NOT(ISNUMBER($A668)),ROW()-2&lt;Settings!$B$12),NA(),IF(COUNT(OFFSET(F668,1-Settings!$B$12,0,Settings!$B$12,1))&lt;Settings!$B$12,NA(),STDEV(OFFSET(F668,1-Settings!$B$12,0,Settings!$B$12,1))*SQRT(Settings!$B$13)))</f>
        <v/>
      </c>
      <c r="J668" s="18">
        <f>IF(OR(NOT(ISNUMBER($A668)),ROW()-2&lt;Settings!$B$11),NA(),IF(COUNT(OFFSET(G668,1-Settings!$B$11,0,Settings!$B$11,1))&lt;Settings!$B$11,NA(),STDEV(OFFSET(G668,1-Settings!$B$11,0,Settings!$B$11,1))*SQRT(Settings!$B$13)))</f>
        <v/>
      </c>
      <c r="K668" s="18">
        <f>IF(OR(NOT(ISNUMBER($A668)),ROW()-2&lt;Settings!$B$12),NA(),IF(COUNT(OFFSET(G668,1-Settings!$B$12,0,Settings!$B$12,1))&lt;Settings!$B$12,NA(),STDEV(OFFSET(G668,1-Settings!$B$12,0,Settings!$B$12,1))*SQRT(Settings!$B$13)))</f>
        <v/>
      </c>
      <c r="L668" s="18">
        <f>IF(AND(ISNUMBER(D668),ISNUMBER(H668)),D668-H668,NA())</f>
        <v/>
      </c>
      <c r="M668" s="18">
        <f>IF(AND(ISNUMBER(E668),ISNUMBER(K668)),E668-K668,NA())</f>
        <v/>
      </c>
      <c r="N668" s="18">
        <f>IF(NOT(ISNUMBER($A668)),NA(),IF(COUNT(OFFSET(G668,1,0,Settings!$B$12,1))&lt;Settings!$B$12,NA(),STDEV(OFFSET(G668,1,0,Settings!$B$12,1))*SQRT(Settings!$B$13)))</f>
        <v/>
      </c>
      <c r="O668" s="18">
        <f>IF(AND(ISNUMBER(E668),ISNUMBER(N668)),E668-N668,NA())</f>
        <v/>
      </c>
      <c r="P668" s="17">
        <f>IF(NOT(ISNUMBER($A668)),NA(),IF(OR($A668&lt;MIN(KW_TP!$A$2:$A$2501),$A668&gt;MAX(KW_TP!$A$2:$A$2501)),NA(),INDEX(KW_TP!$C$2:$C$2501,MATCH($A668,KW_TP!$A$2:$A$2501,1))))</f>
        <v/>
      </c>
    </row>
    <row r="669">
      <c r="A669" s="15">
        <f>IF(ISNUMBER(BBG_Data!A669),BBG_Data!A669,"")</f>
        <v/>
      </c>
      <c r="B669" s="16">
        <f>IF(AND(ISNUMBER($A669),ISNUMBER(BBG_Data!B669)),BBG_Data!B669,NA())</f>
        <v/>
      </c>
      <c r="C669" s="16">
        <f>IF(AND(ISNUMBER($A669),ISNUMBER(BBG_Data!C669)),BBG_Data!C669,NA())</f>
        <v/>
      </c>
      <c r="D669" s="17">
        <f>IF(AND(ISNUMBER($A669),ISNUMBER(BBG_Data!D669)),BBG_Data!D669,NA())</f>
        <v/>
      </c>
      <c r="E669" s="17">
        <f>IF(AND(ISNUMBER($A669),ISNUMBER(BBG_Data!E669)),BBG_Data!E669,NA())</f>
        <v/>
      </c>
      <c r="F669" s="18">
        <f>IF(AND(ISNUMBER(B669),ISNUMBER(B668)),(B669-B668)*100,"")</f>
        <v/>
      </c>
      <c r="G669" s="18">
        <f>IF(AND(ISNUMBER(C669),ISNUMBER(C668)),(C669-C668)*100,"")</f>
        <v/>
      </c>
      <c r="H669" s="18">
        <f>IF(OR(NOT(ISNUMBER($A669)),ROW()-2&lt;Settings!$B$11),NA(),IF(COUNT(OFFSET(F669,1-Settings!$B$11,0,Settings!$B$11,1))&lt;Settings!$B$11,NA(),STDEV(OFFSET(F669,1-Settings!$B$11,0,Settings!$B$11,1))*SQRT(Settings!$B$13)))</f>
        <v/>
      </c>
      <c r="I669" s="18">
        <f>IF(OR(NOT(ISNUMBER($A669)),ROW()-2&lt;Settings!$B$12),NA(),IF(COUNT(OFFSET(F669,1-Settings!$B$12,0,Settings!$B$12,1))&lt;Settings!$B$12,NA(),STDEV(OFFSET(F669,1-Settings!$B$12,0,Settings!$B$12,1))*SQRT(Settings!$B$13)))</f>
        <v/>
      </c>
      <c r="J669" s="18">
        <f>IF(OR(NOT(ISNUMBER($A669)),ROW()-2&lt;Settings!$B$11),NA(),IF(COUNT(OFFSET(G669,1-Settings!$B$11,0,Settings!$B$11,1))&lt;Settings!$B$11,NA(),STDEV(OFFSET(G669,1-Settings!$B$11,0,Settings!$B$11,1))*SQRT(Settings!$B$13)))</f>
        <v/>
      </c>
      <c r="K669" s="18">
        <f>IF(OR(NOT(ISNUMBER($A669)),ROW()-2&lt;Settings!$B$12),NA(),IF(COUNT(OFFSET(G669,1-Settings!$B$12,0,Settings!$B$12,1))&lt;Settings!$B$12,NA(),STDEV(OFFSET(G669,1-Settings!$B$12,0,Settings!$B$12,1))*SQRT(Settings!$B$13)))</f>
        <v/>
      </c>
      <c r="L669" s="18">
        <f>IF(AND(ISNUMBER(D669),ISNUMBER(H669)),D669-H669,NA())</f>
        <v/>
      </c>
      <c r="M669" s="18">
        <f>IF(AND(ISNUMBER(E669),ISNUMBER(K669)),E669-K669,NA())</f>
        <v/>
      </c>
      <c r="N669" s="18">
        <f>IF(NOT(ISNUMBER($A669)),NA(),IF(COUNT(OFFSET(G669,1,0,Settings!$B$12,1))&lt;Settings!$B$12,NA(),STDEV(OFFSET(G669,1,0,Settings!$B$12,1))*SQRT(Settings!$B$13)))</f>
        <v/>
      </c>
      <c r="O669" s="18">
        <f>IF(AND(ISNUMBER(E669),ISNUMBER(N669)),E669-N669,NA())</f>
        <v/>
      </c>
      <c r="P669" s="17">
        <f>IF(NOT(ISNUMBER($A669)),NA(),IF(OR($A669&lt;MIN(KW_TP!$A$2:$A$2501),$A669&gt;MAX(KW_TP!$A$2:$A$2501)),NA(),INDEX(KW_TP!$C$2:$C$2501,MATCH($A669,KW_TP!$A$2:$A$2501,1))))</f>
        <v/>
      </c>
    </row>
    <row r="670">
      <c r="A670" s="15">
        <f>IF(ISNUMBER(BBG_Data!A670),BBG_Data!A670,"")</f>
        <v/>
      </c>
      <c r="B670" s="16">
        <f>IF(AND(ISNUMBER($A670),ISNUMBER(BBG_Data!B670)),BBG_Data!B670,NA())</f>
        <v/>
      </c>
      <c r="C670" s="16">
        <f>IF(AND(ISNUMBER($A670),ISNUMBER(BBG_Data!C670)),BBG_Data!C670,NA())</f>
        <v/>
      </c>
      <c r="D670" s="17">
        <f>IF(AND(ISNUMBER($A670),ISNUMBER(BBG_Data!D670)),BBG_Data!D670,NA())</f>
        <v/>
      </c>
      <c r="E670" s="17">
        <f>IF(AND(ISNUMBER($A670),ISNUMBER(BBG_Data!E670)),BBG_Data!E670,NA())</f>
        <v/>
      </c>
      <c r="F670" s="18">
        <f>IF(AND(ISNUMBER(B670),ISNUMBER(B669)),(B670-B669)*100,"")</f>
        <v/>
      </c>
      <c r="G670" s="18">
        <f>IF(AND(ISNUMBER(C670),ISNUMBER(C669)),(C670-C669)*100,"")</f>
        <v/>
      </c>
      <c r="H670" s="18">
        <f>IF(OR(NOT(ISNUMBER($A670)),ROW()-2&lt;Settings!$B$11),NA(),IF(COUNT(OFFSET(F670,1-Settings!$B$11,0,Settings!$B$11,1))&lt;Settings!$B$11,NA(),STDEV(OFFSET(F670,1-Settings!$B$11,0,Settings!$B$11,1))*SQRT(Settings!$B$13)))</f>
        <v/>
      </c>
      <c r="I670" s="18">
        <f>IF(OR(NOT(ISNUMBER($A670)),ROW()-2&lt;Settings!$B$12),NA(),IF(COUNT(OFFSET(F670,1-Settings!$B$12,0,Settings!$B$12,1))&lt;Settings!$B$12,NA(),STDEV(OFFSET(F670,1-Settings!$B$12,0,Settings!$B$12,1))*SQRT(Settings!$B$13)))</f>
        <v/>
      </c>
      <c r="J670" s="18">
        <f>IF(OR(NOT(ISNUMBER($A670)),ROW()-2&lt;Settings!$B$11),NA(),IF(COUNT(OFFSET(G670,1-Settings!$B$11,0,Settings!$B$11,1))&lt;Settings!$B$11,NA(),STDEV(OFFSET(G670,1-Settings!$B$11,0,Settings!$B$11,1))*SQRT(Settings!$B$13)))</f>
        <v/>
      </c>
      <c r="K670" s="18">
        <f>IF(OR(NOT(ISNUMBER($A670)),ROW()-2&lt;Settings!$B$12),NA(),IF(COUNT(OFFSET(G670,1-Settings!$B$12,0,Settings!$B$12,1))&lt;Settings!$B$12,NA(),STDEV(OFFSET(G670,1-Settings!$B$12,0,Settings!$B$12,1))*SQRT(Settings!$B$13)))</f>
        <v/>
      </c>
      <c r="L670" s="18">
        <f>IF(AND(ISNUMBER(D670),ISNUMBER(H670)),D670-H670,NA())</f>
        <v/>
      </c>
      <c r="M670" s="18">
        <f>IF(AND(ISNUMBER(E670),ISNUMBER(K670)),E670-K670,NA())</f>
        <v/>
      </c>
      <c r="N670" s="18">
        <f>IF(NOT(ISNUMBER($A670)),NA(),IF(COUNT(OFFSET(G670,1,0,Settings!$B$12,1))&lt;Settings!$B$12,NA(),STDEV(OFFSET(G670,1,0,Settings!$B$12,1))*SQRT(Settings!$B$13)))</f>
        <v/>
      </c>
      <c r="O670" s="18">
        <f>IF(AND(ISNUMBER(E670),ISNUMBER(N670)),E670-N670,NA())</f>
        <v/>
      </c>
      <c r="P670" s="17">
        <f>IF(NOT(ISNUMBER($A670)),NA(),IF(OR($A670&lt;MIN(KW_TP!$A$2:$A$2501),$A670&gt;MAX(KW_TP!$A$2:$A$2501)),NA(),INDEX(KW_TP!$C$2:$C$2501,MATCH($A670,KW_TP!$A$2:$A$2501,1))))</f>
        <v/>
      </c>
    </row>
    <row r="671">
      <c r="A671" s="15">
        <f>IF(ISNUMBER(BBG_Data!A671),BBG_Data!A671,"")</f>
        <v/>
      </c>
      <c r="B671" s="16">
        <f>IF(AND(ISNUMBER($A671),ISNUMBER(BBG_Data!B671)),BBG_Data!B671,NA())</f>
        <v/>
      </c>
      <c r="C671" s="16">
        <f>IF(AND(ISNUMBER($A671),ISNUMBER(BBG_Data!C671)),BBG_Data!C671,NA())</f>
        <v/>
      </c>
      <c r="D671" s="17">
        <f>IF(AND(ISNUMBER($A671),ISNUMBER(BBG_Data!D671)),BBG_Data!D671,NA())</f>
        <v/>
      </c>
      <c r="E671" s="17">
        <f>IF(AND(ISNUMBER($A671),ISNUMBER(BBG_Data!E671)),BBG_Data!E671,NA())</f>
        <v/>
      </c>
      <c r="F671" s="18">
        <f>IF(AND(ISNUMBER(B671),ISNUMBER(B670)),(B671-B670)*100,"")</f>
        <v/>
      </c>
      <c r="G671" s="18">
        <f>IF(AND(ISNUMBER(C671),ISNUMBER(C670)),(C671-C670)*100,"")</f>
        <v/>
      </c>
      <c r="H671" s="18">
        <f>IF(OR(NOT(ISNUMBER($A671)),ROW()-2&lt;Settings!$B$11),NA(),IF(COUNT(OFFSET(F671,1-Settings!$B$11,0,Settings!$B$11,1))&lt;Settings!$B$11,NA(),STDEV(OFFSET(F671,1-Settings!$B$11,0,Settings!$B$11,1))*SQRT(Settings!$B$13)))</f>
        <v/>
      </c>
      <c r="I671" s="18">
        <f>IF(OR(NOT(ISNUMBER($A671)),ROW()-2&lt;Settings!$B$12),NA(),IF(COUNT(OFFSET(F671,1-Settings!$B$12,0,Settings!$B$12,1))&lt;Settings!$B$12,NA(),STDEV(OFFSET(F671,1-Settings!$B$12,0,Settings!$B$12,1))*SQRT(Settings!$B$13)))</f>
        <v/>
      </c>
      <c r="J671" s="18">
        <f>IF(OR(NOT(ISNUMBER($A671)),ROW()-2&lt;Settings!$B$11),NA(),IF(COUNT(OFFSET(G671,1-Settings!$B$11,0,Settings!$B$11,1))&lt;Settings!$B$11,NA(),STDEV(OFFSET(G671,1-Settings!$B$11,0,Settings!$B$11,1))*SQRT(Settings!$B$13)))</f>
        <v/>
      </c>
      <c r="K671" s="18">
        <f>IF(OR(NOT(ISNUMBER($A671)),ROW()-2&lt;Settings!$B$12),NA(),IF(COUNT(OFFSET(G671,1-Settings!$B$12,0,Settings!$B$12,1))&lt;Settings!$B$12,NA(),STDEV(OFFSET(G671,1-Settings!$B$12,0,Settings!$B$12,1))*SQRT(Settings!$B$13)))</f>
        <v/>
      </c>
      <c r="L671" s="18">
        <f>IF(AND(ISNUMBER(D671),ISNUMBER(H671)),D671-H671,NA())</f>
        <v/>
      </c>
      <c r="M671" s="18">
        <f>IF(AND(ISNUMBER(E671),ISNUMBER(K671)),E671-K671,NA())</f>
        <v/>
      </c>
      <c r="N671" s="18">
        <f>IF(NOT(ISNUMBER($A671)),NA(),IF(COUNT(OFFSET(G671,1,0,Settings!$B$12,1))&lt;Settings!$B$12,NA(),STDEV(OFFSET(G671,1,0,Settings!$B$12,1))*SQRT(Settings!$B$13)))</f>
        <v/>
      </c>
      <c r="O671" s="18">
        <f>IF(AND(ISNUMBER(E671),ISNUMBER(N671)),E671-N671,NA())</f>
        <v/>
      </c>
      <c r="P671" s="17">
        <f>IF(NOT(ISNUMBER($A671)),NA(),IF(OR($A671&lt;MIN(KW_TP!$A$2:$A$2501),$A671&gt;MAX(KW_TP!$A$2:$A$2501)),NA(),INDEX(KW_TP!$C$2:$C$2501,MATCH($A671,KW_TP!$A$2:$A$2501,1))))</f>
        <v/>
      </c>
    </row>
    <row r="672">
      <c r="A672" s="15">
        <f>IF(ISNUMBER(BBG_Data!A672),BBG_Data!A672,"")</f>
        <v/>
      </c>
      <c r="B672" s="16">
        <f>IF(AND(ISNUMBER($A672),ISNUMBER(BBG_Data!B672)),BBG_Data!B672,NA())</f>
        <v/>
      </c>
      <c r="C672" s="16">
        <f>IF(AND(ISNUMBER($A672),ISNUMBER(BBG_Data!C672)),BBG_Data!C672,NA())</f>
        <v/>
      </c>
      <c r="D672" s="17">
        <f>IF(AND(ISNUMBER($A672),ISNUMBER(BBG_Data!D672)),BBG_Data!D672,NA())</f>
        <v/>
      </c>
      <c r="E672" s="17">
        <f>IF(AND(ISNUMBER($A672),ISNUMBER(BBG_Data!E672)),BBG_Data!E672,NA())</f>
        <v/>
      </c>
      <c r="F672" s="18">
        <f>IF(AND(ISNUMBER(B672),ISNUMBER(B671)),(B672-B671)*100,"")</f>
        <v/>
      </c>
      <c r="G672" s="18">
        <f>IF(AND(ISNUMBER(C672),ISNUMBER(C671)),(C672-C671)*100,"")</f>
        <v/>
      </c>
      <c r="H672" s="18">
        <f>IF(OR(NOT(ISNUMBER($A672)),ROW()-2&lt;Settings!$B$11),NA(),IF(COUNT(OFFSET(F672,1-Settings!$B$11,0,Settings!$B$11,1))&lt;Settings!$B$11,NA(),STDEV(OFFSET(F672,1-Settings!$B$11,0,Settings!$B$11,1))*SQRT(Settings!$B$13)))</f>
        <v/>
      </c>
      <c r="I672" s="18">
        <f>IF(OR(NOT(ISNUMBER($A672)),ROW()-2&lt;Settings!$B$12),NA(),IF(COUNT(OFFSET(F672,1-Settings!$B$12,0,Settings!$B$12,1))&lt;Settings!$B$12,NA(),STDEV(OFFSET(F672,1-Settings!$B$12,0,Settings!$B$12,1))*SQRT(Settings!$B$13)))</f>
        <v/>
      </c>
      <c r="J672" s="18">
        <f>IF(OR(NOT(ISNUMBER($A672)),ROW()-2&lt;Settings!$B$11),NA(),IF(COUNT(OFFSET(G672,1-Settings!$B$11,0,Settings!$B$11,1))&lt;Settings!$B$11,NA(),STDEV(OFFSET(G672,1-Settings!$B$11,0,Settings!$B$11,1))*SQRT(Settings!$B$13)))</f>
        <v/>
      </c>
      <c r="K672" s="18">
        <f>IF(OR(NOT(ISNUMBER($A672)),ROW()-2&lt;Settings!$B$12),NA(),IF(COUNT(OFFSET(G672,1-Settings!$B$12,0,Settings!$B$12,1))&lt;Settings!$B$12,NA(),STDEV(OFFSET(G672,1-Settings!$B$12,0,Settings!$B$12,1))*SQRT(Settings!$B$13)))</f>
        <v/>
      </c>
      <c r="L672" s="18">
        <f>IF(AND(ISNUMBER(D672),ISNUMBER(H672)),D672-H672,NA())</f>
        <v/>
      </c>
      <c r="M672" s="18">
        <f>IF(AND(ISNUMBER(E672),ISNUMBER(K672)),E672-K672,NA())</f>
        <v/>
      </c>
      <c r="N672" s="18">
        <f>IF(NOT(ISNUMBER($A672)),NA(),IF(COUNT(OFFSET(G672,1,0,Settings!$B$12,1))&lt;Settings!$B$12,NA(),STDEV(OFFSET(G672,1,0,Settings!$B$12,1))*SQRT(Settings!$B$13)))</f>
        <v/>
      </c>
      <c r="O672" s="18">
        <f>IF(AND(ISNUMBER(E672),ISNUMBER(N672)),E672-N672,NA())</f>
        <v/>
      </c>
      <c r="P672" s="17">
        <f>IF(NOT(ISNUMBER($A672)),NA(),IF(OR($A672&lt;MIN(KW_TP!$A$2:$A$2501),$A672&gt;MAX(KW_TP!$A$2:$A$2501)),NA(),INDEX(KW_TP!$C$2:$C$2501,MATCH($A672,KW_TP!$A$2:$A$2501,1))))</f>
        <v/>
      </c>
    </row>
    <row r="673">
      <c r="A673" s="15">
        <f>IF(ISNUMBER(BBG_Data!A673),BBG_Data!A673,"")</f>
        <v/>
      </c>
      <c r="B673" s="16">
        <f>IF(AND(ISNUMBER($A673),ISNUMBER(BBG_Data!B673)),BBG_Data!B673,NA())</f>
        <v/>
      </c>
      <c r="C673" s="16">
        <f>IF(AND(ISNUMBER($A673),ISNUMBER(BBG_Data!C673)),BBG_Data!C673,NA())</f>
        <v/>
      </c>
      <c r="D673" s="17">
        <f>IF(AND(ISNUMBER($A673),ISNUMBER(BBG_Data!D673)),BBG_Data!D673,NA())</f>
        <v/>
      </c>
      <c r="E673" s="17">
        <f>IF(AND(ISNUMBER($A673),ISNUMBER(BBG_Data!E673)),BBG_Data!E673,NA())</f>
        <v/>
      </c>
      <c r="F673" s="18">
        <f>IF(AND(ISNUMBER(B673),ISNUMBER(B672)),(B673-B672)*100,"")</f>
        <v/>
      </c>
      <c r="G673" s="18">
        <f>IF(AND(ISNUMBER(C673),ISNUMBER(C672)),(C673-C672)*100,"")</f>
        <v/>
      </c>
      <c r="H673" s="18">
        <f>IF(OR(NOT(ISNUMBER($A673)),ROW()-2&lt;Settings!$B$11),NA(),IF(COUNT(OFFSET(F673,1-Settings!$B$11,0,Settings!$B$11,1))&lt;Settings!$B$11,NA(),STDEV(OFFSET(F673,1-Settings!$B$11,0,Settings!$B$11,1))*SQRT(Settings!$B$13)))</f>
        <v/>
      </c>
      <c r="I673" s="18">
        <f>IF(OR(NOT(ISNUMBER($A673)),ROW()-2&lt;Settings!$B$12),NA(),IF(COUNT(OFFSET(F673,1-Settings!$B$12,0,Settings!$B$12,1))&lt;Settings!$B$12,NA(),STDEV(OFFSET(F673,1-Settings!$B$12,0,Settings!$B$12,1))*SQRT(Settings!$B$13)))</f>
        <v/>
      </c>
      <c r="J673" s="18">
        <f>IF(OR(NOT(ISNUMBER($A673)),ROW()-2&lt;Settings!$B$11),NA(),IF(COUNT(OFFSET(G673,1-Settings!$B$11,0,Settings!$B$11,1))&lt;Settings!$B$11,NA(),STDEV(OFFSET(G673,1-Settings!$B$11,0,Settings!$B$11,1))*SQRT(Settings!$B$13)))</f>
        <v/>
      </c>
      <c r="K673" s="18">
        <f>IF(OR(NOT(ISNUMBER($A673)),ROW()-2&lt;Settings!$B$12),NA(),IF(COUNT(OFFSET(G673,1-Settings!$B$12,0,Settings!$B$12,1))&lt;Settings!$B$12,NA(),STDEV(OFFSET(G673,1-Settings!$B$12,0,Settings!$B$12,1))*SQRT(Settings!$B$13)))</f>
        <v/>
      </c>
      <c r="L673" s="18">
        <f>IF(AND(ISNUMBER(D673),ISNUMBER(H673)),D673-H673,NA())</f>
        <v/>
      </c>
      <c r="M673" s="18">
        <f>IF(AND(ISNUMBER(E673),ISNUMBER(K673)),E673-K673,NA())</f>
        <v/>
      </c>
      <c r="N673" s="18">
        <f>IF(NOT(ISNUMBER($A673)),NA(),IF(COUNT(OFFSET(G673,1,0,Settings!$B$12,1))&lt;Settings!$B$12,NA(),STDEV(OFFSET(G673,1,0,Settings!$B$12,1))*SQRT(Settings!$B$13)))</f>
        <v/>
      </c>
      <c r="O673" s="18">
        <f>IF(AND(ISNUMBER(E673),ISNUMBER(N673)),E673-N673,NA())</f>
        <v/>
      </c>
      <c r="P673" s="17">
        <f>IF(NOT(ISNUMBER($A673)),NA(),IF(OR($A673&lt;MIN(KW_TP!$A$2:$A$2501),$A673&gt;MAX(KW_TP!$A$2:$A$2501)),NA(),INDEX(KW_TP!$C$2:$C$2501,MATCH($A673,KW_TP!$A$2:$A$2501,1))))</f>
        <v/>
      </c>
    </row>
    <row r="674">
      <c r="A674" s="15">
        <f>IF(ISNUMBER(BBG_Data!A674),BBG_Data!A674,"")</f>
        <v/>
      </c>
      <c r="B674" s="16">
        <f>IF(AND(ISNUMBER($A674),ISNUMBER(BBG_Data!B674)),BBG_Data!B674,NA())</f>
        <v/>
      </c>
      <c r="C674" s="16">
        <f>IF(AND(ISNUMBER($A674),ISNUMBER(BBG_Data!C674)),BBG_Data!C674,NA())</f>
        <v/>
      </c>
      <c r="D674" s="17">
        <f>IF(AND(ISNUMBER($A674),ISNUMBER(BBG_Data!D674)),BBG_Data!D674,NA())</f>
        <v/>
      </c>
      <c r="E674" s="17">
        <f>IF(AND(ISNUMBER($A674),ISNUMBER(BBG_Data!E674)),BBG_Data!E674,NA())</f>
        <v/>
      </c>
      <c r="F674" s="18">
        <f>IF(AND(ISNUMBER(B674),ISNUMBER(B673)),(B674-B673)*100,"")</f>
        <v/>
      </c>
      <c r="G674" s="18">
        <f>IF(AND(ISNUMBER(C674),ISNUMBER(C673)),(C674-C673)*100,"")</f>
        <v/>
      </c>
      <c r="H674" s="18">
        <f>IF(OR(NOT(ISNUMBER($A674)),ROW()-2&lt;Settings!$B$11),NA(),IF(COUNT(OFFSET(F674,1-Settings!$B$11,0,Settings!$B$11,1))&lt;Settings!$B$11,NA(),STDEV(OFFSET(F674,1-Settings!$B$11,0,Settings!$B$11,1))*SQRT(Settings!$B$13)))</f>
        <v/>
      </c>
      <c r="I674" s="18">
        <f>IF(OR(NOT(ISNUMBER($A674)),ROW()-2&lt;Settings!$B$12),NA(),IF(COUNT(OFFSET(F674,1-Settings!$B$12,0,Settings!$B$12,1))&lt;Settings!$B$12,NA(),STDEV(OFFSET(F674,1-Settings!$B$12,0,Settings!$B$12,1))*SQRT(Settings!$B$13)))</f>
        <v/>
      </c>
      <c r="J674" s="18">
        <f>IF(OR(NOT(ISNUMBER($A674)),ROW()-2&lt;Settings!$B$11),NA(),IF(COUNT(OFFSET(G674,1-Settings!$B$11,0,Settings!$B$11,1))&lt;Settings!$B$11,NA(),STDEV(OFFSET(G674,1-Settings!$B$11,0,Settings!$B$11,1))*SQRT(Settings!$B$13)))</f>
        <v/>
      </c>
      <c r="K674" s="18">
        <f>IF(OR(NOT(ISNUMBER($A674)),ROW()-2&lt;Settings!$B$12),NA(),IF(COUNT(OFFSET(G674,1-Settings!$B$12,0,Settings!$B$12,1))&lt;Settings!$B$12,NA(),STDEV(OFFSET(G674,1-Settings!$B$12,0,Settings!$B$12,1))*SQRT(Settings!$B$13)))</f>
        <v/>
      </c>
      <c r="L674" s="18">
        <f>IF(AND(ISNUMBER(D674),ISNUMBER(H674)),D674-H674,NA())</f>
        <v/>
      </c>
      <c r="M674" s="18">
        <f>IF(AND(ISNUMBER(E674),ISNUMBER(K674)),E674-K674,NA())</f>
        <v/>
      </c>
      <c r="N674" s="18">
        <f>IF(NOT(ISNUMBER($A674)),NA(),IF(COUNT(OFFSET(G674,1,0,Settings!$B$12,1))&lt;Settings!$B$12,NA(),STDEV(OFFSET(G674,1,0,Settings!$B$12,1))*SQRT(Settings!$B$13)))</f>
        <v/>
      </c>
      <c r="O674" s="18">
        <f>IF(AND(ISNUMBER(E674),ISNUMBER(N674)),E674-N674,NA())</f>
        <v/>
      </c>
      <c r="P674" s="17">
        <f>IF(NOT(ISNUMBER($A674)),NA(),IF(OR($A674&lt;MIN(KW_TP!$A$2:$A$2501),$A674&gt;MAX(KW_TP!$A$2:$A$2501)),NA(),INDEX(KW_TP!$C$2:$C$2501,MATCH($A674,KW_TP!$A$2:$A$2501,1))))</f>
        <v/>
      </c>
    </row>
    <row r="675">
      <c r="A675" s="15">
        <f>IF(ISNUMBER(BBG_Data!A675),BBG_Data!A675,"")</f>
        <v/>
      </c>
      <c r="B675" s="16">
        <f>IF(AND(ISNUMBER($A675),ISNUMBER(BBG_Data!B675)),BBG_Data!B675,NA())</f>
        <v/>
      </c>
      <c r="C675" s="16">
        <f>IF(AND(ISNUMBER($A675),ISNUMBER(BBG_Data!C675)),BBG_Data!C675,NA())</f>
        <v/>
      </c>
      <c r="D675" s="17">
        <f>IF(AND(ISNUMBER($A675),ISNUMBER(BBG_Data!D675)),BBG_Data!D675,NA())</f>
        <v/>
      </c>
      <c r="E675" s="17">
        <f>IF(AND(ISNUMBER($A675),ISNUMBER(BBG_Data!E675)),BBG_Data!E675,NA())</f>
        <v/>
      </c>
      <c r="F675" s="18">
        <f>IF(AND(ISNUMBER(B675),ISNUMBER(B674)),(B675-B674)*100,"")</f>
        <v/>
      </c>
      <c r="G675" s="18">
        <f>IF(AND(ISNUMBER(C675),ISNUMBER(C674)),(C675-C674)*100,"")</f>
        <v/>
      </c>
      <c r="H675" s="18">
        <f>IF(OR(NOT(ISNUMBER($A675)),ROW()-2&lt;Settings!$B$11),NA(),IF(COUNT(OFFSET(F675,1-Settings!$B$11,0,Settings!$B$11,1))&lt;Settings!$B$11,NA(),STDEV(OFFSET(F675,1-Settings!$B$11,0,Settings!$B$11,1))*SQRT(Settings!$B$13)))</f>
        <v/>
      </c>
      <c r="I675" s="18">
        <f>IF(OR(NOT(ISNUMBER($A675)),ROW()-2&lt;Settings!$B$12),NA(),IF(COUNT(OFFSET(F675,1-Settings!$B$12,0,Settings!$B$12,1))&lt;Settings!$B$12,NA(),STDEV(OFFSET(F675,1-Settings!$B$12,0,Settings!$B$12,1))*SQRT(Settings!$B$13)))</f>
        <v/>
      </c>
      <c r="J675" s="18">
        <f>IF(OR(NOT(ISNUMBER($A675)),ROW()-2&lt;Settings!$B$11),NA(),IF(COUNT(OFFSET(G675,1-Settings!$B$11,0,Settings!$B$11,1))&lt;Settings!$B$11,NA(),STDEV(OFFSET(G675,1-Settings!$B$11,0,Settings!$B$11,1))*SQRT(Settings!$B$13)))</f>
        <v/>
      </c>
      <c r="K675" s="18">
        <f>IF(OR(NOT(ISNUMBER($A675)),ROW()-2&lt;Settings!$B$12),NA(),IF(COUNT(OFFSET(G675,1-Settings!$B$12,0,Settings!$B$12,1))&lt;Settings!$B$12,NA(),STDEV(OFFSET(G675,1-Settings!$B$12,0,Settings!$B$12,1))*SQRT(Settings!$B$13)))</f>
        <v/>
      </c>
      <c r="L675" s="18">
        <f>IF(AND(ISNUMBER(D675),ISNUMBER(H675)),D675-H675,NA())</f>
        <v/>
      </c>
      <c r="M675" s="18">
        <f>IF(AND(ISNUMBER(E675),ISNUMBER(K675)),E675-K675,NA())</f>
        <v/>
      </c>
      <c r="N675" s="18">
        <f>IF(NOT(ISNUMBER($A675)),NA(),IF(COUNT(OFFSET(G675,1,0,Settings!$B$12,1))&lt;Settings!$B$12,NA(),STDEV(OFFSET(G675,1,0,Settings!$B$12,1))*SQRT(Settings!$B$13)))</f>
        <v/>
      </c>
      <c r="O675" s="18">
        <f>IF(AND(ISNUMBER(E675),ISNUMBER(N675)),E675-N675,NA())</f>
        <v/>
      </c>
      <c r="P675" s="17">
        <f>IF(NOT(ISNUMBER($A675)),NA(),IF(OR($A675&lt;MIN(KW_TP!$A$2:$A$2501),$A675&gt;MAX(KW_TP!$A$2:$A$2501)),NA(),INDEX(KW_TP!$C$2:$C$2501,MATCH($A675,KW_TP!$A$2:$A$2501,1))))</f>
        <v/>
      </c>
    </row>
    <row r="676">
      <c r="A676" s="15">
        <f>IF(ISNUMBER(BBG_Data!A676),BBG_Data!A676,"")</f>
        <v/>
      </c>
      <c r="B676" s="16">
        <f>IF(AND(ISNUMBER($A676),ISNUMBER(BBG_Data!B676)),BBG_Data!B676,NA())</f>
        <v/>
      </c>
      <c r="C676" s="16">
        <f>IF(AND(ISNUMBER($A676),ISNUMBER(BBG_Data!C676)),BBG_Data!C676,NA())</f>
        <v/>
      </c>
      <c r="D676" s="17">
        <f>IF(AND(ISNUMBER($A676),ISNUMBER(BBG_Data!D676)),BBG_Data!D676,NA())</f>
        <v/>
      </c>
      <c r="E676" s="17">
        <f>IF(AND(ISNUMBER($A676),ISNUMBER(BBG_Data!E676)),BBG_Data!E676,NA())</f>
        <v/>
      </c>
      <c r="F676" s="18">
        <f>IF(AND(ISNUMBER(B676),ISNUMBER(B675)),(B676-B675)*100,"")</f>
        <v/>
      </c>
      <c r="G676" s="18">
        <f>IF(AND(ISNUMBER(C676),ISNUMBER(C675)),(C676-C675)*100,"")</f>
        <v/>
      </c>
      <c r="H676" s="18">
        <f>IF(OR(NOT(ISNUMBER($A676)),ROW()-2&lt;Settings!$B$11),NA(),IF(COUNT(OFFSET(F676,1-Settings!$B$11,0,Settings!$B$11,1))&lt;Settings!$B$11,NA(),STDEV(OFFSET(F676,1-Settings!$B$11,0,Settings!$B$11,1))*SQRT(Settings!$B$13)))</f>
        <v/>
      </c>
      <c r="I676" s="18">
        <f>IF(OR(NOT(ISNUMBER($A676)),ROW()-2&lt;Settings!$B$12),NA(),IF(COUNT(OFFSET(F676,1-Settings!$B$12,0,Settings!$B$12,1))&lt;Settings!$B$12,NA(),STDEV(OFFSET(F676,1-Settings!$B$12,0,Settings!$B$12,1))*SQRT(Settings!$B$13)))</f>
        <v/>
      </c>
      <c r="J676" s="18">
        <f>IF(OR(NOT(ISNUMBER($A676)),ROW()-2&lt;Settings!$B$11),NA(),IF(COUNT(OFFSET(G676,1-Settings!$B$11,0,Settings!$B$11,1))&lt;Settings!$B$11,NA(),STDEV(OFFSET(G676,1-Settings!$B$11,0,Settings!$B$11,1))*SQRT(Settings!$B$13)))</f>
        <v/>
      </c>
      <c r="K676" s="18">
        <f>IF(OR(NOT(ISNUMBER($A676)),ROW()-2&lt;Settings!$B$12),NA(),IF(COUNT(OFFSET(G676,1-Settings!$B$12,0,Settings!$B$12,1))&lt;Settings!$B$12,NA(),STDEV(OFFSET(G676,1-Settings!$B$12,0,Settings!$B$12,1))*SQRT(Settings!$B$13)))</f>
        <v/>
      </c>
      <c r="L676" s="18">
        <f>IF(AND(ISNUMBER(D676),ISNUMBER(H676)),D676-H676,NA())</f>
        <v/>
      </c>
      <c r="M676" s="18">
        <f>IF(AND(ISNUMBER(E676),ISNUMBER(K676)),E676-K676,NA())</f>
        <v/>
      </c>
      <c r="N676" s="18">
        <f>IF(NOT(ISNUMBER($A676)),NA(),IF(COUNT(OFFSET(G676,1,0,Settings!$B$12,1))&lt;Settings!$B$12,NA(),STDEV(OFFSET(G676,1,0,Settings!$B$12,1))*SQRT(Settings!$B$13)))</f>
        <v/>
      </c>
      <c r="O676" s="18">
        <f>IF(AND(ISNUMBER(E676),ISNUMBER(N676)),E676-N676,NA())</f>
        <v/>
      </c>
      <c r="P676" s="17">
        <f>IF(NOT(ISNUMBER($A676)),NA(),IF(OR($A676&lt;MIN(KW_TP!$A$2:$A$2501),$A676&gt;MAX(KW_TP!$A$2:$A$2501)),NA(),INDEX(KW_TP!$C$2:$C$2501,MATCH($A676,KW_TP!$A$2:$A$2501,1))))</f>
        <v/>
      </c>
    </row>
    <row r="677">
      <c r="A677" s="15">
        <f>IF(ISNUMBER(BBG_Data!A677),BBG_Data!A677,"")</f>
        <v/>
      </c>
      <c r="B677" s="16">
        <f>IF(AND(ISNUMBER($A677),ISNUMBER(BBG_Data!B677)),BBG_Data!B677,NA())</f>
        <v/>
      </c>
      <c r="C677" s="16">
        <f>IF(AND(ISNUMBER($A677),ISNUMBER(BBG_Data!C677)),BBG_Data!C677,NA())</f>
        <v/>
      </c>
      <c r="D677" s="17">
        <f>IF(AND(ISNUMBER($A677),ISNUMBER(BBG_Data!D677)),BBG_Data!D677,NA())</f>
        <v/>
      </c>
      <c r="E677" s="17">
        <f>IF(AND(ISNUMBER($A677),ISNUMBER(BBG_Data!E677)),BBG_Data!E677,NA())</f>
        <v/>
      </c>
      <c r="F677" s="18">
        <f>IF(AND(ISNUMBER(B677),ISNUMBER(B676)),(B677-B676)*100,"")</f>
        <v/>
      </c>
      <c r="G677" s="18">
        <f>IF(AND(ISNUMBER(C677),ISNUMBER(C676)),(C677-C676)*100,"")</f>
        <v/>
      </c>
      <c r="H677" s="18">
        <f>IF(OR(NOT(ISNUMBER($A677)),ROW()-2&lt;Settings!$B$11),NA(),IF(COUNT(OFFSET(F677,1-Settings!$B$11,0,Settings!$B$11,1))&lt;Settings!$B$11,NA(),STDEV(OFFSET(F677,1-Settings!$B$11,0,Settings!$B$11,1))*SQRT(Settings!$B$13)))</f>
        <v/>
      </c>
      <c r="I677" s="18">
        <f>IF(OR(NOT(ISNUMBER($A677)),ROW()-2&lt;Settings!$B$12),NA(),IF(COUNT(OFFSET(F677,1-Settings!$B$12,0,Settings!$B$12,1))&lt;Settings!$B$12,NA(),STDEV(OFFSET(F677,1-Settings!$B$12,0,Settings!$B$12,1))*SQRT(Settings!$B$13)))</f>
        <v/>
      </c>
      <c r="J677" s="18">
        <f>IF(OR(NOT(ISNUMBER($A677)),ROW()-2&lt;Settings!$B$11),NA(),IF(COUNT(OFFSET(G677,1-Settings!$B$11,0,Settings!$B$11,1))&lt;Settings!$B$11,NA(),STDEV(OFFSET(G677,1-Settings!$B$11,0,Settings!$B$11,1))*SQRT(Settings!$B$13)))</f>
        <v/>
      </c>
      <c r="K677" s="18">
        <f>IF(OR(NOT(ISNUMBER($A677)),ROW()-2&lt;Settings!$B$12),NA(),IF(COUNT(OFFSET(G677,1-Settings!$B$12,0,Settings!$B$12,1))&lt;Settings!$B$12,NA(),STDEV(OFFSET(G677,1-Settings!$B$12,0,Settings!$B$12,1))*SQRT(Settings!$B$13)))</f>
        <v/>
      </c>
      <c r="L677" s="18">
        <f>IF(AND(ISNUMBER(D677),ISNUMBER(H677)),D677-H677,NA())</f>
        <v/>
      </c>
      <c r="M677" s="18">
        <f>IF(AND(ISNUMBER(E677),ISNUMBER(K677)),E677-K677,NA())</f>
        <v/>
      </c>
      <c r="N677" s="18">
        <f>IF(NOT(ISNUMBER($A677)),NA(),IF(COUNT(OFFSET(G677,1,0,Settings!$B$12,1))&lt;Settings!$B$12,NA(),STDEV(OFFSET(G677,1,0,Settings!$B$12,1))*SQRT(Settings!$B$13)))</f>
        <v/>
      </c>
      <c r="O677" s="18">
        <f>IF(AND(ISNUMBER(E677),ISNUMBER(N677)),E677-N677,NA())</f>
        <v/>
      </c>
      <c r="P677" s="17">
        <f>IF(NOT(ISNUMBER($A677)),NA(),IF(OR($A677&lt;MIN(KW_TP!$A$2:$A$2501),$A677&gt;MAX(KW_TP!$A$2:$A$2501)),NA(),INDEX(KW_TP!$C$2:$C$2501,MATCH($A677,KW_TP!$A$2:$A$2501,1))))</f>
        <v/>
      </c>
    </row>
    <row r="678">
      <c r="A678" s="15">
        <f>IF(ISNUMBER(BBG_Data!A678),BBG_Data!A678,"")</f>
        <v/>
      </c>
      <c r="B678" s="16">
        <f>IF(AND(ISNUMBER($A678),ISNUMBER(BBG_Data!B678)),BBG_Data!B678,NA())</f>
        <v/>
      </c>
      <c r="C678" s="16">
        <f>IF(AND(ISNUMBER($A678),ISNUMBER(BBG_Data!C678)),BBG_Data!C678,NA())</f>
        <v/>
      </c>
      <c r="D678" s="17">
        <f>IF(AND(ISNUMBER($A678),ISNUMBER(BBG_Data!D678)),BBG_Data!D678,NA())</f>
        <v/>
      </c>
      <c r="E678" s="17">
        <f>IF(AND(ISNUMBER($A678),ISNUMBER(BBG_Data!E678)),BBG_Data!E678,NA())</f>
        <v/>
      </c>
      <c r="F678" s="18">
        <f>IF(AND(ISNUMBER(B678),ISNUMBER(B677)),(B678-B677)*100,"")</f>
        <v/>
      </c>
      <c r="G678" s="18">
        <f>IF(AND(ISNUMBER(C678),ISNUMBER(C677)),(C678-C677)*100,"")</f>
        <v/>
      </c>
      <c r="H678" s="18">
        <f>IF(OR(NOT(ISNUMBER($A678)),ROW()-2&lt;Settings!$B$11),NA(),IF(COUNT(OFFSET(F678,1-Settings!$B$11,0,Settings!$B$11,1))&lt;Settings!$B$11,NA(),STDEV(OFFSET(F678,1-Settings!$B$11,0,Settings!$B$11,1))*SQRT(Settings!$B$13)))</f>
        <v/>
      </c>
      <c r="I678" s="18">
        <f>IF(OR(NOT(ISNUMBER($A678)),ROW()-2&lt;Settings!$B$12),NA(),IF(COUNT(OFFSET(F678,1-Settings!$B$12,0,Settings!$B$12,1))&lt;Settings!$B$12,NA(),STDEV(OFFSET(F678,1-Settings!$B$12,0,Settings!$B$12,1))*SQRT(Settings!$B$13)))</f>
        <v/>
      </c>
      <c r="J678" s="18">
        <f>IF(OR(NOT(ISNUMBER($A678)),ROW()-2&lt;Settings!$B$11),NA(),IF(COUNT(OFFSET(G678,1-Settings!$B$11,0,Settings!$B$11,1))&lt;Settings!$B$11,NA(),STDEV(OFFSET(G678,1-Settings!$B$11,0,Settings!$B$11,1))*SQRT(Settings!$B$13)))</f>
        <v/>
      </c>
      <c r="K678" s="18">
        <f>IF(OR(NOT(ISNUMBER($A678)),ROW()-2&lt;Settings!$B$12),NA(),IF(COUNT(OFFSET(G678,1-Settings!$B$12,0,Settings!$B$12,1))&lt;Settings!$B$12,NA(),STDEV(OFFSET(G678,1-Settings!$B$12,0,Settings!$B$12,1))*SQRT(Settings!$B$13)))</f>
        <v/>
      </c>
      <c r="L678" s="18">
        <f>IF(AND(ISNUMBER(D678),ISNUMBER(H678)),D678-H678,NA())</f>
        <v/>
      </c>
      <c r="M678" s="18">
        <f>IF(AND(ISNUMBER(E678),ISNUMBER(K678)),E678-K678,NA())</f>
        <v/>
      </c>
      <c r="N678" s="18">
        <f>IF(NOT(ISNUMBER($A678)),NA(),IF(COUNT(OFFSET(G678,1,0,Settings!$B$12,1))&lt;Settings!$B$12,NA(),STDEV(OFFSET(G678,1,0,Settings!$B$12,1))*SQRT(Settings!$B$13)))</f>
        <v/>
      </c>
      <c r="O678" s="18">
        <f>IF(AND(ISNUMBER(E678),ISNUMBER(N678)),E678-N678,NA())</f>
        <v/>
      </c>
      <c r="P678" s="17">
        <f>IF(NOT(ISNUMBER($A678)),NA(),IF(OR($A678&lt;MIN(KW_TP!$A$2:$A$2501),$A678&gt;MAX(KW_TP!$A$2:$A$2501)),NA(),INDEX(KW_TP!$C$2:$C$2501,MATCH($A678,KW_TP!$A$2:$A$2501,1))))</f>
        <v/>
      </c>
    </row>
    <row r="679">
      <c r="A679" s="15">
        <f>IF(ISNUMBER(BBG_Data!A679),BBG_Data!A679,"")</f>
        <v/>
      </c>
      <c r="B679" s="16">
        <f>IF(AND(ISNUMBER($A679),ISNUMBER(BBG_Data!B679)),BBG_Data!B679,NA())</f>
        <v/>
      </c>
      <c r="C679" s="16">
        <f>IF(AND(ISNUMBER($A679),ISNUMBER(BBG_Data!C679)),BBG_Data!C679,NA())</f>
        <v/>
      </c>
      <c r="D679" s="17">
        <f>IF(AND(ISNUMBER($A679),ISNUMBER(BBG_Data!D679)),BBG_Data!D679,NA())</f>
        <v/>
      </c>
      <c r="E679" s="17">
        <f>IF(AND(ISNUMBER($A679),ISNUMBER(BBG_Data!E679)),BBG_Data!E679,NA())</f>
        <v/>
      </c>
      <c r="F679" s="18">
        <f>IF(AND(ISNUMBER(B679),ISNUMBER(B678)),(B679-B678)*100,"")</f>
        <v/>
      </c>
      <c r="G679" s="18">
        <f>IF(AND(ISNUMBER(C679),ISNUMBER(C678)),(C679-C678)*100,"")</f>
        <v/>
      </c>
      <c r="H679" s="18">
        <f>IF(OR(NOT(ISNUMBER($A679)),ROW()-2&lt;Settings!$B$11),NA(),IF(COUNT(OFFSET(F679,1-Settings!$B$11,0,Settings!$B$11,1))&lt;Settings!$B$11,NA(),STDEV(OFFSET(F679,1-Settings!$B$11,0,Settings!$B$11,1))*SQRT(Settings!$B$13)))</f>
        <v/>
      </c>
      <c r="I679" s="18">
        <f>IF(OR(NOT(ISNUMBER($A679)),ROW()-2&lt;Settings!$B$12),NA(),IF(COUNT(OFFSET(F679,1-Settings!$B$12,0,Settings!$B$12,1))&lt;Settings!$B$12,NA(),STDEV(OFFSET(F679,1-Settings!$B$12,0,Settings!$B$12,1))*SQRT(Settings!$B$13)))</f>
        <v/>
      </c>
      <c r="J679" s="18">
        <f>IF(OR(NOT(ISNUMBER($A679)),ROW()-2&lt;Settings!$B$11),NA(),IF(COUNT(OFFSET(G679,1-Settings!$B$11,0,Settings!$B$11,1))&lt;Settings!$B$11,NA(),STDEV(OFFSET(G679,1-Settings!$B$11,0,Settings!$B$11,1))*SQRT(Settings!$B$13)))</f>
        <v/>
      </c>
      <c r="K679" s="18">
        <f>IF(OR(NOT(ISNUMBER($A679)),ROW()-2&lt;Settings!$B$12),NA(),IF(COUNT(OFFSET(G679,1-Settings!$B$12,0,Settings!$B$12,1))&lt;Settings!$B$12,NA(),STDEV(OFFSET(G679,1-Settings!$B$12,0,Settings!$B$12,1))*SQRT(Settings!$B$13)))</f>
        <v/>
      </c>
      <c r="L679" s="18">
        <f>IF(AND(ISNUMBER(D679),ISNUMBER(H679)),D679-H679,NA())</f>
        <v/>
      </c>
      <c r="M679" s="18">
        <f>IF(AND(ISNUMBER(E679),ISNUMBER(K679)),E679-K679,NA())</f>
        <v/>
      </c>
      <c r="N679" s="18">
        <f>IF(NOT(ISNUMBER($A679)),NA(),IF(COUNT(OFFSET(G679,1,0,Settings!$B$12,1))&lt;Settings!$B$12,NA(),STDEV(OFFSET(G679,1,0,Settings!$B$12,1))*SQRT(Settings!$B$13)))</f>
        <v/>
      </c>
      <c r="O679" s="18">
        <f>IF(AND(ISNUMBER(E679),ISNUMBER(N679)),E679-N679,NA())</f>
        <v/>
      </c>
      <c r="P679" s="17">
        <f>IF(NOT(ISNUMBER($A679)),NA(),IF(OR($A679&lt;MIN(KW_TP!$A$2:$A$2501),$A679&gt;MAX(KW_TP!$A$2:$A$2501)),NA(),INDEX(KW_TP!$C$2:$C$2501,MATCH($A679,KW_TP!$A$2:$A$2501,1))))</f>
        <v/>
      </c>
    </row>
    <row r="680">
      <c r="A680" s="15">
        <f>IF(ISNUMBER(BBG_Data!A680),BBG_Data!A680,"")</f>
        <v/>
      </c>
      <c r="B680" s="16">
        <f>IF(AND(ISNUMBER($A680),ISNUMBER(BBG_Data!B680)),BBG_Data!B680,NA())</f>
        <v/>
      </c>
      <c r="C680" s="16">
        <f>IF(AND(ISNUMBER($A680),ISNUMBER(BBG_Data!C680)),BBG_Data!C680,NA())</f>
        <v/>
      </c>
      <c r="D680" s="17">
        <f>IF(AND(ISNUMBER($A680),ISNUMBER(BBG_Data!D680)),BBG_Data!D680,NA())</f>
        <v/>
      </c>
      <c r="E680" s="17">
        <f>IF(AND(ISNUMBER($A680),ISNUMBER(BBG_Data!E680)),BBG_Data!E680,NA())</f>
        <v/>
      </c>
      <c r="F680" s="18">
        <f>IF(AND(ISNUMBER(B680),ISNUMBER(B679)),(B680-B679)*100,"")</f>
        <v/>
      </c>
      <c r="G680" s="18">
        <f>IF(AND(ISNUMBER(C680),ISNUMBER(C679)),(C680-C679)*100,"")</f>
        <v/>
      </c>
      <c r="H680" s="18">
        <f>IF(OR(NOT(ISNUMBER($A680)),ROW()-2&lt;Settings!$B$11),NA(),IF(COUNT(OFFSET(F680,1-Settings!$B$11,0,Settings!$B$11,1))&lt;Settings!$B$11,NA(),STDEV(OFFSET(F680,1-Settings!$B$11,0,Settings!$B$11,1))*SQRT(Settings!$B$13)))</f>
        <v/>
      </c>
      <c r="I680" s="18">
        <f>IF(OR(NOT(ISNUMBER($A680)),ROW()-2&lt;Settings!$B$12),NA(),IF(COUNT(OFFSET(F680,1-Settings!$B$12,0,Settings!$B$12,1))&lt;Settings!$B$12,NA(),STDEV(OFFSET(F680,1-Settings!$B$12,0,Settings!$B$12,1))*SQRT(Settings!$B$13)))</f>
        <v/>
      </c>
      <c r="J680" s="18">
        <f>IF(OR(NOT(ISNUMBER($A680)),ROW()-2&lt;Settings!$B$11),NA(),IF(COUNT(OFFSET(G680,1-Settings!$B$11,0,Settings!$B$11,1))&lt;Settings!$B$11,NA(),STDEV(OFFSET(G680,1-Settings!$B$11,0,Settings!$B$11,1))*SQRT(Settings!$B$13)))</f>
        <v/>
      </c>
      <c r="K680" s="18">
        <f>IF(OR(NOT(ISNUMBER($A680)),ROW()-2&lt;Settings!$B$12),NA(),IF(COUNT(OFFSET(G680,1-Settings!$B$12,0,Settings!$B$12,1))&lt;Settings!$B$12,NA(),STDEV(OFFSET(G680,1-Settings!$B$12,0,Settings!$B$12,1))*SQRT(Settings!$B$13)))</f>
        <v/>
      </c>
      <c r="L680" s="18">
        <f>IF(AND(ISNUMBER(D680),ISNUMBER(H680)),D680-H680,NA())</f>
        <v/>
      </c>
      <c r="M680" s="18">
        <f>IF(AND(ISNUMBER(E680),ISNUMBER(K680)),E680-K680,NA())</f>
        <v/>
      </c>
      <c r="N680" s="18">
        <f>IF(NOT(ISNUMBER($A680)),NA(),IF(COUNT(OFFSET(G680,1,0,Settings!$B$12,1))&lt;Settings!$B$12,NA(),STDEV(OFFSET(G680,1,0,Settings!$B$12,1))*SQRT(Settings!$B$13)))</f>
        <v/>
      </c>
      <c r="O680" s="18">
        <f>IF(AND(ISNUMBER(E680),ISNUMBER(N680)),E680-N680,NA())</f>
        <v/>
      </c>
      <c r="P680" s="17">
        <f>IF(NOT(ISNUMBER($A680)),NA(),IF(OR($A680&lt;MIN(KW_TP!$A$2:$A$2501),$A680&gt;MAX(KW_TP!$A$2:$A$2501)),NA(),INDEX(KW_TP!$C$2:$C$2501,MATCH($A680,KW_TP!$A$2:$A$2501,1))))</f>
        <v/>
      </c>
    </row>
    <row r="681">
      <c r="A681" s="15">
        <f>IF(ISNUMBER(BBG_Data!A681),BBG_Data!A681,"")</f>
        <v/>
      </c>
      <c r="B681" s="16">
        <f>IF(AND(ISNUMBER($A681),ISNUMBER(BBG_Data!B681)),BBG_Data!B681,NA())</f>
        <v/>
      </c>
      <c r="C681" s="16">
        <f>IF(AND(ISNUMBER($A681),ISNUMBER(BBG_Data!C681)),BBG_Data!C681,NA())</f>
        <v/>
      </c>
      <c r="D681" s="17">
        <f>IF(AND(ISNUMBER($A681),ISNUMBER(BBG_Data!D681)),BBG_Data!D681,NA())</f>
        <v/>
      </c>
      <c r="E681" s="17">
        <f>IF(AND(ISNUMBER($A681),ISNUMBER(BBG_Data!E681)),BBG_Data!E681,NA())</f>
        <v/>
      </c>
      <c r="F681" s="18">
        <f>IF(AND(ISNUMBER(B681),ISNUMBER(B680)),(B681-B680)*100,"")</f>
        <v/>
      </c>
      <c r="G681" s="18">
        <f>IF(AND(ISNUMBER(C681),ISNUMBER(C680)),(C681-C680)*100,"")</f>
        <v/>
      </c>
      <c r="H681" s="18">
        <f>IF(OR(NOT(ISNUMBER($A681)),ROW()-2&lt;Settings!$B$11),NA(),IF(COUNT(OFFSET(F681,1-Settings!$B$11,0,Settings!$B$11,1))&lt;Settings!$B$11,NA(),STDEV(OFFSET(F681,1-Settings!$B$11,0,Settings!$B$11,1))*SQRT(Settings!$B$13)))</f>
        <v/>
      </c>
      <c r="I681" s="18">
        <f>IF(OR(NOT(ISNUMBER($A681)),ROW()-2&lt;Settings!$B$12),NA(),IF(COUNT(OFFSET(F681,1-Settings!$B$12,0,Settings!$B$12,1))&lt;Settings!$B$12,NA(),STDEV(OFFSET(F681,1-Settings!$B$12,0,Settings!$B$12,1))*SQRT(Settings!$B$13)))</f>
        <v/>
      </c>
      <c r="J681" s="18">
        <f>IF(OR(NOT(ISNUMBER($A681)),ROW()-2&lt;Settings!$B$11),NA(),IF(COUNT(OFFSET(G681,1-Settings!$B$11,0,Settings!$B$11,1))&lt;Settings!$B$11,NA(),STDEV(OFFSET(G681,1-Settings!$B$11,0,Settings!$B$11,1))*SQRT(Settings!$B$13)))</f>
        <v/>
      </c>
      <c r="K681" s="18">
        <f>IF(OR(NOT(ISNUMBER($A681)),ROW()-2&lt;Settings!$B$12),NA(),IF(COUNT(OFFSET(G681,1-Settings!$B$12,0,Settings!$B$12,1))&lt;Settings!$B$12,NA(),STDEV(OFFSET(G681,1-Settings!$B$12,0,Settings!$B$12,1))*SQRT(Settings!$B$13)))</f>
        <v/>
      </c>
      <c r="L681" s="18">
        <f>IF(AND(ISNUMBER(D681),ISNUMBER(H681)),D681-H681,NA())</f>
        <v/>
      </c>
      <c r="M681" s="18">
        <f>IF(AND(ISNUMBER(E681),ISNUMBER(K681)),E681-K681,NA())</f>
        <v/>
      </c>
      <c r="N681" s="18">
        <f>IF(NOT(ISNUMBER($A681)),NA(),IF(COUNT(OFFSET(G681,1,0,Settings!$B$12,1))&lt;Settings!$B$12,NA(),STDEV(OFFSET(G681,1,0,Settings!$B$12,1))*SQRT(Settings!$B$13)))</f>
        <v/>
      </c>
      <c r="O681" s="18">
        <f>IF(AND(ISNUMBER(E681),ISNUMBER(N681)),E681-N681,NA())</f>
        <v/>
      </c>
      <c r="P681" s="17">
        <f>IF(NOT(ISNUMBER($A681)),NA(),IF(OR($A681&lt;MIN(KW_TP!$A$2:$A$2501),$A681&gt;MAX(KW_TP!$A$2:$A$2501)),NA(),INDEX(KW_TP!$C$2:$C$2501,MATCH($A681,KW_TP!$A$2:$A$2501,1))))</f>
        <v/>
      </c>
    </row>
    <row r="682">
      <c r="A682" s="15">
        <f>IF(ISNUMBER(BBG_Data!A682),BBG_Data!A682,"")</f>
        <v/>
      </c>
      <c r="B682" s="16">
        <f>IF(AND(ISNUMBER($A682),ISNUMBER(BBG_Data!B682)),BBG_Data!B682,NA())</f>
        <v/>
      </c>
      <c r="C682" s="16">
        <f>IF(AND(ISNUMBER($A682),ISNUMBER(BBG_Data!C682)),BBG_Data!C682,NA())</f>
        <v/>
      </c>
      <c r="D682" s="17">
        <f>IF(AND(ISNUMBER($A682),ISNUMBER(BBG_Data!D682)),BBG_Data!D682,NA())</f>
        <v/>
      </c>
      <c r="E682" s="17">
        <f>IF(AND(ISNUMBER($A682),ISNUMBER(BBG_Data!E682)),BBG_Data!E682,NA())</f>
        <v/>
      </c>
      <c r="F682" s="18">
        <f>IF(AND(ISNUMBER(B682),ISNUMBER(B681)),(B682-B681)*100,"")</f>
        <v/>
      </c>
      <c r="G682" s="18">
        <f>IF(AND(ISNUMBER(C682),ISNUMBER(C681)),(C682-C681)*100,"")</f>
        <v/>
      </c>
      <c r="H682" s="18">
        <f>IF(OR(NOT(ISNUMBER($A682)),ROW()-2&lt;Settings!$B$11),NA(),IF(COUNT(OFFSET(F682,1-Settings!$B$11,0,Settings!$B$11,1))&lt;Settings!$B$11,NA(),STDEV(OFFSET(F682,1-Settings!$B$11,0,Settings!$B$11,1))*SQRT(Settings!$B$13)))</f>
        <v/>
      </c>
      <c r="I682" s="18">
        <f>IF(OR(NOT(ISNUMBER($A682)),ROW()-2&lt;Settings!$B$12),NA(),IF(COUNT(OFFSET(F682,1-Settings!$B$12,0,Settings!$B$12,1))&lt;Settings!$B$12,NA(),STDEV(OFFSET(F682,1-Settings!$B$12,0,Settings!$B$12,1))*SQRT(Settings!$B$13)))</f>
        <v/>
      </c>
      <c r="J682" s="18">
        <f>IF(OR(NOT(ISNUMBER($A682)),ROW()-2&lt;Settings!$B$11),NA(),IF(COUNT(OFFSET(G682,1-Settings!$B$11,0,Settings!$B$11,1))&lt;Settings!$B$11,NA(),STDEV(OFFSET(G682,1-Settings!$B$11,0,Settings!$B$11,1))*SQRT(Settings!$B$13)))</f>
        <v/>
      </c>
      <c r="K682" s="18">
        <f>IF(OR(NOT(ISNUMBER($A682)),ROW()-2&lt;Settings!$B$12),NA(),IF(COUNT(OFFSET(G682,1-Settings!$B$12,0,Settings!$B$12,1))&lt;Settings!$B$12,NA(),STDEV(OFFSET(G682,1-Settings!$B$12,0,Settings!$B$12,1))*SQRT(Settings!$B$13)))</f>
        <v/>
      </c>
      <c r="L682" s="18">
        <f>IF(AND(ISNUMBER(D682),ISNUMBER(H682)),D682-H682,NA())</f>
        <v/>
      </c>
      <c r="M682" s="18">
        <f>IF(AND(ISNUMBER(E682),ISNUMBER(K682)),E682-K682,NA())</f>
        <v/>
      </c>
      <c r="N682" s="18">
        <f>IF(NOT(ISNUMBER($A682)),NA(),IF(COUNT(OFFSET(G682,1,0,Settings!$B$12,1))&lt;Settings!$B$12,NA(),STDEV(OFFSET(G682,1,0,Settings!$B$12,1))*SQRT(Settings!$B$13)))</f>
        <v/>
      </c>
      <c r="O682" s="18">
        <f>IF(AND(ISNUMBER(E682),ISNUMBER(N682)),E682-N682,NA())</f>
        <v/>
      </c>
      <c r="P682" s="17">
        <f>IF(NOT(ISNUMBER($A682)),NA(),IF(OR($A682&lt;MIN(KW_TP!$A$2:$A$2501),$A682&gt;MAX(KW_TP!$A$2:$A$2501)),NA(),INDEX(KW_TP!$C$2:$C$2501,MATCH($A682,KW_TP!$A$2:$A$2501,1))))</f>
        <v/>
      </c>
    </row>
    <row r="683">
      <c r="A683" s="15">
        <f>IF(ISNUMBER(BBG_Data!A683),BBG_Data!A683,"")</f>
        <v/>
      </c>
      <c r="B683" s="16">
        <f>IF(AND(ISNUMBER($A683),ISNUMBER(BBG_Data!B683)),BBG_Data!B683,NA())</f>
        <v/>
      </c>
      <c r="C683" s="16">
        <f>IF(AND(ISNUMBER($A683),ISNUMBER(BBG_Data!C683)),BBG_Data!C683,NA())</f>
        <v/>
      </c>
      <c r="D683" s="17">
        <f>IF(AND(ISNUMBER($A683),ISNUMBER(BBG_Data!D683)),BBG_Data!D683,NA())</f>
        <v/>
      </c>
      <c r="E683" s="17">
        <f>IF(AND(ISNUMBER($A683),ISNUMBER(BBG_Data!E683)),BBG_Data!E683,NA())</f>
        <v/>
      </c>
      <c r="F683" s="18">
        <f>IF(AND(ISNUMBER(B683),ISNUMBER(B682)),(B683-B682)*100,"")</f>
        <v/>
      </c>
      <c r="G683" s="18">
        <f>IF(AND(ISNUMBER(C683),ISNUMBER(C682)),(C683-C682)*100,"")</f>
        <v/>
      </c>
      <c r="H683" s="18">
        <f>IF(OR(NOT(ISNUMBER($A683)),ROW()-2&lt;Settings!$B$11),NA(),IF(COUNT(OFFSET(F683,1-Settings!$B$11,0,Settings!$B$11,1))&lt;Settings!$B$11,NA(),STDEV(OFFSET(F683,1-Settings!$B$11,0,Settings!$B$11,1))*SQRT(Settings!$B$13)))</f>
        <v/>
      </c>
      <c r="I683" s="18">
        <f>IF(OR(NOT(ISNUMBER($A683)),ROW()-2&lt;Settings!$B$12),NA(),IF(COUNT(OFFSET(F683,1-Settings!$B$12,0,Settings!$B$12,1))&lt;Settings!$B$12,NA(),STDEV(OFFSET(F683,1-Settings!$B$12,0,Settings!$B$12,1))*SQRT(Settings!$B$13)))</f>
        <v/>
      </c>
      <c r="J683" s="18">
        <f>IF(OR(NOT(ISNUMBER($A683)),ROW()-2&lt;Settings!$B$11),NA(),IF(COUNT(OFFSET(G683,1-Settings!$B$11,0,Settings!$B$11,1))&lt;Settings!$B$11,NA(),STDEV(OFFSET(G683,1-Settings!$B$11,0,Settings!$B$11,1))*SQRT(Settings!$B$13)))</f>
        <v/>
      </c>
      <c r="K683" s="18">
        <f>IF(OR(NOT(ISNUMBER($A683)),ROW()-2&lt;Settings!$B$12),NA(),IF(COUNT(OFFSET(G683,1-Settings!$B$12,0,Settings!$B$12,1))&lt;Settings!$B$12,NA(),STDEV(OFFSET(G683,1-Settings!$B$12,0,Settings!$B$12,1))*SQRT(Settings!$B$13)))</f>
        <v/>
      </c>
      <c r="L683" s="18">
        <f>IF(AND(ISNUMBER(D683),ISNUMBER(H683)),D683-H683,NA())</f>
        <v/>
      </c>
      <c r="M683" s="18">
        <f>IF(AND(ISNUMBER(E683),ISNUMBER(K683)),E683-K683,NA())</f>
        <v/>
      </c>
      <c r="N683" s="18">
        <f>IF(NOT(ISNUMBER($A683)),NA(),IF(COUNT(OFFSET(G683,1,0,Settings!$B$12,1))&lt;Settings!$B$12,NA(),STDEV(OFFSET(G683,1,0,Settings!$B$12,1))*SQRT(Settings!$B$13)))</f>
        <v/>
      </c>
      <c r="O683" s="18">
        <f>IF(AND(ISNUMBER(E683),ISNUMBER(N683)),E683-N683,NA())</f>
        <v/>
      </c>
      <c r="P683" s="17">
        <f>IF(NOT(ISNUMBER($A683)),NA(),IF(OR($A683&lt;MIN(KW_TP!$A$2:$A$2501),$A683&gt;MAX(KW_TP!$A$2:$A$2501)),NA(),INDEX(KW_TP!$C$2:$C$2501,MATCH($A683,KW_TP!$A$2:$A$2501,1))))</f>
        <v/>
      </c>
    </row>
    <row r="684">
      <c r="A684" s="15">
        <f>IF(ISNUMBER(BBG_Data!A684),BBG_Data!A684,"")</f>
        <v/>
      </c>
      <c r="B684" s="16">
        <f>IF(AND(ISNUMBER($A684),ISNUMBER(BBG_Data!B684)),BBG_Data!B684,NA())</f>
        <v/>
      </c>
      <c r="C684" s="16">
        <f>IF(AND(ISNUMBER($A684),ISNUMBER(BBG_Data!C684)),BBG_Data!C684,NA())</f>
        <v/>
      </c>
      <c r="D684" s="17">
        <f>IF(AND(ISNUMBER($A684),ISNUMBER(BBG_Data!D684)),BBG_Data!D684,NA())</f>
        <v/>
      </c>
      <c r="E684" s="17">
        <f>IF(AND(ISNUMBER($A684),ISNUMBER(BBG_Data!E684)),BBG_Data!E684,NA())</f>
        <v/>
      </c>
      <c r="F684" s="18">
        <f>IF(AND(ISNUMBER(B684),ISNUMBER(B683)),(B684-B683)*100,"")</f>
        <v/>
      </c>
      <c r="G684" s="18">
        <f>IF(AND(ISNUMBER(C684),ISNUMBER(C683)),(C684-C683)*100,"")</f>
        <v/>
      </c>
      <c r="H684" s="18">
        <f>IF(OR(NOT(ISNUMBER($A684)),ROW()-2&lt;Settings!$B$11),NA(),IF(COUNT(OFFSET(F684,1-Settings!$B$11,0,Settings!$B$11,1))&lt;Settings!$B$11,NA(),STDEV(OFFSET(F684,1-Settings!$B$11,0,Settings!$B$11,1))*SQRT(Settings!$B$13)))</f>
        <v/>
      </c>
      <c r="I684" s="18">
        <f>IF(OR(NOT(ISNUMBER($A684)),ROW()-2&lt;Settings!$B$12),NA(),IF(COUNT(OFFSET(F684,1-Settings!$B$12,0,Settings!$B$12,1))&lt;Settings!$B$12,NA(),STDEV(OFFSET(F684,1-Settings!$B$12,0,Settings!$B$12,1))*SQRT(Settings!$B$13)))</f>
        <v/>
      </c>
      <c r="J684" s="18">
        <f>IF(OR(NOT(ISNUMBER($A684)),ROW()-2&lt;Settings!$B$11),NA(),IF(COUNT(OFFSET(G684,1-Settings!$B$11,0,Settings!$B$11,1))&lt;Settings!$B$11,NA(),STDEV(OFFSET(G684,1-Settings!$B$11,0,Settings!$B$11,1))*SQRT(Settings!$B$13)))</f>
        <v/>
      </c>
      <c r="K684" s="18">
        <f>IF(OR(NOT(ISNUMBER($A684)),ROW()-2&lt;Settings!$B$12),NA(),IF(COUNT(OFFSET(G684,1-Settings!$B$12,0,Settings!$B$12,1))&lt;Settings!$B$12,NA(),STDEV(OFFSET(G684,1-Settings!$B$12,0,Settings!$B$12,1))*SQRT(Settings!$B$13)))</f>
        <v/>
      </c>
      <c r="L684" s="18">
        <f>IF(AND(ISNUMBER(D684),ISNUMBER(H684)),D684-H684,NA())</f>
        <v/>
      </c>
      <c r="M684" s="18">
        <f>IF(AND(ISNUMBER(E684),ISNUMBER(K684)),E684-K684,NA())</f>
        <v/>
      </c>
      <c r="N684" s="18">
        <f>IF(NOT(ISNUMBER($A684)),NA(),IF(COUNT(OFFSET(G684,1,0,Settings!$B$12,1))&lt;Settings!$B$12,NA(),STDEV(OFFSET(G684,1,0,Settings!$B$12,1))*SQRT(Settings!$B$13)))</f>
        <v/>
      </c>
      <c r="O684" s="18">
        <f>IF(AND(ISNUMBER(E684),ISNUMBER(N684)),E684-N684,NA())</f>
        <v/>
      </c>
      <c r="P684" s="17">
        <f>IF(NOT(ISNUMBER($A684)),NA(),IF(OR($A684&lt;MIN(KW_TP!$A$2:$A$2501),$A684&gt;MAX(KW_TP!$A$2:$A$2501)),NA(),INDEX(KW_TP!$C$2:$C$2501,MATCH($A684,KW_TP!$A$2:$A$2501,1))))</f>
        <v/>
      </c>
    </row>
    <row r="685">
      <c r="A685" s="15">
        <f>IF(ISNUMBER(BBG_Data!A685),BBG_Data!A685,"")</f>
        <v/>
      </c>
      <c r="B685" s="16">
        <f>IF(AND(ISNUMBER($A685),ISNUMBER(BBG_Data!B685)),BBG_Data!B685,NA())</f>
        <v/>
      </c>
      <c r="C685" s="16">
        <f>IF(AND(ISNUMBER($A685),ISNUMBER(BBG_Data!C685)),BBG_Data!C685,NA())</f>
        <v/>
      </c>
      <c r="D685" s="17">
        <f>IF(AND(ISNUMBER($A685),ISNUMBER(BBG_Data!D685)),BBG_Data!D685,NA())</f>
        <v/>
      </c>
      <c r="E685" s="17">
        <f>IF(AND(ISNUMBER($A685),ISNUMBER(BBG_Data!E685)),BBG_Data!E685,NA())</f>
        <v/>
      </c>
      <c r="F685" s="18">
        <f>IF(AND(ISNUMBER(B685),ISNUMBER(B684)),(B685-B684)*100,"")</f>
        <v/>
      </c>
      <c r="G685" s="18">
        <f>IF(AND(ISNUMBER(C685),ISNUMBER(C684)),(C685-C684)*100,"")</f>
        <v/>
      </c>
      <c r="H685" s="18">
        <f>IF(OR(NOT(ISNUMBER($A685)),ROW()-2&lt;Settings!$B$11),NA(),IF(COUNT(OFFSET(F685,1-Settings!$B$11,0,Settings!$B$11,1))&lt;Settings!$B$11,NA(),STDEV(OFFSET(F685,1-Settings!$B$11,0,Settings!$B$11,1))*SQRT(Settings!$B$13)))</f>
        <v/>
      </c>
      <c r="I685" s="18">
        <f>IF(OR(NOT(ISNUMBER($A685)),ROW()-2&lt;Settings!$B$12),NA(),IF(COUNT(OFFSET(F685,1-Settings!$B$12,0,Settings!$B$12,1))&lt;Settings!$B$12,NA(),STDEV(OFFSET(F685,1-Settings!$B$12,0,Settings!$B$12,1))*SQRT(Settings!$B$13)))</f>
        <v/>
      </c>
      <c r="J685" s="18">
        <f>IF(OR(NOT(ISNUMBER($A685)),ROW()-2&lt;Settings!$B$11),NA(),IF(COUNT(OFFSET(G685,1-Settings!$B$11,0,Settings!$B$11,1))&lt;Settings!$B$11,NA(),STDEV(OFFSET(G685,1-Settings!$B$11,0,Settings!$B$11,1))*SQRT(Settings!$B$13)))</f>
        <v/>
      </c>
      <c r="K685" s="18">
        <f>IF(OR(NOT(ISNUMBER($A685)),ROW()-2&lt;Settings!$B$12),NA(),IF(COUNT(OFFSET(G685,1-Settings!$B$12,0,Settings!$B$12,1))&lt;Settings!$B$12,NA(),STDEV(OFFSET(G685,1-Settings!$B$12,0,Settings!$B$12,1))*SQRT(Settings!$B$13)))</f>
        <v/>
      </c>
      <c r="L685" s="18">
        <f>IF(AND(ISNUMBER(D685),ISNUMBER(H685)),D685-H685,NA())</f>
        <v/>
      </c>
      <c r="M685" s="18">
        <f>IF(AND(ISNUMBER(E685),ISNUMBER(K685)),E685-K685,NA())</f>
        <v/>
      </c>
      <c r="N685" s="18">
        <f>IF(NOT(ISNUMBER($A685)),NA(),IF(COUNT(OFFSET(G685,1,0,Settings!$B$12,1))&lt;Settings!$B$12,NA(),STDEV(OFFSET(G685,1,0,Settings!$B$12,1))*SQRT(Settings!$B$13)))</f>
        <v/>
      </c>
      <c r="O685" s="18">
        <f>IF(AND(ISNUMBER(E685),ISNUMBER(N685)),E685-N685,NA())</f>
        <v/>
      </c>
      <c r="P685" s="17">
        <f>IF(NOT(ISNUMBER($A685)),NA(),IF(OR($A685&lt;MIN(KW_TP!$A$2:$A$2501),$A685&gt;MAX(KW_TP!$A$2:$A$2501)),NA(),INDEX(KW_TP!$C$2:$C$2501,MATCH($A685,KW_TP!$A$2:$A$2501,1))))</f>
        <v/>
      </c>
    </row>
    <row r="686">
      <c r="A686" s="15">
        <f>IF(ISNUMBER(BBG_Data!A686),BBG_Data!A686,"")</f>
        <v/>
      </c>
      <c r="B686" s="16">
        <f>IF(AND(ISNUMBER($A686),ISNUMBER(BBG_Data!B686)),BBG_Data!B686,NA())</f>
        <v/>
      </c>
      <c r="C686" s="16">
        <f>IF(AND(ISNUMBER($A686),ISNUMBER(BBG_Data!C686)),BBG_Data!C686,NA())</f>
        <v/>
      </c>
      <c r="D686" s="17">
        <f>IF(AND(ISNUMBER($A686),ISNUMBER(BBG_Data!D686)),BBG_Data!D686,NA())</f>
        <v/>
      </c>
      <c r="E686" s="17">
        <f>IF(AND(ISNUMBER($A686),ISNUMBER(BBG_Data!E686)),BBG_Data!E686,NA())</f>
        <v/>
      </c>
      <c r="F686" s="18">
        <f>IF(AND(ISNUMBER(B686),ISNUMBER(B685)),(B686-B685)*100,"")</f>
        <v/>
      </c>
      <c r="G686" s="18">
        <f>IF(AND(ISNUMBER(C686),ISNUMBER(C685)),(C686-C685)*100,"")</f>
        <v/>
      </c>
      <c r="H686" s="18">
        <f>IF(OR(NOT(ISNUMBER($A686)),ROW()-2&lt;Settings!$B$11),NA(),IF(COUNT(OFFSET(F686,1-Settings!$B$11,0,Settings!$B$11,1))&lt;Settings!$B$11,NA(),STDEV(OFFSET(F686,1-Settings!$B$11,0,Settings!$B$11,1))*SQRT(Settings!$B$13)))</f>
        <v/>
      </c>
      <c r="I686" s="18">
        <f>IF(OR(NOT(ISNUMBER($A686)),ROW()-2&lt;Settings!$B$12),NA(),IF(COUNT(OFFSET(F686,1-Settings!$B$12,0,Settings!$B$12,1))&lt;Settings!$B$12,NA(),STDEV(OFFSET(F686,1-Settings!$B$12,0,Settings!$B$12,1))*SQRT(Settings!$B$13)))</f>
        <v/>
      </c>
      <c r="J686" s="18">
        <f>IF(OR(NOT(ISNUMBER($A686)),ROW()-2&lt;Settings!$B$11),NA(),IF(COUNT(OFFSET(G686,1-Settings!$B$11,0,Settings!$B$11,1))&lt;Settings!$B$11,NA(),STDEV(OFFSET(G686,1-Settings!$B$11,0,Settings!$B$11,1))*SQRT(Settings!$B$13)))</f>
        <v/>
      </c>
      <c r="K686" s="18">
        <f>IF(OR(NOT(ISNUMBER($A686)),ROW()-2&lt;Settings!$B$12),NA(),IF(COUNT(OFFSET(G686,1-Settings!$B$12,0,Settings!$B$12,1))&lt;Settings!$B$12,NA(),STDEV(OFFSET(G686,1-Settings!$B$12,0,Settings!$B$12,1))*SQRT(Settings!$B$13)))</f>
        <v/>
      </c>
      <c r="L686" s="18">
        <f>IF(AND(ISNUMBER(D686),ISNUMBER(H686)),D686-H686,NA())</f>
        <v/>
      </c>
      <c r="M686" s="18">
        <f>IF(AND(ISNUMBER(E686),ISNUMBER(K686)),E686-K686,NA())</f>
        <v/>
      </c>
      <c r="N686" s="18">
        <f>IF(NOT(ISNUMBER($A686)),NA(),IF(COUNT(OFFSET(G686,1,0,Settings!$B$12,1))&lt;Settings!$B$12,NA(),STDEV(OFFSET(G686,1,0,Settings!$B$12,1))*SQRT(Settings!$B$13)))</f>
        <v/>
      </c>
      <c r="O686" s="18">
        <f>IF(AND(ISNUMBER(E686),ISNUMBER(N686)),E686-N686,NA())</f>
        <v/>
      </c>
      <c r="P686" s="17">
        <f>IF(NOT(ISNUMBER($A686)),NA(),IF(OR($A686&lt;MIN(KW_TP!$A$2:$A$2501),$A686&gt;MAX(KW_TP!$A$2:$A$2501)),NA(),INDEX(KW_TP!$C$2:$C$2501,MATCH($A686,KW_TP!$A$2:$A$2501,1))))</f>
        <v/>
      </c>
    </row>
    <row r="687">
      <c r="A687" s="15">
        <f>IF(ISNUMBER(BBG_Data!A687),BBG_Data!A687,"")</f>
        <v/>
      </c>
      <c r="B687" s="16">
        <f>IF(AND(ISNUMBER($A687),ISNUMBER(BBG_Data!B687)),BBG_Data!B687,NA())</f>
        <v/>
      </c>
      <c r="C687" s="16">
        <f>IF(AND(ISNUMBER($A687),ISNUMBER(BBG_Data!C687)),BBG_Data!C687,NA())</f>
        <v/>
      </c>
      <c r="D687" s="17">
        <f>IF(AND(ISNUMBER($A687),ISNUMBER(BBG_Data!D687)),BBG_Data!D687,NA())</f>
        <v/>
      </c>
      <c r="E687" s="17">
        <f>IF(AND(ISNUMBER($A687),ISNUMBER(BBG_Data!E687)),BBG_Data!E687,NA())</f>
        <v/>
      </c>
      <c r="F687" s="18">
        <f>IF(AND(ISNUMBER(B687),ISNUMBER(B686)),(B687-B686)*100,"")</f>
        <v/>
      </c>
      <c r="G687" s="18">
        <f>IF(AND(ISNUMBER(C687),ISNUMBER(C686)),(C687-C686)*100,"")</f>
        <v/>
      </c>
      <c r="H687" s="18">
        <f>IF(OR(NOT(ISNUMBER($A687)),ROW()-2&lt;Settings!$B$11),NA(),IF(COUNT(OFFSET(F687,1-Settings!$B$11,0,Settings!$B$11,1))&lt;Settings!$B$11,NA(),STDEV(OFFSET(F687,1-Settings!$B$11,0,Settings!$B$11,1))*SQRT(Settings!$B$13)))</f>
        <v/>
      </c>
      <c r="I687" s="18">
        <f>IF(OR(NOT(ISNUMBER($A687)),ROW()-2&lt;Settings!$B$12),NA(),IF(COUNT(OFFSET(F687,1-Settings!$B$12,0,Settings!$B$12,1))&lt;Settings!$B$12,NA(),STDEV(OFFSET(F687,1-Settings!$B$12,0,Settings!$B$12,1))*SQRT(Settings!$B$13)))</f>
        <v/>
      </c>
      <c r="J687" s="18">
        <f>IF(OR(NOT(ISNUMBER($A687)),ROW()-2&lt;Settings!$B$11),NA(),IF(COUNT(OFFSET(G687,1-Settings!$B$11,0,Settings!$B$11,1))&lt;Settings!$B$11,NA(),STDEV(OFFSET(G687,1-Settings!$B$11,0,Settings!$B$11,1))*SQRT(Settings!$B$13)))</f>
        <v/>
      </c>
      <c r="K687" s="18">
        <f>IF(OR(NOT(ISNUMBER($A687)),ROW()-2&lt;Settings!$B$12),NA(),IF(COUNT(OFFSET(G687,1-Settings!$B$12,0,Settings!$B$12,1))&lt;Settings!$B$12,NA(),STDEV(OFFSET(G687,1-Settings!$B$12,0,Settings!$B$12,1))*SQRT(Settings!$B$13)))</f>
        <v/>
      </c>
      <c r="L687" s="18">
        <f>IF(AND(ISNUMBER(D687),ISNUMBER(H687)),D687-H687,NA())</f>
        <v/>
      </c>
      <c r="M687" s="18">
        <f>IF(AND(ISNUMBER(E687),ISNUMBER(K687)),E687-K687,NA())</f>
        <v/>
      </c>
      <c r="N687" s="18">
        <f>IF(NOT(ISNUMBER($A687)),NA(),IF(COUNT(OFFSET(G687,1,0,Settings!$B$12,1))&lt;Settings!$B$12,NA(),STDEV(OFFSET(G687,1,0,Settings!$B$12,1))*SQRT(Settings!$B$13)))</f>
        <v/>
      </c>
      <c r="O687" s="18">
        <f>IF(AND(ISNUMBER(E687),ISNUMBER(N687)),E687-N687,NA())</f>
        <v/>
      </c>
      <c r="P687" s="17">
        <f>IF(NOT(ISNUMBER($A687)),NA(),IF(OR($A687&lt;MIN(KW_TP!$A$2:$A$2501),$A687&gt;MAX(KW_TP!$A$2:$A$2501)),NA(),INDEX(KW_TP!$C$2:$C$2501,MATCH($A687,KW_TP!$A$2:$A$2501,1))))</f>
        <v/>
      </c>
    </row>
    <row r="688">
      <c r="A688" s="15">
        <f>IF(ISNUMBER(BBG_Data!A688),BBG_Data!A688,"")</f>
        <v/>
      </c>
      <c r="B688" s="16">
        <f>IF(AND(ISNUMBER($A688),ISNUMBER(BBG_Data!B688)),BBG_Data!B688,NA())</f>
        <v/>
      </c>
      <c r="C688" s="16">
        <f>IF(AND(ISNUMBER($A688),ISNUMBER(BBG_Data!C688)),BBG_Data!C688,NA())</f>
        <v/>
      </c>
      <c r="D688" s="17">
        <f>IF(AND(ISNUMBER($A688),ISNUMBER(BBG_Data!D688)),BBG_Data!D688,NA())</f>
        <v/>
      </c>
      <c r="E688" s="17">
        <f>IF(AND(ISNUMBER($A688),ISNUMBER(BBG_Data!E688)),BBG_Data!E688,NA())</f>
        <v/>
      </c>
      <c r="F688" s="18">
        <f>IF(AND(ISNUMBER(B688),ISNUMBER(B687)),(B688-B687)*100,"")</f>
        <v/>
      </c>
      <c r="G688" s="18">
        <f>IF(AND(ISNUMBER(C688),ISNUMBER(C687)),(C688-C687)*100,"")</f>
        <v/>
      </c>
      <c r="H688" s="18">
        <f>IF(OR(NOT(ISNUMBER($A688)),ROW()-2&lt;Settings!$B$11),NA(),IF(COUNT(OFFSET(F688,1-Settings!$B$11,0,Settings!$B$11,1))&lt;Settings!$B$11,NA(),STDEV(OFFSET(F688,1-Settings!$B$11,0,Settings!$B$11,1))*SQRT(Settings!$B$13)))</f>
        <v/>
      </c>
      <c r="I688" s="18">
        <f>IF(OR(NOT(ISNUMBER($A688)),ROW()-2&lt;Settings!$B$12),NA(),IF(COUNT(OFFSET(F688,1-Settings!$B$12,0,Settings!$B$12,1))&lt;Settings!$B$12,NA(),STDEV(OFFSET(F688,1-Settings!$B$12,0,Settings!$B$12,1))*SQRT(Settings!$B$13)))</f>
        <v/>
      </c>
      <c r="J688" s="18">
        <f>IF(OR(NOT(ISNUMBER($A688)),ROW()-2&lt;Settings!$B$11),NA(),IF(COUNT(OFFSET(G688,1-Settings!$B$11,0,Settings!$B$11,1))&lt;Settings!$B$11,NA(),STDEV(OFFSET(G688,1-Settings!$B$11,0,Settings!$B$11,1))*SQRT(Settings!$B$13)))</f>
        <v/>
      </c>
      <c r="K688" s="18">
        <f>IF(OR(NOT(ISNUMBER($A688)),ROW()-2&lt;Settings!$B$12),NA(),IF(COUNT(OFFSET(G688,1-Settings!$B$12,0,Settings!$B$12,1))&lt;Settings!$B$12,NA(),STDEV(OFFSET(G688,1-Settings!$B$12,0,Settings!$B$12,1))*SQRT(Settings!$B$13)))</f>
        <v/>
      </c>
      <c r="L688" s="18">
        <f>IF(AND(ISNUMBER(D688),ISNUMBER(H688)),D688-H688,NA())</f>
        <v/>
      </c>
      <c r="M688" s="18">
        <f>IF(AND(ISNUMBER(E688),ISNUMBER(K688)),E688-K688,NA())</f>
        <v/>
      </c>
      <c r="N688" s="18">
        <f>IF(NOT(ISNUMBER($A688)),NA(),IF(COUNT(OFFSET(G688,1,0,Settings!$B$12,1))&lt;Settings!$B$12,NA(),STDEV(OFFSET(G688,1,0,Settings!$B$12,1))*SQRT(Settings!$B$13)))</f>
        <v/>
      </c>
      <c r="O688" s="18">
        <f>IF(AND(ISNUMBER(E688),ISNUMBER(N688)),E688-N688,NA())</f>
        <v/>
      </c>
      <c r="P688" s="17">
        <f>IF(NOT(ISNUMBER($A688)),NA(),IF(OR($A688&lt;MIN(KW_TP!$A$2:$A$2501),$A688&gt;MAX(KW_TP!$A$2:$A$2501)),NA(),INDEX(KW_TP!$C$2:$C$2501,MATCH($A688,KW_TP!$A$2:$A$2501,1))))</f>
        <v/>
      </c>
    </row>
    <row r="689">
      <c r="A689" s="15">
        <f>IF(ISNUMBER(BBG_Data!A689),BBG_Data!A689,"")</f>
        <v/>
      </c>
      <c r="B689" s="16">
        <f>IF(AND(ISNUMBER($A689),ISNUMBER(BBG_Data!B689)),BBG_Data!B689,NA())</f>
        <v/>
      </c>
      <c r="C689" s="16">
        <f>IF(AND(ISNUMBER($A689),ISNUMBER(BBG_Data!C689)),BBG_Data!C689,NA())</f>
        <v/>
      </c>
      <c r="D689" s="17">
        <f>IF(AND(ISNUMBER($A689),ISNUMBER(BBG_Data!D689)),BBG_Data!D689,NA())</f>
        <v/>
      </c>
      <c r="E689" s="17">
        <f>IF(AND(ISNUMBER($A689),ISNUMBER(BBG_Data!E689)),BBG_Data!E689,NA())</f>
        <v/>
      </c>
      <c r="F689" s="18">
        <f>IF(AND(ISNUMBER(B689),ISNUMBER(B688)),(B689-B688)*100,"")</f>
        <v/>
      </c>
      <c r="G689" s="18">
        <f>IF(AND(ISNUMBER(C689),ISNUMBER(C688)),(C689-C688)*100,"")</f>
        <v/>
      </c>
      <c r="H689" s="18">
        <f>IF(OR(NOT(ISNUMBER($A689)),ROW()-2&lt;Settings!$B$11),NA(),IF(COUNT(OFFSET(F689,1-Settings!$B$11,0,Settings!$B$11,1))&lt;Settings!$B$11,NA(),STDEV(OFFSET(F689,1-Settings!$B$11,0,Settings!$B$11,1))*SQRT(Settings!$B$13)))</f>
        <v/>
      </c>
      <c r="I689" s="18">
        <f>IF(OR(NOT(ISNUMBER($A689)),ROW()-2&lt;Settings!$B$12),NA(),IF(COUNT(OFFSET(F689,1-Settings!$B$12,0,Settings!$B$12,1))&lt;Settings!$B$12,NA(),STDEV(OFFSET(F689,1-Settings!$B$12,0,Settings!$B$12,1))*SQRT(Settings!$B$13)))</f>
        <v/>
      </c>
      <c r="J689" s="18">
        <f>IF(OR(NOT(ISNUMBER($A689)),ROW()-2&lt;Settings!$B$11),NA(),IF(COUNT(OFFSET(G689,1-Settings!$B$11,0,Settings!$B$11,1))&lt;Settings!$B$11,NA(),STDEV(OFFSET(G689,1-Settings!$B$11,0,Settings!$B$11,1))*SQRT(Settings!$B$13)))</f>
        <v/>
      </c>
      <c r="K689" s="18">
        <f>IF(OR(NOT(ISNUMBER($A689)),ROW()-2&lt;Settings!$B$12),NA(),IF(COUNT(OFFSET(G689,1-Settings!$B$12,0,Settings!$B$12,1))&lt;Settings!$B$12,NA(),STDEV(OFFSET(G689,1-Settings!$B$12,0,Settings!$B$12,1))*SQRT(Settings!$B$13)))</f>
        <v/>
      </c>
      <c r="L689" s="18">
        <f>IF(AND(ISNUMBER(D689),ISNUMBER(H689)),D689-H689,NA())</f>
        <v/>
      </c>
      <c r="M689" s="18">
        <f>IF(AND(ISNUMBER(E689),ISNUMBER(K689)),E689-K689,NA())</f>
        <v/>
      </c>
      <c r="N689" s="18">
        <f>IF(NOT(ISNUMBER($A689)),NA(),IF(COUNT(OFFSET(G689,1,0,Settings!$B$12,1))&lt;Settings!$B$12,NA(),STDEV(OFFSET(G689,1,0,Settings!$B$12,1))*SQRT(Settings!$B$13)))</f>
        <v/>
      </c>
      <c r="O689" s="18">
        <f>IF(AND(ISNUMBER(E689),ISNUMBER(N689)),E689-N689,NA())</f>
        <v/>
      </c>
      <c r="P689" s="17">
        <f>IF(NOT(ISNUMBER($A689)),NA(),IF(OR($A689&lt;MIN(KW_TP!$A$2:$A$2501),$A689&gt;MAX(KW_TP!$A$2:$A$2501)),NA(),INDEX(KW_TP!$C$2:$C$2501,MATCH($A689,KW_TP!$A$2:$A$2501,1))))</f>
        <v/>
      </c>
    </row>
    <row r="690">
      <c r="A690" s="15">
        <f>IF(ISNUMBER(BBG_Data!A690),BBG_Data!A690,"")</f>
        <v/>
      </c>
      <c r="B690" s="16">
        <f>IF(AND(ISNUMBER($A690),ISNUMBER(BBG_Data!B690)),BBG_Data!B690,NA())</f>
        <v/>
      </c>
      <c r="C690" s="16">
        <f>IF(AND(ISNUMBER($A690),ISNUMBER(BBG_Data!C690)),BBG_Data!C690,NA())</f>
        <v/>
      </c>
      <c r="D690" s="17">
        <f>IF(AND(ISNUMBER($A690),ISNUMBER(BBG_Data!D690)),BBG_Data!D690,NA())</f>
        <v/>
      </c>
      <c r="E690" s="17">
        <f>IF(AND(ISNUMBER($A690),ISNUMBER(BBG_Data!E690)),BBG_Data!E690,NA())</f>
        <v/>
      </c>
      <c r="F690" s="18">
        <f>IF(AND(ISNUMBER(B690),ISNUMBER(B689)),(B690-B689)*100,"")</f>
        <v/>
      </c>
      <c r="G690" s="18">
        <f>IF(AND(ISNUMBER(C690),ISNUMBER(C689)),(C690-C689)*100,"")</f>
        <v/>
      </c>
      <c r="H690" s="18">
        <f>IF(OR(NOT(ISNUMBER($A690)),ROW()-2&lt;Settings!$B$11),NA(),IF(COUNT(OFFSET(F690,1-Settings!$B$11,0,Settings!$B$11,1))&lt;Settings!$B$11,NA(),STDEV(OFFSET(F690,1-Settings!$B$11,0,Settings!$B$11,1))*SQRT(Settings!$B$13)))</f>
        <v/>
      </c>
      <c r="I690" s="18">
        <f>IF(OR(NOT(ISNUMBER($A690)),ROW()-2&lt;Settings!$B$12),NA(),IF(COUNT(OFFSET(F690,1-Settings!$B$12,0,Settings!$B$12,1))&lt;Settings!$B$12,NA(),STDEV(OFFSET(F690,1-Settings!$B$12,0,Settings!$B$12,1))*SQRT(Settings!$B$13)))</f>
        <v/>
      </c>
      <c r="J690" s="18">
        <f>IF(OR(NOT(ISNUMBER($A690)),ROW()-2&lt;Settings!$B$11),NA(),IF(COUNT(OFFSET(G690,1-Settings!$B$11,0,Settings!$B$11,1))&lt;Settings!$B$11,NA(),STDEV(OFFSET(G690,1-Settings!$B$11,0,Settings!$B$11,1))*SQRT(Settings!$B$13)))</f>
        <v/>
      </c>
      <c r="K690" s="18">
        <f>IF(OR(NOT(ISNUMBER($A690)),ROW()-2&lt;Settings!$B$12),NA(),IF(COUNT(OFFSET(G690,1-Settings!$B$12,0,Settings!$B$12,1))&lt;Settings!$B$12,NA(),STDEV(OFFSET(G690,1-Settings!$B$12,0,Settings!$B$12,1))*SQRT(Settings!$B$13)))</f>
        <v/>
      </c>
      <c r="L690" s="18">
        <f>IF(AND(ISNUMBER(D690),ISNUMBER(H690)),D690-H690,NA())</f>
        <v/>
      </c>
      <c r="M690" s="18">
        <f>IF(AND(ISNUMBER(E690),ISNUMBER(K690)),E690-K690,NA())</f>
        <v/>
      </c>
      <c r="N690" s="18">
        <f>IF(NOT(ISNUMBER($A690)),NA(),IF(COUNT(OFFSET(G690,1,0,Settings!$B$12,1))&lt;Settings!$B$12,NA(),STDEV(OFFSET(G690,1,0,Settings!$B$12,1))*SQRT(Settings!$B$13)))</f>
        <v/>
      </c>
      <c r="O690" s="18">
        <f>IF(AND(ISNUMBER(E690),ISNUMBER(N690)),E690-N690,NA())</f>
        <v/>
      </c>
      <c r="P690" s="17">
        <f>IF(NOT(ISNUMBER($A690)),NA(),IF(OR($A690&lt;MIN(KW_TP!$A$2:$A$2501),$A690&gt;MAX(KW_TP!$A$2:$A$2501)),NA(),INDEX(KW_TP!$C$2:$C$2501,MATCH($A690,KW_TP!$A$2:$A$2501,1))))</f>
        <v/>
      </c>
    </row>
    <row r="691">
      <c r="A691" s="15">
        <f>IF(ISNUMBER(BBG_Data!A691),BBG_Data!A691,"")</f>
        <v/>
      </c>
      <c r="B691" s="16">
        <f>IF(AND(ISNUMBER($A691),ISNUMBER(BBG_Data!B691)),BBG_Data!B691,NA())</f>
        <v/>
      </c>
      <c r="C691" s="16">
        <f>IF(AND(ISNUMBER($A691),ISNUMBER(BBG_Data!C691)),BBG_Data!C691,NA())</f>
        <v/>
      </c>
      <c r="D691" s="17">
        <f>IF(AND(ISNUMBER($A691),ISNUMBER(BBG_Data!D691)),BBG_Data!D691,NA())</f>
        <v/>
      </c>
      <c r="E691" s="17">
        <f>IF(AND(ISNUMBER($A691),ISNUMBER(BBG_Data!E691)),BBG_Data!E691,NA())</f>
        <v/>
      </c>
      <c r="F691" s="18">
        <f>IF(AND(ISNUMBER(B691),ISNUMBER(B690)),(B691-B690)*100,"")</f>
        <v/>
      </c>
      <c r="G691" s="18">
        <f>IF(AND(ISNUMBER(C691),ISNUMBER(C690)),(C691-C690)*100,"")</f>
        <v/>
      </c>
      <c r="H691" s="18">
        <f>IF(OR(NOT(ISNUMBER($A691)),ROW()-2&lt;Settings!$B$11),NA(),IF(COUNT(OFFSET(F691,1-Settings!$B$11,0,Settings!$B$11,1))&lt;Settings!$B$11,NA(),STDEV(OFFSET(F691,1-Settings!$B$11,0,Settings!$B$11,1))*SQRT(Settings!$B$13)))</f>
        <v/>
      </c>
      <c r="I691" s="18">
        <f>IF(OR(NOT(ISNUMBER($A691)),ROW()-2&lt;Settings!$B$12),NA(),IF(COUNT(OFFSET(F691,1-Settings!$B$12,0,Settings!$B$12,1))&lt;Settings!$B$12,NA(),STDEV(OFFSET(F691,1-Settings!$B$12,0,Settings!$B$12,1))*SQRT(Settings!$B$13)))</f>
        <v/>
      </c>
      <c r="J691" s="18">
        <f>IF(OR(NOT(ISNUMBER($A691)),ROW()-2&lt;Settings!$B$11),NA(),IF(COUNT(OFFSET(G691,1-Settings!$B$11,0,Settings!$B$11,1))&lt;Settings!$B$11,NA(),STDEV(OFFSET(G691,1-Settings!$B$11,0,Settings!$B$11,1))*SQRT(Settings!$B$13)))</f>
        <v/>
      </c>
      <c r="K691" s="18">
        <f>IF(OR(NOT(ISNUMBER($A691)),ROW()-2&lt;Settings!$B$12),NA(),IF(COUNT(OFFSET(G691,1-Settings!$B$12,0,Settings!$B$12,1))&lt;Settings!$B$12,NA(),STDEV(OFFSET(G691,1-Settings!$B$12,0,Settings!$B$12,1))*SQRT(Settings!$B$13)))</f>
        <v/>
      </c>
      <c r="L691" s="18">
        <f>IF(AND(ISNUMBER(D691),ISNUMBER(H691)),D691-H691,NA())</f>
        <v/>
      </c>
      <c r="M691" s="18">
        <f>IF(AND(ISNUMBER(E691),ISNUMBER(K691)),E691-K691,NA())</f>
        <v/>
      </c>
      <c r="N691" s="18">
        <f>IF(NOT(ISNUMBER($A691)),NA(),IF(COUNT(OFFSET(G691,1,0,Settings!$B$12,1))&lt;Settings!$B$12,NA(),STDEV(OFFSET(G691,1,0,Settings!$B$12,1))*SQRT(Settings!$B$13)))</f>
        <v/>
      </c>
      <c r="O691" s="18">
        <f>IF(AND(ISNUMBER(E691),ISNUMBER(N691)),E691-N691,NA())</f>
        <v/>
      </c>
      <c r="P691" s="17">
        <f>IF(NOT(ISNUMBER($A691)),NA(),IF(OR($A691&lt;MIN(KW_TP!$A$2:$A$2501),$A691&gt;MAX(KW_TP!$A$2:$A$2501)),NA(),INDEX(KW_TP!$C$2:$C$2501,MATCH($A691,KW_TP!$A$2:$A$2501,1))))</f>
        <v/>
      </c>
    </row>
    <row r="692">
      <c r="A692" s="15">
        <f>IF(ISNUMBER(BBG_Data!A692),BBG_Data!A692,"")</f>
        <v/>
      </c>
      <c r="B692" s="16">
        <f>IF(AND(ISNUMBER($A692),ISNUMBER(BBG_Data!B692)),BBG_Data!B692,NA())</f>
        <v/>
      </c>
      <c r="C692" s="16">
        <f>IF(AND(ISNUMBER($A692),ISNUMBER(BBG_Data!C692)),BBG_Data!C692,NA())</f>
        <v/>
      </c>
      <c r="D692" s="17">
        <f>IF(AND(ISNUMBER($A692),ISNUMBER(BBG_Data!D692)),BBG_Data!D692,NA())</f>
        <v/>
      </c>
      <c r="E692" s="17">
        <f>IF(AND(ISNUMBER($A692),ISNUMBER(BBG_Data!E692)),BBG_Data!E692,NA())</f>
        <v/>
      </c>
      <c r="F692" s="18">
        <f>IF(AND(ISNUMBER(B692),ISNUMBER(B691)),(B692-B691)*100,"")</f>
        <v/>
      </c>
      <c r="G692" s="18">
        <f>IF(AND(ISNUMBER(C692),ISNUMBER(C691)),(C692-C691)*100,"")</f>
        <v/>
      </c>
      <c r="H692" s="18">
        <f>IF(OR(NOT(ISNUMBER($A692)),ROW()-2&lt;Settings!$B$11),NA(),IF(COUNT(OFFSET(F692,1-Settings!$B$11,0,Settings!$B$11,1))&lt;Settings!$B$11,NA(),STDEV(OFFSET(F692,1-Settings!$B$11,0,Settings!$B$11,1))*SQRT(Settings!$B$13)))</f>
        <v/>
      </c>
      <c r="I692" s="18">
        <f>IF(OR(NOT(ISNUMBER($A692)),ROW()-2&lt;Settings!$B$12),NA(),IF(COUNT(OFFSET(F692,1-Settings!$B$12,0,Settings!$B$12,1))&lt;Settings!$B$12,NA(),STDEV(OFFSET(F692,1-Settings!$B$12,0,Settings!$B$12,1))*SQRT(Settings!$B$13)))</f>
        <v/>
      </c>
      <c r="J692" s="18">
        <f>IF(OR(NOT(ISNUMBER($A692)),ROW()-2&lt;Settings!$B$11),NA(),IF(COUNT(OFFSET(G692,1-Settings!$B$11,0,Settings!$B$11,1))&lt;Settings!$B$11,NA(),STDEV(OFFSET(G692,1-Settings!$B$11,0,Settings!$B$11,1))*SQRT(Settings!$B$13)))</f>
        <v/>
      </c>
      <c r="K692" s="18">
        <f>IF(OR(NOT(ISNUMBER($A692)),ROW()-2&lt;Settings!$B$12),NA(),IF(COUNT(OFFSET(G692,1-Settings!$B$12,0,Settings!$B$12,1))&lt;Settings!$B$12,NA(),STDEV(OFFSET(G692,1-Settings!$B$12,0,Settings!$B$12,1))*SQRT(Settings!$B$13)))</f>
        <v/>
      </c>
      <c r="L692" s="18">
        <f>IF(AND(ISNUMBER(D692),ISNUMBER(H692)),D692-H692,NA())</f>
        <v/>
      </c>
      <c r="M692" s="18">
        <f>IF(AND(ISNUMBER(E692),ISNUMBER(K692)),E692-K692,NA())</f>
        <v/>
      </c>
      <c r="N692" s="18">
        <f>IF(NOT(ISNUMBER($A692)),NA(),IF(COUNT(OFFSET(G692,1,0,Settings!$B$12,1))&lt;Settings!$B$12,NA(),STDEV(OFFSET(G692,1,0,Settings!$B$12,1))*SQRT(Settings!$B$13)))</f>
        <v/>
      </c>
      <c r="O692" s="18">
        <f>IF(AND(ISNUMBER(E692),ISNUMBER(N692)),E692-N692,NA())</f>
        <v/>
      </c>
      <c r="P692" s="17">
        <f>IF(NOT(ISNUMBER($A692)),NA(),IF(OR($A692&lt;MIN(KW_TP!$A$2:$A$2501),$A692&gt;MAX(KW_TP!$A$2:$A$2501)),NA(),INDEX(KW_TP!$C$2:$C$2501,MATCH($A692,KW_TP!$A$2:$A$2501,1))))</f>
        <v/>
      </c>
    </row>
    <row r="693">
      <c r="A693" s="15">
        <f>IF(ISNUMBER(BBG_Data!A693),BBG_Data!A693,"")</f>
        <v/>
      </c>
      <c r="B693" s="16">
        <f>IF(AND(ISNUMBER($A693),ISNUMBER(BBG_Data!B693)),BBG_Data!B693,NA())</f>
        <v/>
      </c>
      <c r="C693" s="16">
        <f>IF(AND(ISNUMBER($A693),ISNUMBER(BBG_Data!C693)),BBG_Data!C693,NA())</f>
        <v/>
      </c>
      <c r="D693" s="17">
        <f>IF(AND(ISNUMBER($A693),ISNUMBER(BBG_Data!D693)),BBG_Data!D693,NA())</f>
        <v/>
      </c>
      <c r="E693" s="17">
        <f>IF(AND(ISNUMBER($A693),ISNUMBER(BBG_Data!E693)),BBG_Data!E693,NA())</f>
        <v/>
      </c>
      <c r="F693" s="18">
        <f>IF(AND(ISNUMBER(B693),ISNUMBER(B692)),(B693-B692)*100,"")</f>
        <v/>
      </c>
      <c r="G693" s="18">
        <f>IF(AND(ISNUMBER(C693),ISNUMBER(C692)),(C693-C692)*100,"")</f>
        <v/>
      </c>
      <c r="H693" s="18">
        <f>IF(OR(NOT(ISNUMBER($A693)),ROW()-2&lt;Settings!$B$11),NA(),IF(COUNT(OFFSET(F693,1-Settings!$B$11,0,Settings!$B$11,1))&lt;Settings!$B$11,NA(),STDEV(OFFSET(F693,1-Settings!$B$11,0,Settings!$B$11,1))*SQRT(Settings!$B$13)))</f>
        <v/>
      </c>
      <c r="I693" s="18">
        <f>IF(OR(NOT(ISNUMBER($A693)),ROW()-2&lt;Settings!$B$12),NA(),IF(COUNT(OFFSET(F693,1-Settings!$B$12,0,Settings!$B$12,1))&lt;Settings!$B$12,NA(),STDEV(OFFSET(F693,1-Settings!$B$12,0,Settings!$B$12,1))*SQRT(Settings!$B$13)))</f>
        <v/>
      </c>
      <c r="J693" s="18">
        <f>IF(OR(NOT(ISNUMBER($A693)),ROW()-2&lt;Settings!$B$11),NA(),IF(COUNT(OFFSET(G693,1-Settings!$B$11,0,Settings!$B$11,1))&lt;Settings!$B$11,NA(),STDEV(OFFSET(G693,1-Settings!$B$11,0,Settings!$B$11,1))*SQRT(Settings!$B$13)))</f>
        <v/>
      </c>
      <c r="K693" s="18">
        <f>IF(OR(NOT(ISNUMBER($A693)),ROW()-2&lt;Settings!$B$12),NA(),IF(COUNT(OFFSET(G693,1-Settings!$B$12,0,Settings!$B$12,1))&lt;Settings!$B$12,NA(),STDEV(OFFSET(G693,1-Settings!$B$12,0,Settings!$B$12,1))*SQRT(Settings!$B$13)))</f>
        <v/>
      </c>
      <c r="L693" s="18">
        <f>IF(AND(ISNUMBER(D693),ISNUMBER(H693)),D693-H693,NA())</f>
        <v/>
      </c>
      <c r="M693" s="18">
        <f>IF(AND(ISNUMBER(E693),ISNUMBER(K693)),E693-K693,NA())</f>
        <v/>
      </c>
      <c r="N693" s="18">
        <f>IF(NOT(ISNUMBER($A693)),NA(),IF(COUNT(OFFSET(G693,1,0,Settings!$B$12,1))&lt;Settings!$B$12,NA(),STDEV(OFFSET(G693,1,0,Settings!$B$12,1))*SQRT(Settings!$B$13)))</f>
        <v/>
      </c>
      <c r="O693" s="18">
        <f>IF(AND(ISNUMBER(E693),ISNUMBER(N693)),E693-N693,NA())</f>
        <v/>
      </c>
      <c r="P693" s="17">
        <f>IF(NOT(ISNUMBER($A693)),NA(),IF(OR($A693&lt;MIN(KW_TP!$A$2:$A$2501),$A693&gt;MAX(KW_TP!$A$2:$A$2501)),NA(),INDEX(KW_TP!$C$2:$C$2501,MATCH($A693,KW_TP!$A$2:$A$2501,1))))</f>
        <v/>
      </c>
    </row>
    <row r="694">
      <c r="A694" s="15">
        <f>IF(ISNUMBER(BBG_Data!A694),BBG_Data!A694,"")</f>
        <v/>
      </c>
      <c r="B694" s="16">
        <f>IF(AND(ISNUMBER($A694),ISNUMBER(BBG_Data!B694)),BBG_Data!B694,NA())</f>
        <v/>
      </c>
      <c r="C694" s="16">
        <f>IF(AND(ISNUMBER($A694),ISNUMBER(BBG_Data!C694)),BBG_Data!C694,NA())</f>
        <v/>
      </c>
      <c r="D694" s="17">
        <f>IF(AND(ISNUMBER($A694),ISNUMBER(BBG_Data!D694)),BBG_Data!D694,NA())</f>
        <v/>
      </c>
      <c r="E694" s="17">
        <f>IF(AND(ISNUMBER($A694),ISNUMBER(BBG_Data!E694)),BBG_Data!E694,NA())</f>
        <v/>
      </c>
      <c r="F694" s="18">
        <f>IF(AND(ISNUMBER(B694),ISNUMBER(B693)),(B694-B693)*100,"")</f>
        <v/>
      </c>
      <c r="G694" s="18">
        <f>IF(AND(ISNUMBER(C694),ISNUMBER(C693)),(C694-C693)*100,"")</f>
        <v/>
      </c>
      <c r="H694" s="18">
        <f>IF(OR(NOT(ISNUMBER($A694)),ROW()-2&lt;Settings!$B$11),NA(),IF(COUNT(OFFSET(F694,1-Settings!$B$11,0,Settings!$B$11,1))&lt;Settings!$B$11,NA(),STDEV(OFFSET(F694,1-Settings!$B$11,0,Settings!$B$11,1))*SQRT(Settings!$B$13)))</f>
        <v/>
      </c>
      <c r="I694" s="18">
        <f>IF(OR(NOT(ISNUMBER($A694)),ROW()-2&lt;Settings!$B$12),NA(),IF(COUNT(OFFSET(F694,1-Settings!$B$12,0,Settings!$B$12,1))&lt;Settings!$B$12,NA(),STDEV(OFFSET(F694,1-Settings!$B$12,0,Settings!$B$12,1))*SQRT(Settings!$B$13)))</f>
        <v/>
      </c>
      <c r="J694" s="18">
        <f>IF(OR(NOT(ISNUMBER($A694)),ROW()-2&lt;Settings!$B$11),NA(),IF(COUNT(OFFSET(G694,1-Settings!$B$11,0,Settings!$B$11,1))&lt;Settings!$B$11,NA(),STDEV(OFFSET(G694,1-Settings!$B$11,0,Settings!$B$11,1))*SQRT(Settings!$B$13)))</f>
        <v/>
      </c>
      <c r="K694" s="18">
        <f>IF(OR(NOT(ISNUMBER($A694)),ROW()-2&lt;Settings!$B$12),NA(),IF(COUNT(OFFSET(G694,1-Settings!$B$12,0,Settings!$B$12,1))&lt;Settings!$B$12,NA(),STDEV(OFFSET(G694,1-Settings!$B$12,0,Settings!$B$12,1))*SQRT(Settings!$B$13)))</f>
        <v/>
      </c>
      <c r="L694" s="18">
        <f>IF(AND(ISNUMBER(D694),ISNUMBER(H694)),D694-H694,NA())</f>
        <v/>
      </c>
      <c r="M694" s="18">
        <f>IF(AND(ISNUMBER(E694),ISNUMBER(K694)),E694-K694,NA())</f>
        <v/>
      </c>
      <c r="N694" s="18">
        <f>IF(NOT(ISNUMBER($A694)),NA(),IF(COUNT(OFFSET(G694,1,0,Settings!$B$12,1))&lt;Settings!$B$12,NA(),STDEV(OFFSET(G694,1,0,Settings!$B$12,1))*SQRT(Settings!$B$13)))</f>
        <v/>
      </c>
      <c r="O694" s="18">
        <f>IF(AND(ISNUMBER(E694),ISNUMBER(N694)),E694-N694,NA())</f>
        <v/>
      </c>
      <c r="P694" s="17">
        <f>IF(NOT(ISNUMBER($A694)),NA(),IF(OR($A694&lt;MIN(KW_TP!$A$2:$A$2501),$A694&gt;MAX(KW_TP!$A$2:$A$2501)),NA(),INDEX(KW_TP!$C$2:$C$2501,MATCH($A694,KW_TP!$A$2:$A$2501,1))))</f>
        <v/>
      </c>
    </row>
    <row r="695">
      <c r="A695" s="15">
        <f>IF(ISNUMBER(BBG_Data!A695),BBG_Data!A695,"")</f>
        <v/>
      </c>
      <c r="B695" s="16">
        <f>IF(AND(ISNUMBER($A695),ISNUMBER(BBG_Data!B695)),BBG_Data!B695,NA())</f>
        <v/>
      </c>
      <c r="C695" s="16">
        <f>IF(AND(ISNUMBER($A695),ISNUMBER(BBG_Data!C695)),BBG_Data!C695,NA())</f>
        <v/>
      </c>
      <c r="D695" s="17">
        <f>IF(AND(ISNUMBER($A695),ISNUMBER(BBG_Data!D695)),BBG_Data!D695,NA())</f>
        <v/>
      </c>
      <c r="E695" s="17">
        <f>IF(AND(ISNUMBER($A695),ISNUMBER(BBG_Data!E695)),BBG_Data!E695,NA())</f>
        <v/>
      </c>
      <c r="F695" s="18">
        <f>IF(AND(ISNUMBER(B695),ISNUMBER(B694)),(B695-B694)*100,"")</f>
        <v/>
      </c>
      <c r="G695" s="18">
        <f>IF(AND(ISNUMBER(C695),ISNUMBER(C694)),(C695-C694)*100,"")</f>
        <v/>
      </c>
      <c r="H695" s="18">
        <f>IF(OR(NOT(ISNUMBER($A695)),ROW()-2&lt;Settings!$B$11),NA(),IF(COUNT(OFFSET(F695,1-Settings!$B$11,0,Settings!$B$11,1))&lt;Settings!$B$11,NA(),STDEV(OFFSET(F695,1-Settings!$B$11,0,Settings!$B$11,1))*SQRT(Settings!$B$13)))</f>
        <v/>
      </c>
      <c r="I695" s="18">
        <f>IF(OR(NOT(ISNUMBER($A695)),ROW()-2&lt;Settings!$B$12),NA(),IF(COUNT(OFFSET(F695,1-Settings!$B$12,0,Settings!$B$12,1))&lt;Settings!$B$12,NA(),STDEV(OFFSET(F695,1-Settings!$B$12,0,Settings!$B$12,1))*SQRT(Settings!$B$13)))</f>
        <v/>
      </c>
      <c r="J695" s="18">
        <f>IF(OR(NOT(ISNUMBER($A695)),ROW()-2&lt;Settings!$B$11),NA(),IF(COUNT(OFFSET(G695,1-Settings!$B$11,0,Settings!$B$11,1))&lt;Settings!$B$11,NA(),STDEV(OFFSET(G695,1-Settings!$B$11,0,Settings!$B$11,1))*SQRT(Settings!$B$13)))</f>
        <v/>
      </c>
      <c r="K695" s="18">
        <f>IF(OR(NOT(ISNUMBER($A695)),ROW()-2&lt;Settings!$B$12),NA(),IF(COUNT(OFFSET(G695,1-Settings!$B$12,0,Settings!$B$12,1))&lt;Settings!$B$12,NA(),STDEV(OFFSET(G695,1-Settings!$B$12,0,Settings!$B$12,1))*SQRT(Settings!$B$13)))</f>
        <v/>
      </c>
      <c r="L695" s="18">
        <f>IF(AND(ISNUMBER(D695),ISNUMBER(H695)),D695-H695,NA())</f>
        <v/>
      </c>
      <c r="M695" s="18">
        <f>IF(AND(ISNUMBER(E695),ISNUMBER(K695)),E695-K695,NA())</f>
        <v/>
      </c>
      <c r="N695" s="18">
        <f>IF(NOT(ISNUMBER($A695)),NA(),IF(COUNT(OFFSET(G695,1,0,Settings!$B$12,1))&lt;Settings!$B$12,NA(),STDEV(OFFSET(G695,1,0,Settings!$B$12,1))*SQRT(Settings!$B$13)))</f>
        <v/>
      </c>
      <c r="O695" s="18">
        <f>IF(AND(ISNUMBER(E695),ISNUMBER(N695)),E695-N695,NA())</f>
        <v/>
      </c>
      <c r="P695" s="17">
        <f>IF(NOT(ISNUMBER($A695)),NA(),IF(OR($A695&lt;MIN(KW_TP!$A$2:$A$2501),$A695&gt;MAX(KW_TP!$A$2:$A$2501)),NA(),INDEX(KW_TP!$C$2:$C$2501,MATCH($A695,KW_TP!$A$2:$A$2501,1))))</f>
        <v/>
      </c>
    </row>
    <row r="696">
      <c r="A696" s="15">
        <f>IF(ISNUMBER(BBG_Data!A696),BBG_Data!A696,"")</f>
        <v/>
      </c>
      <c r="B696" s="16">
        <f>IF(AND(ISNUMBER($A696),ISNUMBER(BBG_Data!B696)),BBG_Data!B696,NA())</f>
        <v/>
      </c>
      <c r="C696" s="16">
        <f>IF(AND(ISNUMBER($A696),ISNUMBER(BBG_Data!C696)),BBG_Data!C696,NA())</f>
        <v/>
      </c>
      <c r="D696" s="17">
        <f>IF(AND(ISNUMBER($A696),ISNUMBER(BBG_Data!D696)),BBG_Data!D696,NA())</f>
        <v/>
      </c>
      <c r="E696" s="17">
        <f>IF(AND(ISNUMBER($A696),ISNUMBER(BBG_Data!E696)),BBG_Data!E696,NA())</f>
        <v/>
      </c>
      <c r="F696" s="18">
        <f>IF(AND(ISNUMBER(B696),ISNUMBER(B695)),(B696-B695)*100,"")</f>
        <v/>
      </c>
      <c r="G696" s="18">
        <f>IF(AND(ISNUMBER(C696),ISNUMBER(C695)),(C696-C695)*100,"")</f>
        <v/>
      </c>
      <c r="H696" s="18">
        <f>IF(OR(NOT(ISNUMBER($A696)),ROW()-2&lt;Settings!$B$11),NA(),IF(COUNT(OFFSET(F696,1-Settings!$B$11,0,Settings!$B$11,1))&lt;Settings!$B$11,NA(),STDEV(OFFSET(F696,1-Settings!$B$11,0,Settings!$B$11,1))*SQRT(Settings!$B$13)))</f>
        <v/>
      </c>
      <c r="I696" s="18">
        <f>IF(OR(NOT(ISNUMBER($A696)),ROW()-2&lt;Settings!$B$12),NA(),IF(COUNT(OFFSET(F696,1-Settings!$B$12,0,Settings!$B$12,1))&lt;Settings!$B$12,NA(),STDEV(OFFSET(F696,1-Settings!$B$12,0,Settings!$B$12,1))*SQRT(Settings!$B$13)))</f>
        <v/>
      </c>
      <c r="J696" s="18">
        <f>IF(OR(NOT(ISNUMBER($A696)),ROW()-2&lt;Settings!$B$11),NA(),IF(COUNT(OFFSET(G696,1-Settings!$B$11,0,Settings!$B$11,1))&lt;Settings!$B$11,NA(),STDEV(OFFSET(G696,1-Settings!$B$11,0,Settings!$B$11,1))*SQRT(Settings!$B$13)))</f>
        <v/>
      </c>
      <c r="K696" s="18">
        <f>IF(OR(NOT(ISNUMBER($A696)),ROW()-2&lt;Settings!$B$12),NA(),IF(COUNT(OFFSET(G696,1-Settings!$B$12,0,Settings!$B$12,1))&lt;Settings!$B$12,NA(),STDEV(OFFSET(G696,1-Settings!$B$12,0,Settings!$B$12,1))*SQRT(Settings!$B$13)))</f>
        <v/>
      </c>
      <c r="L696" s="18">
        <f>IF(AND(ISNUMBER(D696),ISNUMBER(H696)),D696-H696,NA())</f>
        <v/>
      </c>
      <c r="M696" s="18">
        <f>IF(AND(ISNUMBER(E696),ISNUMBER(K696)),E696-K696,NA())</f>
        <v/>
      </c>
      <c r="N696" s="18">
        <f>IF(NOT(ISNUMBER($A696)),NA(),IF(COUNT(OFFSET(G696,1,0,Settings!$B$12,1))&lt;Settings!$B$12,NA(),STDEV(OFFSET(G696,1,0,Settings!$B$12,1))*SQRT(Settings!$B$13)))</f>
        <v/>
      </c>
      <c r="O696" s="18">
        <f>IF(AND(ISNUMBER(E696),ISNUMBER(N696)),E696-N696,NA())</f>
        <v/>
      </c>
      <c r="P696" s="17">
        <f>IF(NOT(ISNUMBER($A696)),NA(),IF(OR($A696&lt;MIN(KW_TP!$A$2:$A$2501),$A696&gt;MAX(KW_TP!$A$2:$A$2501)),NA(),INDEX(KW_TP!$C$2:$C$2501,MATCH($A696,KW_TP!$A$2:$A$2501,1))))</f>
        <v/>
      </c>
    </row>
    <row r="697">
      <c r="A697" s="15">
        <f>IF(ISNUMBER(BBG_Data!A697),BBG_Data!A697,"")</f>
        <v/>
      </c>
      <c r="B697" s="16">
        <f>IF(AND(ISNUMBER($A697),ISNUMBER(BBG_Data!B697)),BBG_Data!B697,NA())</f>
        <v/>
      </c>
      <c r="C697" s="16">
        <f>IF(AND(ISNUMBER($A697),ISNUMBER(BBG_Data!C697)),BBG_Data!C697,NA())</f>
        <v/>
      </c>
      <c r="D697" s="17">
        <f>IF(AND(ISNUMBER($A697),ISNUMBER(BBG_Data!D697)),BBG_Data!D697,NA())</f>
        <v/>
      </c>
      <c r="E697" s="17">
        <f>IF(AND(ISNUMBER($A697),ISNUMBER(BBG_Data!E697)),BBG_Data!E697,NA())</f>
        <v/>
      </c>
      <c r="F697" s="18">
        <f>IF(AND(ISNUMBER(B697),ISNUMBER(B696)),(B697-B696)*100,"")</f>
        <v/>
      </c>
      <c r="G697" s="18">
        <f>IF(AND(ISNUMBER(C697),ISNUMBER(C696)),(C697-C696)*100,"")</f>
        <v/>
      </c>
      <c r="H697" s="18">
        <f>IF(OR(NOT(ISNUMBER($A697)),ROW()-2&lt;Settings!$B$11),NA(),IF(COUNT(OFFSET(F697,1-Settings!$B$11,0,Settings!$B$11,1))&lt;Settings!$B$11,NA(),STDEV(OFFSET(F697,1-Settings!$B$11,0,Settings!$B$11,1))*SQRT(Settings!$B$13)))</f>
        <v/>
      </c>
      <c r="I697" s="18">
        <f>IF(OR(NOT(ISNUMBER($A697)),ROW()-2&lt;Settings!$B$12),NA(),IF(COUNT(OFFSET(F697,1-Settings!$B$12,0,Settings!$B$12,1))&lt;Settings!$B$12,NA(),STDEV(OFFSET(F697,1-Settings!$B$12,0,Settings!$B$12,1))*SQRT(Settings!$B$13)))</f>
        <v/>
      </c>
      <c r="J697" s="18">
        <f>IF(OR(NOT(ISNUMBER($A697)),ROW()-2&lt;Settings!$B$11),NA(),IF(COUNT(OFFSET(G697,1-Settings!$B$11,0,Settings!$B$11,1))&lt;Settings!$B$11,NA(),STDEV(OFFSET(G697,1-Settings!$B$11,0,Settings!$B$11,1))*SQRT(Settings!$B$13)))</f>
        <v/>
      </c>
      <c r="K697" s="18">
        <f>IF(OR(NOT(ISNUMBER($A697)),ROW()-2&lt;Settings!$B$12),NA(),IF(COUNT(OFFSET(G697,1-Settings!$B$12,0,Settings!$B$12,1))&lt;Settings!$B$12,NA(),STDEV(OFFSET(G697,1-Settings!$B$12,0,Settings!$B$12,1))*SQRT(Settings!$B$13)))</f>
        <v/>
      </c>
      <c r="L697" s="18">
        <f>IF(AND(ISNUMBER(D697),ISNUMBER(H697)),D697-H697,NA())</f>
        <v/>
      </c>
      <c r="M697" s="18">
        <f>IF(AND(ISNUMBER(E697),ISNUMBER(K697)),E697-K697,NA())</f>
        <v/>
      </c>
      <c r="N697" s="18">
        <f>IF(NOT(ISNUMBER($A697)),NA(),IF(COUNT(OFFSET(G697,1,0,Settings!$B$12,1))&lt;Settings!$B$12,NA(),STDEV(OFFSET(G697,1,0,Settings!$B$12,1))*SQRT(Settings!$B$13)))</f>
        <v/>
      </c>
      <c r="O697" s="18">
        <f>IF(AND(ISNUMBER(E697),ISNUMBER(N697)),E697-N697,NA())</f>
        <v/>
      </c>
      <c r="P697" s="17">
        <f>IF(NOT(ISNUMBER($A697)),NA(),IF(OR($A697&lt;MIN(KW_TP!$A$2:$A$2501),$A697&gt;MAX(KW_TP!$A$2:$A$2501)),NA(),INDEX(KW_TP!$C$2:$C$2501,MATCH($A697,KW_TP!$A$2:$A$2501,1))))</f>
        <v/>
      </c>
    </row>
    <row r="698">
      <c r="A698" s="15">
        <f>IF(ISNUMBER(BBG_Data!A698),BBG_Data!A698,"")</f>
        <v/>
      </c>
      <c r="B698" s="16">
        <f>IF(AND(ISNUMBER($A698),ISNUMBER(BBG_Data!B698)),BBG_Data!B698,NA())</f>
        <v/>
      </c>
      <c r="C698" s="16">
        <f>IF(AND(ISNUMBER($A698),ISNUMBER(BBG_Data!C698)),BBG_Data!C698,NA())</f>
        <v/>
      </c>
      <c r="D698" s="17">
        <f>IF(AND(ISNUMBER($A698),ISNUMBER(BBG_Data!D698)),BBG_Data!D698,NA())</f>
        <v/>
      </c>
      <c r="E698" s="17">
        <f>IF(AND(ISNUMBER($A698),ISNUMBER(BBG_Data!E698)),BBG_Data!E698,NA())</f>
        <v/>
      </c>
      <c r="F698" s="18">
        <f>IF(AND(ISNUMBER(B698),ISNUMBER(B697)),(B698-B697)*100,"")</f>
        <v/>
      </c>
      <c r="G698" s="18">
        <f>IF(AND(ISNUMBER(C698),ISNUMBER(C697)),(C698-C697)*100,"")</f>
        <v/>
      </c>
      <c r="H698" s="18">
        <f>IF(OR(NOT(ISNUMBER($A698)),ROW()-2&lt;Settings!$B$11),NA(),IF(COUNT(OFFSET(F698,1-Settings!$B$11,0,Settings!$B$11,1))&lt;Settings!$B$11,NA(),STDEV(OFFSET(F698,1-Settings!$B$11,0,Settings!$B$11,1))*SQRT(Settings!$B$13)))</f>
        <v/>
      </c>
      <c r="I698" s="18">
        <f>IF(OR(NOT(ISNUMBER($A698)),ROW()-2&lt;Settings!$B$12),NA(),IF(COUNT(OFFSET(F698,1-Settings!$B$12,0,Settings!$B$12,1))&lt;Settings!$B$12,NA(),STDEV(OFFSET(F698,1-Settings!$B$12,0,Settings!$B$12,1))*SQRT(Settings!$B$13)))</f>
        <v/>
      </c>
      <c r="J698" s="18">
        <f>IF(OR(NOT(ISNUMBER($A698)),ROW()-2&lt;Settings!$B$11),NA(),IF(COUNT(OFFSET(G698,1-Settings!$B$11,0,Settings!$B$11,1))&lt;Settings!$B$11,NA(),STDEV(OFFSET(G698,1-Settings!$B$11,0,Settings!$B$11,1))*SQRT(Settings!$B$13)))</f>
        <v/>
      </c>
      <c r="K698" s="18">
        <f>IF(OR(NOT(ISNUMBER($A698)),ROW()-2&lt;Settings!$B$12),NA(),IF(COUNT(OFFSET(G698,1-Settings!$B$12,0,Settings!$B$12,1))&lt;Settings!$B$12,NA(),STDEV(OFFSET(G698,1-Settings!$B$12,0,Settings!$B$12,1))*SQRT(Settings!$B$13)))</f>
        <v/>
      </c>
      <c r="L698" s="18">
        <f>IF(AND(ISNUMBER(D698),ISNUMBER(H698)),D698-H698,NA())</f>
        <v/>
      </c>
      <c r="M698" s="18">
        <f>IF(AND(ISNUMBER(E698),ISNUMBER(K698)),E698-K698,NA())</f>
        <v/>
      </c>
      <c r="N698" s="18">
        <f>IF(NOT(ISNUMBER($A698)),NA(),IF(COUNT(OFFSET(G698,1,0,Settings!$B$12,1))&lt;Settings!$B$12,NA(),STDEV(OFFSET(G698,1,0,Settings!$B$12,1))*SQRT(Settings!$B$13)))</f>
        <v/>
      </c>
      <c r="O698" s="18">
        <f>IF(AND(ISNUMBER(E698),ISNUMBER(N698)),E698-N698,NA())</f>
        <v/>
      </c>
      <c r="P698" s="17">
        <f>IF(NOT(ISNUMBER($A698)),NA(),IF(OR($A698&lt;MIN(KW_TP!$A$2:$A$2501),$A698&gt;MAX(KW_TP!$A$2:$A$2501)),NA(),INDEX(KW_TP!$C$2:$C$2501,MATCH($A698,KW_TP!$A$2:$A$2501,1))))</f>
        <v/>
      </c>
    </row>
    <row r="699">
      <c r="A699" s="15">
        <f>IF(ISNUMBER(BBG_Data!A699),BBG_Data!A699,"")</f>
        <v/>
      </c>
      <c r="B699" s="16">
        <f>IF(AND(ISNUMBER($A699),ISNUMBER(BBG_Data!B699)),BBG_Data!B699,NA())</f>
        <v/>
      </c>
      <c r="C699" s="16">
        <f>IF(AND(ISNUMBER($A699),ISNUMBER(BBG_Data!C699)),BBG_Data!C699,NA())</f>
        <v/>
      </c>
      <c r="D699" s="17">
        <f>IF(AND(ISNUMBER($A699),ISNUMBER(BBG_Data!D699)),BBG_Data!D699,NA())</f>
        <v/>
      </c>
      <c r="E699" s="17">
        <f>IF(AND(ISNUMBER($A699),ISNUMBER(BBG_Data!E699)),BBG_Data!E699,NA())</f>
        <v/>
      </c>
      <c r="F699" s="18">
        <f>IF(AND(ISNUMBER(B699),ISNUMBER(B698)),(B699-B698)*100,"")</f>
        <v/>
      </c>
      <c r="G699" s="18">
        <f>IF(AND(ISNUMBER(C699),ISNUMBER(C698)),(C699-C698)*100,"")</f>
        <v/>
      </c>
      <c r="H699" s="18">
        <f>IF(OR(NOT(ISNUMBER($A699)),ROW()-2&lt;Settings!$B$11),NA(),IF(COUNT(OFFSET(F699,1-Settings!$B$11,0,Settings!$B$11,1))&lt;Settings!$B$11,NA(),STDEV(OFFSET(F699,1-Settings!$B$11,0,Settings!$B$11,1))*SQRT(Settings!$B$13)))</f>
        <v/>
      </c>
      <c r="I699" s="18">
        <f>IF(OR(NOT(ISNUMBER($A699)),ROW()-2&lt;Settings!$B$12),NA(),IF(COUNT(OFFSET(F699,1-Settings!$B$12,0,Settings!$B$12,1))&lt;Settings!$B$12,NA(),STDEV(OFFSET(F699,1-Settings!$B$12,0,Settings!$B$12,1))*SQRT(Settings!$B$13)))</f>
        <v/>
      </c>
      <c r="J699" s="18">
        <f>IF(OR(NOT(ISNUMBER($A699)),ROW()-2&lt;Settings!$B$11),NA(),IF(COUNT(OFFSET(G699,1-Settings!$B$11,0,Settings!$B$11,1))&lt;Settings!$B$11,NA(),STDEV(OFFSET(G699,1-Settings!$B$11,0,Settings!$B$11,1))*SQRT(Settings!$B$13)))</f>
        <v/>
      </c>
      <c r="K699" s="18">
        <f>IF(OR(NOT(ISNUMBER($A699)),ROW()-2&lt;Settings!$B$12),NA(),IF(COUNT(OFFSET(G699,1-Settings!$B$12,0,Settings!$B$12,1))&lt;Settings!$B$12,NA(),STDEV(OFFSET(G699,1-Settings!$B$12,0,Settings!$B$12,1))*SQRT(Settings!$B$13)))</f>
        <v/>
      </c>
      <c r="L699" s="18">
        <f>IF(AND(ISNUMBER(D699),ISNUMBER(H699)),D699-H699,NA())</f>
        <v/>
      </c>
      <c r="M699" s="18">
        <f>IF(AND(ISNUMBER(E699),ISNUMBER(K699)),E699-K699,NA())</f>
        <v/>
      </c>
      <c r="N699" s="18">
        <f>IF(NOT(ISNUMBER($A699)),NA(),IF(COUNT(OFFSET(G699,1,0,Settings!$B$12,1))&lt;Settings!$B$12,NA(),STDEV(OFFSET(G699,1,0,Settings!$B$12,1))*SQRT(Settings!$B$13)))</f>
        <v/>
      </c>
      <c r="O699" s="18">
        <f>IF(AND(ISNUMBER(E699),ISNUMBER(N699)),E699-N699,NA())</f>
        <v/>
      </c>
      <c r="P699" s="17">
        <f>IF(NOT(ISNUMBER($A699)),NA(),IF(OR($A699&lt;MIN(KW_TP!$A$2:$A$2501),$A699&gt;MAX(KW_TP!$A$2:$A$2501)),NA(),INDEX(KW_TP!$C$2:$C$2501,MATCH($A699,KW_TP!$A$2:$A$2501,1))))</f>
        <v/>
      </c>
    </row>
    <row r="700">
      <c r="A700" s="15">
        <f>IF(ISNUMBER(BBG_Data!A700),BBG_Data!A700,"")</f>
        <v/>
      </c>
      <c r="B700" s="16">
        <f>IF(AND(ISNUMBER($A700),ISNUMBER(BBG_Data!B700)),BBG_Data!B700,NA())</f>
        <v/>
      </c>
      <c r="C700" s="16">
        <f>IF(AND(ISNUMBER($A700),ISNUMBER(BBG_Data!C700)),BBG_Data!C700,NA())</f>
        <v/>
      </c>
      <c r="D700" s="17">
        <f>IF(AND(ISNUMBER($A700),ISNUMBER(BBG_Data!D700)),BBG_Data!D700,NA())</f>
        <v/>
      </c>
      <c r="E700" s="17">
        <f>IF(AND(ISNUMBER($A700),ISNUMBER(BBG_Data!E700)),BBG_Data!E700,NA())</f>
        <v/>
      </c>
      <c r="F700" s="18">
        <f>IF(AND(ISNUMBER(B700),ISNUMBER(B699)),(B700-B699)*100,"")</f>
        <v/>
      </c>
      <c r="G700" s="18">
        <f>IF(AND(ISNUMBER(C700),ISNUMBER(C699)),(C700-C699)*100,"")</f>
        <v/>
      </c>
      <c r="H700" s="18">
        <f>IF(OR(NOT(ISNUMBER($A700)),ROW()-2&lt;Settings!$B$11),NA(),IF(COUNT(OFFSET(F700,1-Settings!$B$11,0,Settings!$B$11,1))&lt;Settings!$B$11,NA(),STDEV(OFFSET(F700,1-Settings!$B$11,0,Settings!$B$11,1))*SQRT(Settings!$B$13)))</f>
        <v/>
      </c>
      <c r="I700" s="18">
        <f>IF(OR(NOT(ISNUMBER($A700)),ROW()-2&lt;Settings!$B$12),NA(),IF(COUNT(OFFSET(F700,1-Settings!$B$12,0,Settings!$B$12,1))&lt;Settings!$B$12,NA(),STDEV(OFFSET(F700,1-Settings!$B$12,0,Settings!$B$12,1))*SQRT(Settings!$B$13)))</f>
        <v/>
      </c>
      <c r="J700" s="18">
        <f>IF(OR(NOT(ISNUMBER($A700)),ROW()-2&lt;Settings!$B$11),NA(),IF(COUNT(OFFSET(G700,1-Settings!$B$11,0,Settings!$B$11,1))&lt;Settings!$B$11,NA(),STDEV(OFFSET(G700,1-Settings!$B$11,0,Settings!$B$11,1))*SQRT(Settings!$B$13)))</f>
        <v/>
      </c>
      <c r="K700" s="18">
        <f>IF(OR(NOT(ISNUMBER($A700)),ROW()-2&lt;Settings!$B$12),NA(),IF(COUNT(OFFSET(G700,1-Settings!$B$12,0,Settings!$B$12,1))&lt;Settings!$B$12,NA(),STDEV(OFFSET(G700,1-Settings!$B$12,0,Settings!$B$12,1))*SQRT(Settings!$B$13)))</f>
        <v/>
      </c>
      <c r="L700" s="18">
        <f>IF(AND(ISNUMBER(D700),ISNUMBER(H700)),D700-H700,NA())</f>
        <v/>
      </c>
      <c r="M700" s="18">
        <f>IF(AND(ISNUMBER(E700),ISNUMBER(K700)),E700-K700,NA())</f>
        <v/>
      </c>
      <c r="N700" s="18">
        <f>IF(NOT(ISNUMBER($A700)),NA(),IF(COUNT(OFFSET(G700,1,0,Settings!$B$12,1))&lt;Settings!$B$12,NA(),STDEV(OFFSET(G700,1,0,Settings!$B$12,1))*SQRT(Settings!$B$13)))</f>
        <v/>
      </c>
      <c r="O700" s="18">
        <f>IF(AND(ISNUMBER(E700),ISNUMBER(N700)),E700-N700,NA())</f>
        <v/>
      </c>
      <c r="P700" s="17">
        <f>IF(NOT(ISNUMBER($A700)),NA(),IF(OR($A700&lt;MIN(KW_TP!$A$2:$A$2501),$A700&gt;MAX(KW_TP!$A$2:$A$2501)),NA(),INDEX(KW_TP!$C$2:$C$2501,MATCH($A700,KW_TP!$A$2:$A$2501,1))))</f>
        <v/>
      </c>
    </row>
    <row r="701">
      <c r="A701" s="15">
        <f>IF(ISNUMBER(BBG_Data!A701),BBG_Data!A701,"")</f>
        <v/>
      </c>
      <c r="B701" s="16">
        <f>IF(AND(ISNUMBER($A701),ISNUMBER(BBG_Data!B701)),BBG_Data!B701,NA())</f>
        <v/>
      </c>
      <c r="C701" s="16">
        <f>IF(AND(ISNUMBER($A701),ISNUMBER(BBG_Data!C701)),BBG_Data!C701,NA())</f>
        <v/>
      </c>
      <c r="D701" s="17">
        <f>IF(AND(ISNUMBER($A701),ISNUMBER(BBG_Data!D701)),BBG_Data!D701,NA())</f>
        <v/>
      </c>
      <c r="E701" s="17">
        <f>IF(AND(ISNUMBER($A701),ISNUMBER(BBG_Data!E701)),BBG_Data!E701,NA())</f>
        <v/>
      </c>
      <c r="F701" s="18">
        <f>IF(AND(ISNUMBER(B701),ISNUMBER(B700)),(B701-B700)*100,"")</f>
        <v/>
      </c>
      <c r="G701" s="18">
        <f>IF(AND(ISNUMBER(C701),ISNUMBER(C700)),(C701-C700)*100,"")</f>
        <v/>
      </c>
      <c r="H701" s="18">
        <f>IF(OR(NOT(ISNUMBER($A701)),ROW()-2&lt;Settings!$B$11),NA(),IF(COUNT(OFFSET(F701,1-Settings!$B$11,0,Settings!$B$11,1))&lt;Settings!$B$11,NA(),STDEV(OFFSET(F701,1-Settings!$B$11,0,Settings!$B$11,1))*SQRT(Settings!$B$13)))</f>
        <v/>
      </c>
      <c r="I701" s="18">
        <f>IF(OR(NOT(ISNUMBER($A701)),ROW()-2&lt;Settings!$B$12),NA(),IF(COUNT(OFFSET(F701,1-Settings!$B$12,0,Settings!$B$12,1))&lt;Settings!$B$12,NA(),STDEV(OFFSET(F701,1-Settings!$B$12,0,Settings!$B$12,1))*SQRT(Settings!$B$13)))</f>
        <v/>
      </c>
      <c r="J701" s="18">
        <f>IF(OR(NOT(ISNUMBER($A701)),ROW()-2&lt;Settings!$B$11),NA(),IF(COUNT(OFFSET(G701,1-Settings!$B$11,0,Settings!$B$11,1))&lt;Settings!$B$11,NA(),STDEV(OFFSET(G701,1-Settings!$B$11,0,Settings!$B$11,1))*SQRT(Settings!$B$13)))</f>
        <v/>
      </c>
      <c r="K701" s="18">
        <f>IF(OR(NOT(ISNUMBER($A701)),ROW()-2&lt;Settings!$B$12),NA(),IF(COUNT(OFFSET(G701,1-Settings!$B$12,0,Settings!$B$12,1))&lt;Settings!$B$12,NA(),STDEV(OFFSET(G701,1-Settings!$B$12,0,Settings!$B$12,1))*SQRT(Settings!$B$13)))</f>
        <v/>
      </c>
      <c r="L701" s="18">
        <f>IF(AND(ISNUMBER(D701),ISNUMBER(H701)),D701-H701,NA())</f>
        <v/>
      </c>
      <c r="M701" s="18">
        <f>IF(AND(ISNUMBER(E701),ISNUMBER(K701)),E701-K701,NA())</f>
        <v/>
      </c>
      <c r="N701" s="18">
        <f>IF(NOT(ISNUMBER($A701)),NA(),IF(COUNT(OFFSET(G701,1,0,Settings!$B$12,1))&lt;Settings!$B$12,NA(),STDEV(OFFSET(G701,1,0,Settings!$B$12,1))*SQRT(Settings!$B$13)))</f>
        <v/>
      </c>
      <c r="O701" s="18">
        <f>IF(AND(ISNUMBER(E701),ISNUMBER(N701)),E701-N701,NA())</f>
        <v/>
      </c>
      <c r="P701" s="17">
        <f>IF(NOT(ISNUMBER($A701)),NA(),IF(OR($A701&lt;MIN(KW_TP!$A$2:$A$2501),$A701&gt;MAX(KW_TP!$A$2:$A$2501)),NA(),INDEX(KW_TP!$C$2:$C$2501,MATCH($A701,KW_TP!$A$2:$A$2501,1))))</f>
        <v/>
      </c>
    </row>
    <row r="702">
      <c r="A702" s="15">
        <f>IF(ISNUMBER(BBG_Data!A702),BBG_Data!A702,"")</f>
        <v/>
      </c>
      <c r="B702" s="16">
        <f>IF(AND(ISNUMBER($A702),ISNUMBER(BBG_Data!B702)),BBG_Data!B702,NA())</f>
        <v/>
      </c>
      <c r="C702" s="16">
        <f>IF(AND(ISNUMBER($A702),ISNUMBER(BBG_Data!C702)),BBG_Data!C702,NA())</f>
        <v/>
      </c>
      <c r="D702" s="17">
        <f>IF(AND(ISNUMBER($A702),ISNUMBER(BBG_Data!D702)),BBG_Data!D702,NA())</f>
        <v/>
      </c>
      <c r="E702" s="17">
        <f>IF(AND(ISNUMBER($A702),ISNUMBER(BBG_Data!E702)),BBG_Data!E702,NA())</f>
        <v/>
      </c>
      <c r="F702" s="18">
        <f>IF(AND(ISNUMBER(B702),ISNUMBER(B701)),(B702-B701)*100,"")</f>
        <v/>
      </c>
      <c r="G702" s="18">
        <f>IF(AND(ISNUMBER(C702),ISNUMBER(C701)),(C702-C701)*100,"")</f>
        <v/>
      </c>
      <c r="H702" s="18">
        <f>IF(OR(NOT(ISNUMBER($A702)),ROW()-2&lt;Settings!$B$11),NA(),IF(COUNT(OFFSET(F702,1-Settings!$B$11,0,Settings!$B$11,1))&lt;Settings!$B$11,NA(),STDEV(OFFSET(F702,1-Settings!$B$11,0,Settings!$B$11,1))*SQRT(Settings!$B$13)))</f>
        <v/>
      </c>
      <c r="I702" s="18">
        <f>IF(OR(NOT(ISNUMBER($A702)),ROW()-2&lt;Settings!$B$12),NA(),IF(COUNT(OFFSET(F702,1-Settings!$B$12,0,Settings!$B$12,1))&lt;Settings!$B$12,NA(),STDEV(OFFSET(F702,1-Settings!$B$12,0,Settings!$B$12,1))*SQRT(Settings!$B$13)))</f>
        <v/>
      </c>
      <c r="J702" s="18">
        <f>IF(OR(NOT(ISNUMBER($A702)),ROW()-2&lt;Settings!$B$11),NA(),IF(COUNT(OFFSET(G702,1-Settings!$B$11,0,Settings!$B$11,1))&lt;Settings!$B$11,NA(),STDEV(OFFSET(G702,1-Settings!$B$11,0,Settings!$B$11,1))*SQRT(Settings!$B$13)))</f>
        <v/>
      </c>
      <c r="K702" s="18">
        <f>IF(OR(NOT(ISNUMBER($A702)),ROW()-2&lt;Settings!$B$12),NA(),IF(COUNT(OFFSET(G702,1-Settings!$B$12,0,Settings!$B$12,1))&lt;Settings!$B$12,NA(),STDEV(OFFSET(G702,1-Settings!$B$12,0,Settings!$B$12,1))*SQRT(Settings!$B$13)))</f>
        <v/>
      </c>
      <c r="L702" s="18">
        <f>IF(AND(ISNUMBER(D702),ISNUMBER(H702)),D702-H702,NA())</f>
        <v/>
      </c>
      <c r="M702" s="18">
        <f>IF(AND(ISNUMBER(E702),ISNUMBER(K702)),E702-K702,NA())</f>
        <v/>
      </c>
      <c r="N702" s="18">
        <f>IF(NOT(ISNUMBER($A702)),NA(),IF(COUNT(OFFSET(G702,1,0,Settings!$B$12,1))&lt;Settings!$B$12,NA(),STDEV(OFFSET(G702,1,0,Settings!$B$12,1))*SQRT(Settings!$B$13)))</f>
        <v/>
      </c>
      <c r="O702" s="18">
        <f>IF(AND(ISNUMBER(E702),ISNUMBER(N702)),E702-N702,NA())</f>
        <v/>
      </c>
      <c r="P702" s="17">
        <f>IF(NOT(ISNUMBER($A702)),NA(),IF(OR($A702&lt;MIN(KW_TP!$A$2:$A$2501),$A702&gt;MAX(KW_TP!$A$2:$A$2501)),NA(),INDEX(KW_TP!$C$2:$C$2501,MATCH($A702,KW_TP!$A$2:$A$2501,1))))</f>
        <v/>
      </c>
    </row>
    <row r="703">
      <c r="A703" s="15">
        <f>IF(ISNUMBER(BBG_Data!A703),BBG_Data!A703,"")</f>
        <v/>
      </c>
      <c r="B703" s="16">
        <f>IF(AND(ISNUMBER($A703),ISNUMBER(BBG_Data!B703)),BBG_Data!B703,NA())</f>
        <v/>
      </c>
      <c r="C703" s="16">
        <f>IF(AND(ISNUMBER($A703),ISNUMBER(BBG_Data!C703)),BBG_Data!C703,NA())</f>
        <v/>
      </c>
      <c r="D703" s="17">
        <f>IF(AND(ISNUMBER($A703),ISNUMBER(BBG_Data!D703)),BBG_Data!D703,NA())</f>
        <v/>
      </c>
      <c r="E703" s="17">
        <f>IF(AND(ISNUMBER($A703),ISNUMBER(BBG_Data!E703)),BBG_Data!E703,NA())</f>
        <v/>
      </c>
      <c r="F703" s="18">
        <f>IF(AND(ISNUMBER(B703),ISNUMBER(B702)),(B703-B702)*100,"")</f>
        <v/>
      </c>
      <c r="G703" s="18">
        <f>IF(AND(ISNUMBER(C703),ISNUMBER(C702)),(C703-C702)*100,"")</f>
        <v/>
      </c>
      <c r="H703" s="18">
        <f>IF(OR(NOT(ISNUMBER($A703)),ROW()-2&lt;Settings!$B$11),NA(),IF(COUNT(OFFSET(F703,1-Settings!$B$11,0,Settings!$B$11,1))&lt;Settings!$B$11,NA(),STDEV(OFFSET(F703,1-Settings!$B$11,0,Settings!$B$11,1))*SQRT(Settings!$B$13)))</f>
        <v/>
      </c>
      <c r="I703" s="18">
        <f>IF(OR(NOT(ISNUMBER($A703)),ROW()-2&lt;Settings!$B$12),NA(),IF(COUNT(OFFSET(F703,1-Settings!$B$12,0,Settings!$B$12,1))&lt;Settings!$B$12,NA(),STDEV(OFFSET(F703,1-Settings!$B$12,0,Settings!$B$12,1))*SQRT(Settings!$B$13)))</f>
        <v/>
      </c>
      <c r="J703" s="18">
        <f>IF(OR(NOT(ISNUMBER($A703)),ROW()-2&lt;Settings!$B$11),NA(),IF(COUNT(OFFSET(G703,1-Settings!$B$11,0,Settings!$B$11,1))&lt;Settings!$B$11,NA(),STDEV(OFFSET(G703,1-Settings!$B$11,0,Settings!$B$11,1))*SQRT(Settings!$B$13)))</f>
        <v/>
      </c>
      <c r="K703" s="18">
        <f>IF(OR(NOT(ISNUMBER($A703)),ROW()-2&lt;Settings!$B$12),NA(),IF(COUNT(OFFSET(G703,1-Settings!$B$12,0,Settings!$B$12,1))&lt;Settings!$B$12,NA(),STDEV(OFFSET(G703,1-Settings!$B$12,0,Settings!$B$12,1))*SQRT(Settings!$B$13)))</f>
        <v/>
      </c>
      <c r="L703" s="18">
        <f>IF(AND(ISNUMBER(D703),ISNUMBER(H703)),D703-H703,NA())</f>
        <v/>
      </c>
      <c r="M703" s="18">
        <f>IF(AND(ISNUMBER(E703),ISNUMBER(K703)),E703-K703,NA())</f>
        <v/>
      </c>
      <c r="N703" s="18">
        <f>IF(NOT(ISNUMBER($A703)),NA(),IF(COUNT(OFFSET(G703,1,0,Settings!$B$12,1))&lt;Settings!$B$12,NA(),STDEV(OFFSET(G703,1,0,Settings!$B$12,1))*SQRT(Settings!$B$13)))</f>
        <v/>
      </c>
      <c r="O703" s="18">
        <f>IF(AND(ISNUMBER(E703),ISNUMBER(N703)),E703-N703,NA())</f>
        <v/>
      </c>
      <c r="P703" s="17">
        <f>IF(NOT(ISNUMBER($A703)),NA(),IF(OR($A703&lt;MIN(KW_TP!$A$2:$A$2501),$A703&gt;MAX(KW_TP!$A$2:$A$2501)),NA(),INDEX(KW_TP!$C$2:$C$2501,MATCH($A703,KW_TP!$A$2:$A$2501,1))))</f>
        <v/>
      </c>
    </row>
    <row r="704">
      <c r="A704" s="15">
        <f>IF(ISNUMBER(BBG_Data!A704),BBG_Data!A704,"")</f>
        <v/>
      </c>
      <c r="B704" s="16">
        <f>IF(AND(ISNUMBER($A704),ISNUMBER(BBG_Data!B704)),BBG_Data!B704,NA())</f>
        <v/>
      </c>
      <c r="C704" s="16">
        <f>IF(AND(ISNUMBER($A704),ISNUMBER(BBG_Data!C704)),BBG_Data!C704,NA())</f>
        <v/>
      </c>
      <c r="D704" s="17">
        <f>IF(AND(ISNUMBER($A704),ISNUMBER(BBG_Data!D704)),BBG_Data!D704,NA())</f>
        <v/>
      </c>
      <c r="E704" s="17">
        <f>IF(AND(ISNUMBER($A704),ISNUMBER(BBG_Data!E704)),BBG_Data!E704,NA())</f>
        <v/>
      </c>
      <c r="F704" s="18">
        <f>IF(AND(ISNUMBER(B704),ISNUMBER(B703)),(B704-B703)*100,"")</f>
        <v/>
      </c>
      <c r="G704" s="18">
        <f>IF(AND(ISNUMBER(C704),ISNUMBER(C703)),(C704-C703)*100,"")</f>
        <v/>
      </c>
      <c r="H704" s="18">
        <f>IF(OR(NOT(ISNUMBER($A704)),ROW()-2&lt;Settings!$B$11),NA(),IF(COUNT(OFFSET(F704,1-Settings!$B$11,0,Settings!$B$11,1))&lt;Settings!$B$11,NA(),STDEV(OFFSET(F704,1-Settings!$B$11,0,Settings!$B$11,1))*SQRT(Settings!$B$13)))</f>
        <v/>
      </c>
      <c r="I704" s="18">
        <f>IF(OR(NOT(ISNUMBER($A704)),ROW()-2&lt;Settings!$B$12),NA(),IF(COUNT(OFFSET(F704,1-Settings!$B$12,0,Settings!$B$12,1))&lt;Settings!$B$12,NA(),STDEV(OFFSET(F704,1-Settings!$B$12,0,Settings!$B$12,1))*SQRT(Settings!$B$13)))</f>
        <v/>
      </c>
      <c r="J704" s="18">
        <f>IF(OR(NOT(ISNUMBER($A704)),ROW()-2&lt;Settings!$B$11),NA(),IF(COUNT(OFFSET(G704,1-Settings!$B$11,0,Settings!$B$11,1))&lt;Settings!$B$11,NA(),STDEV(OFFSET(G704,1-Settings!$B$11,0,Settings!$B$11,1))*SQRT(Settings!$B$13)))</f>
        <v/>
      </c>
      <c r="K704" s="18">
        <f>IF(OR(NOT(ISNUMBER($A704)),ROW()-2&lt;Settings!$B$12),NA(),IF(COUNT(OFFSET(G704,1-Settings!$B$12,0,Settings!$B$12,1))&lt;Settings!$B$12,NA(),STDEV(OFFSET(G704,1-Settings!$B$12,0,Settings!$B$12,1))*SQRT(Settings!$B$13)))</f>
        <v/>
      </c>
      <c r="L704" s="18">
        <f>IF(AND(ISNUMBER(D704),ISNUMBER(H704)),D704-H704,NA())</f>
        <v/>
      </c>
      <c r="M704" s="18">
        <f>IF(AND(ISNUMBER(E704),ISNUMBER(K704)),E704-K704,NA())</f>
        <v/>
      </c>
      <c r="N704" s="18">
        <f>IF(NOT(ISNUMBER($A704)),NA(),IF(COUNT(OFFSET(G704,1,0,Settings!$B$12,1))&lt;Settings!$B$12,NA(),STDEV(OFFSET(G704,1,0,Settings!$B$12,1))*SQRT(Settings!$B$13)))</f>
        <v/>
      </c>
      <c r="O704" s="18">
        <f>IF(AND(ISNUMBER(E704),ISNUMBER(N704)),E704-N704,NA())</f>
        <v/>
      </c>
      <c r="P704" s="17">
        <f>IF(NOT(ISNUMBER($A704)),NA(),IF(OR($A704&lt;MIN(KW_TP!$A$2:$A$2501),$A704&gt;MAX(KW_TP!$A$2:$A$2501)),NA(),INDEX(KW_TP!$C$2:$C$2501,MATCH($A704,KW_TP!$A$2:$A$2501,1))))</f>
        <v/>
      </c>
    </row>
    <row r="705">
      <c r="A705" s="15">
        <f>IF(ISNUMBER(BBG_Data!A705),BBG_Data!A705,"")</f>
        <v/>
      </c>
      <c r="B705" s="16">
        <f>IF(AND(ISNUMBER($A705),ISNUMBER(BBG_Data!B705)),BBG_Data!B705,NA())</f>
        <v/>
      </c>
      <c r="C705" s="16">
        <f>IF(AND(ISNUMBER($A705),ISNUMBER(BBG_Data!C705)),BBG_Data!C705,NA())</f>
        <v/>
      </c>
      <c r="D705" s="17">
        <f>IF(AND(ISNUMBER($A705),ISNUMBER(BBG_Data!D705)),BBG_Data!D705,NA())</f>
        <v/>
      </c>
      <c r="E705" s="17">
        <f>IF(AND(ISNUMBER($A705),ISNUMBER(BBG_Data!E705)),BBG_Data!E705,NA())</f>
        <v/>
      </c>
      <c r="F705" s="18">
        <f>IF(AND(ISNUMBER(B705),ISNUMBER(B704)),(B705-B704)*100,"")</f>
        <v/>
      </c>
      <c r="G705" s="18">
        <f>IF(AND(ISNUMBER(C705),ISNUMBER(C704)),(C705-C704)*100,"")</f>
        <v/>
      </c>
      <c r="H705" s="18">
        <f>IF(OR(NOT(ISNUMBER($A705)),ROW()-2&lt;Settings!$B$11),NA(),IF(COUNT(OFFSET(F705,1-Settings!$B$11,0,Settings!$B$11,1))&lt;Settings!$B$11,NA(),STDEV(OFFSET(F705,1-Settings!$B$11,0,Settings!$B$11,1))*SQRT(Settings!$B$13)))</f>
        <v/>
      </c>
      <c r="I705" s="18">
        <f>IF(OR(NOT(ISNUMBER($A705)),ROW()-2&lt;Settings!$B$12),NA(),IF(COUNT(OFFSET(F705,1-Settings!$B$12,0,Settings!$B$12,1))&lt;Settings!$B$12,NA(),STDEV(OFFSET(F705,1-Settings!$B$12,0,Settings!$B$12,1))*SQRT(Settings!$B$13)))</f>
        <v/>
      </c>
      <c r="J705" s="18">
        <f>IF(OR(NOT(ISNUMBER($A705)),ROW()-2&lt;Settings!$B$11),NA(),IF(COUNT(OFFSET(G705,1-Settings!$B$11,0,Settings!$B$11,1))&lt;Settings!$B$11,NA(),STDEV(OFFSET(G705,1-Settings!$B$11,0,Settings!$B$11,1))*SQRT(Settings!$B$13)))</f>
        <v/>
      </c>
      <c r="K705" s="18">
        <f>IF(OR(NOT(ISNUMBER($A705)),ROW()-2&lt;Settings!$B$12),NA(),IF(COUNT(OFFSET(G705,1-Settings!$B$12,0,Settings!$B$12,1))&lt;Settings!$B$12,NA(),STDEV(OFFSET(G705,1-Settings!$B$12,0,Settings!$B$12,1))*SQRT(Settings!$B$13)))</f>
        <v/>
      </c>
      <c r="L705" s="18">
        <f>IF(AND(ISNUMBER(D705),ISNUMBER(H705)),D705-H705,NA())</f>
        <v/>
      </c>
      <c r="M705" s="18">
        <f>IF(AND(ISNUMBER(E705),ISNUMBER(K705)),E705-K705,NA())</f>
        <v/>
      </c>
      <c r="N705" s="18">
        <f>IF(NOT(ISNUMBER($A705)),NA(),IF(COUNT(OFFSET(G705,1,0,Settings!$B$12,1))&lt;Settings!$B$12,NA(),STDEV(OFFSET(G705,1,0,Settings!$B$12,1))*SQRT(Settings!$B$13)))</f>
        <v/>
      </c>
      <c r="O705" s="18">
        <f>IF(AND(ISNUMBER(E705),ISNUMBER(N705)),E705-N705,NA())</f>
        <v/>
      </c>
      <c r="P705" s="17">
        <f>IF(NOT(ISNUMBER($A705)),NA(),IF(OR($A705&lt;MIN(KW_TP!$A$2:$A$2501),$A705&gt;MAX(KW_TP!$A$2:$A$2501)),NA(),INDEX(KW_TP!$C$2:$C$2501,MATCH($A705,KW_TP!$A$2:$A$2501,1))))</f>
        <v/>
      </c>
    </row>
    <row r="706">
      <c r="A706" s="15">
        <f>IF(ISNUMBER(BBG_Data!A706),BBG_Data!A706,"")</f>
        <v/>
      </c>
      <c r="B706" s="16">
        <f>IF(AND(ISNUMBER($A706),ISNUMBER(BBG_Data!B706)),BBG_Data!B706,NA())</f>
        <v/>
      </c>
      <c r="C706" s="16">
        <f>IF(AND(ISNUMBER($A706),ISNUMBER(BBG_Data!C706)),BBG_Data!C706,NA())</f>
        <v/>
      </c>
      <c r="D706" s="17">
        <f>IF(AND(ISNUMBER($A706),ISNUMBER(BBG_Data!D706)),BBG_Data!D706,NA())</f>
        <v/>
      </c>
      <c r="E706" s="17">
        <f>IF(AND(ISNUMBER($A706),ISNUMBER(BBG_Data!E706)),BBG_Data!E706,NA())</f>
        <v/>
      </c>
      <c r="F706" s="18">
        <f>IF(AND(ISNUMBER(B706),ISNUMBER(B705)),(B706-B705)*100,"")</f>
        <v/>
      </c>
      <c r="G706" s="18">
        <f>IF(AND(ISNUMBER(C706),ISNUMBER(C705)),(C706-C705)*100,"")</f>
        <v/>
      </c>
      <c r="H706" s="18">
        <f>IF(OR(NOT(ISNUMBER($A706)),ROW()-2&lt;Settings!$B$11),NA(),IF(COUNT(OFFSET(F706,1-Settings!$B$11,0,Settings!$B$11,1))&lt;Settings!$B$11,NA(),STDEV(OFFSET(F706,1-Settings!$B$11,0,Settings!$B$11,1))*SQRT(Settings!$B$13)))</f>
        <v/>
      </c>
      <c r="I706" s="18">
        <f>IF(OR(NOT(ISNUMBER($A706)),ROW()-2&lt;Settings!$B$12),NA(),IF(COUNT(OFFSET(F706,1-Settings!$B$12,0,Settings!$B$12,1))&lt;Settings!$B$12,NA(),STDEV(OFFSET(F706,1-Settings!$B$12,0,Settings!$B$12,1))*SQRT(Settings!$B$13)))</f>
        <v/>
      </c>
      <c r="J706" s="18">
        <f>IF(OR(NOT(ISNUMBER($A706)),ROW()-2&lt;Settings!$B$11),NA(),IF(COUNT(OFFSET(G706,1-Settings!$B$11,0,Settings!$B$11,1))&lt;Settings!$B$11,NA(),STDEV(OFFSET(G706,1-Settings!$B$11,0,Settings!$B$11,1))*SQRT(Settings!$B$13)))</f>
        <v/>
      </c>
      <c r="K706" s="18">
        <f>IF(OR(NOT(ISNUMBER($A706)),ROW()-2&lt;Settings!$B$12),NA(),IF(COUNT(OFFSET(G706,1-Settings!$B$12,0,Settings!$B$12,1))&lt;Settings!$B$12,NA(),STDEV(OFFSET(G706,1-Settings!$B$12,0,Settings!$B$12,1))*SQRT(Settings!$B$13)))</f>
        <v/>
      </c>
      <c r="L706" s="18">
        <f>IF(AND(ISNUMBER(D706),ISNUMBER(H706)),D706-H706,NA())</f>
        <v/>
      </c>
      <c r="M706" s="18">
        <f>IF(AND(ISNUMBER(E706),ISNUMBER(K706)),E706-K706,NA())</f>
        <v/>
      </c>
      <c r="N706" s="18">
        <f>IF(NOT(ISNUMBER($A706)),NA(),IF(COUNT(OFFSET(G706,1,0,Settings!$B$12,1))&lt;Settings!$B$12,NA(),STDEV(OFFSET(G706,1,0,Settings!$B$12,1))*SQRT(Settings!$B$13)))</f>
        <v/>
      </c>
      <c r="O706" s="18">
        <f>IF(AND(ISNUMBER(E706),ISNUMBER(N706)),E706-N706,NA())</f>
        <v/>
      </c>
      <c r="P706" s="17">
        <f>IF(NOT(ISNUMBER($A706)),NA(),IF(OR($A706&lt;MIN(KW_TP!$A$2:$A$2501),$A706&gt;MAX(KW_TP!$A$2:$A$2501)),NA(),INDEX(KW_TP!$C$2:$C$2501,MATCH($A706,KW_TP!$A$2:$A$2501,1))))</f>
        <v/>
      </c>
    </row>
    <row r="707">
      <c r="A707" s="15">
        <f>IF(ISNUMBER(BBG_Data!A707),BBG_Data!A707,"")</f>
        <v/>
      </c>
      <c r="B707" s="16">
        <f>IF(AND(ISNUMBER($A707),ISNUMBER(BBG_Data!B707)),BBG_Data!B707,NA())</f>
        <v/>
      </c>
      <c r="C707" s="16">
        <f>IF(AND(ISNUMBER($A707),ISNUMBER(BBG_Data!C707)),BBG_Data!C707,NA())</f>
        <v/>
      </c>
      <c r="D707" s="17">
        <f>IF(AND(ISNUMBER($A707),ISNUMBER(BBG_Data!D707)),BBG_Data!D707,NA())</f>
        <v/>
      </c>
      <c r="E707" s="17">
        <f>IF(AND(ISNUMBER($A707),ISNUMBER(BBG_Data!E707)),BBG_Data!E707,NA())</f>
        <v/>
      </c>
      <c r="F707" s="18">
        <f>IF(AND(ISNUMBER(B707),ISNUMBER(B706)),(B707-B706)*100,"")</f>
        <v/>
      </c>
      <c r="G707" s="18">
        <f>IF(AND(ISNUMBER(C707),ISNUMBER(C706)),(C707-C706)*100,"")</f>
        <v/>
      </c>
      <c r="H707" s="18">
        <f>IF(OR(NOT(ISNUMBER($A707)),ROW()-2&lt;Settings!$B$11),NA(),IF(COUNT(OFFSET(F707,1-Settings!$B$11,0,Settings!$B$11,1))&lt;Settings!$B$11,NA(),STDEV(OFFSET(F707,1-Settings!$B$11,0,Settings!$B$11,1))*SQRT(Settings!$B$13)))</f>
        <v/>
      </c>
      <c r="I707" s="18">
        <f>IF(OR(NOT(ISNUMBER($A707)),ROW()-2&lt;Settings!$B$12),NA(),IF(COUNT(OFFSET(F707,1-Settings!$B$12,0,Settings!$B$12,1))&lt;Settings!$B$12,NA(),STDEV(OFFSET(F707,1-Settings!$B$12,0,Settings!$B$12,1))*SQRT(Settings!$B$13)))</f>
        <v/>
      </c>
      <c r="J707" s="18">
        <f>IF(OR(NOT(ISNUMBER($A707)),ROW()-2&lt;Settings!$B$11),NA(),IF(COUNT(OFFSET(G707,1-Settings!$B$11,0,Settings!$B$11,1))&lt;Settings!$B$11,NA(),STDEV(OFFSET(G707,1-Settings!$B$11,0,Settings!$B$11,1))*SQRT(Settings!$B$13)))</f>
        <v/>
      </c>
      <c r="K707" s="18">
        <f>IF(OR(NOT(ISNUMBER($A707)),ROW()-2&lt;Settings!$B$12),NA(),IF(COUNT(OFFSET(G707,1-Settings!$B$12,0,Settings!$B$12,1))&lt;Settings!$B$12,NA(),STDEV(OFFSET(G707,1-Settings!$B$12,0,Settings!$B$12,1))*SQRT(Settings!$B$13)))</f>
        <v/>
      </c>
      <c r="L707" s="18">
        <f>IF(AND(ISNUMBER(D707),ISNUMBER(H707)),D707-H707,NA())</f>
        <v/>
      </c>
      <c r="M707" s="18">
        <f>IF(AND(ISNUMBER(E707),ISNUMBER(K707)),E707-K707,NA())</f>
        <v/>
      </c>
      <c r="N707" s="18">
        <f>IF(NOT(ISNUMBER($A707)),NA(),IF(COUNT(OFFSET(G707,1,0,Settings!$B$12,1))&lt;Settings!$B$12,NA(),STDEV(OFFSET(G707,1,0,Settings!$B$12,1))*SQRT(Settings!$B$13)))</f>
        <v/>
      </c>
      <c r="O707" s="18">
        <f>IF(AND(ISNUMBER(E707),ISNUMBER(N707)),E707-N707,NA())</f>
        <v/>
      </c>
      <c r="P707" s="17">
        <f>IF(NOT(ISNUMBER($A707)),NA(),IF(OR($A707&lt;MIN(KW_TP!$A$2:$A$2501),$A707&gt;MAX(KW_TP!$A$2:$A$2501)),NA(),INDEX(KW_TP!$C$2:$C$2501,MATCH($A707,KW_TP!$A$2:$A$2501,1))))</f>
        <v/>
      </c>
    </row>
    <row r="708">
      <c r="A708" s="15">
        <f>IF(ISNUMBER(BBG_Data!A708),BBG_Data!A708,"")</f>
        <v/>
      </c>
      <c r="B708" s="16">
        <f>IF(AND(ISNUMBER($A708),ISNUMBER(BBG_Data!B708)),BBG_Data!B708,NA())</f>
        <v/>
      </c>
      <c r="C708" s="16">
        <f>IF(AND(ISNUMBER($A708),ISNUMBER(BBG_Data!C708)),BBG_Data!C708,NA())</f>
        <v/>
      </c>
      <c r="D708" s="17">
        <f>IF(AND(ISNUMBER($A708),ISNUMBER(BBG_Data!D708)),BBG_Data!D708,NA())</f>
        <v/>
      </c>
      <c r="E708" s="17">
        <f>IF(AND(ISNUMBER($A708),ISNUMBER(BBG_Data!E708)),BBG_Data!E708,NA())</f>
        <v/>
      </c>
      <c r="F708" s="18">
        <f>IF(AND(ISNUMBER(B708),ISNUMBER(B707)),(B708-B707)*100,"")</f>
        <v/>
      </c>
      <c r="G708" s="18">
        <f>IF(AND(ISNUMBER(C708),ISNUMBER(C707)),(C708-C707)*100,"")</f>
        <v/>
      </c>
      <c r="H708" s="18">
        <f>IF(OR(NOT(ISNUMBER($A708)),ROW()-2&lt;Settings!$B$11),NA(),IF(COUNT(OFFSET(F708,1-Settings!$B$11,0,Settings!$B$11,1))&lt;Settings!$B$11,NA(),STDEV(OFFSET(F708,1-Settings!$B$11,0,Settings!$B$11,1))*SQRT(Settings!$B$13)))</f>
        <v/>
      </c>
      <c r="I708" s="18">
        <f>IF(OR(NOT(ISNUMBER($A708)),ROW()-2&lt;Settings!$B$12),NA(),IF(COUNT(OFFSET(F708,1-Settings!$B$12,0,Settings!$B$12,1))&lt;Settings!$B$12,NA(),STDEV(OFFSET(F708,1-Settings!$B$12,0,Settings!$B$12,1))*SQRT(Settings!$B$13)))</f>
        <v/>
      </c>
      <c r="J708" s="18">
        <f>IF(OR(NOT(ISNUMBER($A708)),ROW()-2&lt;Settings!$B$11),NA(),IF(COUNT(OFFSET(G708,1-Settings!$B$11,0,Settings!$B$11,1))&lt;Settings!$B$11,NA(),STDEV(OFFSET(G708,1-Settings!$B$11,0,Settings!$B$11,1))*SQRT(Settings!$B$13)))</f>
        <v/>
      </c>
      <c r="K708" s="18">
        <f>IF(OR(NOT(ISNUMBER($A708)),ROW()-2&lt;Settings!$B$12),NA(),IF(COUNT(OFFSET(G708,1-Settings!$B$12,0,Settings!$B$12,1))&lt;Settings!$B$12,NA(),STDEV(OFFSET(G708,1-Settings!$B$12,0,Settings!$B$12,1))*SQRT(Settings!$B$13)))</f>
        <v/>
      </c>
      <c r="L708" s="18">
        <f>IF(AND(ISNUMBER(D708),ISNUMBER(H708)),D708-H708,NA())</f>
        <v/>
      </c>
      <c r="M708" s="18">
        <f>IF(AND(ISNUMBER(E708),ISNUMBER(K708)),E708-K708,NA())</f>
        <v/>
      </c>
      <c r="N708" s="18">
        <f>IF(NOT(ISNUMBER($A708)),NA(),IF(COUNT(OFFSET(G708,1,0,Settings!$B$12,1))&lt;Settings!$B$12,NA(),STDEV(OFFSET(G708,1,0,Settings!$B$12,1))*SQRT(Settings!$B$13)))</f>
        <v/>
      </c>
      <c r="O708" s="18">
        <f>IF(AND(ISNUMBER(E708),ISNUMBER(N708)),E708-N708,NA())</f>
        <v/>
      </c>
      <c r="P708" s="17">
        <f>IF(NOT(ISNUMBER($A708)),NA(),IF(OR($A708&lt;MIN(KW_TP!$A$2:$A$2501),$A708&gt;MAX(KW_TP!$A$2:$A$2501)),NA(),INDEX(KW_TP!$C$2:$C$2501,MATCH($A708,KW_TP!$A$2:$A$2501,1))))</f>
        <v/>
      </c>
    </row>
    <row r="709">
      <c r="A709" s="15">
        <f>IF(ISNUMBER(BBG_Data!A709),BBG_Data!A709,"")</f>
        <v/>
      </c>
      <c r="B709" s="16">
        <f>IF(AND(ISNUMBER($A709),ISNUMBER(BBG_Data!B709)),BBG_Data!B709,NA())</f>
        <v/>
      </c>
      <c r="C709" s="16">
        <f>IF(AND(ISNUMBER($A709),ISNUMBER(BBG_Data!C709)),BBG_Data!C709,NA())</f>
        <v/>
      </c>
      <c r="D709" s="17">
        <f>IF(AND(ISNUMBER($A709),ISNUMBER(BBG_Data!D709)),BBG_Data!D709,NA())</f>
        <v/>
      </c>
      <c r="E709" s="17">
        <f>IF(AND(ISNUMBER($A709),ISNUMBER(BBG_Data!E709)),BBG_Data!E709,NA())</f>
        <v/>
      </c>
      <c r="F709" s="18">
        <f>IF(AND(ISNUMBER(B709),ISNUMBER(B708)),(B709-B708)*100,"")</f>
        <v/>
      </c>
      <c r="G709" s="18">
        <f>IF(AND(ISNUMBER(C709),ISNUMBER(C708)),(C709-C708)*100,"")</f>
        <v/>
      </c>
      <c r="H709" s="18">
        <f>IF(OR(NOT(ISNUMBER($A709)),ROW()-2&lt;Settings!$B$11),NA(),IF(COUNT(OFFSET(F709,1-Settings!$B$11,0,Settings!$B$11,1))&lt;Settings!$B$11,NA(),STDEV(OFFSET(F709,1-Settings!$B$11,0,Settings!$B$11,1))*SQRT(Settings!$B$13)))</f>
        <v/>
      </c>
      <c r="I709" s="18">
        <f>IF(OR(NOT(ISNUMBER($A709)),ROW()-2&lt;Settings!$B$12),NA(),IF(COUNT(OFFSET(F709,1-Settings!$B$12,0,Settings!$B$12,1))&lt;Settings!$B$12,NA(),STDEV(OFFSET(F709,1-Settings!$B$12,0,Settings!$B$12,1))*SQRT(Settings!$B$13)))</f>
        <v/>
      </c>
      <c r="J709" s="18">
        <f>IF(OR(NOT(ISNUMBER($A709)),ROW()-2&lt;Settings!$B$11),NA(),IF(COUNT(OFFSET(G709,1-Settings!$B$11,0,Settings!$B$11,1))&lt;Settings!$B$11,NA(),STDEV(OFFSET(G709,1-Settings!$B$11,0,Settings!$B$11,1))*SQRT(Settings!$B$13)))</f>
        <v/>
      </c>
      <c r="K709" s="18">
        <f>IF(OR(NOT(ISNUMBER($A709)),ROW()-2&lt;Settings!$B$12),NA(),IF(COUNT(OFFSET(G709,1-Settings!$B$12,0,Settings!$B$12,1))&lt;Settings!$B$12,NA(),STDEV(OFFSET(G709,1-Settings!$B$12,0,Settings!$B$12,1))*SQRT(Settings!$B$13)))</f>
        <v/>
      </c>
      <c r="L709" s="18">
        <f>IF(AND(ISNUMBER(D709),ISNUMBER(H709)),D709-H709,NA())</f>
        <v/>
      </c>
      <c r="M709" s="18">
        <f>IF(AND(ISNUMBER(E709),ISNUMBER(K709)),E709-K709,NA())</f>
        <v/>
      </c>
      <c r="N709" s="18">
        <f>IF(NOT(ISNUMBER($A709)),NA(),IF(COUNT(OFFSET(G709,1,0,Settings!$B$12,1))&lt;Settings!$B$12,NA(),STDEV(OFFSET(G709,1,0,Settings!$B$12,1))*SQRT(Settings!$B$13)))</f>
        <v/>
      </c>
      <c r="O709" s="18">
        <f>IF(AND(ISNUMBER(E709),ISNUMBER(N709)),E709-N709,NA())</f>
        <v/>
      </c>
      <c r="P709" s="17">
        <f>IF(NOT(ISNUMBER($A709)),NA(),IF(OR($A709&lt;MIN(KW_TP!$A$2:$A$2501),$A709&gt;MAX(KW_TP!$A$2:$A$2501)),NA(),INDEX(KW_TP!$C$2:$C$2501,MATCH($A709,KW_TP!$A$2:$A$2501,1))))</f>
        <v/>
      </c>
    </row>
    <row r="710">
      <c r="A710" s="15">
        <f>IF(ISNUMBER(BBG_Data!A710),BBG_Data!A710,"")</f>
        <v/>
      </c>
      <c r="B710" s="16">
        <f>IF(AND(ISNUMBER($A710),ISNUMBER(BBG_Data!B710)),BBG_Data!B710,NA())</f>
        <v/>
      </c>
      <c r="C710" s="16">
        <f>IF(AND(ISNUMBER($A710),ISNUMBER(BBG_Data!C710)),BBG_Data!C710,NA())</f>
        <v/>
      </c>
      <c r="D710" s="17">
        <f>IF(AND(ISNUMBER($A710),ISNUMBER(BBG_Data!D710)),BBG_Data!D710,NA())</f>
        <v/>
      </c>
      <c r="E710" s="17">
        <f>IF(AND(ISNUMBER($A710),ISNUMBER(BBG_Data!E710)),BBG_Data!E710,NA())</f>
        <v/>
      </c>
      <c r="F710" s="18">
        <f>IF(AND(ISNUMBER(B710),ISNUMBER(B709)),(B710-B709)*100,"")</f>
        <v/>
      </c>
      <c r="G710" s="18">
        <f>IF(AND(ISNUMBER(C710),ISNUMBER(C709)),(C710-C709)*100,"")</f>
        <v/>
      </c>
      <c r="H710" s="18">
        <f>IF(OR(NOT(ISNUMBER($A710)),ROW()-2&lt;Settings!$B$11),NA(),IF(COUNT(OFFSET(F710,1-Settings!$B$11,0,Settings!$B$11,1))&lt;Settings!$B$11,NA(),STDEV(OFFSET(F710,1-Settings!$B$11,0,Settings!$B$11,1))*SQRT(Settings!$B$13)))</f>
        <v/>
      </c>
      <c r="I710" s="18">
        <f>IF(OR(NOT(ISNUMBER($A710)),ROW()-2&lt;Settings!$B$12),NA(),IF(COUNT(OFFSET(F710,1-Settings!$B$12,0,Settings!$B$12,1))&lt;Settings!$B$12,NA(),STDEV(OFFSET(F710,1-Settings!$B$12,0,Settings!$B$12,1))*SQRT(Settings!$B$13)))</f>
        <v/>
      </c>
      <c r="J710" s="18">
        <f>IF(OR(NOT(ISNUMBER($A710)),ROW()-2&lt;Settings!$B$11),NA(),IF(COUNT(OFFSET(G710,1-Settings!$B$11,0,Settings!$B$11,1))&lt;Settings!$B$11,NA(),STDEV(OFFSET(G710,1-Settings!$B$11,0,Settings!$B$11,1))*SQRT(Settings!$B$13)))</f>
        <v/>
      </c>
      <c r="K710" s="18">
        <f>IF(OR(NOT(ISNUMBER($A710)),ROW()-2&lt;Settings!$B$12),NA(),IF(COUNT(OFFSET(G710,1-Settings!$B$12,0,Settings!$B$12,1))&lt;Settings!$B$12,NA(),STDEV(OFFSET(G710,1-Settings!$B$12,0,Settings!$B$12,1))*SQRT(Settings!$B$13)))</f>
        <v/>
      </c>
      <c r="L710" s="18">
        <f>IF(AND(ISNUMBER(D710),ISNUMBER(H710)),D710-H710,NA())</f>
        <v/>
      </c>
      <c r="M710" s="18">
        <f>IF(AND(ISNUMBER(E710),ISNUMBER(K710)),E710-K710,NA())</f>
        <v/>
      </c>
      <c r="N710" s="18">
        <f>IF(NOT(ISNUMBER($A710)),NA(),IF(COUNT(OFFSET(G710,1,0,Settings!$B$12,1))&lt;Settings!$B$12,NA(),STDEV(OFFSET(G710,1,0,Settings!$B$12,1))*SQRT(Settings!$B$13)))</f>
        <v/>
      </c>
      <c r="O710" s="18">
        <f>IF(AND(ISNUMBER(E710),ISNUMBER(N710)),E710-N710,NA())</f>
        <v/>
      </c>
      <c r="P710" s="17">
        <f>IF(NOT(ISNUMBER($A710)),NA(),IF(OR($A710&lt;MIN(KW_TP!$A$2:$A$2501),$A710&gt;MAX(KW_TP!$A$2:$A$2501)),NA(),INDEX(KW_TP!$C$2:$C$2501,MATCH($A710,KW_TP!$A$2:$A$2501,1))))</f>
        <v/>
      </c>
    </row>
    <row r="711">
      <c r="A711" s="15">
        <f>IF(ISNUMBER(BBG_Data!A711),BBG_Data!A711,"")</f>
        <v/>
      </c>
      <c r="B711" s="16">
        <f>IF(AND(ISNUMBER($A711),ISNUMBER(BBG_Data!B711)),BBG_Data!B711,NA())</f>
        <v/>
      </c>
      <c r="C711" s="16">
        <f>IF(AND(ISNUMBER($A711),ISNUMBER(BBG_Data!C711)),BBG_Data!C711,NA())</f>
        <v/>
      </c>
      <c r="D711" s="17">
        <f>IF(AND(ISNUMBER($A711),ISNUMBER(BBG_Data!D711)),BBG_Data!D711,NA())</f>
        <v/>
      </c>
      <c r="E711" s="17">
        <f>IF(AND(ISNUMBER($A711),ISNUMBER(BBG_Data!E711)),BBG_Data!E711,NA())</f>
        <v/>
      </c>
      <c r="F711" s="18">
        <f>IF(AND(ISNUMBER(B711),ISNUMBER(B710)),(B711-B710)*100,"")</f>
        <v/>
      </c>
      <c r="G711" s="18">
        <f>IF(AND(ISNUMBER(C711),ISNUMBER(C710)),(C711-C710)*100,"")</f>
        <v/>
      </c>
      <c r="H711" s="18">
        <f>IF(OR(NOT(ISNUMBER($A711)),ROW()-2&lt;Settings!$B$11),NA(),IF(COUNT(OFFSET(F711,1-Settings!$B$11,0,Settings!$B$11,1))&lt;Settings!$B$11,NA(),STDEV(OFFSET(F711,1-Settings!$B$11,0,Settings!$B$11,1))*SQRT(Settings!$B$13)))</f>
        <v/>
      </c>
      <c r="I711" s="18">
        <f>IF(OR(NOT(ISNUMBER($A711)),ROW()-2&lt;Settings!$B$12),NA(),IF(COUNT(OFFSET(F711,1-Settings!$B$12,0,Settings!$B$12,1))&lt;Settings!$B$12,NA(),STDEV(OFFSET(F711,1-Settings!$B$12,0,Settings!$B$12,1))*SQRT(Settings!$B$13)))</f>
        <v/>
      </c>
      <c r="J711" s="18">
        <f>IF(OR(NOT(ISNUMBER($A711)),ROW()-2&lt;Settings!$B$11),NA(),IF(COUNT(OFFSET(G711,1-Settings!$B$11,0,Settings!$B$11,1))&lt;Settings!$B$11,NA(),STDEV(OFFSET(G711,1-Settings!$B$11,0,Settings!$B$11,1))*SQRT(Settings!$B$13)))</f>
        <v/>
      </c>
      <c r="K711" s="18">
        <f>IF(OR(NOT(ISNUMBER($A711)),ROW()-2&lt;Settings!$B$12),NA(),IF(COUNT(OFFSET(G711,1-Settings!$B$12,0,Settings!$B$12,1))&lt;Settings!$B$12,NA(),STDEV(OFFSET(G711,1-Settings!$B$12,0,Settings!$B$12,1))*SQRT(Settings!$B$13)))</f>
        <v/>
      </c>
      <c r="L711" s="18">
        <f>IF(AND(ISNUMBER(D711),ISNUMBER(H711)),D711-H711,NA())</f>
        <v/>
      </c>
      <c r="M711" s="18">
        <f>IF(AND(ISNUMBER(E711),ISNUMBER(K711)),E711-K711,NA())</f>
        <v/>
      </c>
      <c r="N711" s="18">
        <f>IF(NOT(ISNUMBER($A711)),NA(),IF(COUNT(OFFSET(G711,1,0,Settings!$B$12,1))&lt;Settings!$B$12,NA(),STDEV(OFFSET(G711,1,0,Settings!$B$12,1))*SQRT(Settings!$B$13)))</f>
        <v/>
      </c>
      <c r="O711" s="18">
        <f>IF(AND(ISNUMBER(E711),ISNUMBER(N711)),E711-N711,NA())</f>
        <v/>
      </c>
      <c r="P711" s="17">
        <f>IF(NOT(ISNUMBER($A711)),NA(),IF(OR($A711&lt;MIN(KW_TP!$A$2:$A$2501),$A711&gt;MAX(KW_TP!$A$2:$A$2501)),NA(),INDEX(KW_TP!$C$2:$C$2501,MATCH($A711,KW_TP!$A$2:$A$2501,1))))</f>
        <v/>
      </c>
    </row>
    <row r="712">
      <c r="A712" s="15">
        <f>IF(ISNUMBER(BBG_Data!A712),BBG_Data!A712,"")</f>
        <v/>
      </c>
      <c r="B712" s="16">
        <f>IF(AND(ISNUMBER($A712),ISNUMBER(BBG_Data!B712)),BBG_Data!B712,NA())</f>
        <v/>
      </c>
      <c r="C712" s="16">
        <f>IF(AND(ISNUMBER($A712),ISNUMBER(BBG_Data!C712)),BBG_Data!C712,NA())</f>
        <v/>
      </c>
      <c r="D712" s="17">
        <f>IF(AND(ISNUMBER($A712),ISNUMBER(BBG_Data!D712)),BBG_Data!D712,NA())</f>
        <v/>
      </c>
      <c r="E712" s="17">
        <f>IF(AND(ISNUMBER($A712),ISNUMBER(BBG_Data!E712)),BBG_Data!E712,NA())</f>
        <v/>
      </c>
      <c r="F712" s="18">
        <f>IF(AND(ISNUMBER(B712),ISNUMBER(B711)),(B712-B711)*100,"")</f>
        <v/>
      </c>
      <c r="G712" s="18">
        <f>IF(AND(ISNUMBER(C712),ISNUMBER(C711)),(C712-C711)*100,"")</f>
        <v/>
      </c>
      <c r="H712" s="18">
        <f>IF(OR(NOT(ISNUMBER($A712)),ROW()-2&lt;Settings!$B$11),NA(),IF(COUNT(OFFSET(F712,1-Settings!$B$11,0,Settings!$B$11,1))&lt;Settings!$B$11,NA(),STDEV(OFFSET(F712,1-Settings!$B$11,0,Settings!$B$11,1))*SQRT(Settings!$B$13)))</f>
        <v/>
      </c>
      <c r="I712" s="18">
        <f>IF(OR(NOT(ISNUMBER($A712)),ROW()-2&lt;Settings!$B$12),NA(),IF(COUNT(OFFSET(F712,1-Settings!$B$12,0,Settings!$B$12,1))&lt;Settings!$B$12,NA(),STDEV(OFFSET(F712,1-Settings!$B$12,0,Settings!$B$12,1))*SQRT(Settings!$B$13)))</f>
        <v/>
      </c>
      <c r="J712" s="18">
        <f>IF(OR(NOT(ISNUMBER($A712)),ROW()-2&lt;Settings!$B$11),NA(),IF(COUNT(OFFSET(G712,1-Settings!$B$11,0,Settings!$B$11,1))&lt;Settings!$B$11,NA(),STDEV(OFFSET(G712,1-Settings!$B$11,0,Settings!$B$11,1))*SQRT(Settings!$B$13)))</f>
        <v/>
      </c>
      <c r="K712" s="18">
        <f>IF(OR(NOT(ISNUMBER($A712)),ROW()-2&lt;Settings!$B$12),NA(),IF(COUNT(OFFSET(G712,1-Settings!$B$12,0,Settings!$B$12,1))&lt;Settings!$B$12,NA(),STDEV(OFFSET(G712,1-Settings!$B$12,0,Settings!$B$12,1))*SQRT(Settings!$B$13)))</f>
        <v/>
      </c>
      <c r="L712" s="18">
        <f>IF(AND(ISNUMBER(D712),ISNUMBER(H712)),D712-H712,NA())</f>
        <v/>
      </c>
      <c r="M712" s="18">
        <f>IF(AND(ISNUMBER(E712),ISNUMBER(K712)),E712-K712,NA())</f>
        <v/>
      </c>
      <c r="N712" s="18">
        <f>IF(NOT(ISNUMBER($A712)),NA(),IF(COUNT(OFFSET(G712,1,0,Settings!$B$12,1))&lt;Settings!$B$12,NA(),STDEV(OFFSET(G712,1,0,Settings!$B$12,1))*SQRT(Settings!$B$13)))</f>
        <v/>
      </c>
      <c r="O712" s="18">
        <f>IF(AND(ISNUMBER(E712),ISNUMBER(N712)),E712-N712,NA())</f>
        <v/>
      </c>
      <c r="P712" s="17">
        <f>IF(NOT(ISNUMBER($A712)),NA(),IF(OR($A712&lt;MIN(KW_TP!$A$2:$A$2501),$A712&gt;MAX(KW_TP!$A$2:$A$2501)),NA(),INDEX(KW_TP!$C$2:$C$2501,MATCH($A712,KW_TP!$A$2:$A$2501,1))))</f>
        <v/>
      </c>
    </row>
    <row r="713">
      <c r="A713" s="15">
        <f>IF(ISNUMBER(BBG_Data!A713),BBG_Data!A713,"")</f>
        <v/>
      </c>
      <c r="B713" s="16">
        <f>IF(AND(ISNUMBER($A713),ISNUMBER(BBG_Data!B713)),BBG_Data!B713,NA())</f>
        <v/>
      </c>
      <c r="C713" s="16">
        <f>IF(AND(ISNUMBER($A713),ISNUMBER(BBG_Data!C713)),BBG_Data!C713,NA())</f>
        <v/>
      </c>
      <c r="D713" s="17">
        <f>IF(AND(ISNUMBER($A713),ISNUMBER(BBG_Data!D713)),BBG_Data!D713,NA())</f>
        <v/>
      </c>
      <c r="E713" s="17">
        <f>IF(AND(ISNUMBER($A713),ISNUMBER(BBG_Data!E713)),BBG_Data!E713,NA())</f>
        <v/>
      </c>
      <c r="F713" s="18">
        <f>IF(AND(ISNUMBER(B713),ISNUMBER(B712)),(B713-B712)*100,"")</f>
        <v/>
      </c>
      <c r="G713" s="18">
        <f>IF(AND(ISNUMBER(C713),ISNUMBER(C712)),(C713-C712)*100,"")</f>
        <v/>
      </c>
      <c r="H713" s="18">
        <f>IF(OR(NOT(ISNUMBER($A713)),ROW()-2&lt;Settings!$B$11),NA(),IF(COUNT(OFFSET(F713,1-Settings!$B$11,0,Settings!$B$11,1))&lt;Settings!$B$11,NA(),STDEV(OFFSET(F713,1-Settings!$B$11,0,Settings!$B$11,1))*SQRT(Settings!$B$13)))</f>
        <v/>
      </c>
      <c r="I713" s="18">
        <f>IF(OR(NOT(ISNUMBER($A713)),ROW()-2&lt;Settings!$B$12),NA(),IF(COUNT(OFFSET(F713,1-Settings!$B$12,0,Settings!$B$12,1))&lt;Settings!$B$12,NA(),STDEV(OFFSET(F713,1-Settings!$B$12,0,Settings!$B$12,1))*SQRT(Settings!$B$13)))</f>
        <v/>
      </c>
      <c r="J713" s="18">
        <f>IF(OR(NOT(ISNUMBER($A713)),ROW()-2&lt;Settings!$B$11),NA(),IF(COUNT(OFFSET(G713,1-Settings!$B$11,0,Settings!$B$11,1))&lt;Settings!$B$11,NA(),STDEV(OFFSET(G713,1-Settings!$B$11,0,Settings!$B$11,1))*SQRT(Settings!$B$13)))</f>
        <v/>
      </c>
      <c r="K713" s="18">
        <f>IF(OR(NOT(ISNUMBER($A713)),ROW()-2&lt;Settings!$B$12),NA(),IF(COUNT(OFFSET(G713,1-Settings!$B$12,0,Settings!$B$12,1))&lt;Settings!$B$12,NA(),STDEV(OFFSET(G713,1-Settings!$B$12,0,Settings!$B$12,1))*SQRT(Settings!$B$13)))</f>
        <v/>
      </c>
      <c r="L713" s="18">
        <f>IF(AND(ISNUMBER(D713),ISNUMBER(H713)),D713-H713,NA())</f>
        <v/>
      </c>
      <c r="M713" s="18">
        <f>IF(AND(ISNUMBER(E713),ISNUMBER(K713)),E713-K713,NA())</f>
        <v/>
      </c>
      <c r="N713" s="18">
        <f>IF(NOT(ISNUMBER($A713)),NA(),IF(COUNT(OFFSET(G713,1,0,Settings!$B$12,1))&lt;Settings!$B$12,NA(),STDEV(OFFSET(G713,1,0,Settings!$B$12,1))*SQRT(Settings!$B$13)))</f>
        <v/>
      </c>
      <c r="O713" s="18">
        <f>IF(AND(ISNUMBER(E713),ISNUMBER(N713)),E713-N713,NA())</f>
        <v/>
      </c>
      <c r="P713" s="17">
        <f>IF(NOT(ISNUMBER($A713)),NA(),IF(OR($A713&lt;MIN(KW_TP!$A$2:$A$2501),$A713&gt;MAX(KW_TP!$A$2:$A$2501)),NA(),INDEX(KW_TP!$C$2:$C$2501,MATCH($A713,KW_TP!$A$2:$A$2501,1))))</f>
        <v/>
      </c>
    </row>
    <row r="714">
      <c r="A714" s="15">
        <f>IF(ISNUMBER(BBG_Data!A714),BBG_Data!A714,"")</f>
        <v/>
      </c>
      <c r="B714" s="16">
        <f>IF(AND(ISNUMBER($A714),ISNUMBER(BBG_Data!B714)),BBG_Data!B714,NA())</f>
        <v/>
      </c>
      <c r="C714" s="16">
        <f>IF(AND(ISNUMBER($A714),ISNUMBER(BBG_Data!C714)),BBG_Data!C714,NA())</f>
        <v/>
      </c>
      <c r="D714" s="17">
        <f>IF(AND(ISNUMBER($A714),ISNUMBER(BBG_Data!D714)),BBG_Data!D714,NA())</f>
        <v/>
      </c>
      <c r="E714" s="17">
        <f>IF(AND(ISNUMBER($A714),ISNUMBER(BBG_Data!E714)),BBG_Data!E714,NA())</f>
        <v/>
      </c>
      <c r="F714" s="18">
        <f>IF(AND(ISNUMBER(B714),ISNUMBER(B713)),(B714-B713)*100,"")</f>
        <v/>
      </c>
      <c r="G714" s="18">
        <f>IF(AND(ISNUMBER(C714),ISNUMBER(C713)),(C714-C713)*100,"")</f>
        <v/>
      </c>
      <c r="H714" s="18">
        <f>IF(OR(NOT(ISNUMBER($A714)),ROW()-2&lt;Settings!$B$11),NA(),IF(COUNT(OFFSET(F714,1-Settings!$B$11,0,Settings!$B$11,1))&lt;Settings!$B$11,NA(),STDEV(OFFSET(F714,1-Settings!$B$11,0,Settings!$B$11,1))*SQRT(Settings!$B$13)))</f>
        <v/>
      </c>
      <c r="I714" s="18">
        <f>IF(OR(NOT(ISNUMBER($A714)),ROW()-2&lt;Settings!$B$12),NA(),IF(COUNT(OFFSET(F714,1-Settings!$B$12,0,Settings!$B$12,1))&lt;Settings!$B$12,NA(),STDEV(OFFSET(F714,1-Settings!$B$12,0,Settings!$B$12,1))*SQRT(Settings!$B$13)))</f>
        <v/>
      </c>
      <c r="J714" s="18">
        <f>IF(OR(NOT(ISNUMBER($A714)),ROW()-2&lt;Settings!$B$11),NA(),IF(COUNT(OFFSET(G714,1-Settings!$B$11,0,Settings!$B$11,1))&lt;Settings!$B$11,NA(),STDEV(OFFSET(G714,1-Settings!$B$11,0,Settings!$B$11,1))*SQRT(Settings!$B$13)))</f>
        <v/>
      </c>
      <c r="K714" s="18">
        <f>IF(OR(NOT(ISNUMBER($A714)),ROW()-2&lt;Settings!$B$12),NA(),IF(COUNT(OFFSET(G714,1-Settings!$B$12,0,Settings!$B$12,1))&lt;Settings!$B$12,NA(),STDEV(OFFSET(G714,1-Settings!$B$12,0,Settings!$B$12,1))*SQRT(Settings!$B$13)))</f>
        <v/>
      </c>
      <c r="L714" s="18">
        <f>IF(AND(ISNUMBER(D714),ISNUMBER(H714)),D714-H714,NA())</f>
        <v/>
      </c>
      <c r="M714" s="18">
        <f>IF(AND(ISNUMBER(E714),ISNUMBER(K714)),E714-K714,NA())</f>
        <v/>
      </c>
      <c r="N714" s="18">
        <f>IF(NOT(ISNUMBER($A714)),NA(),IF(COUNT(OFFSET(G714,1,0,Settings!$B$12,1))&lt;Settings!$B$12,NA(),STDEV(OFFSET(G714,1,0,Settings!$B$12,1))*SQRT(Settings!$B$13)))</f>
        <v/>
      </c>
      <c r="O714" s="18">
        <f>IF(AND(ISNUMBER(E714),ISNUMBER(N714)),E714-N714,NA())</f>
        <v/>
      </c>
      <c r="P714" s="17">
        <f>IF(NOT(ISNUMBER($A714)),NA(),IF(OR($A714&lt;MIN(KW_TP!$A$2:$A$2501),$A714&gt;MAX(KW_TP!$A$2:$A$2501)),NA(),INDEX(KW_TP!$C$2:$C$2501,MATCH($A714,KW_TP!$A$2:$A$2501,1))))</f>
        <v/>
      </c>
    </row>
    <row r="715">
      <c r="A715" s="15">
        <f>IF(ISNUMBER(BBG_Data!A715),BBG_Data!A715,"")</f>
        <v/>
      </c>
      <c r="B715" s="16">
        <f>IF(AND(ISNUMBER($A715),ISNUMBER(BBG_Data!B715)),BBG_Data!B715,NA())</f>
        <v/>
      </c>
      <c r="C715" s="16">
        <f>IF(AND(ISNUMBER($A715),ISNUMBER(BBG_Data!C715)),BBG_Data!C715,NA())</f>
        <v/>
      </c>
      <c r="D715" s="17">
        <f>IF(AND(ISNUMBER($A715),ISNUMBER(BBG_Data!D715)),BBG_Data!D715,NA())</f>
        <v/>
      </c>
      <c r="E715" s="17">
        <f>IF(AND(ISNUMBER($A715),ISNUMBER(BBG_Data!E715)),BBG_Data!E715,NA())</f>
        <v/>
      </c>
      <c r="F715" s="18">
        <f>IF(AND(ISNUMBER(B715),ISNUMBER(B714)),(B715-B714)*100,"")</f>
        <v/>
      </c>
      <c r="G715" s="18">
        <f>IF(AND(ISNUMBER(C715),ISNUMBER(C714)),(C715-C714)*100,"")</f>
        <v/>
      </c>
      <c r="H715" s="18">
        <f>IF(OR(NOT(ISNUMBER($A715)),ROW()-2&lt;Settings!$B$11),NA(),IF(COUNT(OFFSET(F715,1-Settings!$B$11,0,Settings!$B$11,1))&lt;Settings!$B$11,NA(),STDEV(OFFSET(F715,1-Settings!$B$11,0,Settings!$B$11,1))*SQRT(Settings!$B$13)))</f>
        <v/>
      </c>
      <c r="I715" s="18">
        <f>IF(OR(NOT(ISNUMBER($A715)),ROW()-2&lt;Settings!$B$12),NA(),IF(COUNT(OFFSET(F715,1-Settings!$B$12,0,Settings!$B$12,1))&lt;Settings!$B$12,NA(),STDEV(OFFSET(F715,1-Settings!$B$12,0,Settings!$B$12,1))*SQRT(Settings!$B$13)))</f>
        <v/>
      </c>
      <c r="J715" s="18">
        <f>IF(OR(NOT(ISNUMBER($A715)),ROW()-2&lt;Settings!$B$11),NA(),IF(COUNT(OFFSET(G715,1-Settings!$B$11,0,Settings!$B$11,1))&lt;Settings!$B$11,NA(),STDEV(OFFSET(G715,1-Settings!$B$11,0,Settings!$B$11,1))*SQRT(Settings!$B$13)))</f>
        <v/>
      </c>
      <c r="K715" s="18">
        <f>IF(OR(NOT(ISNUMBER($A715)),ROW()-2&lt;Settings!$B$12),NA(),IF(COUNT(OFFSET(G715,1-Settings!$B$12,0,Settings!$B$12,1))&lt;Settings!$B$12,NA(),STDEV(OFFSET(G715,1-Settings!$B$12,0,Settings!$B$12,1))*SQRT(Settings!$B$13)))</f>
        <v/>
      </c>
      <c r="L715" s="18">
        <f>IF(AND(ISNUMBER(D715),ISNUMBER(H715)),D715-H715,NA())</f>
        <v/>
      </c>
      <c r="M715" s="18">
        <f>IF(AND(ISNUMBER(E715),ISNUMBER(K715)),E715-K715,NA())</f>
        <v/>
      </c>
      <c r="N715" s="18">
        <f>IF(NOT(ISNUMBER($A715)),NA(),IF(COUNT(OFFSET(G715,1,0,Settings!$B$12,1))&lt;Settings!$B$12,NA(),STDEV(OFFSET(G715,1,0,Settings!$B$12,1))*SQRT(Settings!$B$13)))</f>
        <v/>
      </c>
      <c r="O715" s="18">
        <f>IF(AND(ISNUMBER(E715),ISNUMBER(N715)),E715-N715,NA())</f>
        <v/>
      </c>
      <c r="P715" s="17">
        <f>IF(NOT(ISNUMBER($A715)),NA(),IF(OR($A715&lt;MIN(KW_TP!$A$2:$A$2501),$A715&gt;MAX(KW_TP!$A$2:$A$2501)),NA(),INDEX(KW_TP!$C$2:$C$2501,MATCH($A715,KW_TP!$A$2:$A$2501,1))))</f>
        <v/>
      </c>
    </row>
    <row r="716">
      <c r="A716" s="15">
        <f>IF(ISNUMBER(BBG_Data!A716),BBG_Data!A716,"")</f>
        <v/>
      </c>
      <c r="B716" s="16">
        <f>IF(AND(ISNUMBER($A716),ISNUMBER(BBG_Data!B716)),BBG_Data!B716,NA())</f>
        <v/>
      </c>
      <c r="C716" s="16">
        <f>IF(AND(ISNUMBER($A716),ISNUMBER(BBG_Data!C716)),BBG_Data!C716,NA())</f>
        <v/>
      </c>
      <c r="D716" s="17">
        <f>IF(AND(ISNUMBER($A716),ISNUMBER(BBG_Data!D716)),BBG_Data!D716,NA())</f>
        <v/>
      </c>
      <c r="E716" s="17">
        <f>IF(AND(ISNUMBER($A716),ISNUMBER(BBG_Data!E716)),BBG_Data!E716,NA())</f>
        <v/>
      </c>
      <c r="F716" s="18">
        <f>IF(AND(ISNUMBER(B716),ISNUMBER(B715)),(B716-B715)*100,"")</f>
        <v/>
      </c>
      <c r="G716" s="18">
        <f>IF(AND(ISNUMBER(C716),ISNUMBER(C715)),(C716-C715)*100,"")</f>
        <v/>
      </c>
      <c r="H716" s="18">
        <f>IF(OR(NOT(ISNUMBER($A716)),ROW()-2&lt;Settings!$B$11),NA(),IF(COUNT(OFFSET(F716,1-Settings!$B$11,0,Settings!$B$11,1))&lt;Settings!$B$11,NA(),STDEV(OFFSET(F716,1-Settings!$B$11,0,Settings!$B$11,1))*SQRT(Settings!$B$13)))</f>
        <v/>
      </c>
      <c r="I716" s="18">
        <f>IF(OR(NOT(ISNUMBER($A716)),ROW()-2&lt;Settings!$B$12),NA(),IF(COUNT(OFFSET(F716,1-Settings!$B$12,0,Settings!$B$12,1))&lt;Settings!$B$12,NA(),STDEV(OFFSET(F716,1-Settings!$B$12,0,Settings!$B$12,1))*SQRT(Settings!$B$13)))</f>
        <v/>
      </c>
      <c r="J716" s="18">
        <f>IF(OR(NOT(ISNUMBER($A716)),ROW()-2&lt;Settings!$B$11),NA(),IF(COUNT(OFFSET(G716,1-Settings!$B$11,0,Settings!$B$11,1))&lt;Settings!$B$11,NA(),STDEV(OFFSET(G716,1-Settings!$B$11,0,Settings!$B$11,1))*SQRT(Settings!$B$13)))</f>
        <v/>
      </c>
      <c r="K716" s="18">
        <f>IF(OR(NOT(ISNUMBER($A716)),ROW()-2&lt;Settings!$B$12),NA(),IF(COUNT(OFFSET(G716,1-Settings!$B$12,0,Settings!$B$12,1))&lt;Settings!$B$12,NA(),STDEV(OFFSET(G716,1-Settings!$B$12,0,Settings!$B$12,1))*SQRT(Settings!$B$13)))</f>
        <v/>
      </c>
      <c r="L716" s="18">
        <f>IF(AND(ISNUMBER(D716),ISNUMBER(H716)),D716-H716,NA())</f>
        <v/>
      </c>
      <c r="M716" s="18">
        <f>IF(AND(ISNUMBER(E716),ISNUMBER(K716)),E716-K716,NA())</f>
        <v/>
      </c>
      <c r="N716" s="18">
        <f>IF(NOT(ISNUMBER($A716)),NA(),IF(COUNT(OFFSET(G716,1,0,Settings!$B$12,1))&lt;Settings!$B$12,NA(),STDEV(OFFSET(G716,1,0,Settings!$B$12,1))*SQRT(Settings!$B$13)))</f>
        <v/>
      </c>
      <c r="O716" s="18">
        <f>IF(AND(ISNUMBER(E716),ISNUMBER(N716)),E716-N716,NA())</f>
        <v/>
      </c>
      <c r="P716" s="17">
        <f>IF(NOT(ISNUMBER($A716)),NA(),IF(OR($A716&lt;MIN(KW_TP!$A$2:$A$2501),$A716&gt;MAX(KW_TP!$A$2:$A$2501)),NA(),INDEX(KW_TP!$C$2:$C$2501,MATCH($A716,KW_TP!$A$2:$A$2501,1))))</f>
        <v/>
      </c>
    </row>
    <row r="717">
      <c r="A717" s="15">
        <f>IF(ISNUMBER(BBG_Data!A717),BBG_Data!A717,"")</f>
        <v/>
      </c>
      <c r="B717" s="16">
        <f>IF(AND(ISNUMBER($A717),ISNUMBER(BBG_Data!B717)),BBG_Data!B717,NA())</f>
        <v/>
      </c>
      <c r="C717" s="16">
        <f>IF(AND(ISNUMBER($A717),ISNUMBER(BBG_Data!C717)),BBG_Data!C717,NA())</f>
        <v/>
      </c>
      <c r="D717" s="17">
        <f>IF(AND(ISNUMBER($A717),ISNUMBER(BBG_Data!D717)),BBG_Data!D717,NA())</f>
        <v/>
      </c>
      <c r="E717" s="17">
        <f>IF(AND(ISNUMBER($A717),ISNUMBER(BBG_Data!E717)),BBG_Data!E717,NA())</f>
        <v/>
      </c>
      <c r="F717" s="18">
        <f>IF(AND(ISNUMBER(B717),ISNUMBER(B716)),(B717-B716)*100,"")</f>
        <v/>
      </c>
      <c r="G717" s="18">
        <f>IF(AND(ISNUMBER(C717),ISNUMBER(C716)),(C717-C716)*100,"")</f>
        <v/>
      </c>
      <c r="H717" s="18">
        <f>IF(OR(NOT(ISNUMBER($A717)),ROW()-2&lt;Settings!$B$11),NA(),IF(COUNT(OFFSET(F717,1-Settings!$B$11,0,Settings!$B$11,1))&lt;Settings!$B$11,NA(),STDEV(OFFSET(F717,1-Settings!$B$11,0,Settings!$B$11,1))*SQRT(Settings!$B$13)))</f>
        <v/>
      </c>
      <c r="I717" s="18">
        <f>IF(OR(NOT(ISNUMBER($A717)),ROW()-2&lt;Settings!$B$12),NA(),IF(COUNT(OFFSET(F717,1-Settings!$B$12,0,Settings!$B$12,1))&lt;Settings!$B$12,NA(),STDEV(OFFSET(F717,1-Settings!$B$12,0,Settings!$B$12,1))*SQRT(Settings!$B$13)))</f>
        <v/>
      </c>
      <c r="J717" s="18">
        <f>IF(OR(NOT(ISNUMBER($A717)),ROW()-2&lt;Settings!$B$11),NA(),IF(COUNT(OFFSET(G717,1-Settings!$B$11,0,Settings!$B$11,1))&lt;Settings!$B$11,NA(),STDEV(OFFSET(G717,1-Settings!$B$11,0,Settings!$B$11,1))*SQRT(Settings!$B$13)))</f>
        <v/>
      </c>
      <c r="K717" s="18">
        <f>IF(OR(NOT(ISNUMBER($A717)),ROW()-2&lt;Settings!$B$12),NA(),IF(COUNT(OFFSET(G717,1-Settings!$B$12,0,Settings!$B$12,1))&lt;Settings!$B$12,NA(),STDEV(OFFSET(G717,1-Settings!$B$12,0,Settings!$B$12,1))*SQRT(Settings!$B$13)))</f>
        <v/>
      </c>
      <c r="L717" s="18">
        <f>IF(AND(ISNUMBER(D717),ISNUMBER(H717)),D717-H717,NA())</f>
        <v/>
      </c>
      <c r="M717" s="18">
        <f>IF(AND(ISNUMBER(E717),ISNUMBER(K717)),E717-K717,NA())</f>
        <v/>
      </c>
      <c r="N717" s="18">
        <f>IF(NOT(ISNUMBER($A717)),NA(),IF(COUNT(OFFSET(G717,1,0,Settings!$B$12,1))&lt;Settings!$B$12,NA(),STDEV(OFFSET(G717,1,0,Settings!$B$12,1))*SQRT(Settings!$B$13)))</f>
        <v/>
      </c>
      <c r="O717" s="18">
        <f>IF(AND(ISNUMBER(E717),ISNUMBER(N717)),E717-N717,NA())</f>
        <v/>
      </c>
      <c r="P717" s="17">
        <f>IF(NOT(ISNUMBER($A717)),NA(),IF(OR($A717&lt;MIN(KW_TP!$A$2:$A$2501),$A717&gt;MAX(KW_TP!$A$2:$A$2501)),NA(),INDEX(KW_TP!$C$2:$C$2501,MATCH($A717,KW_TP!$A$2:$A$2501,1))))</f>
        <v/>
      </c>
    </row>
    <row r="718">
      <c r="A718" s="15">
        <f>IF(ISNUMBER(BBG_Data!A718),BBG_Data!A718,"")</f>
        <v/>
      </c>
      <c r="B718" s="16">
        <f>IF(AND(ISNUMBER($A718),ISNUMBER(BBG_Data!B718)),BBG_Data!B718,NA())</f>
        <v/>
      </c>
      <c r="C718" s="16">
        <f>IF(AND(ISNUMBER($A718),ISNUMBER(BBG_Data!C718)),BBG_Data!C718,NA())</f>
        <v/>
      </c>
      <c r="D718" s="17">
        <f>IF(AND(ISNUMBER($A718),ISNUMBER(BBG_Data!D718)),BBG_Data!D718,NA())</f>
        <v/>
      </c>
      <c r="E718" s="17">
        <f>IF(AND(ISNUMBER($A718),ISNUMBER(BBG_Data!E718)),BBG_Data!E718,NA())</f>
        <v/>
      </c>
      <c r="F718" s="18">
        <f>IF(AND(ISNUMBER(B718),ISNUMBER(B717)),(B718-B717)*100,"")</f>
        <v/>
      </c>
      <c r="G718" s="18">
        <f>IF(AND(ISNUMBER(C718),ISNUMBER(C717)),(C718-C717)*100,"")</f>
        <v/>
      </c>
      <c r="H718" s="18">
        <f>IF(OR(NOT(ISNUMBER($A718)),ROW()-2&lt;Settings!$B$11),NA(),IF(COUNT(OFFSET(F718,1-Settings!$B$11,0,Settings!$B$11,1))&lt;Settings!$B$11,NA(),STDEV(OFFSET(F718,1-Settings!$B$11,0,Settings!$B$11,1))*SQRT(Settings!$B$13)))</f>
        <v/>
      </c>
      <c r="I718" s="18">
        <f>IF(OR(NOT(ISNUMBER($A718)),ROW()-2&lt;Settings!$B$12),NA(),IF(COUNT(OFFSET(F718,1-Settings!$B$12,0,Settings!$B$12,1))&lt;Settings!$B$12,NA(),STDEV(OFFSET(F718,1-Settings!$B$12,0,Settings!$B$12,1))*SQRT(Settings!$B$13)))</f>
        <v/>
      </c>
      <c r="J718" s="18">
        <f>IF(OR(NOT(ISNUMBER($A718)),ROW()-2&lt;Settings!$B$11),NA(),IF(COUNT(OFFSET(G718,1-Settings!$B$11,0,Settings!$B$11,1))&lt;Settings!$B$11,NA(),STDEV(OFFSET(G718,1-Settings!$B$11,0,Settings!$B$11,1))*SQRT(Settings!$B$13)))</f>
        <v/>
      </c>
      <c r="K718" s="18">
        <f>IF(OR(NOT(ISNUMBER($A718)),ROW()-2&lt;Settings!$B$12),NA(),IF(COUNT(OFFSET(G718,1-Settings!$B$12,0,Settings!$B$12,1))&lt;Settings!$B$12,NA(),STDEV(OFFSET(G718,1-Settings!$B$12,0,Settings!$B$12,1))*SQRT(Settings!$B$13)))</f>
        <v/>
      </c>
      <c r="L718" s="18">
        <f>IF(AND(ISNUMBER(D718),ISNUMBER(H718)),D718-H718,NA())</f>
        <v/>
      </c>
      <c r="M718" s="18">
        <f>IF(AND(ISNUMBER(E718),ISNUMBER(K718)),E718-K718,NA())</f>
        <v/>
      </c>
      <c r="N718" s="18">
        <f>IF(NOT(ISNUMBER($A718)),NA(),IF(COUNT(OFFSET(G718,1,0,Settings!$B$12,1))&lt;Settings!$B$12,NA(),STDEV(OFFSET(G718,1,0,Settings!$B$12,1))*SQRT(Settings!$B$13)))</f>
        <v/>
      </c>
      <c r="O718" s="18">
        <f>IF(AND(ISNUMBER(E718),ISNUMBER(N718)),E718-N718,NA())</f>
        <v/>
      </c>
      <c r="P718" s="17">
        <f>IF(NOT(ISNUMBER($A718)),NA(),IF(OR($A718&lt;MIN(KW_TP!$A$2:$A$2501),$A718&gt;MAX(KW_TP!$A$2:$A$2501)),NA(),INDEX(KW_TP!$C$2:$C$2501,MATCH($A718,KW_TP!$A$2:$A$2501,1))))</f>
        <v/>
      </c>
    </row>
    <row r="719">
      <c r="A719" s="15">
        <f>IF(ISNUMBER(BBG_Data!A719),BBG_Data!A719,"")</f>
        <v/>
      </c>
      <c r="B719" s="16">
        <f>IF(AND(ISNUMBER($A719),ISNUMBER(BBG_Data!B719)),BBG_Data!B719,NA())</f>
        <v/>
      </c>
      <c r="C719" s="16">
        <f>IF(AND(ISNUMBER($A719),ISNUMBER(BBG_Data!C719)),BBG_Data!C719,NA())</f>
        <v/>
      </c>
      <c r="D719" s="17">
        <f>IF(AND(ISNUMBER($A719),ISNUMBER(BBG_Data!D719)),BBG_Data!D719,NA())</f>
        <v/>
      </c>
      <c r="E719" s="17">
        <f>IF(AND(ISNUMBER($A719),ISNUMBER(BBG_Data!E719)),BBG_Data!E719,NA())</f>
        <v/>
      </c>
      <c r="F719" s="18">
        <f>IF(AND(ISNUMBER(B719),ISNUMBER(B718)),(B719-B718)*100,"")</f>
        <v/>
      </c>
      <c r="G719" s="18">
        <f>IF(AND(ISNUMBER(C719),ISNUMBER(C718)),(C719-C718)*100,"")</f>
        <v/>
      </c>
      <c r="H719" s="18">
        <f>IF(OR(NOT(ISNUMBER($A719)),ROW()-2&lt;Settings!$B$11),NA(),IF(COUNT(OFFSET(F719,1-Settings!$B$11,0,Settings!$B$11,1))&lt;Settings!$B$11,NA(),STDEV(OFFSET(F719,1-Settings!$B$11,0,Settings!$B$11,1))*SQRT(Settings!$B$13)))</f>
        <v/>
      </c>
      <c r="I719" s="18">
        <f>IF(OR(NOT(ISNUMBER($A719)),ROW()-2&lt;Settings!$B$12),NA(),IF(COUNT(OFFSET(F719,1-Settings!$B$12,0,Settings!$B$12,1))&lt;Settings!$B$12,NA(),STDEV(OFFSET(F719,1-Settings!$B$12,0,Settings!$B$12,1))*SQRT(Settings!$B$13)))</f>
        <v/>
      </c>
      <c r="J719" s="18">
        <f>IF(OR(NOT(ISNUMBER($A719)),ROW()-2&lt;Settings!$B$11),NA(),IF(COUNT(OFFSET(G719,1-Settings!$B$11,0,Settings!$B$11,1))&lt;Settings!$B$11,NA(),STDEV(OFFSET(G719,1-Settings!$B$11,0,Settings!$B$11,1))*SQRT(Settings!$B$13)))</f>
        <v/>
      </c>
      <c r="K719" s="18">
        <f>IF(OR(NOT(ISNUMBER($A719)),ROW()-2&lt;Settings!$B$12),NA(),IF(COUNT(OFFSET(G719,1-Settings!$B$12,0,Settings!$B$12,1))&lt;Settings!$B$12,NA(),STDEV(OFFSET(G719,1-Settings!$B$12,0,Settings!$B$12,1))*SQRT(Settings!$B$13)))</f>
        <v/>
      </c>
      <c r="L719" s="18">
        <f>IF(AND(ISNUMBER(D719),ISNUMBER(H719)),D719-H719,NA())</f>
        <v/>
      </c>
      <c r="M719" s="18">
        <f>IF(AND(ISNUMBER(E719),ISNUMBER(K719)),E719-K719,NA())</f>
        <v/>
      </c>
      <c r="N719" s="18">
        <f>IF(NOT(ISNUMBER($A719)),NA(),IF(COUNT(OFFSET(G719,1,0,Settings!$B$12,1))&lt;Settings!$B$12,NA(),STDEV(OFFSET(G719,1,0,Settings!$B$12,1))*SQRT(Settings!$B$13)))</f>
        <v/>
      </c>
      <c r="O719" s="18">
        <f>IF(AND(ISNUMBER(E719),ISNUMBER(N719)),E719-N719,NA())</f>
        <v/>
      </c>
      <c r="P719" s="17">
        <f>IF(NOT(ISNUMBER($A719)),NA(),IF(OR($A719&lt;MIN(KW_TP!$A$2:$A$2501),$A719&gt;MAX(KW_TP!$A$2:$A$2501)),NA(),INDEX(KW_TP!$C$2:$C$2501,MATCH($A719,KW_TP!$A$2:$A$2501,1))))</f>
        <v/>
      </c>
    </row>
    <row r="720">
      <c r="A720" s="15">
        <f>IF(ISNUMBER(BBG_Data!A720),BBG_Data!A720,"")</f>
        <v/>
      </c>
      <c r="B720" s="16">
        <f>IF(AND(ISNUMBER($A720),ISNUMBER(BBG_Data!B720)),BBG_Data!B720,NA())</f>
        <v/>
      </c>
      <c r="C720" s="16">
        <f>IF(AND(ISNUMBER($A720),ISNUMBER(BBG_Data!C720)),BBG_Data!C720,NA())</f>
        <v/>
      </c>
      <c r="D720" s="17">
        <f>IF(AND(ISNUMBER($A720),ISNUMBER(BBG_Data!D720)),BBG_Data!D720,NA())</f>
        <v/>
      </c>
      <c r="E720" s="17">
        <f>IF(AND(ISNUMBER($A720),ISNUMBER(BBG_Data!E720)),BBG_Data!E720,NA())</f>
        <v/>
      </c>
      <c r="F720" s="18">
        <f>IF(AND(ISNUMBER(B720),ISNUMBER(B719)),(B720-B719)*100,"")</f>
        <v/>
      </c>
      <c r="G720" s="18">
        <f>IF(AND(ISNUMBER(C720),ISNUMBER(C719)),(C720-C719)*100,"")</f>
        <v/>
      </c>
      <c r="H720" s="18">
        <f>IF(OR(NOT(ISNUMBER($A720)),ROW()-2&lt;Settings!$B$11),NA(),IF(COUNT(OFFSET(F720,1-Settings!$B$11,0,Settings!$B$11,1))&lt;Settings!$B$11,NA(),STDEV(OFFSET(F720,1-Settings!$B$11,0,Settings!$B$11,1))*SQRT(Settings!$B$13)))</f>
        <v/>
      </c>
      <c r="I720" s="18">
        <f>IF(OR(NOT(ISNUMBER($A720)),ROW()-2&lt;Settings!$B$12),NA(),IF(COUNT(OFFSET(F720,1-Settings!$B$12,0,Settings!$B$12,1))&lt;Settings!$B$12,NA(),STDEV(OFFSET(F720,1-Settings!$B$12,0,Settings!$B$12,1))*SQRT(Settings!$B$13)))</f>
        <v/>
      </c>
      <c r="J720" s="18">
        <f>IF(OR(NOT(ISNUMBER($A720)),ROW()-2&lt;Settings!$B$11),NA(),IF(COUNT(OFFSET(G720,1-Settings!$B$11,0,Settings!$B$11,1))&lt;Settings!$B$11,NA(),STDEV(OFFSET(G720,1-Settings!$B$11,0,Settings!$B$11,1))*SQRT(Settings!$B$13)))</f>
        <v/>
      </c>
      <c r="K720" s="18">
        <f>IF(OR(NOT(ISNUMBER($A720)),ROW()-2&lt;Settings!$B$12),NA(),IF(COUNT(OFFSET(G720,1-Settings!$B$12,0,Settings!$B$12,1))&lt;Settings!$B$12,NA(),STDEV(OFFSET(G720,1-Settings!$B$12,0,Settings!$B$12,1))*SQRT(Settings!$B$13)))</f>
        <v/>
      </c>
      <c r="L720" s="18">
        <f>IF(AND(ISNUMBER(D720),ISNUMBER(H720)),D720-H720,NA())</f>
        <v/>
      </c>
      <c r="M720" s="18">
        <f>IF(AND(ISNUMBER(E720),ISNUMBER(K720)),E720-K720,NA())</f>
        <v/>
      </c>
      <c r="N720" s="18">
        <f>IF(NOT(ISNUMBER($A720)),NA(),IF(COUNT(OFFSET(G720,1,0,Settings!$B$12,1))&lt;Settings!$B$12,NA(),STDEV(OFFSET(G720,1,0,Settings!$B$12,1))*SQRT(Settings!$B$13)))</f>
        <v/>
      </c>
      <c r="O720" s="18">
        <f>IF(AND(ISNUMBER(E720),ISNUMBER(N720)),E720-N720,NA())</f>
        <v/>
      </c>
      <c r="P720" s="17">
        <f>IF(NOT(ISNUMBER($A720)),NA(),IF(OR($A720&lt;MIN(KW_TP!$A$2:$A$2501),$A720&gt;MAX(KW_TP!$A$2:$A$2501)),NA(),INDEX(KW_TP!$C$2:$C$2501,MATCH($A720,KW_TP!$A$2:$A$2501,1))))</f>
        <v/>
      </c>
    </row>
    <row r="721">
      <c r="A721" s="15">
        <f>IF(ISNUMBER(BBG_Data!A721),BBG_Data!A721,"")</f>
        <v/>
      </c>
      <c r="B721" s="16">
        <f>IF(AND(ISNUMBER($A721),ISNUMBER(BBG_Data!B721)),BBG_Data!B721,NA())</f>
        <v/>
      </c>
      <c r="C721" s="16">
        <f>IF(AND(ISNUMBER($A721),ISNUMBER(BBG_Data!C721)),BBG_Data!C721,NA())</f>
        <v/>
      </c>
      <c r="D721" s="17">
        <f>IF(AND(ISNUMBER($A721),ISNUMBER(BBG_Data!D721)),BBG_Data!D721,NA())</f>
        <v/>
      </c>
      <c r="E721" s="17">
        <f>IF(AND(ISNUMBER($A721),ISNUMBER(BBG_Data!E721)),BBG_Data!E721,NA())</f>
        <v/>
      </c>
      <c r="F721" s="18">
        <f>IF(AND(ISNUMBER(B721),ISNUMBER(B720)),(B721-B720)*100,"")</f>
        <v/>
      </c>
      <c r="G721" s="18">
        <f>IF(AND(ISNUMBER(C721),ISNUMBER(C720)),(C721-C720)*100,"")</f>
        <v/>
      </c>
      <c r="H721" s="18">
        <f>IF(OR(NOT(ISNUMBER($A721)),ROW()-2&lt;Settings!$B$11),NA(),IF(COUNT(OFFSET(F721,1-Settings!$B$11,0,Settings!$B$11,1))&lt;Settings!$B$11,NA(),STDEV(OFFSET(F721,1-Settings!$B$11,0,Settings!$B$11,1))*SQRT(Settings!$B$13)))</f>
        <v/>
      </c>
      <c r="I721" s="18">
        <f>IF(OR(NOT(ISNUMBER($A721)),ROW()-2&lt;Settings!$B$12),NA(),IF(COUNT(OFFSET(F721,1-Settings!$B$12,0,Settings!$B$12,1))&lt;Settings!$B$12,NA(),STDEV(OFFSET(F721,1-Settings!$B$12,0,Settings!$B$12,1))*SQRT(Settings!$B$13)))</f>
        <v/>
      </c>
      <c r="J721" s="18">
        <f>IF(OR(NOT(ISNUMBER($A721)),ROW()-2&lt;Settings!$B$11),NA(),IF(COUNT(OFFSET(G721,1-Settings!$B$11,0,Settings!$B$11,1))&lt;Settings!$B$11,NA(),STDEV(OFFSET(G721,1-Settings!$B$11,0,Settings!$B$11,1))*SQRT(Settings!$B$13)))</f>
        <v/>
      </c>
      <c r="K721" s="18">
        <f>IF(OR(NOT(ISNUMBER($A721)),ROW()-2&lt;Settings!$B$12),NA(),IF(COUNT(OFFSET(G721,1-Settings!$B$12,0,Settings!$B$12,1))&lt;Settings!$B$12,NA(),STDEV(OFFSET(G721,1-Settings!$B$12,0,Settings!$B$12,1))*SQRT(Settings!$B$13)))</f>
        <v/>
      </c>
      <c r="L721" s="18">
        <f>IF(AND(ISNUMBER(D721),ISNUMBER(H721)),D721-H721,NA())</f>
        <v/>
      </c>
      <c r="M721" s="18">
        <f>IF(AND(ISNUMBER(E721),ISNUMBER(K721)),E721-K721,NA())</f>
        <v/>
      </c>
      <c r="N721" s="18">
        <f>IF(NOT(ISNUMBER($A721)),NA(),IF(COUNT(OFFSET(G721,1,0,Settings!$B$12,1))&lt;Settings!$B$12,NA(),STDEV(OFFSET(G721,1,0,Settings!$B$12,1))*SQRT(Settings!$B$13)))</f>
        <v/>
      </c>
      <c r="O721" s="18">
        <f>IF(AND(ISNUMBER(E721),ISNUMBER(N721)),E721-N721,NA())</f>
        <v/>
      </c>
      <c r="P721" s="17">
        <f>IF(NOT(ISNUMBER($A721)),NA(),IF(OR($A721&lt;MIN(KW_TP!$A$2:$A$2501),$A721&gt;MAX(KW_TP!$A$2:$A$2501)),NA(),INDEX(KW_TP!$C$2:$C$2501,MATCH($A721,KW_TP!$A$2:$A$2501,1))))</f>
        <v/>
      </c>
    </row>
    <row r="722">
      <c r="A722" s="15">
        <f>IF(ISNUMBER(BBG_Data!A722),BBG_Data!A722,"")</f>
        <v/>
      </c>
      <c r="B722" s="16">
        <f>IF(AND(ISNUMBER($A722),ISNUMBER(BBG_Data!B722)),BBG_Data!B722,NA())</f>
        <v/>
      </c>
      <c r="C722" s="16">
        <f>IF(AND(ISNUMBER($A722),ISNUMBER(BBG_Data!C722)),BBG_Data!C722,NA())</f>
        <v/>
      </c>
      <c r="D722" s="17">
        <f>IF(AND(ISNUMBER($A722),ISNUMBER(BBG_Data!D722)),BBG_Data!D722,NA())</f>
        <v/>
      </c>
      <c r="E722" s="17">
        <f>IF(AND(ISNUMBER($A722),ISNUMBER(BBG_Data!E722)),BBG_Data!E722,NA())</f>
        <v/>
      </c>
      <c r="F722" s="18">
        <f>IF(AND(ISNUMBER(B722),ISNUMBER(B721)),(B722-B721)*100,"")</f>
        <v/>
      </c>
      <c r="G722" s="18">
        <f>IF(AND(ISNUMBER(C722),ISNUMBER(C721)),(C722-C721)*100,"")</f>
        <v/>
      </c>
      <c r="H722" s="18">
        <f>IF(OR(NOT(ISNUMBER($A722)),ROW()-2&lt;Settings!$B$11),NA(),IF(COUNT(OFFSET(F722,1-Settings!$B$11,0,Settings!$B$11,1))&lt;Settings!$B$11,NA(),STDEV(OFFSET(F722,1-Settings!$B$11,0,Settings!$B$11,1))*SQRT(Settings!$B$13)))</f>
        <v/>
      </c>
      <c r="I722" s="18">
        <f>IF(OR(NOT(ISNUMBER($A722)),ROW()-2&lt;Settings!$B$12),NA(),IF(COUNT(OFFSET(F722,1-Settings!$B$12,0,Settings!$B$12,1))&lt;Settings!$B$12,NA(),STDEV(OFFSET(F722,1-Settings!$B$12,0,Settings!$B$12,1))*SQRT(Settings!$B$13)))</f>
        <v/>
      </c>
      <c r="J722" s="18">
        <f>IF(OR(NOT(ISNUMBER($A722)),ROW()-2&lt;Settings!$B$11),NA(),IF(COUNT(OFFSET(G722,1-Settings!$B$11,0,Settings!$B$11,1))&lt;Settings!$B$11,NA(),STDEV(OFFSET(G722,1-Settings!$B$11,0,Settings!$B$11,1))*SQRT(Settings!$B$13)))</f>
        <v/>
      </c>
      <c r="K722" s="18">
        <f>IF(OR(NOT(ISNUMBER($A722)),ROW()-2&lt;Settings!$B$12),NA(),IF(COUNT(OFFSET(G722,1-Settings!$B$12,0,Settings!$B$12,1))&lt;Settings!$B$12,NA(),STDEV(OFFSET(G722,1-Settings!$B$12,0,Settings!$B$12,1))*SQRT(Settings!$B$13)))</f>
        <v/>
      </c>
      <c r="L722" s="18">
        <f>IF(AND(ISNUMBER(D722),ISNUMBER(H722)),D722-H722,NA())</f>
        <v/>
      </c>
      <c r="M722" s="18">
        <f>IF(AND(ISNUMBER(E722),ISNUMBER(K722)),E722-K722,NA())</f>
        <v/>
      </c>
      <c r="N722" s="18">
        <f>IF(NOT(ISNUMBER($A722)),NA(),IF(COUNT(OFFSET(G722,1,0,Settings!$B$12,1))&lt;Settings!$B$12,NA(),STDEV(OFFSET(G722,1,0,Settings!$B$12,1))*SQRT(Settings!$B$13)))</f>
        <v/>
      </c>
      <c r="O722" s="18">
        <f>IF(AND(ISNUMBER(E722),ISNUMBER(N722)),E722-N722,NA())</f>
        <v/>
      </c>
      <c r="P722" s="17">
        <f>IF(NOT(ISNUMBER($A722)),NA(),IF(OR($A722&lt;MIN(KW_TP!$A$2:$A$2501),$A722&gt;MAX(KW_TP!$A$2:$A$2501)),NA(),INDEX(KW_TP!$C$2:$C$2501,MATCH($A722,KW_TP!$A$2:$A$2501,1))))</f>
        <v/>
      </c>
    </row>
    <row r="723">
      <c r="A723" s="15">
        <f>IF(ISNUMBER(BBG_Data!A723),BBG_Data!A723,"")</f>
        <v/>
      </c>
      <c r="B723" s="16">
        <f>IF(AND(ISNUMBER($A723),ISNUMBER(BBG_Data!B723)),BBG_Data!B723,NA())</f>
        <v/>
      </c>
      <c r="C723" s="16">
        <f>IF(AND(ISNUMBER($A723),ISNUMBER(BBG_Data!C723)),BBG_Data!C723,NA())</f>
        <v/>
      </c>
      <c r="D723" s="17">
        <f>IF(AND(ISNUMBER($A723),ISNUMBER(BBG_Data!D723)),BBG_Data!D723,NA())</f>
        <v/>
      </c>
      <c r="E723" s="17">
        <f>IF(AND(ISNUMBER($A723),ISNUMBER(BBG_Data!E723)),BBG_Data!E723,NA())</f>
        <v/>
      </c>
      <c r="F723" s="18">
        <f>IF(AND(ISNUMBER(B723),ISNUMBER(B722)),(B723-B722)*100,"")</f>
        <v/>
      </c>
      <c r="G723" s="18">
        <f>IF(AND(ISNUMBER(C723),ISNUMBER(C722)),(C723-C722)*100,"")</f>
        <v/>
      </c>
      <c r="H723" s="18">
        <f>IF(OR(NOT(ISNUMBER($A723)),ROW()-2&lt;Settings!$B$11),NA(),IF(COUNT(OFFSET(F723,1-Settings!$B$11,0,Settings!$B$11,1))&lt;Settings!$B$11,NA(),STDEV(OFFSET(F723,1-Settings!$B$11,0,Settings!$B$11,1))*SQRT(Settings!$B$13)))</f>
        <v/>
      </c>
      <c r="I723" s="18">
        <f>IF(OR(NOT(ISNUMBER($A723)),ROW()-2&lt;Settings!$B$12),NA(),IF(COUNT(OFFSET(F723,1-Settings!$B$12,0,Settings!$B$12,1))&lt;Settings!$B$12,NA(),STDEV(OFFSET(F723,1-Settings!$B$12,0,Settings!$B$12,1))*SQRT(Settings!$B$13)))</f>
        <v/>
      </c>
      <c r="J723" s="18">
        <f>IF(OR(NOT(ISNUMBER($A723)),ROW()-2&lt;Settings!$B$11),NA(),IF(COUNT(OFFSET(G723,1-Settings!$B$11,0,Settings!$B$11,1))&lt;Settings!$B$11,NA(),STDEV(OFFSET(G723,1-Settings!$B$11,0,Settings!$B$11,1))*SQRT(Settings!$B$13)))</f>
        <v/>
      </c>
      <c r="K723" s="18">
        <f>IF(OR(NOT(ISNUMBER($A723)),ROW()-2&lt;Settings!$B$12),NA(),IF(COUNT(OFFSET(G723,1-Settings!$B$12,0,Settings!$B$12,1))&lt;Settings!$B$12,NA(),STDEV(OFFSET(G723,1-Settings!$B$12,0,Settings!$B$12,1))*SQRT(Settings!$B$13)))</f>
        <v/>
      </c>
      <c r="L723" s="18">
        <f>IF(AND(ISNUMBER(D723),ISNUMBER(H723)),D723-H723,NA())</f>
        <v/>
      </c>
      <c r="M723" s="18">
        <f>IF(AND(ISNUMBER(E723),ISNUMBER(K723)),E723-K723,NA())</f>
        <v/>
      </c>
      <c r="N723" s="18">
        <f>IF(NOT(ISNUMBER($A723)),NA(),IF(COUNT(OFFSET(G723,1,0,Settings!$B$12,1))&lt;Settings!$B$12,NA(),STDEV(OFFSET(G723,1,0,Settings!$B$12,1))*SQRT(Settings!$B$13)))</f>
        <v/>
      </c>
      <c r="O723" s="18">
        <f>IF(AND(ISNUMBER(E723),ISNUMBER(N723)),E723-N723,NA())</f>
        <v/>
      </c>
      <c r="P723" s="17">
        <f>IF(NOT(ISNUMBER($A723)),NA(),IF(OR($A723&lt;MIN(KW_TP!$A$2:$A$2501),$A723&gt;MAX(KW_TP!$A$2:$A$2501)),NA(),INDEX(KW_TP!$C$2:$C$2501,MATCH($A723,KW_TP!$A$2:$A$2501,1))))</f>
        <v/>
      </c>
    </row>
    <row r="724">
      <c r="A724" s="15">
        <f>IF(ISNUMBER(BBG_Data!A724),BBG_Data!A724,"")</f>
        <v/>
      </c>
      <c r="B724" s="16">
        <f>IF(AND(ISNUMBER($A724),ISNUMBER(BBG_Data!B724)),BBG_Data!B724,NA())</f>
        <v/>
      </c>
      <c r="C724" s="16">
        <f>IF(AND(ISNUMBER($A724),ISNUMBER(BBG_Data!C724)),BBG_Data!C724,NA())</f>
        <v/>
      </c>
      <c r="D724" s="17">
        <f>IF(AND(ISNUMBER($A724),ISNUMBER(BBG_Data!D724)),BBG_Data!D724,NA())</f>
        <v/>
      </c>
      <c r="E724" s="17">
        <f>IF(AND(ISNUMBER($A724),ISNUMBER(BBG_Data!E724)),BBG_Data!E724,NA())</f>
        <v/>
      </c>
      <c r="F724" s="18">
        <f>IF(AND(ISNUMBER(B724),ISNUMBER(B723)),(B724-B723)*100,"")</f>
        <v/>
      </c>
      <c r="G724" s="18">
        <f>IF(AND(ISNUMBER(C724),ISNUMBER(C723)),(C724-C723)*100,"")</f>
        <v/>
      </c>
      <c r="H724" s="18">
        <f>IF(OR(NOT(ISNUMBER($A724)),ROW()-2&lt;Settings!$B$11),NA(),IF(COUNT(OFFSET(F724,1-Settings!$B$11,0,Settings!$B$11,1))&lt;Settings!$B$11,NA(),STDEV(OFFSET(F724,1-Settings!$B$11,0,Settings!$B$11,1))*SQRT(Settings!$B$13)))</f>
        <v/>
      </c>
      <c r="I724" s="18">
        <f>IF(OR(NOT(ISNUMBER($A724)),ROW()-2&lt;Settings!$B$12),NA(),IF(COUNT(OFFSET(F724,1-Settings!$B$12,0,Settings!$B$12,1))&lt;Settings!$B$12,NA(),STDEV(OFFSET(F724,1-Settings!$B$12,0,Settings!$B$12,1))*SQRT(Settings!$B$13)))</f>
        <v/>
      </c>
      <c r="J724" s="18">
        <f>IF(OR(NOT(ISNUMBER($A724)),ROW()-2&lt;Settings!$B$11),NA(),IF(COUNT(OFFSET(G724,1-Settings!$B$11,0,Settings!$B$11,1))&lt;Settings!$B$11,NA(),STDEV(OFFSET(G724,1-Settings!$B$11,0,Settings!$B$11,1))*SQRT(Settings!$B$13)))</f>
        <v/>
      </c>
      <c r="K724" s="18">
        <f>IF(OR(NOT(ISNUMBER($A724)),ROW()-2&lt;Settings!$B$12),NA(),IF(COUNT(OFFSET(G724,1-Settings!$B$12,0,Settings!$B$12,1))&lt;Settings!$B$12,NA(),STDEV(OFFSET(G724,1-Settings!$B$12,0,Settings!$B$12,1))*SQRT(Settings!$B$13)))</f>
        <v/>
      </c>
      <c r="L724" s="18">
        <f>IF(AND(ISNUMBER(D724),ISNUMBER(H724)),D724-H724,NA())</f>
        <v/>
      </c>
      <c r="M724" s="18">
        <f>IF(AND(ISNUMBER(E724),ISNUMBER(K724)),E724-K724,NA())</f>
        <v/>
      </c>
      <c r="N724" s="18">
        <f>IF(NOT(ISNUMBER($A724)),NA(),IF(COUNT(OFFSET(G724,1,0,Settings!$B$12,1))&lt;Settings!$B$12,NA(),STDEV(OFFSET(G724,1,0,Settings!$B$12,1))*SQRT(Settings!$B$13)))</f>
        <v/>
      </c>
      <c r="O724" s="18">
        <f>IF(AND(ISNUMBER(E724),ISNUMBER(N724)),E724-N724,NA())</f>
        <v/>
      </c>
      <c r="P724" s="17">
        <f>IF(NOT(ISNUMBER($A724)),NA(),IF(OR($A724&lt;MIN(KW_TP!$A$2:$A$2501),$A724&gt;MAX(KW_TP!$A$2:$A$2501)),NA(),INDEX(KW_TP!$C$2:$C$2501,MATCH($A724,KW_TP!$A$2:$A$2501,1))))</f>
        <v/>
      </c>
    </row>
    <row r="725">
      <c r="A725" s="15">
        <f>IF(ISNUMBER(BBG_Data!A725),BBG_Data!A725,"")</f>
        <v/>
      </c>
      <c r="B725" s="16">
        <f>IF(AND(ISNUMBER($A725),ISNUMBER(BBG_Data!B725)),BBG_Data!B725,NA())</f>
        <v/>
      </c>
      <c r="C725" s="16">
        <f>IF(AND(ISNUMBER($A725),ISNUMBER(BBG_Data!C725)),BBG_Data!C725,NA())</f>
        <v/>
      </c>
      <c r="D725" s="17">
        <f>IF(AND(ISNUMBER($A725),ISNUMBER(BBG_Data!D725)),BBG_Data!D725,NA())</f>
        <v/>
      </c>
      <c r="E725" s="17">
        <f>IF(AND(ISNUMBER($A725),ISNUMBER(BBG_Data!E725)),BBG_Data!E725,NA())</f>
        <v/>
      </c>
      <c r="F725" s="18">
        <f>IF(AND(ISNUMBER(B725),ISNUMBER(B724)),(B725-B724)*100,"")</f>
        <v/>
      </c>
      <c r="G725" s="18">
        <f>IF(AND(ISNUMBER(C725),ISNUMBER(C724)),(C725-C724)*100,"")</f>
        <v/>
      </c>
      <c r="H725" s="18">
        <f>IF(OR(NOT(ISNUMBER($A725)),ROW()-2&lt;Settings!$B$11),NA(),IF(COUNT(OFFSET(F725,1-Settings!$B$11,0,Settings!$B$11,1))&lt;Settings!$B$11,NA(),STDEV(OFFSET(F725,1-Settings!$B$11,0,Settings!$B$11,1))*SQRT(Settings!$B$13)))</f>
        <v/>
      </c>
      <c r="I725" s="18">
        <f>IF(OR(NOT(ISNUMBER($A725)),ROW()-2&lt;Settings!$B$12),NA(),IF(COUNT(OFFSET(F725,1-Settings!$B$12,0,Settings!$B$12,1))&lt;Settings!$B$12,NA(),STDEV(OFFSET(F725,1-Settings!$B$12,0,Settings!$B$12,1))*SQRT(Settings!$B$13)))</f>
        <v/>
      </c>
      <c r="J725" s="18">
        <f>IF(OR(NOT(ISNUMBER($A725)),ROW()-2&lt;Settings!$B$11),NA(),IF(COUNT(OFFSET(G725,1-Settings!$B$11,0,Settings!$B$11,1))&lt;Settings!$B$11,NA(),STDEV(OFFSET(G725,1-Settings!$B$11,0,Settings!$B$11,1))*SQRT(Settings!$B$13)))</f>
        <v/>
      </c>
      <c r="K725" s="18">
        <f>IF(OR(NOT(ISNUMBER($A725)),ROW()-2&lt;Settings!$B$12),NA(),IF(COUNT(OFFSET(G725,1-Settings!$B$12,0,Settings!$B$12,1))&lt;Settings!$B$12,NA(),STDEV(OFFSET(G725,1-Settings!$B$12,0,Settings!$B$12,1))*SQRT(Settings!$B$13)))</f>
        <v/>
      </c>
      <c r="L725" s="18">
        <f>IF(AND(ISNUMBER(D725),ISNUMBER(H725)),D725-H725,NA())</f>
        <v/>
      </c>
      <c r="M725" s="18">
        <f>IF(AND(ISNUMBER(E725),ISNUMBER(K725)),E725-K725,NA())</f>
        <v/>
      </c>
      <c r="N725" s="18">
        <f>IF(NOT(ISNUMBER($A725)),NA(),IF(COUNT(OFFSET(G725,1,0,Settings!$B$12,1))&lt;Settings!$B$12,NA(),STDEV(OFFSET(G725,1,0,Settings!$B$12,1))*SQRT(Settings!$B$13)))</f>
        <v/>
      </c>
      <c r="O725" s="18">
        <f>IF(AND(ISNUMBER(E725),ISNUMBER(N725)),E725-N725,NA())</f>
        <v/>
      </c>
      <c r="P725" s="17">
        <f>IF(NOT(ISNUMBER($A725)),NA(),IF(OR($A725&lt;MIN(KW_TP!$A$2:$A$2501),$A725&gt;MAX(KW_TP!$A$2:$A$2501)),NA(),INDEX(KW_TP!$C$2:$C$2501,MATCH($A725,KW_TP!$A$2:$A$2501,1))))</f>
        <v/>
      </c>
    </row>
    <row r="726">
      <c r="A726" s="15">
        <f>IF(ISNUMBER(BBG_Data!A726),BBG_Data!A726,"")</f>
        <v/>
      </c>
      <c r="B726" s="16">
        <f>IF(AND(ISNUMBER($A726),ISNUMBER(BBG_Data!B726)),BBG_Data!B726,NA())</f>
        <v/>
      </c>
      <c r="C726" s="16">
        <f>IF(AND(ISNUMBER($A726),ISNUMBER(BBG_Data!C726)),BBG_Data!C726,NA())</f>
        <v/>
      </c>
      <c r="D726" s="17">
        <f>IF(AND(ISNUMBER($A726),ISNUMBER(BBG_Data!D726)),BBG_Data!D726,NA())</f>
        <v/>
      </c>
      <c r="E726" s="17">
        <f>IF(AND(ISNUMBER($A726),ISNUMBER(BBG_Data!E726)),BBG_Data!E726,NA())</f>
        <v/>
      </c>
      <c r="F726" s="18">
        <f>IF(AND(ISNUMBER(B726),ISNUMBER(B725)),(B726-B725)*100,"")</f>
        <v/>
      </c>
      <c r="G726" s="18">
        <f>IF(AND(ISNUMBER(C726),ISNUMBER(C725)),(C726-C725)*100,"")</f>
        <v/>
      </c>
      <c r="H726" s="18">
        <f>IF(OR(NOT(ISNUMBER($A726)),ROW()-2&lt;Settings!$B$11),NA(),IF(COUNT(OFFSET(F726,1-Settings!$B$11,0,Settings!$B$11,1))&lt;Settings!$B$11,NA(),STDEV(OFFSET(F726,1-Settings!$B$11,0,Settings!$B$11,1))*SQRT(Settings!$B$13)))</f>
        <v/>
      </c>
      <c r="I726" s="18">
        <f>IF(OR(NOT(ISNUMBER($A726)),ROW()-2&lt;Settings!$B$12),NA(),IF(COUNT(OFFSET(F726,1-Settings!$B$12,0,Settings!$B$12,1))&lt;Settings!$B$12,NA(),STDEV(OFFSET(F726,1-Settings!$B$12,0,Settings!$B$12,1))*SQRT(Settings!$B$13)))</f>
        <v/>
      </c>
      <c r="J726" s="18">
        <f>IF(OR(NOT(ISNUMBER($A726)),ROW()-2&lt;Settings!$B$11),NA(),IF(COUNT(OFFSET(G726,1-Settings!$B$11,0,Settings!$B$11,1))&lt;Settings!$B$11,NA(),STDEV(OFFSET(G726,1-Settings!$B$11,0,Settings!$B$11,1))*SQRT(Settings!$B$13)))</f>
        <v/>
      </c>
      <c r="K726" s="18">
        <f>IF(OR(NOT(ISNUMBER($A726)),ROW()-2&lt;Settings!$B$12),NA(),IF(COUNT(OFFSET(G726,1-Settings!$B$12,0,Settings!$B$12,1))&lt;Settings!$B$12,NA(),STDEV(OFFSET(G726,1-Settings!$B$12,0,Settings!$B$12,1))*SQRT(Settings!$B$13)))</f>
        <v/>
      </c>
      <c r="L726" s="18">
        <f>IF(AND(ISNUMBER(D726),ISNUMBER(H726)),D726-H726,NA())</f>
        <v/>
      </c>
      <c r="M726" s="18">
        <f>IF(AND(ISNUMBER(E726),ISNUMBER(K726)),E726-K726,NA())</f>
        <v/>
      </c>
      <c r="N726" s="18">
        <f>IF(NOT(ISNUMBER($A726)),NA(),IF(COUNT(OFFSET(G726,1,0,Settings!$B$12,1))&lt;Settings!$B$12,NA(),STDEV(OFFSET(G726,1,0,Settings!$B$12,1))*SQRT(Settings!$B$13)))</f>
        <v/>
      </c>
      <c r="O726" s="18">
        <f>IF(AND(ISNUMBER(E726),ISNUMBER(N726)),E726-N726,NA())</f>
        <v/>
      </c>
      <c r="P726" s="17">
        <f>IF(NOT(ISNUMBER($A726)),NA(),IF(OR($A726&lt;MIN(KW_TP!$A$2:$A$2501),$A726&gt;MAX(KW_TP!$A$2:$A$2501)),NA(),INDEX(KW_TP!$C$2:$C$2501,MATCH($A726,KW_TP!$A$2:$A$2501,1))))</f>
        <v/>
      </c>
    </row>
    <row r="727">
      <c r="A727" s="15">
        <f>IF(ISNUMBER(BBG_Data!A727),BBG_Data!A727,"")</f>
        <v/>
      </c>
      <c r="B727" s="16">
        <f>IF(AND(ISNUMBER($A727),ISNUMBER(BBG_Data!B727)),BBG_Data!B727,NA())</f>
        <v/>
      </c>
      <c r="C727" s="16">
        <f>IF(AND(ISNUMBER($A727),ISNUMBER(BBG_Data!C727)),BBG_Data!C727,NA())</f>
        <v/>
      </c>
      <c r="D727" s="17">
        <f>IF(AND(ISNUMBER($A727),ISNUMBER(BBG_Data!D727)),BBG_Data!D727,NA())</f>
        <v/>
      </c>
      <c r="E727" s="17">
        <f>IF(AND(ISNUMBER($A727),ISNUMBER(BBG_Data!E727)),BBG_Data!E727,NA())</f>
        <v/>
      </c>
      <c r="F727" s="18">
        <f>IF(AND(ISNUMBER(B727),ISNUMBER(B726)),(B727-B726)*100,"")</f>
        <v/>
      </c>
      <c r="G727" s="18">
        <f>IF(AND(ISNUMBER(C727),ISNUMBER(C726)),(C727-C726)*100,"")</f>
        <v/>
      </c>
      <c r="H727" s="18">
        <f>IF(OR(NOT(ISNUMBER($A727)),ROW()-2&lt;Settings!$B$11),NA(),IF(COUNT(OFFSET(F727,1-Settings!$B$11,0,Settings!$B$11,1))&lt;Settings!$B$11,NA(),STDEV(OFFSET(F727,1-Settings!$B$11,0,Settings!$B$11,1))*SQRT(Settings!$B$13)))</f>
        <v/>
      </c>
      <c r="I727" s="18">
        <f>IF(OR(NOT(ISNUMBER($A727)),ROW()-2&lt;Settings!$B$12),NA(),IF(COUNT(OFFSET(F727,1-Settings!$B$12,0,Settings!$B$12,1))&lt;Settings!$B$12,NA(),STDEV(OFFSET(F727,1-Settings!$B$12,0,Settings!$B$12,1))*SQRT(Settings!$B$13)))</f>
        <v/>
      </c>
      <c r="J727" s="18">
        <f>IF(OR(NOT(ISNUMBER($A727)),ROW()-2&lt;Settings!$B$11),NA(),IF(COUNT(OFFSET(G727,1-Settings!$B$11,0,Settings!$B$11,1))&lt;Settings!$B$11,NA(),STDEV(OFFSET(G727,1-Settings!$B$11,0,Settings!$B$11,1))*SQRT(Settings!$B$13)))</f>
        <v/>
      </c>
      <c r="K727" s="18">
        <f>IF(OR(NOT(ISNUMBER($A727)),ROW()-2&lt;Settings!$B$12),NA(),IF(COUNT(OFFSET(G727,1-Settings!$B$12,0,Settings!$B$12,1))&lt;Settings!$B$12,NA(),STDEV(OFFSET(G727,1-Settings!$B$12,0,Settings!$B$12,1))*SQRT(Settings!$B$13)))</f>
        <v/>
      </c>
      <c r="L727" s="18">
        <f>IF(AND(ISNUMBER(D727),ISNUMBER(H727)),D727-H727,NA())</f>
        <v/>
      </c>
      <c r="M727" s="18">
        <f>IF(AND(ISNUMBER(E727),ISNUMBER(K727)),E727-K727,NA())</f>
        <v/>
      </c>
      <c r="N727" s="18">
        <f>IF(NOT(ISNUMBER($A727)),NA(),IF(COUNT(OFFSET(G727,1,0,Settings!$B$12,1))&lt;Settings!$B$12,NA(),STDEV(OFFSET(G727,1,0,Settings!$B$12,1))*SQRT(Settings!$B$13)))</f>
        <v/>
      </c>
      <c r="O727" s="18">
        <f>IF(AND(ISNUMBER(E727),ISNUMBER(N727)),E727-N727,NA())</f>
        <v/>
      </c>
      <c r="P727" s="17">
        <f>IF(NOT(ISNUMBER($A727)),NA(),IF(OR($A727&lt;MIN(KW_TP!$A$2:$A$2501),$A727&gt;MAX(KW_TP!$A$2:$A$2501)),NA(),INDEX(KW_TP!$C$2:$C$2501,MATCH($A727,KW_TP!$A$2:$A$2501,1))))</f>
        <v/>
      </c>
    </row>
    <row r="728">
      <c r="A728" s="15">
        <f>IF(ISNUMBER(BBG_Data!A728),BBG_Data!A728,"")</f>
        <v/>
      </c>
      <c r="B728" s="16">
        <f>IF(AND(ISNUMBER($A728),ISNUMBER(BBG_Data!B728)),BBG_Data!B728,NA())</f>
        <v/>
      </c>
      <c r="C728" s="16">
        <f>IF(AND(ISNUMBER($A728),ISNUMBER(BBG_Data!C728)),BBG_Data!C728,NA())</f>
        <v/>
      </c>
      <c r="D728" s="17">
        <f>IF(AND(ISNUMBER($A728),ISNUMBER(BBG_Data!D728)),BBG_Data!D728,NA())</f>
        <v/>
      </c>
      <c r="E728" s="17">
        <f>IF(AND(ISNUMBER($A728),ISNUMBER(BBG_Data!E728)),BBG_Data!E728,NA())</f>
        <v/>
      </c>
      <c r="F728" s="18">
        <f>IF(AND(ISNUMBER(B728),ISNUMBER(B727)),(B728-B727)*100,"")</f>
        <v/>
      </c>
      <c r="G728" s="18">
        <f>IF(AND(ISNUMBER(C728),ISNUMBER(C727)),(C728-C727)*100,"")</f>
        <v/>
      </c>
      <c r="H728" s="18">
        <f>IF(OR(NOT(ISNUMBER($A728)),ROW()-2&lt;Settings!$B$11),NA(),IF(COUNT(OFFSET(F728,1-Settings!$B$11,0,Settings!$B$11,1))&lt;Settings!$B$11,NA(),STDEV(OFFSET(F728,1-Settings!$B$11,0,Settings!$B$11,1))*SQRT(Settings!$B$13)))</f>
        <v/>
      </c>
      <c r="I728" s="18">
        <f>IF(OR(NOT(ISNUMBER($A728)),ROW()-2&lt;Settings!$B$12),NA(),IF(COUNT(OFFSET(F728,1-Settings!$B$12,0,Settings!$B$12,1))&lt;Settings!$B$12,NA(),STDEV(OFFSET(F728,1-Settings!$B$12,0,Settings!$B$12,1))*SQRT(Settings!$B$13)))</f>
        <v/>
      </c>
      <c r="J728" s="18">
        <f>IF(OR(NOT(ISNUMBER($A728)),ROW()-2&lt;Settings!$B$11),NA(),IF(COUNT(OFFSET(G728,1-Settings!$B$11,0,Settings!$B$11,1))&lt;Settings!$B$11,NA(),STDEV(OFFSET(G728,1-Settings!$B$11,0,Settings!$B$11,1))*SQRT(Settings!$B$13)))</f>
        <v/>
      </c>
      <c r="K728" s="18">
        <f>IF(OR(NOT(ISNUMBER($A728)),ROW()-2&lt;Settings!$B$12),NA(),IF(COUNT(OFFSET(G728,1-Settings!$B$12,0,Settings!$B$12,1))&lt;Settings!$B$12,NA(),STDEV(OFFSET(G728,1-Settings!$B$12,0,Settings!$B$12,1))*SQRT(Settings!$B$13)))</f>
        <v/>
      </c>
      <c r="L728" s="18">
        <f>IF(AND(ISNUMBER(D728),ISNUMBER(H728)),D728-H728,NA())</f>
        <v/>
      </c>
      <c r="M728" s="18">
        <f>IF(AND(ISNUMBER(E728),ISNUMBER(K728)),E728-K728,NA())</f>
        <v/>
      </c>
      <c r="N728" s="18">
        <f>IF(NOT(ISNUMBER($A728)),NA(),IF(COUNT(OFFSET(G728,1,0,Settings!$B$12,1))&lt;Settings!$B$12,NA(),STDEV(OFFSET(G728,1,0,Settings!$B$12,1))*SQRT(Settings!$B$13)))</f>
        <v/>
      </c>
      <c r="O728" s="18">
        <f>IF(AND(ISNUMBER(E728),ISNUMBER(N728)),E728-N728,NA())</f>
        <v/>
      </c>
      <c r="P728" s="17">
        <f>IF(NOT(ISNUMBER($A728)),NA(),IF(OR($A728&lt;MIN(KW_TP!$A$2:$A$2501),$A728&gt;MAX(KW_TP!$A$2:$A$2501)),NA(),INDEX(KW_TP!$C$2:$C$2501,MATCH($A728,KW_TP!$A$2:$A$2501,1))))</f>
        <v/>
      </c>
    </row>
    <row r="729">
      <c r="A729" s="15">
        <f>IF(ISNUMBER(BBG_Data!A729),BBG_Data!A729,"")</f>
        <v/>
      </c>
      <c r="B729" s="16">
        <f>IF(AND(ISNUMBER($A729),ISNUMBER(BBG_Data!B729)),BBG_Data!B729,NA())</f>
        <v/>
      </c>
      <c r="C729" s="16">
        <f>IF(AND(ISNUMBER($A729),ISNUMBER(BBG_Data!C729)),BBG_Data!C729,NA())</f>
        <v/>
      </c>
      <c r="D729" s="17">
        <f>IF(AND(ISNUMBER($A729),ISNUMBER(BBG_Data!D729)),BBG_Data!D729,NA())</f>
        <v/>
      </c>
      <c r="E729" s="17">
        <f>IF(AND(ISNUMBER($A729),ISNUMBER(BBG_Data!E729)),BBG_Data!E729,NA())</f>
        <v/>
      </c>
      <c r="F729" s="18">
        <f>IF(AND(ISNUMBER(B729),ISNUMBER(B728)),(B729-B728)*100,"")</f>
        <v/>
      </c>
      <c r="G729" s="18">
        <f>IF(AND(ISNUMBER(C729),ISNUMBER(C728)),(C729-C728)*100,"")</f>
        <v/>
      </c>
      <c r="H729" s="18">
        <f>IF(OR(NOT(ISNUMBER($A729)),ROW()-2&lt;Settings!$B$11),NA(),IF(COUNT(OFFSET(F729,1-Settings!$B$11,0,Settings!$B$11,1))&lt;Settings!$B$11,NA(),STDEV(OFFSET(F729,1-Settings!$B$11,0,Settings!$B$11,1))*SQRT(Settings!$B$13)))</f>
        <v/>
      </c>
      <c r="I729" s="18">
        <f>IF(OR(NOT(ISNUMBER($A729)),ROW()-2&lt;Settings!$B$12),NA(),IF(COUNT(OFFSET(F729,1-Settings!$B$12,0,Settings!$B$12,1))&lt;Settings!$B$12,NA(),STDEV(OFFSET(F729,1-Settings!$B$12,0,Settings!$B$12,1))*SQRT(Settings!$B$13)))</f>
        <v/>
      </c>
      <c r="J729" s="18">
        <f>IF(OR(NOT(ISNUMBER($A729)),ROW()-2&lt;Settings!$B$11),NA(),IF(COUNT(OFFSET(G729,1-Settings!$B$11,0,Settings!$B$11,1))&lt;Settings!$B$11,NA(),STDEV(OFFSET(G729,1-Settings!$B$11,0,Settings!$B$11,1))*SQRT(Settings!$B$13)))</f>
        <v/>
      </c>
      <c r="K729" s="18">
        <f>IF(OR(NOT(ISNUMBER($A729)),ROW()-2&lt;Settings!$B$12),NA(),IF(COUNT(OFFSET(G729,1-Settings!$B$12,0,Settings!$B$12,1))&lt;Settings!$B$12,NA(),STDEV(OFFSET(G729,1-Settings!$B$12,0,Settings!$B$12,1))*SQRT(Settings!$B$13)))</f>
        <v/>
      </c>
      <c r="L729" s="18">
        <f>IF(AND(ISNUMBER(D729),ISNUMBER(H729)),D729-H729,NA())</f>
        <v/>
      </c>
      <c r="M729" s="18">
        <f>IF(AND(ISNUMBER(E729),ISNUMBER(K729)),E729-K729,NA())</f>
        <v/>
      </c>
      <c r="N729" s="18">
        <f>IF(NOT(ISNUMBER($A729)),NA(),IF(COUNT(OFFSET(G729,1,0,Settings!$B$12,1))&lt;Settings!$B$12,NA(),STDEV(OFFSET(G729,1,0,Settings!$B$12,1))*SQRT(Settings!$B$13)))</f>
        <v/>
      </c>
      <c r="O729" s="18">
        <f>IF(AND(ISNUMBER(E729),ISNUMBER(N729)),E729-N729,NA())</f>
        <v/>
      </c>
      <c r="P729" s="17">
        <f>IF(NOT(ISNUMBER($A729)),NA(),IF(OR($A729&lt;MIN(KW_TP!$A$2:$A$2501),$A729&gt;MAX(KW_TP!$A$2:$A$2501)),NA(),INDEX(KW_TP!$C$2:$C$2501,MATCH($A729,KW_TP!$A$2:$A$2501,1))))</f>
        <v/>
      </c>
    </row>
    <row r="730">
      <c r="A730" s="15">
        <f>IF(ISNUMBER(BBG_Data!A730),BBG_Data!A730,"")</f>
        <v/>
      </c>
      <c r="B730" s="16">
        <f>IF(AND(ISNUMBER($A730),ISNUMBER(BBG_Data!B730)),BBG_Data!B730,NA())</f>
        <v/>
      </c>
      <c r="C730" s="16">
        <f>IF(AND(ISNUMBER($A730),ISNUMBER(BBG_Data!C730)),BBG_Data!C730,NA())</f>
        <v/>
      </c>
      <c r="D730" s="17">
        <f>IF(AND(ISNUMBER($A730),ISNUMBER(BBG_Data!D730)),BBG_Data!D730,NA())</f>
        <v/>
      </c>
      <c r="E730" s="17">
        <f>IF(AND(ISNUMBER($A730),ISNUMBER(BBG_Data!E730)),BBG_Data!E730,NA())</f>
        <v/>
      </c>
      <c r="F730" s="18">
        <f>IF(AND(ISNUMBER(B730),ISNUMBER(B729)),(B730-B729)*100,"")</f>
        <v/>
      </c>
      <c r="G730" s="18">
        <f>IF(AND(ISNUMBER(C730),ISNUMBER(C729)),(C730-C729)*100,"")</f>
        <v/>
      </c>
      <c r="H730" s="18">
        <f>IF(OR(NOT(ISNUMBER($A730)),ROW()-2&lt;Settings!$B$11),NA(),IF(COUNT(OFFSET(F730,1-Settings!$B$11,0,Settings!$B$11,1))&lt;Settings!$B$11,NA(),STDEV(OFFSET(F730,1-Settings!$B$11,0,Settings!$B$11,1))*SQRT(Settings!$B$13)))</f>
        <v/>
      </c>
      <c r="I730" s="18">
        <f>IF(OR(NOT(ISNUMBER($A730)),ROW()-2&lt;Settings!$B$12),NA(),IF(COUNT(OFFSET(F730,1-Settings!$B$12,0,Settings!$B$12,1))&lt;Settings!$B$12,NA(),STDEV(OFFSET(F730,1-Settings!$B$12,0,Settings!$B$12,1))*SQRT(Settings!$B$13)))</f>
        <v/>
      </c>
      <c r="J730" s="18">
        <f>IF(OR(NOT(ISNUMBER($A730)),ROW()-2&lt;Settings!$B$11),NA(),IF(COUNT(OFFSET(G730,1-Settings!$B$11,0,Settings!$B$11,1))&lt;Settings!$B$11,NA(),STDEV(OFFSET(G730,1-Settings!$B$11,0,Settings!$B$11,1))*SQRT(Settings!$B$13)))</f>
        <v/>
      </c>
      <c r="K730" s="18">
        <f>IF(OR(NOT(ISNUMBER($A730)),ROW()-2&lt;Settings!$B$12),NA(),IF(COUNT(OFFSET(G730,1-Settings!$B$12,0,Settings!$B$12,1))&lt;Settings!$B$12,NA(),STDEV(OFFSET(G730,1-Settings!$B$12,0,Settings!$B$12,1))*SQRT(Settings!$B$13)))</f>
        <v/>
      </c>
      <c r="L730" s="18">
        <f>IF(AND(ISNUMBER(D730),ISNUMBER(H730)),D730-H730,NA())</f>
        <v/>
      </c>
      <c r="M730" s="18">
        <f>IF(AND(ISNUMBER(E730),ISNUMBER(K730)),E730-K730,NA())</f>
        <v/>
      </c>
      <c r="N730" s="18">
        <f>IF(NOT(ISNUMBER($A730)),NA(),IF(COUNT(OFFSET(G730,1,0,Settings!$B$12,1))&lt;Settings!$B$12,NA(),STDEV(OFFSET(G730,1,0,Settings!$B$12,1))*SQRT(Settings!$B$13)))</f>
        <v/>
      </c>
      <c r="O730" s="18">
        <f>IF(AND(ISNUMBER(E730),ISNUMBER(N730)),E730-N730,NA())</f>
        <v/>
      </c>
      <c r="P730" s="17">
        <f>IF(NOT(ISNUMBER($A730)),NA(),IF(OR($A730&lt;MIN(KW_TP!$A$2:$A$2501),$A730&gt;MAX(KW_TP!$A$2:$A$2501)),NA(),INDEX(KW_TP!$C$2:$C$2501,MATCH($A730,KW_TP!$A$2:$A$2501,1))))</f>
        <v/>
      </c>
    </row>
    <row r="731">
      <c r="A731" s="15">
        <f>IF(ISNUMBER(BBG_Data!A731),BBG_Data!A731,"")</f>
        <v/>
      </c>
      <c r="B731" s="16">
        <f>IF(AND(ISNUMBER($A731),ISNUMBER(BBG_Data!B731)),BBG_Data!B731,NA())</f>
        <v/>
      </c>
      <c r="C731" s="16">
        <f>IF(AND(ISNUMBER($A731),ISNUMBER(BBG_Data!C731)),BBG_Data!C731,NA())</f>
        <v/>
      </c>
      <c r="D731" s="17">
        <f>IF(AND(ISNUMBER($A731),ISNUMBER(BBG_Data!D731)),BBG_Data!D731,NA())</f>
        <v/>
      </c>
      <c r="E731" s="17">
        <f>IF(AND(ISNUMBER($A731),ISNUMBER(BBG_Data!E731)),BBG_Data!E731,NA())</f>
        <v/>
      </c>
      <c r="F731" s="18">
        <f>IF(AND(ISNUMBER(B731),ISNUMBER(B730)),(B731-B730)*100,"")</f>
        <v/>
      </c>
      <c r="G731" s="18">
        <f>IF(AND(ISNUMBER(C731),ISNUMBER(C730)),(C731-C730)*100,"")</f>
        <v/>
      </c>
      <c r="H731" s="18">
        <f>IF(OR(NOT(ISNUMBER($A731)),ROW()-2&lt;Settings!$B$11),NA(),IF(COUNT(OFFSET(F731,1-Settings!$B$11,0,Settings!$B$11,1))&lt;Settings!$B$11,NA(),STDEV(OFFSET(F731,1-Settings!$B$11,0,Settings!$B$11,1))*SQRT(Settings!$B$13)))</f>
        <v/>
      </c>
      <c r="I731" s="18">
        <f>IF(OR(NOT(ISNUMBER($A731)),ROW()-2&lt;Settings!$B$12),NA(),IF(COUNT(OFFSET(F731,1-Settings!$B$12,0,Settings!$B$12,1))&lt;Settings!$B$12,NA(),STDEV(OFFSET(F731,1-Settings!$B$12,0,Settings!$B$12,1))*SQRT(Settings!$B$13)))</f>
        <v/>
      </c>
      <c r="J731" s="18">
        <f>IF(OR(NOT(ISNUMBER($A731)),ROW()-2&lt;Settings!$B$11),NA(),IF(COUNT(OFFSET(G731,1-Settings!$B$11,0,Settings!$B$11,1))&lt;Settings!$B$11,NA(),STDEV(OFFSET(G731,1-Settings!$B$11,0,Settings!$B$11,1))*SQRT(Settings!$B$13)))</f>
        <v/>
      </c>
      <c r="K731" s="18">
        <f>IF(OR(NOT(ISNUMBER($A731)),ROW()-2&lt;Settings!$B$12),NA(),IF(COUNT(OFFSET(G731,1-Settings!$B$12,0,Settings!$B$12,1))&lt;Settings!$B$12,NA(),STDEV(OFFSET(G731,1-Settings!$B$12,0,Settings!$B$12,1))*SQRT(Settings!$B$13)))</f>
        <v/>
      </c>
      <c r="L731" s="18">
        <f>IF(AND(ISNUMBER(D731),ISNUMBER(H731)),D731-H731,NA())</f>
        <v/>
      </c>
      <c r="M731" s="18">
        <f>IF(AND(ISNUMBER(E731),ISNUMBER(K731)),E731-K731,NA())</f>
        <v/>
      </c>
      <c r="N731" s="18">
        <f>IF(NOT(ISNUMBER($A731)),NA(),IF(COUNT(OFFSET(G731,1,0,Settings!$B$12,1))&lt;Settings!$B$12,NA(),STDEV(OFFSET(G731,1,0,Settings!$B$12,1))*SQRT(Settings!$B$13)))</f>
        <v/>
      </c>
      <c r="O731" s="18">
        <f>IF(AND(ISNUMBER(E731),ISNUMBER(N731)),E731-N731,NA())</f>
        <v/>
      </c>
      <c r="P731" s="17">
        <f>IF(NOT(ISNUMBER($A731)),NA(),IF(OR($A731&lt;MIN(KW_TP!$A$2:$A$2501),$A731&gt;MAX(KW_TP!$A$2:$A$2501)),NA(),INDEX(KW_TP!$C$2:$C$2501,MATCH($A731,KW_TP!$A$2:$A$2501,1))))</f>
        <v/>
      </c>
    </row>
    <row r="732">
      <c r="A732" s="15">
        <f>IF(ISNUMBER(BBG_Data!A732),BBG_Data!A732,"")</f>
        <v/>
      </c>
      <c r="B732" s="16">
        <f>IF(AND(ISNUMBER($A732),ISNUMBER(BBG_Data!B732)),BBG_Data!B732,NA())</f>
        <v/>
      </c>
      <c r="C732" s="16">
        <f>IF(AND(ISNUMBER($A732),ISNUMBER(BBG_Data!C732)),BBG_Data!C732,NA())</f>
        <v/>
      </c>
      <c r="D732" s="17">
        <f>IF(AND(ISNUMBER($A732),ISNUMBER(BBG_Data!D732)),BBG_Data!D732,NA())</f>
        <v/>
      </c>
      <c r="E732" s="17">
        <f>IF(AND(ISNUMBER($A732),ISNUMBER(BBG_Data!E732)),BBG_Data!E732,NA())</f>
        <v/>
      </c>
      <c r="F732" s="18">
        <f>IF(AND(ISNUMBER(B732),ISNUMBER(B731)),(B732-B731)*100,"")</f>
        <v/>
      </c>
      <c r="G732" s="18">
        <f>IF(AND(ISNUMBER(C732),ISNUMBER(C731)),(C732-C731)*100,"")</f>
        <v/>
      </c>
      <c r="H732" s="18">
        <f>IF(OR(NOT(ISNUMBER($A732)),ROW()-2&lt;Settings!$B$11),NA(),IF(COUNT(OFFSET(F732,1-Settings!$B$11,0,Settings!$B$11,1))&lt;Settings!$B$11,NA(),STDEV(OFFSET(F732,1-Settings!$B$11,0,Settings!$B$11,1))*SQRT(Settings!$B$13)))</f>
        <v/>
      </c>
      <c r="I732" s="18">
        <f>IF(OR(NOT(ISNUMBER($A732)),ROW()-2&lt;Settings!$B$12),NA(),IF(COUNT(OFFSET(F732,1-Settings!$B$12,0,Settings!$B$12,1))&lt;Settings!$B$12,NA(),STDEV(OFFSET(F732,1-Settings!$B$12,0,Settings!$B$12,1))*SQRT(Settings!$B$13)))</f>
        <v/>
      </c>
      <c r="J732" s="18">
        <f>IF(OR(NOT(ISNUMBER($A732)),ROW()-2&lt;Settings!$B$11),NA(),IF(COUNT(OFFSET(G732,1-Settings!$B$11,0,Settings!$B$11,1))&lt;Settings!$B$11,NA(),STDEV(OFFSET(G732,1-Settings!$B$11,0,Settings!$B$11,1))*SQRT(Settings!$B$13)))</f>
        <v/>
      </c>
      <c r="K732" s="18">
        <f>IF(OR(NOT(ISNUMBER($A732)),ROW()-2&lt;Settings!$B$12),NA(),IF(COUNT(OFFSET(G732,1-Settings!$B$12,0,Settings!$B$12,1))&lt;Settings!$B$12,NA(),STDEV(OFFSET(G732,1-Settings!$B$12,0,Settings!$B$12,1))*SQRT(Settings!$B$13)))</f>
        <v/>
      </c>
      <c r="L732" s="18">
        <f>IF(AND(ISNUMBER(D732),ISNUMBER(H732)),D732-H732,NA())</f>
        <v/>
      </c>
      <c r="M732" s="18">
        <f>IF(AND(ISNUMBER(E732),ISNUMBER(K732)),E732-K732,NA())</f>
        <v/>
      </c>
      <c r="N732" s="18">
        <f>IF(NOT(ISNUMBER($A732)),NA(),IF(COUNT(OFFSET(G732,1,0,Settings!$B$12,1))&lt;Settings!$B$12,NA(),STDEV(OFFSET(G732,1,0,Settings!$B$12,1))*SQRT(Settings!$B$13)))</f>
        <v/>
      </c>
      <c r="O732" s="18">
        <f>IF(AND(ISNUMBER(E732),ISNUMBER(N732)),E732-N732,NA())</f>
        <v/>
      </c>
      <c r="P732" s="17">
        <f>IF(NOT(ISNUMBER($A732)),NA(),IF(OR($A732&lt;MIN(KW_TP!$A$2:$A$2501),$A732&gt;MAX(KW_TP!$A$2:$A$2501)),NA(),INDEX(KW_TP!$C$2:$C$2501,MATCH($A732,KW_TP!$A$2:$A$2501,1))))</f>
        <v/>
      </c>
    </row>
    <row r="733">
      <c r="A733" s="15">
        <f>IF(ISNUMBER(BBG_Data!A733),BBG_Data!A733,"")</f>
        <v/>
      </c>
      <c r="B733" s="16">
        <f>IF(AND(ISNUMBER($A733),ISNUMBER(BBG_Data!B733)),BBG_Data!B733,NA())</f>
        <v/>
      </c>
      <c r="C733" s="16">
        <f>IF(AND(ISNUMBER($A733),ISNUMBER(BBG_Data!C733)),BBG_Data!C733,NA())</f>
        <v/>
      </c>
      <c r="D733" s="17">
        <f>IF(AND(ISNUMBER($A733),ISNUMBER(BBG_Data!D733)),BBG_Data!D733,NA())</f>
        <v/>
      </c>
      <c r="E733" s="17">
        <f>IF(AND(ISNUMBER($A733),ISNUMBER(BBG_Data!E733)),BBG_Data!E733,NA())</f>
        <v/>
      </c>
      <c r="F733" s="18">
        <f>IF(AND(ISNUMBER(B733),ISNUMBER(B732)),(B733-B732)*100,"")</f>
        <v/>
      </c>
      <c r="G733" s="18">
        <f>IF(AND(ISNUMBER(C733),ISNUMBER(C732)),(C733-C732)*100,"")</f>
        <v/>
      </c>
      <c r="H733" s="18">
        <f>IF(OR(NOT(ISNUMBER($A733)),ROW()-2&lt;Settings!$B$11),NA(),IF(COUNT(OFFSET(F733,1-Settings!$B$11,0,Settings!$B$11,1))&lt;Settings!$B$11,NA(),STDEV(OFFSET(F733,1-Settings!$B$11,0,Settings!$B$11,1))*SQRT(Settings!$B$13)))</f>
        <v/>
      </c>
      <c r="I733" s="18">
        <f>IF(OR(NOT(ISNUMBER($A733)),ROW()-2&lt;Settings!$B$12),NA(),IF(COUNT(OFFSET(F733,1-Settings!$B$12,0,Settings!$B$12,1))&lt;Settings!$B$12,NA(),STDEV(OFFSET(F733,1-Settings!$B$12,0,Settings!$B$12,1))*SQRT(Settings!$B$13)))</f>
        <v/>
      </c>
      <c r="J733" s="18">
        <f>IF(OR(NOT(ISNUMBER($A733)),ROW()-2&lt;Settings!$B$11),NA(),IF(COUNT(OFFSET(G733,1-Settings!$B$11,0,Settings!$B$11,1))&lt;Settings!$B$11,NA(),STDEV(OFFSET(G733,1-Settings!$B$11,0,Settings!$B$11,1))*SQRT(Settings!$B$13)))</f>
        <v/>
      </c>
      <c r="K733" s="18">
        <f>IF(OR(NOT(ISNUMBER($A733)),ROW()-2&lt;Settings!$B$12),NA(),IF(COUNT(OFFSET(G733,1-Settings!$B$12,0,Settings!$B$12,1))&lt;Settings!$B$12,NA(),STDEV(OFFSET(G733,1-Settings!$B$12,0,Settings!$B$12,1))*SQRT(Settings!$B$13)))</f>
        <v/>
      </c>
      <c r="L733" s="18">
        <f>IF(AND(ISNUMBER(D733),ISNUMBER(H733)),D733-H733,NA())</f>
        <v/>
      </c>
      <c r="M733" s="18">
        <f>IF(AND(ISNUMBER(E733),ISNUMBER(K733)),E733-K733,NA())</f>
        <v/>
      </c>
      <c r="N733" s="18">
        <f>IF(NOT(ISNUMBER($A733)),NA(),IF(COUNT(OFFSET(G733,1,0,Settings!$B$12,1))&lt;Settings!$B$12,NA(),STDEV(OFFSET(G733,1,0,Settings!$B$12,1))*SQRT(Settings!$B$13)))</f>
        <v/>
      </c>
      <c r="O733" s="18">
        <f>IF(AND(ISNUMBER(E733),ISNUMBER(N733)),E733-N733,NA())</f>
        <v/>
      </c>
      <c r="P733" s="17">
        <f>IF(NOT(ISNUMBER($A733)),NA(),IF(OR($A733&lt;MIN(KW_TP!$A$2:$A$2501),$A733&gt;MAX(KW_TP!$A$2:$A$2501)),NA(),INDEX(KW_TP!$C$2:$C$2501,MATCH($A733,KW_TP!$A$2:$A$2501,1))))</f>
        <v/>
      </c>
    </row>
    <row r="734">
      <c r="A734" s="15">
        <f>IF(ISNUMBER(BBG_Data!A734),BBG_Data!A734,"")</f>
        <v/>
      </c>
      <c r="B734" s="16">
        <f>IF(AND(ISNUMBER($A734),ISNUMBER(BBG_Data!B734)),BBG_Data!B734,NA())</f>
        <v/>
      </c>
      <c r="C734" s="16">
        <f>IF(AND(ISNUMBER($A734),ISNUMBER(BBG_Data!C734)),BBG_Data!C734,NA())</f>
        <v/>
      </c>
      <c r="D734" s="17">
        <f>IF(AND(ISNUMBER($A734),ISNUMBER(BBG_Data!D734)),BBG_Data!D734,NA())</f>
        <v/>
      </c>
      <c r="E734" s="17">
        <f>IF(AND(ISNUMBER($A734),ISNUMBER(BBG_Data!E734)),BBG_Data!E734,NA())</f>
        <v/>
      </c>
      <c r="F734" s="18">
        <f>IF(AND(ISNUMBER(B734),ISNUMBER(B733)),(B734-B733)*100,"")</f>
        <v/>
      </c>
      <c r="G734" s="18">
        <f>IF(AND(ISNUMBER(C734),ISNUMBER(C733)),(C734-C733)*100,"")</f>
        <v/>
      </c>
      <c r="H734" s="18">
        <f>IF(OR(NOT(ISNUMBER($A734)),ROW()-2&lt;Settings!$B$11),NA(),IF(COUNT(OFFSET(F734,1-Settings!$B$11,0,Settings!$B$11,1))&lt;Settings!$B$11,NA(),STDEV(OFFSET(F734,1-Settings!$B$11,0,Settings!$B$11,1))*SQRT(Settings!$B$13)))</f>
        <v/>
      </c>
      <c r="I734" s="18">
        <f>IF(OR(NOT(ISNUMBER($A734)),ROW()-2&lt;Settings!$B$12),NA(),IF(COUNT(OFFSET(F734,1-Settings!$B$12,0,Settings!$B$12,1))&lt;Settings!$B$12,NA(),STDEV(OFFSET(F734,1-Settings!$B$12,0,Settings!$B$12,1))*SQRT(Settings!$B$13)))</f>
        <v/>
      </c>
      <c r="J734" s="18">
        <f>IF(OR(NOT(ISNUMBER($A734)),ROW()-2&lt;Settings!$B$11),NA(),IF(COUNT(OFFSET(G734,1-Settings!$B$11,0,Settings!$B$11,1))&lt;Settings!$B$11,NA(),STDEV(OFFSET(G734,1-Settings!$B$11,0,Settings!$B$11,1))*SQRT(Settings!$B$13)))</f>
        <v/>
      </c>
      <c r="K734" s="18">
        <f>IF(OR(NOT(ISNUMBER($A734)),ROW()-2&lt;Settings!$B$12),NA(),IF(COUNT(OFFSET(G734,1-Settings!$B$12,0,Settings!$B$12,1))&lt;Settings!$B$12,NA(),STDEV(OFFSET(G734,1-Settings!$B$12,0,Settings!$B$12,1))*SQRT(Settings!$B$13)))</f>
        <v/>
      </c>
      <c r="L734" s="18">
        <f>IF(AND(ISNUMBER(D734),ISNUMBER(H734)),D734-H734,NA())</f>
        <v/>
      </c>
      <c r="M734" s="18">
        <f>IF(AND(ISNUMBER(E734),ISNUMBER(K734)),E734-K734,NA())</f>
        <v/>
      </c>
      <c r="N734" s="18">
        <f>IF(NOT(ISNUMBER($A734)),NA(),IF(COUNT(OFFSET(G734,1,0,Settings!$B$12,1))&lt;Settings!$B$12,NA(),STDEV(OFFSET(G734,1,0,Settings!$B$12,1))*SQRT(Settings!$B$13)))</f>
        <v/>
      </c>
      <c r="O734" s="18">
        <f>IF(AND(ISNUMBER(E734),ISNUMBER(N734)),E734-N734,NA())</f>
        <v/>
      </c>
      <c r="P734" s="17">
        <f>IF(NOT(ISNUMBER($A734)),NA(),IF(OR($A734&lt;MIN(KW_TP!$A$2:$A$2501),$A734&gt;MAX(KW_TP!$A$2:$A$2501)),NA(),INDEX(KW_TP!$C$2:$C$2501,MATCH($A734,KW_TP!$A$2:$A$2501,1))))</f>
        <v/>
      </c>
    </row>
    <row r="735">
      <c r="A735" s="15">
        <f>IF(ISNUMBER(BBG_Data!A735),BBG_Data!A735,"")</f>
        <v/>
      </c>
      <c r="B735" s="16">
        <f>IF(AND(ISNUMBER($A735),ISNUMBER(BBG_Data!B735)),BBG_Data!B735,NA())</f>
        <v/>
      </c>
      <c r="C735" s="16">
        <f>IF(AND(ISNUMBER($A735),ISNUMBER(BBG_Data!C735)),BBG_Data!C735,NA())</f>
        <v/>
      </c>
      <c r="D735" s="17">
        <f>IF(AND(ISNUMBER($A735),ISNUMBER(BBG_Data!D735)),BBG_Data!D735,NA())</f>
        <v/>
      </c>
      <c r="E735" s="17">
        <f>IF(AND(ISNUMBER($A735),ISNUMBER(BBG_Data!E735)),BBG_Data!E735,NA())</f>
        <v/>
      </c>
      <c r="F735" s="18">
        <f>IF(AND(ISNUMBER(B735),ISNUMBER(B734)),(B735-B734)*100,"")</f>
        <v/>
      </c>
      <c r="G735" s="18">
        <f>IF(AND(ISNUMBER(C735),ISNUMBER(C734)),(C735-C734)*100,"")</f>
        <v/>
      </c>
      <c r="H735" s="18">
        <f>IF(OR(NOT(ISNUMBER($A735)),ROW()-2&lt;Settings!$B$11),NA(),IF(COUNT(OFFSET(F735,1-Settings!$B$11,0,Settings!$B$11,1))&lt;Settings!$B$11,NA(),STDEV(OFFSET(F735,1-Settings!$B$11,0,Settings!$B$11,1))*SQRT(Settings!$B$13)))</f>
        <v/>
      </c>
      <c r="I735" s="18">
        <f>IF(OR(NOT(ISNUMBER($A735)),ROW()-2&lt;Settings!$B$12),NA(),IF(COUNT(OFFSET(F735,1-Settings!$B$12,0,Settings!$B$12,1))&lt;Settings!$B$12,NA(),STDEV(OFFSET(F735,1-Settings!$B$12,0,Settings!$B$12,1))*SQRT(Settings!$B$13)))</f>
        <v/>
      </c>
      <c r="J735" s="18">
        <f>IF(OR(NOT(ISNUMBER($A735)),ROW()-2&lt;Settings!$B$11),NA(),IF(COUNT(OFFSET(G735,1-Settings!$B$11,0,Settings!$B$11,1))&lt;Settings!$B$11,NA(),STDEV(OFFSET(G735,1-Settings!$B$11,0,Settings!$B$11,1))*SQRT(Settings!$B$13)))</f>
        <v/>
      </c>
      <c r="K735" s="18">
        <f>IF(OR(NOT(ISNUMBER($A735)),ROW()-2&lt;Settings!$B$12),NA(),IF(COUNT(OFFSET(G735,1-Settings!$B$12,0,Settings!$B$12,1))&lt;Settings!$B$12,NA(),STDEV(OFFSET(G735,1-Settings!$B$12,0,Settings!$B$12,1))*SQRT(Settings!$B$13)))</f>
        <v/>
      </c>
      <c r="L735" s="18">
        <f>IF(AND(ISNUMBER(D735),ISNUMBER(H735)),D735-H735,NA())</f>
        <v/>
      </c>
      <c r="M735" s="18">
        <f>IF(AND(ISNUMBER(E735),ISNUMBER(K735)),E735-K735,NA())</f>
        <v/>
      </c>
      <c r="N735" s="18">
        <f>IF(NOT(ISNUMBER($A735)),NA(),IF(COUNT(OFFSET(G735,1,0,Settings!$B$12,1))&lt;Settings!$B$12,NA(),STDEV(OFFSET(G735,1,0,Settings!$B$12,1))*SQRT(Settings!$B$13)))</f>
        <v/>
      </c>
      <c r="O735" s="18">
        <f>IF(AND(ISNUMBER(E735),ISNUMBER(N735)),E735-N735,NA())</f>
        <v/>
      </c>
      <c r="P735" s="17">
        <f>IF(NOT(ISNUMBER($A735)),NA(),IF(OR($A735&lt;MIN(KW_TP!$A$2:$A$2501),$A735&gt;MAX(KW_TP!$A$2:$A$2501)),NA(),INDEX(KW_TP!$C$2:$C$2501,MATCH($A735,KW_TP!$A$2:$A$2501,1))))</f>
        <v/>
      </c>
    </row>
    <row r="736">
      <c r="A736" s="15">
        <f>IF(ISNUMBER(BBG_Data!A736),BBG_Data!A736,"")</f>
        <v/>
      </c>
      <c r="B736" s="16">
        <f>IF(AND(ISNUMBER($A736),ISNUMBER(BBG_Data!B736)),BBG_Data!B736,NA())</f>
        <v/>
      </c>
      <c r="C736" s="16">
        <f>IF(AND(ISNUMBER($A736),ISNUMBER(BBG_Data!C736)),BBG_Data!C736,NA())</f>
        <v/>
      </c>
      <c r="D736" s="17">
        <f>IF(AND(ISNUMBER($A736),ISNUMBER(BBG_Data!D736)),BBG_Data!D736,NA())</f>
        <v/>
      </c>
      <c r="E736" s="17">
        <f>IF(AND(ISNUMBER($A736),ISNUMBER(BBG_Data!E736)),BBG_Data!E736,NA())</f>
        <v/>
      </c>
      <c r="F736" s="18">
        <f>IF(AND(ISNUMBER(B736),ISNUMBER(B735)),(B736-B735)*100,"")</f>
        <v/>
      </c>
      <c r="G736" s="18">
        <f>IF(AND(ISNUMBER(C736),ISNUMBER(C735)),(C736-C735)*100,"")</f>
        <v/>
      </c>
      <c r="H736" s="18">
        <f>IF(OR(NOT(ISNUMBER($A736)),ROW()-2&lt;Settings!$B$11),NA(),IF(COUNT(OFFSET(F736,1-Settings!$B$11,0,Settings!$B$11,1))&lt;Settings!$B$11,NA(),STDEV(OFFSET(F736,1-Settings!$B$11,0,Settings!$B$11,1))*SQRT(Settings!$B$13)))</f>
        <v/>
      </c>
      <c r="I736" s="18">
        <f>IF(OR(NOT(ISNUMBER($A736)),ROW()-2&lt;Settings!$B$12),NA(),IF(COUNT(OFFSET(F736,1-Settings!$B$12,0,Settings!$B$12,1))&lt;Settings!$B$12,NA(),STDEV(OFFSET(F736,1-Settings!$B$12,0,Settings!$B$12,1))*SQRT(Settings!$B$13)))</f>
        <v/>
      </c>
      <c r="J736" s="18">
        <f>IF(OR(NOT(ISNUMBER($A736)),ROW()-2&lt;Settings!$B$11),NA(),IF(COUNT(OFFSET(G736,1-Settings!$B$11,0,Settings!$B$11,1))&lt;Settings!$B$11,NA(),STDEV(OFFSET(G736,1-Settings!$B$11,0,Settings!$B$11,1))*SQRT(Settings!$B$13)))</f>
        <v/>
      </c>
      <c r="K736" s="18">
        <f>IF(OR(NOT(ISNUMBER($A736)),ROW()-2&lt;Settings!$B$12),NA(),IF(COUNT(OFFSET(G736,1-Settings!$B$12,0,Settings!$B$12,1))&lt;Settings!$B$12,NA(),STDEV(OFFSET(G736,1-Settings!$B$12,0,Settings!$B$12,1))*SQRT(Settings!$B$13)))</f>
        <v/>
      </c>
      <c r="L736" s="18">
        <f>IF(AND(ISNUMBER(D736),ISNUMBER(H736)),D736-H736,NA())</f>
        <v/>
      </c>
      <c r="M736" s="18">
        <f>IF(AND(ISNUMBER(E736),ISNUMBER(K736)),E736-K736,NA())</f>
        <v/>
      </c>
      <c r="N736" s="18">
        <f>IF(NOT(ISNUMBER($A736)),NA(),IF(COUNT(OFFSET(G736,1,0,Settings!$B$12,1))&lt;Settings!$B$12,NA(),STDEV(OFFSET(G736,1,0,Settings!$B$12,1))*SQRT(Settings!$B$13)))</f>
        <v/>
      </c>
      <c r="O736" s="18">
        <f>IF(AND(ISNUMBER(E736),ISNUMBER(N736)),E736-N736,NA())</f>
        <v/>
      </c>
      <c r="P736" s="17">
        <f>IF(NOT(ISNUMBER($A736)),NA(),IF(OR($A736&lt;MIN(KW_TP!$A$2:$A$2501),$A736&gt;MAX(KW_TP!$A$2:$A$2501)),NA(),INDEX(KW_TP!$C$2:$C$2501,MATCH($A736,KW_TP!$A$2:$A$2501,1))))</f>
        <v/>
      </c>
    </row>
    <row r="737">
      <c r="A737" s="15">
        <f>IF(ISNUMBER(BBG_Data!A737),BBG_Data!A737,"")</f>
        <v/>
      </c>
      <c r="B737" s="16">
        <f>IF(AND(ISNUMBER($A737),ISNUMBER(BBG_Data!B737)),BBG_Data!B737,NA())</f>
        <v/>
      </c>
      <c r="C737" s="16">
        <f>IF(AND(ISNUMBER($A737),ISNUMBER(BBG_Data!C737)),BBG_Data!C737,NA())</f>
        <v/>
      </c>
      <c r="D737" s="17">
        <f>IF(AND(ISNUMBER($A737),ISNUMBER(BBG_Data!D737)),BBG_Data!D737,NA())</f>
        <v/>
      </c>
      <c r="E737" s="17">
        <f>IF(AND(ISNUMBER($A737),ISNUMBER(BBG_Data!E737)),BBG_Data!E737,NA())</f>
        <v/>
      </c>
      <c r="F737" s="18">
        <f>IF(AND(ISNUMBER(B737),ISNUMBER(B736)),(B737-B736)*100,"")</f>
        <v/>
      </c>
      <c r="G737" s="18">
        <f>IF(AND(ISNUMBER(C737),ISNUMBER(C736)),(C737-C736)*100,"")</f>
        <v/>
      </c>
      <c r="H737" s="18">
        <f>IF(OR(NOT(ISNUMBER($A737)),ROW()-2&lt;Settings!$B$11),NA(),IF(COUNT(OFFSET(F737,1-Settings!$B$11,0,Settings!$B$11,1))&lt;Settings!$B$11,NA(),STDEV(OFFSET(F737,1-Settings!$B$11,0,Settings!$B$11,1))*SQRT(Settings!$B$13)))</f>
        <v/>
      </c>
      <c r="I737" s="18">
        <f>IF(OR(NOT(ISNUMBER($A737)),ROW()-2&lt;Settings!$B$12),NA(),IF(COUNT(OFFSET(F737,1-Settings!$B$12,0,Settings!$B$12,1))&lt;Settings!$B$12,NA(),STDEV(OFFSET(F737,1-Settings!$B$12,0,Settings!$B$12,1))*SQRT(Settings!$B$13)))</f>
        <v/>
      </c>
      <c r="J737" s="18">
        <f>IF(OR(NOT(ISNUMBER($A737)),ROW()-2&lt;Settings!$B$11),NA(),IF(COUNT(OFFSET(G737,1-Settings!$B$11,0,Settings!$B$11,1))&lt;Settings!$B$11,NA(),STDEV(OFFSET(G737,1-Settings!$B$11,0,Settings!$B$11,1))*SQRT(Settings!$B$13)))</f>
        <v/>
      </c>
      <c r="K737" s="18">
        <f>IF(OR(NOT(ISNUMBER($A737)),ROW()-2&lt;Settings!$B$12),NA(),IF(COUNT(OFFSET(G737,1-Settings!$B$12,0,Settings!$B$12,1))&lt;Settings!$B$12,NA(),STDEV(OFFSET(G737,1-Settings!$B$12,0,Settings!$B$12,1))*SQRT(Settings!$B$13)))</f>
        <v/>
      </c>
      <c r="L737" s="18">
        <f>IF(AND(ISNUMBER(D737),ISNUMBER(H737)),D737-H737,NA())</f>
        <v/>
      </c>
      <c r="M737" s="18">
        <f>IF(AND(ISNUMBER(E737),ISNUMBER(K737)),E737-K737,NA())</f>
        <v/>
      </c>
      <c r="N737" s="18">
        <f>IF(NOT(ISNUMBER($A737)),NA(),IF(COUNT(OFFSET(G737,1,0,Settings!$B$12,1))&lt;Settings!$B$12,NA(),STDEV(OFFSET(G737,1,0,Settings!$B$12,1))*SQRT(Settings!$B$13)))</f>
        <v/>
      </c>
      <c r="O737" s="18">
        <f>IF(AND(ISNUMBER(E737),ISNUMBER(N737)),E737-N737,NA())</f>
        <v/>
      </c>
      <c r="P737" s="17">
        <f>IF(NOT(ISNUMBER($A737)),NA(),IF(OR($A737&lt;MIN(KW_TP!$A$2:$A$2501),$A737&gt;MAX(KW_TP!$A$2:$A$2501)),NA(),INDEX(KW_TP!$C$2:$C$2501,MATCH($A737,KW_TP!$A$2:$A$2501,1))))</f>
        <v/>
      </c>
    </row>
    <row r="738">
      <c r="A738" s="15">
        <f>IF(ISNUMBER(BBG_Data!A738),BBG_Data!A738,"")</f>
        <v/>
      </c>
      <c r="B738" s="16">
        <f>IF(AND(ISNUMBER($A738),ISNUMBER(BBG_Data!B738)),BBG_Data!B738,NA())</f>
        <v/>
      </c>
      <c r="C738" s="16">
        <f>IF(AND(ISNUMBER($A738),ISNUMBER(BBG_Data!C738)),BBG_Data!C738,NA())</f>
        <v/>
      </c>
      <c r="D738" s="17">
        <f>IF(AND(ISNUMBER($A738),ISNUMBER(BBG_Data!D738)),BBG_Data!D738,NA())</f>
        <v/>
      </c>
      <c r="E738" s="17">
        <f>IF(AND(ISNUMBER($A738),ISNUMBER(BBG_Data!E738)),BBG_Data!E738,NA())</f>
        <v/>
      </c>
      <c r="F738" s="18">
        <f>IF(AND(ISNUMBER(B738),ISNUMBER(B737)),(B738-B737)*100,"")</f>
        <v/>
      </c>
      <c r="G738" s="18">
        <f>IF(AND(ISNUMBER(C738),ISNUMBER(C737)),(C738-C737)*100,"")</f>
        <v/>
      </c>
      <c r="H738" s="18">
        <f>IF(OR(NOT(ISNUMBER($A738)),ROW()-2&lt;Settings!$B$11),NA(),IF(COUNT(OFFSET(F738,1-Settings!$B$11,0,Settings!$B$11,1))&lt;Settings!$B$11,NA(),STDEV(OFFSET(F738,1-Settings!$B$11,0,Settings!$B$11,1))*SQRT(Settings!$B$13)))</f>
        <v/>
      </c>
      <c r="I738" s="18">
        <f>IF(OR(NOT(ISNUMBER($A738)),ROW()-2&lt;Settings!$B$12),NA(),IF(COUNT(OFFSET(F738,1-Settings!$B$12,0,Settings!$B$12,1))&lt;Settings!$B$12,NA(),STDEV(OFFSET(F738,1-Settings!$B$12,0,Settings!$B$12,1))*SQRT(Settings!$B$13)))</f>
        <v/>
      </c>
      <c r="J738" s="18">
        <f>IF(OR(NOT(ISNUMBER($A738)),ROW()-2&lt;Settings!$B$11),NA(),IF(COUNT(OFFSET(G738,1-Settings!$B$11,0,Settings!$B$11,1))&lt;Settings!$B$11,NA(),STDEV(OFFSET(G738,1-Settings!$B$11,0,Settings!$B$11,1))*SQRT(Settings!$B$13)))</f>
        <v/>
      </c>
      <c r="K738" s="18">
        <f>IF(OR(NOT(ISNUMBER($A738)),ROW()-2&lt;Settings!$B$12),NA(),IF(COUNT(OFFSET(G738,1-Settings!$B$12,0,Settings!$B$12,1))&lt;Settings!$B$12,NA(),STDEV(OFFSET(G738,1-Settings!$B$12,0,Settings!$B$12,1))*SQRT(Settings!$B$13)))</f>
        <v/>
      </c>
      <c r="L738" s="18">
        <f>IF(AND(ISNUMBER(D738),ISNUMBER(H738)),D738-H738,NA())</f>
        <v/>
      </c>
      <c r="M738" s="18">
        <f>IF(AND(ISNUMBER(E738),ISNUMBER(K738)),E738-K738,NA())</f>
        <v/>
      </c>
      <c r="N738" s="18">
        <f>IF(NOT(ISNUMBER($A738)),NA(),IF(COUNT(OFFSET(G738,1,0,Settings!$B$12,1))&lt;Settings!$B$12,NA(),STDEV(OFFSET(G738,1,0,Settings!$B$12,1))*SQRT(Settings!$B$13)))</f>
        <v/>
      </c>
      <c r="O738" s="18">
        <f>IF(AND(ISNUMBER(E738),ISNUMBER(N738)),E738-N738,NA())</f>
        <v/>
      </c>
      <c r="P738" s="17">
        <f>IF(NOT(ISNUMBER($A738)),NA(),IF(OR($A738&lt;MIN(KW_TP!$A$2:$A$2501),$A738&gt;MAX(KW_TP!$A$2:$A$2501)),NA(),INDEX(KW_TP!$C$2:$C$2501,MATCH($A738,KW_TP!$A$2:$A$2501,1))))</f>
        <v/>
      </c>
    </row>
    <row r="739">
      <c r="A739" s="15">
        <f>IF(ISNUMBER(BBG_Data!A739),BBG_Data!A739,"")</f>
        <v/>
      </c>
      <c r="B739" s="16">
        <f>IF(AND(ISNUMBER($A739),ISNUMBER(BBG_Data!B739)),BBG_Data!B739,NA())</f>
        <v/>
      </c>
      <c r="C739" s="16">
        <f>IF(AND(ISNUMBER($A739),ISNUMBER(BBG_Data!C739)),BBG_Data!C739,NA())</f>
        <v/>
      </c>
      <c r="D739" s="17">
        <f>IF(AND(ISNUMBER($A739),ISNUMBER(BBG_Data!D739)),BBG_Data!D739,NA())</f>
        <v/>
      </c>
      <c r="E739" s="17">
        <f>IF(AND(ISNUMBER($A739),ISNUMBER(BBG_Data!E739)),BBG_Data!E739,NA())</f>
        <v/>
      </c>
      <c r="F739" s="18">
        <f>IF(AND(ISNUMBER(B739),ISNUMBER(B738)),(B739-B738)*100,"")</f>
        <v/>
      </c>
      <c r="G739" s="18">
        <f>IF(AND(ISNUMBER(C739),ISNUMBER(C738)),(C739-C738)*100,"")</f>
        <v/>
      </c>
      <c r="H739" s="18">
        <f>IF(OR(NOT(ISNUMBER($A739)),ROW()-2&lt;Settings!$B$11),NA(),IF(COUNT(OFFSET(F739,1-Settings!$B$11,0,Settings!$B$11,1))&lt;Settings!$B$11,NA(),STDEV(OFFSET(F739,1-Settings!$B$11,0,Settings!$B$11,1))*SQRT(Settings!$B$13)))</f>
        <v/>
      </c>
      <c r="I739" s="18">
        <f>IF(OR(NOT(ISNUMBER($A739)),ROW()-2&lt;Settings!$B$12),NA(),IF(COUNT(OFFSET(F739,1-Settings!$B$12,0,Settings!$B$12,1))&lt;Settings!$B$12,NA(),STDEV(OFFSET(F739,1-Settings!$B$12,0,Settings!$B$12,1))*SQRT(Settings!$B$13)))</f>
        <v/>
      </c>
      <c r="J739" s="18">
        <f>IF(OR(NOT(ISNUMBER($A739)),ROW()-2&lt;Settings!$B$11),NA(),IF(COUNT(OFFSET(G739,1-Settings!$B$11,0,Settings!$B$11,1))&lt;Settings!$B$11,NA(),STDEV(OFFSET(G739,1-Settings!$B$11,0,Settings!$B$11,1))*SQRT(Settings!$B$13)))</f>
        <v/>
      </c>
      <c r="K739" s="18">
        <f>IF(OR(NOT(ISNUMBER($A739)),ROW()-2&lt;Settings!$B$12),NA(),IF(COUNT(OFFSET(G739,1-Settings!$B$12,0,Settings!$B$12,1))&lt;Settings!$B$12,NA(),STDEV(OFFSET(G739,1-Settings!$B$12,0,Settings!$B$12,1))*SQRT(Settings!$B$13)))</f>
        <v/>
      </c>
      <c r="L739" s="18">
        <f>IF(AND(ISNUMBER(D739),ISNUMBER(H739)),D739-H739,NA())</f>
        <v/>
      </c>
      <c r="M739" s="18">
        <f>IF(AND(ISNUMBER(E739),ISNUMBER(K739)),E739-K739,NA())</f>
        <v/>
      </c>
      <c r="N739" s="18">
        <f>IF(NOT(ISNUMBER($A739)),NA(),IF(COUNT(OFFSET(G739,1,0,Settings!$B$12,1))&lt;Settings!$B$12,NA(),STDEV(OFFSET(G739,1,0,Settings!$B$12,1))*SQRT(Settings!$B$13)))</f>
        <v/>
      </c>
      <c r="O739" s="18">
        <f>IF(AND(ISNUMBER(E739),ISNUMBER(N739)),E739-N739,NA())</f>
        <v/>
      </c>
      <c r="P739" s="17">
        <f>IF(NOT(ISNUMBER($A739)),NA(),IF(OR($A739&lt;MIN(KW_TP!$A$2:$A$2501),$A739&gt;MAX(KW_TP!$A$2:$A$2501)),NA(),INDEX(KW_TP!$C$2:$C$2501,MATCH($A739,KW_TP!$A$2:$A$2501,1))))</f>
        <v/>
      </c>
    </row>
    <row r="740">
      <c r="A740" s="15">
        <f>IF(ISNUMBER(BBG_Data!A740),BBG_Data!A740,"")</f>
        <v/>
      </c>
      <c r="B740" s="16">
        <f>IF(AND(ISNUMBER($A740),ISNUMBER(BBG_Data!B740)),BBG_Data!B740,NA())</f>
        <v/>
      </c>
      <c r="C740" s="16">
        <f>IF(AND(ISNUMBER($A740),ISNUMBER(BBG_Data!C740)),BBG_Data!C740,NA())</f>
        <v/>
      </c>
      <c r="D740" s="17">
        <f>IF(AND(ISNUMBER($A740),ISNUMBER(BBG_Data!D740)),BBG_Data!D740,NA())</f>
        <v/>
      </c>
      <c r="E740" s="17">
        <f>IF(AND(ISNUMBER($A740),ISNUMBER(BBG_Data!E740)),BBG_Data!E740,NA())</f>
        <v/>
      </c>
      <c r="F740" s="18">
        <f>IF(AND(ISNUMBER(B740),ISNUMBER(B739)),(B740-B739)*100,"")</f>
        <v/>
      </c>
      <c r="G740" s="18">
        <f>IF(AND(ISNUMBER(C740),ISNUMBER(C739)),(C740-C739)*100,"")</f>
        <v/>
      </c>
      <c r="H740" s="18">
        <f>IF(OR(NOT(ISNUMBER($A740)),ROW()-2&lt;Settings!$B$11),NA(),IF(COUNT(OFFSET(F740,1-Settings!$B$11,0,Settings!$B$11,1))&lt;Settings!$B$11,NA(),STDEV(OFFSET(F740,1-Settings!$B$11,0,Settings!$B$11,1))*SQRT(Settings!$B$13)))</f>
        <v/>
      </c>
      <c r="I740" s="18">
        <f>IF(OR(NOT(ISNUMBER($A740)),ROW()-2&lt;Settings!$B$12),NA(),IF(COUNT(OFFSET(F740,1-Settings!$B$12,0,Settings!$B$12,1))&lt;Settings!$B$12,NA(),STDEV(OFFSET(F740,1-Settings!$B$12,0,Settings!$B$12,1))*SQRT(Settings!$B$13)))</f>
        <v/>
      </c>
      <c r="J740" s="18">
        <f>IF(OR(NOT(ISNUMBER($A740)),ROW()-2&lt;Settings!$B$11),NA(),IF(COUNT(OFFSET(G740,1-Settings!$B$11,0,Settings!$B$11,1))&lt;Settings!$B$11,NA(),STDEV(OFFSET(G740,1-Settings!$B$11,0,Settings!$B$11,1))*SQRT(Settings!$B$13)))</f>
        <v/>
      </c>
      <c r="K740" s="18">
        <f>IF(OR(NOT(ISNUMBER($A740)),ROW()-2&lt;Settings!$B$12),NA(),IF(COUNT(OFFSET(G740,1-Settings!$B$12,0,Settings!$B$12,1))&lt;Settings!$B$12,NA(),STDEV(OFFSET(G740,1-Settings!$B$12,0,Settings!$B$12,1))*SQRT(Settings!$B$13)))</f>
        <v/>
      </c>
      <c r="L740" s="18">
        <f>IF(AND(ISNUMBER(D740),ISNUMBER(H740)),D740-H740,NA())</f>
        <v/>
      </c>
      <c r="M740" s="18">
        <f>IF(AND(ISNUMBER(E740),ISNUMBER(K740)),E740-K740,NA())</f>
        <v/>
      </c>
      <c r="N740" s="18">
        <f>IF(NOT(ISNUMBER($A740)),NA(),IF(COUNT(OFFSET(G740,1,0,Settings!$B$12,1))&lt;Settings!$B$12,NA(),STDEV(OFFSET(G740,1,0,Settings!$B$12,1))*SQRT(Settings!$B$13)))</f>
        <v/>
      </c>
      <c r="O740" s="18">
        <f>IF(AND(ISNUMBER(E740),ISNUMBER(N740)),E740-N740,NA())</f>
        <v/>
      </c>
      <c r="P740" s="17">
        <f>IF(NOT(ISNUMBER($A740)),NA(),IF(OR($A740&lt;MIN(KW_TP!$A$2:$A$2501),$A740&gt;MAX(KW_TP!$A$2:$A$2501)),NA(),INDEX(KW_TP!$C$2:$C$2501,MATCH($A740,KW_TP!$A$2:$A$2501,1))))</f>
        <v/>
      </c>
    </row>
    <row r="741">
      <c r="A741" s="15">
        <f>IF(ISNUMBER(BBG_Data!A741),BBG_Data!A741,"")</f>
        <v/>
      </c>
      <c r="B741" s="16">
        <f>IF(AND(ISNUMBER($A741),ISNUMBER(BBG_Data!B741)),BBG_Data!B741,NA())</f>
        <v/>
      </c>
      <c r="C741" s="16">
        <f>IF(AND(ISNUMBER($A741),ISNUMBER(BBG_Data!C741)),BBG_Data!C741,NA())</f>
        <v/>
      </c>
      <c r="D741" s="17">
        <f>IF(AND(ISNUMBER($A741),ISNUMBER(BBG_Data!D741)),BBG_Data!D741,NA())</f>
        <v/>
      </c>
      <c r="E741" s="17">
        <f>IF(AND(ISNUMBER($A741),ISNUMBER(BBG_Data!E741)),BBG_Data!E741,NA())</f>
        <v/>
      </c>
      <c r="F741" s="18">
        <f>IF(AND(ISNUMBER(B741),ISNUMBER(B740)),(B741-B740)*100,"")</f>
        <v/>
      </c>
      <c r="G741" s="18">
        <f>IF(AND(ISNUMBER(C741),ISNUMBER(C740)),(C741-C740)*100,"")</f>
        <v/>
      </c>
      <c r="H741" s="18">
        <f>IF(OR(NOT(ISNUMBER($A741)),ROW()-2&lt;Settings!$B$11),NA(),IF(COUNT(OFFSET(F741,1-Settings!$B$11,0,Settings!$B$11,1))&lt;Settings!$B$11,NA(),STDEV(OFFSET(F741,1-Settings!$B$11,0,Settings!$B$11,1))*SQRT(Settings!$B$13)))</f>
        <v/>
      </c>
      <c r="I741" s="18">
        <f>IF(OR(NOT(ISNUMBER($A741)),ROW()-2&lt;Settings!$B$12),NA(),IF(COUNT(OFFSET(F741,1-Settings!$B$12,0,Settings!$B$12,1))&lt;Settings!$B$12,NA(),STDEV(OFFSET(F741,1-Settings!$B$12,0,Settings!$B$12,1))*SQRT(Settings!$B$13)))</f>
        <v/>
      </c>
      <c r="J741" s="18">
        <f>IF(OR(NOT(ISNUMBER($A741)),ROW()-2&lt;Settings!$B$11),NA(),IF(COUNT(OFFSET(G741,1-Settings!$B$11,0,Settings!$B$11,1))&lt;Settings!$B$11,NA(),STDEV(OFFSET(G741,1-Settings!$B$11,0,Settings!$B$11,1))*SQRT(Settings!$B$13)))</f>
        <v/>
      </c>
      <c r="K741" s="18">
        <f>IF(OR(NOT(ISNUMBER($A741)),ROW()-2&lt;Settings!$B$12),NA(),IF(COUNT(OFFSET(G741,1-Settings!$B$12,0,Settings!$B$12,1))&lt;Settings!$B$12,NA(),STDEV(OFFSET(G741,1-Settings!$B$12,0,Settings!$B$12,1))*SQRT(Settings!$B$13)))</f>
        <v/>
      </c>
      <c r="L741" s="18">
        <f>IF(AND(ISNUMBER(D741),ISNUMBER(H741)),D741-H741,NA())</f>
        <v/>
      </c>
      <c r="M741" s="18">
        <f>IF(AND(ISNUMBER(E741),ISNUMBER(K741)),E741-K741,NA())</f>
        <v/>
      </c>
      <c r="N741" s="18">
        <f>IF(NOT(ISNUMBER($A741)),NA(),IF(COUNT(OFFSET(G741,1,0,Settings!$B$12,1))&lt;Settings!$B$12,NA(),STDEV(OFFSET(G741,1,0,Settings!$B$12,1))*SQRT(Settings!$B$13)))</f>
        <v/>
      </c>
      <c r="O741" s="18">
        <f>IF(AND(ISNUMBER(E741),ISNUMBER(N741)),E741-N741,NA())</f>
        <v/>
      </c>
      <c r="P741" s="17">
        <f>IF(NOT(ISNUMBER($A741)),NA(),IF(OR($A741&lt;MIN(KW_TP!$A$2:$A$2501),$A741&gt;MAX(KW_TP!$A$2:$A$2501)),NA(),INDEX(KW_TP!$C$2:$C$2501,MATCH($A741,KW_TP!$A$2:$A$2501,1))))</f>
        <v/>
      </c>
    </row>
    <row r="742">
      <c r="A742" s="15">
        <f>IF(ISNUMBER(BBG_Data!A742),BBG_Data!A742,"")</f>
        <v/>
      </c>
      <c r="B742" s="16">
        <f>IF(AND(ISNUMBER($A742),ISNUMBER(BBG_Data!B742)),BBG_Data!B742,NA())</f>
        <v/>
      </c>
      <c r="C742" s="16">
        <f>IF(AND(ISNUMBER($A742),ISNUMBER(BBG_Data!C742)),BBG_Data!C742,NA())</f>
        <v/>
      </c>
      <c r="D742" s="17">
        <f>IF(AND(ISNUMBER($A742),ISNUMBER(BBG_Data!D742)),BBG_Data!D742,NA())</f>
        <v/>
      </c>
      <c r="E742" s="17">
        <f>IF(AND(ISNUMBER($A742),ISNUMBER(BBG_Data!E742)),BBG_Data!E742,NA())</f>
        <v/>
      </c>
      <c r="F742" s="18">
        <f>IF(AND(ISNUMBER(B742),ISNUMBER(B741)),(B742-B741)*100,"")</f>
        <v/>
      </c>
      <c r="G742" s="18">
        <f>IF(AND(ISNUMBER(C742),ISNUMBER(C741)),(C742-C741)*100,"")</f>
        <v/>
      </c>
      <c r="H742" s="18">
        <f>IF(OR(NOT(ISNUMBER($A742)),ROW()-2&lt;Settings!$B$11),NA(),IF(COUNT(OFFSET(F742,1-Settings!$B$11,0,Settings!$B$11,1))&lt;Settings!$B$11,NA(),STDEV(OFFSET(F742,1-Settings!$B$11,0,Settings!$B$11,1))*SQRT(Settings!$B$13)))</f>
        <v/>
      </c>
      <c r="I742" s="18">
        <f>IF(OR(NOT(ISNUMBER($A742)),ROW()-2&lt;Settings!$B$12),NA(),IF(COUNT(OFFSET(F742,1-Settings!$B$12,0,Settings!$B$12,1))&lt;Settings!$B$12,NA(),STDEV(OFFSET(F742,1-Settings!$B$12,0,Settings!$B$12,1))*SQRT(Settings!$B$13)))</f>
        <v/>
      </c>
      <c r="J742" s="18">
        <f>IF(OR(NOT(ISNUMBER($A742)),ROW()-2&lt;Settings!$B$11),NA(),IF(COUNT(OFFSET(G742,1-Settings!$B$11,0,Settings!$B$11,1))&lt;Settings!$B$11,NA(),STDEV(OFFSET(G742,1-Settings!$B$11,0,Settings!$B$11,1))*SQRT(Settings!$B$13)))</f>
        <v/>
      </c>
      <c r="K742" s="18">
        <f>IF(OR(NOT(ISNUMBER($A742)),ROW()-2&lt;Settings!$B$12),NA(),IF(COUNT(OFFSET(G742,1-Settings!$B$12,0,Settings!$B$12,1))&lt;Settings!$B$12,NA(),STDEV(OFFSET(G742,1-Settings!$B$12,0,Settings!$B$12,1))*SQRT(Settings!$B$13)))</f>
        <v/>
      </c>
      <c r="L742" s="18">
        <f>IF(AND(ISNUMBER(D742),ISNUMBER(H742)),D742-H742,NA())</f>
        <v/>
      </c>
      <c r="M742" s="18">
        <f>IF(AND(ISNUMBER(E742),ISNUMBER(K742)),E742-K742,NA())</f>
        <v/>
      </c>
      <c r="N742" s="18">
        <f>IF(NOT(ISNUMBER($A742)),NA(),IF(COUNT(OFFSET(G742,1,0,Settings!$B$12,1))&lt;Settings!$B$12,NA(),STDEV(OFFSET(G742,1,0,Settings!$B$12,1))*SQRT(Settings!$B$13)))</f>
        <v/>
      </c>
      <c r="O742" s="18">
        <f>IF(AND(ISNUMBER(E742),ISNUMBER(N742)),E742-N742,NA())</f>
        <v/>
      </c>
      <c r="P742" s="17">
        <f>IF(NOT(ISNUMBER($A742)),NA(),IF(OR($A742&lt;MIN(KW_TP!$A$2:$A$2501),$A742&gt;MAX(KW_TP!$A$2:$A$2501)),NA(),INDEX(KW_TP!$C$2:$C$2501,MATCH($A742,KW_TP!$A$2:$A$2501,1))))</f>
        <v/>
      </c>
    </row>
    <row r="743">
      <c r="A743" s="15">
        <f>IF(ISNUMBER(BBG_Data!A743),BBG_Data!A743,"")</f>
        <v/>
      </c>
      <c r="B743" s="16">
        <f>IF(AND(ISNUMBER($A743),ISNUMBER(BBG_Data!B743)),BBG_Data!B743,NA())</f>
        <v/>
      </c>
      <c r="C743" s="16">
        <f>IF(AND(ISNUMBER($A743),ISNUMBER(BBG_Data!C743)),BBG_Data!C743,NA())</f>
        <v/>
      </c>
      <c r="D743" s="17">
        <f>IF(AND(ISNUMBER($A743),ISNUMBER(BBG_Data!D743)),BBG_Data!D743,NA())</f>
        <v/>
      </c>
      <c r="E743" s="17">
        <f>IF(AND(ISNUMBER($A743),ISNUMBER(BBG_Data!E743)),BBG_Data!E743,NA())</f>
        <v/>
      </c>
      <c r="F743" s="18">
        <f>IF(AND(ISNUMBER(B743),ISNUMBER(B742)),(B743-B742)*100,"")</f>
        <v/>
      </c>
      <c r="G743" s="18">
        <f>IF(AND(ISNUMBER(C743),ISNUMBER(C742)),(C743-C742)*100,"")</f>
        <v/>
      </c>
      <c r="H743" s="18">
        <f>IF(OR(NOT(ISNUMBER($A743)),ROW()-2&lt;Settings!$B$11),NA(),IF(COUNT(OFFSET(F743,1-Settings!$B$11,0,Settings!$B$11,1))&lt;Settings!$B$11,NA(),STDEV(OFFSET(F743,1-Settings!$B$11,0,Settings!$B$11,1))*SQRT(Settings!$B$13)))</f>
        <v/>
      </c>
      <c r="I743" s="18">
        <f>IF(OR(NOT(ISNUMBER($A743)),ROW()-2&lt;Settings!$B$12),NA(),IF(COUNT(OFFSET(F743,1-Settings!$B$12,0,Settings!$B$12,1))&lt;Settings!$B$12,NA(),STDEV(OFFSET(F743,1-Settings!$B$12,0,Settings!$B$12,1))*SQRT(Settings!$B$13)))</f>
        <v/>
      </c>
      <c r="J743" s="18">
        <f>IF(OR(NOT(ISNUMBER($A743)),ROW()-2&lt;Settings!$B$11),NA(),IF(COUNT(OFFSET(G743,1-Settings!$B$11,0,Settings!$B$11,1))&lt;Settings!$B$11,NA(),STDEV(OFFSET(G743,1-Settings!$B$11,0,Settings!$B$11,1))*SQRT(Settings!$B$13)))</f>
        <v/>
      </c>
      <c r="K743" s="18">
        <f>IF(OR(NOT(ISNUMBER($A743)),ROW()-2&lt;Settings!$B$12),NA(),IF(COUNT(OFFSET(G743,1-Settings!$B$12,0,Settings!$B$12,1))&lt;Settings!$B$12,NA(),STDEV(OFFSET(G743,1-Settings!$B$12,0,Settings!$B$12,1))*SQRT(Settings!$B$13)))</f>
        <v/>
      </c>
      <c r="L743" s="18">
        <f>IF(AND(ISNUMBER(D743),ISNUMBER(H743)),D743-H743,NA())</f>
        <v/>
      </c>
      <c r="M743" s="18">
        <f>IF(AND(ISNUMBER(E743),ISNUMBER(K743)),E743-K743,NA())</f>
        <v/>
      </c>
      <c r="N743" s="18">
        <f>IF(NOT(ISNUMBER($A743)),NA(),IF(COUNT(OFFSET(G743,1,0,Settings!$B$12,1))&lt;Settings!$B$12,NA(),STDEV(OFFSET(G743,1,0,Settings!$B$12,1))*SQRT(Settings!$B$13)))</f>
        <v/>
      </c>
      <c r="O743" s="18">
        <f>IF(AND(ISNUMBER(E743),ISNUMBER(N743)),E743-N743,NA())</f>
        <v/>
      </c>
      <c r="P743" s="17">
        <f>IF(NOT(ISNUMBER($A743)),NA(),IF(OR($A743&lt;MIN(KW_TP!$A$2:$A$2501),$A743&gt;MAX(KW_TP!$A$2:$A$2501)),NA(),INDEX(KW_TP!$C$2:$C$2501,MATCH($A743,KW_TP!$A$2:$A$2501,1))))</f>
        <v/>
      </c>
    </row>
    <row r="744">
      <c r="A744" s="15">
        <f>IF(ISNUMBER(BBG_Data!A744),BBG_Data!A744,"")</f>
        <v/>
      </c>
      <c r="B744" s="16">
        <f>IF(AND(ISNUMBER($A744),ISNUMBER(BBG_Data!B744)),BBG_Data!B744,NA())</f>
        <v/>
      </c>
      <c r="C744" s="16">
        <f>IF(AND(ISNUMBER($A744),ISNUMBER(BBG_Data!C744)),BBG_Data!C744,NA())</f>
        <v/>
      </c>
      <c r="D744" s="17">
        <f>IF(AND(ISNUMBER($A744),ISNUMBER(BBG_Data!D744)),BBG_Data!D744,NA())</f>
        <v/>
      </c>
      <c r="E744" s="17">
        <f>IF(AND(ISNUMBER($A744),ISNUMBER(BBG_Data!E744)),BBG_Data!E744,NA())</f>
        <v/>
      </c>
      <c r="F744" s="18">
        <f>IF(AND(ISNUMBER(B744),ISNUMBER(B743)),(B744-B743)*100,"")</f>
        <v/>
      </c>
      <c r="G744" s="18">
        <f>IF(AND(ISNUMBER(C744),ISNUMBER(C743)),(C744-C743)*100,"")</f>
        <v/>
      </c>
      <c r="H744" s="18">
        <f>IF(OR(NOT(ISNUMBER($A744)),ROW()-2&lt;Settings!$B$11),NA(),IF(COUNT(OFFSET(F744,1-Settings!$B$11,0,Settings!$B$11,1))&lt;Settings!$B$11,NA(),STDEV(OFFSET(F744,1-Settings!$B$11,0,Settings!$B$11,1))*SQRT(Settings!$B$13)))</f>
        <v/>
      </c>
      <c r="I744" s="18">
        <f>IF(OR(NOT(ISNUMBER($A744)),ROW()-2&lt;Settings!$B$12),NA(),IF(COUNT(OFFSET(F744,1-Settings!$B$12,0,Settings!$B$12,1))&lt;Settings!$B$12,NA(),STDEV(OFFSET(F744,1-Settings!$B$12,0,Settings!$B$12,1))*SQRT(Settings!$B$13)))</f>
        <v/>
      </c>
      <c r="J744" s="18">
        <f>IF(OR(NOT(ISNUMBER($A744)),ROW()-2&lt;Settings!$B$11),NA(),IF(COUNT(OFFSET(G744,1-Settings!$B$11,0,Settings!$B$11,1))&lt;Settings!$B$11,NA(),STDEV(OFFSET(G744,1-Settings!$B$11,0,Settings!$B$11,1))*SQRT(Settings!$B$13)))</f>
        <v/>
      </c>
      <c r="K744" s="18">
        <f>IF(OR(NOT(ISNUMBER($A744)),ROW()-2&lt;Settings!$B$12),NA(),IF(COUNT(OFFSET(G744,1-Settings!$B$12,0,Settings!$B$12,1))&lt;Settings!$B$12,NA(),STDEV(OFFSET(G744,1-Settings!$B$12,0,Settings!$B$12,1))*SQRT(Settings!$B$13)))</f>
        <v/>
      </c>
      <c r="L744" s="18">
        <f>IF(AND(ISNUMBER(D744),ISNUMBER(H744)),D744-H744,NA())</f>
        <v/>
      </c>
      <c r="M744" s="18">
        <f>IF(AND(ISNUMBER(E744),ISNUMBER(K744)),E744-K744,NA())</f>
        <v/>
      </c>
      <c r="N744" s="18">
        <f>IF(NOT(ISNUMBER($A744)),NA(),IF(COUNT(OFFSET(G744,1,0,Settings!$B$12,1))&lt;Settings!$B$12,NA(),STDEV(OFFSET(G744,1,0,Settings!$B$12,1))*SQRT(Settings!$B$13)))</f>
        <v/>
      </c>
      <c r="O744" s="18">
        <f>IF(AND(ISNUMBER(E744),ISNUMBER(N744)),E744-N744,NA())</f>
        <v/>
      </c>
      <c r="P744" s="17">
        <f>IF(NOT(ISNUMBER($A744)),NA(),IF(OR($A744&lt;MIN(KW_TP!$A$2:$A$2501),$A744&gt;MAX(KW_TP!$A$2:$A$2501)),NA(),INDEX(KW_TP!$C$2:$C$2501,MATCH($A744,KW_TP!$A$2:$A$2501,1))))</f>
        <v/>
      </c>
    </row>
    <row r="745">
      <c r="A745" s="15">
        <f>IF(ISNUMBER(BBG_Data!A745),BBG_Data!A745,"")</f>
        <v/>
      </c>
      <c r="B745" s="16">
        <f>IF(AND(ISNUMBER($A745),ISNUMBER(BBG_Data!B745)),BBG_Data!B745,NA())</f>
        <v/>
      </c>
      <c r="C745" s="16">
        <f>IF(AND(ISNUMBER($A745),ISNUMBER(BBG_Data!C745)),BBG_Data!C745,NA())</f>
        <v/>
      </c>
      <c r="D745" s="17">
        <f>IF(AND(ISNUMBER($A745),ISNUMBER(BBG_Data!D745)),BBG_Data!D745,NA())</f>
        <v/>
      </c>
      <c r="E745" s="17">
        <f>IF(AND(ISNUMBER($A745),ISNUMBER(BBG_Data!E745)),BBG_Data!E745,NA())</f>
        <v/>
      </c>
      <c r="F745" s="18">
        <f>IF(AND(ISNUMBER(B745),ISNUMBER(B744)),(B745-B744)*100,"")</f>
        <v/>
      </c>
      <c r="G745" s="18">
        <f>IF(AND(ISNUMBER(C745),ISNUMBER(C744)),(C745-C744)*100,"")</f>
        <v/>
      </c>
      <c r="H745" s="18">
        <f>IF(OR(NOT(ISNUMBER($A745)),ROW()-2&lt;Settings!$B$11),NA(),IF(COUNT(OFFSET(F745,1-Settings!$B$11,0,Settings!$B$11,1))&lt;Settings!$B$11,NA(),STDEV(OFFSET(F745,1-Settings!$B$11,0,Settings!$B$11,1))*SQRT(Settings!$B$13)))</f>
        <v/>
      </c>
      <c r="I745" s="18">
        <f>IF(OR(NOT(ISNUMBER($A745)),ROW()-2&lt;Settings!$B$12),NA(),IF(COUNT(OFFSET(F745,1-Settings!$B$12,0,Settings!$B$12,1))&lt;Settings!$B$12,NA(),STDEV(OFFSET(F745,1-Settings!$B$12,0,Settings!$B$12,1))*SQRT(Settings!$B$13)))</f>
        <v/>
      </c>
      <c r="J745" s="18">
        <f>IF(OR(NOT(ISNUMBER($A745)),ROW()-2&lt;Settings!$B$11),NA(),IF(COUNT(OFFSET(G745,1-Settings!$B$11,0,Settings!$B$11,1))&lt;Settings!$B$11,NA(),STDEV(OFFSET(G745,1-Settings!$B$11,0,Settings!$B$11,1))*SQRT(Settings!$B$13)))</f>
        <v/>
      </c>
      <c r="K745" s="18">
        <f>IF(OR(NOT(ISNUMBER($A745)),ROW()-2&lt;Settings!$B$12),NA(),IF(COUNT(OFFSET(G745,1-Settings!$B$12,0,Settings!$B$12,1))&lt;Settings!$B$12,NA(),STDEV(OFFSET(G745,1-Settings!$B$12,0,Settings!$B$12,1))*SQRT(Settings!$B$13)))</f>
        <v/>
      </c>
      <c r="L745" s="18">
        <f>IF(AND(ISNUMBER(D745),ISNUMBER(H745)),D745-H745,NA())</f>
        <v/>
      </c>
      <c r="M745" s="18">
        <f>IF(AND(ISNUMBER(E745),ISNUMBER(K745)),E745-K745,NA())</f>
        <v/>
      </c>
      <c r="N745" s="18">
        <f>IF(NOT(ISNUMBER($A745)),NA(),IF(COUNT(OFFSET(G745,1,0,Settings!$B$12,1))&lt;Settings!$B$12,NA(),STDEV(OFFSET(G745,1,0,Settings!$B$12,1))*SQRT(Settings!$B$13)))</f>
        <v/>
      </c>
      <c r="O745" s="18">
        <f>IF(AND(ISNUMBER(E745),ISNUMBER(N745)),E745-N745,NA())</f>
        <v/>
      </c>
      <c r="P745" s="17">
        <f>IF(NOT(ISNUMBER($A745)),NA(),IF(OR($A745&lt;MIN(KW_TP!$A$2:$A$2501),$A745&gt;MAX(KW_TP!$A$2:$A$2501)),NA(),INDEX(KW_TP!$C$2:$C$2501,MATCH($A745,KW_TP!$A$2:$A$2501,1))))</f>
        <v/>
      </c>
    </row>
    <row r="746">
      <c r="A746" s="15">
        <f>IF(ISNUMBER(BBG_Data!A746),BBG_Data!A746,"")</f>
        <v/>
      </c>
      <c r="B746" s="16">
        <f>IF(AND(ISNUMBER($A746),ISNUMBER(BBG_Data!B746)),BBG_Data!B746,NA())</f>
        <v/>
      </c>
      <c r="C746" s="16">
        <f>IF(AND(ISNUMBER($A746),ISNUMBER(BBG_Data!C746)),BBG_Data!C746,NA())</f>
        <v/>
      </c>
      <c r="D746" s="17">
        <f>IF(AND(ISNUMBER($A746),ISNUMBER(BBG_Data!D746)),BBG_Data!D746,NA())</f>
        <v/>
      </c>
      <c r="E746" s="17">
        <f>IF(AND(ISNUMBER($A746),ISNUMBER(BBG_Data!E746)),BBG_Data!E746,NA())</f>
        <v/>
      </c>
      <c r="F746" s="18">
        <f>IF(AND(ISNUMBER(B746),ISNUMBER(B745)),(B746-B745)*100,"")</f>
        <v/>
      </c>
      <c r="G746" s="18">
        <f>IF(AND(ISNUMBER(C746),ISNUMBER(C745)),(C746-C745)*100,"")</f>
        <v/>
      </c>
      <c r="H746" s="18">
        <f>IF(OR(NOT(ISNUMBER($A746)),ROW()-2&lt;Settings!$B$11),NA(),IF(COUNT(OFFSET(F746,1-Settings!$B$11,0,Settings!$B$11,1))&lt;Settings!$B$11,NA(),STDEV(OFFSET(F746,1-Settings!$B$11,0,Settings!$B$11,1))*SQRT(Settings!$B$13)))</f>
        <v/>
      </c>
      <c r="I746" s="18">
        <f>IF(OR(NOT(ISNUMBER($A746)),ROW()-2&lt;Settings!$B$12),NA(),IF(COUNT(OFFSET(F746,1-Settings!$B$12,0,Settings!$B$12,1))&lt;Settings!$B$12,NA(),STDEV(OFFSET(F746,1-Settings!$B$12,0,Settings!$B$12,1))*SQRT(Settings!$B$13)))</f>
        <v/>
      </c>
      <c r="J746" s="18">
        <f>IF(OR(NOT(ISNUMBER($A746)),ROW()-2&lt;Settings!$B$11),NA(),IF(COUNT(OFFSET(G746,1-Settings!$B$11,0,Settings!$B$11,1))&lt;Settings!$B$11,NA(),STDEV(OFFSET(G746,1-Settings!$B$11,0,Settings!$B$11,1))*SQRT(Settings!$B$13)))</f>
        <v/>
      </c>
      <c r="K746" s="18">
        <f>IF(OR(NOT(ISNUMBER($A746)),ROW()-2&lt;Settings!$B$12),NA(),IF(COUNT(OFFSET(G746,1-Settings!$B$12,0,Settings!$B$12,1))&lt;Settings!$B$12,NA(),STDEV(OFFSET(G746,1-Settings!$B$12,0,Settings!$B$12,1))*SQRT(Settings!$B$13)))</f>
        <v/>
      </c>
      <c r="L746" s="18">
        <f>IF(AND(ISNUMBER(D746),ISNUMBER(H746)),D746-H746,NA())</f>
        <v/>
      </c>
      <c r="M746" s="18">
        <f>IF(AND(ISNUMBER(E746),ISNUMBER(K746)),E746-K746,NA())</f>
        <v/>
      </c>
      <c r="N746" s="18">
        <f>IF(NOT(ISNUMBER($A746)),NA(),IF(COUNT(OFFSET(G746,1,0,Settings!$B$12,1))&lt;Settings!$B$12,NA(),STDEV(OFFSET(G746,1,0,Settings!$B$12,1))*SQRT(Settings!$B$13)))</f>
        <v/>
      </c>
      <c r="O746" s="18">
        <f>IF(AND(ISNUMBER(E746),ISNUMBER(N746)),E746-N746,NA())</f>
        <v/>
      </c>
      <c r="P746" s="17">
        <f>IF(NOT(ISNUMBER($A746)),NA(),IF(OR($A746&lt;MIN(KW_TP!$A$2:$A$2501),$A746&gt;MAX(KW_TP!$A$2:$A$2501)),NA(),INDEX(KW_TP!$C$2:$C$2501,MATCH($A746,KW_TP!$A$2:$A$2501,1))))</f>
        <v/>
      </c>
    </row>
    <row r="747">
      <c r="A747" s="15">
        <f>IF(ISNUMBER(BBG_Data!A747),BBG_Data!A747,"")</f>
        <v/>
      </c>
      <c r="B747" s="16">
        <f>IF(AND(ISNUMBER($A747),ISNUMBER(BBG_Data!B747)),BBG_Data!B747,NA())</f>
        <v/>
      </c>
      <c r="C747" s="16">
        <f>IF(AND(ISNUMBER($A747),ISNUMBER(BBG_Data!C747)),BBG_Data!C747,NA())</f>
        <v/>
      </c>
      <c r="D747" s="17">
        <f>IF(AND(ISNUMBER($A747),ISNUMBER(BBG_Data!D747)),BBG_Data!D747,NA())</f>
        <v/>
      </c>
      <c r="E747" s="17">
        <f>IF(AND(ISNUMBER($A747),ISNUMBER(BBG_Data!E747)),BBG_Data!E747,NA())</f>
        <v/>
      </c>
      <c r="F747" s="18">
        <f>IF(AND(ISNUMBER(B747),ISNUMBER(B746)),(B747-B746)*100,"")</f>
        <v/>
      </c>
      <c r="G747" s="18">
        <f>IF(AND(ISNUMBER(C747),ISNUMBER(C746)),(C747-C746)*100,"")</f>
        <v/>
      </c>
      <c r="H747" s="18">
        <f>IF(OR(NOT(ISNUMBER($A747)),ROW()-2&lt;Settings!$B$11),NA(),IF(COUNT(OFFSET(F747,1-Settings!$B$11,0,Settings!$B$11,1))&lt;Settings!$B$11,NA(),STDEV(OFFSET(F747,1-Settings!$B$11,0,Settings!$B$11,1))*SQRT(Settings!$B$13)))</f>
        <v/>
      </c>
      <c r="I747" s="18">
        <f>IF(OR(NOT(ISNUMBER($A747)),ROW()-2&lt;Settings!$B$12),NA(),IF(COUNT(OFFSET(F747,1-Settings!$B$12,0,Settings!$B$12,1))&lt;Settings!$B$12,NA(),STDEV(OFFSET(F747,1-Settings!$B$12,0,Settings!$B$12,1))*SQRT(Settings!$B$13)))</f>
        <v/>
      </c>
      <c r="J747" s="18">
        <f>IF(OR(NOT(ISNUMBER($A747)),ROW()-2&lt;Settings!$B$11),NA(),IF(COUNT(OFFSET(G747,1-Settings!$B$11,0,Settings!$B$11,1))&lt;Settings!$B$11,NA(),STDEV(OFFSET(G747,1-Settings!$B$11,0,Settings!$B$11,1))*SQRT(Settings!$B$13)))</f>
        <v/>
      </c>
      <c r="K747" s="18">
        <f>IF(OR(NOT(ISNUMBER($A747)),ROW()-2&lt;Settings!$B$12),NA(),IF(COUNT(OFFSET(G747,1-Settings!$B$12,0,Settings!$B$12,1))&lt;Settings!$B$12,NA(),STDEV(OFFSET(G747,1-Settings!$B$12,0,Settings!$B$12,1))*SQRT(Settings!$B$13)))</f>
        <v/>
      </c>
      <c r="L747" s="18">
        <f>IF(AND(ISNUMBER(D747),ISNUMBER(H747)),D747-H747,NA())</f>
        <v/>
      </c>
      <c r="M747" s="18">
        <f>IF(AND(ISNUMBER(E747),ISNUMBER(K747)),E747-K747,NA())</f>
        <v/>
      </c>
      <c r="N747" s="18">
        <f>IF(NOT(ISNUMBER($A747)),NA(),IF(COUNT(OFFSET(G747,1,0,Settings!$B$12,1))&lt;Settings!$B$12,NA(),STDEV(OFFSET(G747,1,0,Settings!$B$12,1))*SQRT(Settings!$B$13)))</f>
        <v/>
      </c>
      <c r="O747" s="18">
        <f>IF(AND(ISNUMBER(E747),ISNUMBER(N747)),E747-N747,NA())</f>
        <v/>
      </c>
      <c r="P747" s="17">
        <f>IF(NOT(ISNUMBER($A747)),NA(),IF(OR($A747&lt;MIN(KW_TP!$A$2:$A$2501),$A747&gt;MAX(KW_TP!$A$2:$A$2501)),NA(),INDEX(KW_TP!$C$2:$C$2501,MATCH($A747,KW_TP!$A$2:$A$2501,1))))</f>
        <v/>
      </c>
    </row>
    <row r="748">
      <c r="A748" s="15">
        <f>IF(ISNUMBER(BBG_Data!A748),BBG_Data!A748,"")</f>
        <v/>
      </c>
      <c r="B748" s="16">
        <f>IF(AND(ISNUMBER($A748),ISNUMBER(BBG_Data!B748)),BBG_Data!B748,NA())</f>
        <v/>
      </c>
      <c r="C748" s="16">
        <f>IF(AND(ISNUMBER($A748),ISNUMBER(BBG_Data!C748)),BBG_Data!C748,NA())</f>
        <v/>
      </c>
      <c r="D748" s="17">
        <f>IF(AND(ISNUMBER($A748),ISNUMBER(BBG_Data!D748)),BBG_Data!D748,NA())</f>
        <v/>
      </c>
      <c r="E748" s="17">
        <f>IF(AND(ISNUMBER($A748),ISNUMBER(BBG_Data!E748)),BBG_Data!E748,NA())</f>
        <v/>
      </c>
      <c r="F748" s="18">
        <f>IF(AND(ISNUMBER(B748),ISNUMBER(B747)),(B748-B747)*100,"")</f>
        <v/>
      </c>
      <c r="G748" s="18">
        <f>IF(AND(ISNUMBER(C748),ISNUMBER(C747)),(C748-C747)*100,"")</f>
        <v/>
      </c>
      <c r="H748" s="18">
        <f>IF(OR(NOT(ISNUMBER($A748)),ROW()-2&lt;Settings!$B$11),NA(),IF(COUNT(OFFSET(F748,1-Settings!$B$11,0,Settings!$B$11,1))&lt;Settings!$B$11,NA(),STDEV(OFFSET(F748,1-Settings!$B$11,0,Settings!$B$11,1))*SQRT(Settings!$B$13)))</f>
        <v/>
      </c>
      <c r="I748" s="18">
        <f>IF(OR(NOT(ISNUMBER($A748)),ROW()-2&lt;Settings!$B$12),NA(),IF(COUNT(OFFSET(F748,1-Settings!$B$12,0,Settings!$B$12,1))&lt;Settings!$B$12,NA(),STDEV(OFFSET(F748,1-Settings!$B$12,0,Settings!$B$12,1))*SQRT(Settings!$B$13)))</f>
        <v/>
      </c>
      <c r="J748" s="18">
        <f>IF(OR(NOT(ISNUMBER($A748)),ROW()-2&lt;Settings!$B$11),NA(),IF(COUNT(OFFSET(G748,1-Settings!$B$11,0,Settings!$B$11,1))&lt;Settings!$B$11,NA(),STDEV(OFFSET(G748,1-Settings!$B$11,0,Settings!$B$11,1))*SQRT(Settings!$B$13)))</f>
        <v/>
      </c>
      <c r="K748" s="18">
        <f>IF(OR(NOT(ISNUMBER($A748)),ROW()-2&lt;Settings!$B$12),NA(),IF(COUNT(OFFSET(G748,1-Settings!$B$12,0,Settings!$B$12,1))&lt;Settings!$B$12,NA(),STDEV(OFFSET(G748,1-Settings!$B$12,0,Settings!$B$12,1))*SQRT(Settings!$B$13)))</f>
        <v/>
      </c>
      <c r="L748" s="18">
        <f>IF(AND(ISNUMBER(D748),ISNUMBER(H748)),D748-H748,NA())</f>
        <v/>
      </c>
      <c r="M748" s="18">
        <f>IF(AND(ISNUMBER(E748),ISNUMBER(K748)),E748-K748,NA())</f>
        <v/>
      </c>
      <c r="N748" s="18">
        <f>IF(NOT(ISNUMBER($A748)),NA(),IF(COUNT(OFFSET(G748,1,0,Settings!$B$12,1))&lt;Settings!$B$12,NA(),STDEV(OFFSET(G748,1,0,Settings!$B$12,1))*SQRT(Settings!$B$13)))</f>
        <v/>
      </c>
      <c r="O748" s="18">
        <f>IF(AND(ISNUMBER(E748),ISNUMBER(N748)),E748-N748,NA())</f>
        <v/>
      </c>
      <c r="P748" s="17">
        <f>IF(NOT(ISNUMBER($A748)),NA(),IF(OR($A748&lt;MIN(KW_TP!$A$2:$A$2501),$A748&gt;MAX(KW_TP!$A$2:$A$2501)),NA(),INDEX(KW_TP!$C$2:$C$2501,MATCH($A748,KW_TP!$A$2:$A$2501,1))))</f>
        <v/>
      </c>
    </row>
    <row r="749">
      <c r="A749" s="15">
        <f>IF(ISNUMBER(BBG_Data!A749),BBG_Data!A749,"")</f>
        <v/>
      </c>
      <c r="B749" s="16">
        <f>IF(AND(ISNUMBER($A749),ISNUMBER(BBG_Data!B749)),BBG_Data!B749,NA())</f>
        <v/>
      </c>
      <c r="C749" s="16">
        <f>IF(AND(ISNUMBER($A749),ISNUMBER(BBG_Data!C749)),BBG_Data!C749,NA())</f>
        <v/>
      </c>
      <c r="D749" s="17">
        <f>IF(AND(ISNUMBER($A749),ISNUMBER(BBG_Data!D749)),BBG_Data!D749,NA())</f>
        <v/>
      </c>
      <c r="E749" s="17">
        <f>IF(AND(ISNUMBER($A749),ISNUMBER(BBG_Data!E749)),BBG_Data!E749,NA())</f>
        <v/>
      </c>
      <c r="F749" s="18">
        <f>IF(AND(ISNUMBER(B749),ISNUMBER(B748)),(B749-B748)*100,"")</f>
        <v/>
      </c>
      <c r="G749" s="18">
        <f>IF(AND(ISNUMBER(C749),ISNUMBER(C748)),(C749-C748)*100,"")</f>
        <v/>
      </c>
      <c r="H749" s="18">
        <f>IF(OR(NOT(ISNUMBER($A749)),ROW()-2&lt;Settings!$B$11),NA(),IF(COUNT(OFFSET(F749,1-Settings!$B$11,0,Settings!$B$11,1))&lt;Settings!$B$11,NA(),STDEV(OFFSET(F749,1-Settings!$B$11,0,Settings!$B$11,1))*SQRT(Settings!$B$13)))</f>
        <v/>
      </c>
      <c r="I749" s="18">
        <f>IF(OR(NOT(ISNUMBER($A749)),ROW()-2&lt;Settings!$B$12),NA(),IF(COUNT(OFFSET(F749,1-Settings!$B$12,0,Settings!$B$12,1))&lt;Settings!$B$12,NA(),STDEV(OFFSET(F749,1-Settings!$B$12,0,Settings!$B$12,1))*SQRT(Settings!$B$13)))</f>
        <v/>
      </c>
      <c r="J749" s="18">
        <f>IF(OR(NOT(ISNUMBER($A749)),ROW()-2&lt;Settings!$B$11),NA(),IF(COUNT(OFFSET(G749,1-Settings!$B$11,0,Settings!$B$11,1))&lt;Settings!$B$11,NA(),STDEV(OFFSET(G749,1-Settings!$B$11,0,Settings!$B$11,1))*SQRT(Settings!$B$13)))</f>
        <v/>
      </c>
      <c r="K749" s="18">
        <f>IF(OR(NOT(ISNUMBER($A749)),ROW()-2&lt;Settings!$B$12),NA(),IF(COUNT(OFFSET(G749,1-Settings!$B$12,0,Settings!$B$12,1))&lt;Settings!$B$12,NA(),STDEV(OFFSET(G749,1-Settings!$B$12,0,Settings!$B$12,1))*SQRT(Settings!$B$13)))</f>
        <v/>
      </c>
      <c r="L749" s="18">
        <f>IF(AND(ISNUMBER(D749),ISNUMBER(H749)),D749-H749,NA())</f>
        <v/>
      </c>
      <c r="M749" s="18">
        <f>IF(AND(ISNUMBER(E749),ISNUMBER(K749)),E749-K749,NA())</f>
        <v/>
      </c>
      <c r="N749" s="18">
        <f>IF(NOT(ISNUMBER($A749)),NA(),IF(COUNT(OFFSET(G749,1,0,Settings!$B$12,1))&lt;Settings!$B$12,NA(),STDEV(OFFSET(G749,1,0,Settings!$B$12,1))*SQRT(Settings!$B$13)))</f>
        <v/>
      </c>
      <c r="O749" s="18">
        <f>IF(AND(ISNUMBER(E749),ISNUMBER(N749)),E749-N749,NA())</f>
        <v/>
      </c>
      <c r="P749" s="17">
        <f>IF(NOT(ISNUMBER($A749)),NA(),IF(OR($A749&lt;MIN(KW_TP!$A$2:$A$2501),$A749&gt;MAX(KW_TP!$A$2:$A$2501)),NA(),INDEX(KW_TP!$C$2:$C$2501,MATCH($A749,KW_TP!$A$2:$A$2501,1))))</f>
        <v/>
      </c>
    </row>
    <row r="750">
      <c r="A750" s="15">
        <f>IF(ISNUMBER(BBG_Data!A750),BBG_Data!A750,"")</f>
        <v/>
      </c>
      <c r="B750" s="16">
        <f>IF(AND(ISNUMBER($A750),ISNUMBER(BBG_Data!B750)),BBG_Data!B750,NA())</f>
        <v/>
      </c>
      <c r="C750" s="16">
        <f>IF(AND(ISNUMBER($A750),ISNUMBER(BBG_Data!C750)),BBG_Data!C750,NA())</f>
        <v/>
      </c>
      <c r="D750" s="17">
        <f>IF(AND(ISNUMBER($A750),ISNUMBER(BBG_Data!D750)),BBG_Data!D750,NA())</f>
        <v/>
      </c>
      <c r="E750" s="17">
        <f>IF(AND(ISNUMBER($A750),ISNUMBER(BBG_Data!E750)),BBG_Data!E750,NA())</f>
        <v/>
      </c>
      <c r="F750" s="18">
        <f>IF(AND(ISNUMBER(B750),ISNUMBER(B749)),(B750-B749)*100,"")</f>
        <v/>
      </c>
      <c r="G750" s="18">
        <f>IF(AND(ISNUMBER(C750),ISNUMBER(C749)),(C750-C749)*100,"")</f>
        <v/>
      </c>
      <c r="H750" s="18">
        <f>IF(OR(NOT(ISNUMBER($A750)),ROW()-2&lt;Settings!$B$11),NA(),IF(COUNT(OFFSET(F750,1-Settings!$B$11,0,Settings!$B$11,1))&lt;Settings!$B$11,NA(),STDEV(OFFSET(F750,1-Settings!$B$11,0,Settings!$B$11,1))*SQRT(Settings!$B$13)))</f>
        <v/>
      </c>
      <c r="I750" s="18">
        <f>IF(OR(NOT(ISNUMBER($A750)),ROW()-2&lt;Settings!$B$12),NA(),IF(COUNT(OFFSET(F750,1-Settings!$B$12,0,Settings!$B$12,1))&lt;Settings!$B$12,NA(),STDEV(OFFSET(F750,1-Settings!$B$12,0,Settings!$B$12,1))*SQRT(Settings!$B$13)))</f>
        <v/>
      </c>
      <c r="J750" s="18">
        <f>IF(OR(NOT(ISNUMBER($A750)),ROW()-2&lt;Settings!$B$11),NA(),IF(COUNT(OFFSET(G750,1-Settings!$B$11,0,Settings!$B$11,1))&lt;Settings!$B$11,NA(),STDEV(OFFSET(G750,1-Settings!$B$11,0,Settings!$B$11,1))*SQRT(Settings!$B$13)))</f>
        <v/>
      </c>
      <c r="K750" s="18">
        <f>IF(OR(NOT(ISNUMBER($A750)),ROW()-2&lt;Settings!$B$12),NA(),IF(COUNT(OFFSET(G750,1-Settings!$B$12,0,Settings!$B$12,1))&lt;Settings!$B$12,NA(),STDEV(OFFSET(G750,1-Settings!$B$12,0,Settings!$B$12,1))*SQRT(Settings!$B$13)))</f>
        <v/>
      </c>
      <c r="L750" s="18">
        <f>IF(AND(ISNUMBER(D750),ISNUMBER(H750)),D750-H750,NA())</f>
        <v/>
      </c>
      <c r="M750" s="18">
        <f>IF(AND(ISNUMBER(E750),ISNUMBER(K750)),E750-K750,NA())</f>
        <v/>
      </c>
      <c r="N750" s="18">
        <f>IF(NOT(ISNUMBER($A750)),NA(),IF(COUNT(OFFSET(G750,1,0,Settings!$B$12,1))&lt;Settings!$B$12,NA(),STDEV(OFFSET(G750,1,0,Settings!$B$12,1))*SQRT(Settings!$B$13)))</f>
        <v/>
      </c>
      <c r="O750" s="18">
        <f>IF(AND(ISNUMBER(E750),ISNUMBER(N750)),E750-N750,NA())</f>
        <v/>
      </c>
      <c r="P750" s="17">
        <f>IF(NOT(ISNUMBER($A750)),NA(),IF(OR($A750&lt;MIN(KW_TP!$A$2:$A$2501),$A750&gt;MAX(KW_TP!$A$2:$A$2501)),NA(),INDEX(KW_TP!$C$2:$C$2501,MATCH($A750,KW_TP!$A$2:$A$2501,1))))</f>
        <v/>
      </c>
    </row>
    <row r="751">
      <c r="A751" s="15">
        <f>IF(ISNUMBER(BBG_Data!A751),BBG_Data!A751,"")</f>
        <v/>
      </c>
      <c r="B751" s="16">
        <f>IF(AND(ISNUMBER($A751),ISNUMBER(BBG_Data!B751)),BBG_Data!B751,NA())</f>
        <v/>
      </c>
      <c r="C751" s="16">
        <f>IF(AND(ISNUMBER($A751),ISNUMBER(BBG_Data!C751)),BBG_Data!C751,NA())</f>
        <v/>
      </c>
      <c r="D751" s="17">
        <f>IF(AND(ISNUMBER($A751),ISNUMBER(BBG_Data!D751)),BBG_Data!D751,NA())</f>
        <v/>
      </c>
      <c r="E751" s="17">
        <f>IF(AND(ISNUMBER($A751),ISNUMBER(BBG_Data!E751)),BBG_Data!E751,NA())</f>
        <v/>
      </c>
      <c r="F751" s="18">
        <f>IF(AND(ISNUMBER(B751),ISNUMBER(B750)),(B751-B750)*100,"")</f>
        <v/>
      </c>
      <c r="G751" s="18">
        <f>IF(AND(ISNUMBER(C751),ISNUMBER(C750)),(C751-C750)*100,"")</f>
        <v/>
      </c>
      <c r="H751" s="18">
        <f>IF(OR(NOT(ISNUMBER($A751)),ROW()-2&lt;Settings!$B$11),NA(),IF(COUNT(OFFSET(F751,1-Settings!$B$11,0,Settings!$B$11,1))&lt;Settings!$B$11,NA(),STDEV(OFFSET(F751,1-Settings!$B$11,0,Settings!$B$11,1))*SQRT(Settings!$B$13)))</f>
        <v/>
      </c>
      <c r="I751" s="18">
        <f>IF(OR(NOT(ISNUMBER($A751)),ROW()-2&lt;Settings!$B$12),NA(),IF(COUNT(OFFSET(F751,1-Settings!$B$12,0,Settings!$B$12,1))&lt;Settings!$B$12,NA(),STDEV(OFFSET(F751,1-Settings!$B$12,0,Settings!$B$12,1))*SQRT(Settings!$B$13)))</f>
        <v/>
      </c>
      <c r="J751" s="18">
        <f>IF(OR(NOT(ISNUMBER($A751)),ROW()-2&lt;Settings!$B$11),NA(),IF(COUNT(OFFSET(G751,1-Settings!$B$11,0,Settings!$B$11,1))&lt;Settings!$B$11,NA(),STDEV(OFFSET(G751,1-Settings!$B$11,0,Settings!$B$11,1))*SQRT(Settings!$B$13)))</f>
        <v/>
      </c>
      <c r="K751" s="18">
        <f>IF(OR(NOT(ISNUMBER($A751)),ROW()-2&lt;Settings!$B$12),NA(),IF(COUNT(OFFSET(G751,1-Settings!$B$12,0,Settings!$B$12,1))&lt;Settings!$B$12,NA(),STDEV(OFFSET(G751,1-Settings!$B$12,0,Settings!$B$12,1))*SQRT(Settings!$B$13)))</f>
        <v/>
      </c>
      <c r="L751" s="18">
        <f>IF(AND(ISNUMBER(D751),ISNUMBER(H751)),D751-H751,NA())</f>
        <v/>
      </c>
      <c r="M751" s="18">
        <f>IF(AND(ISNUMBER(E751),ISNUMBER(K751)),E751-K751,NA())</f>
        <v/>
      </c>
      <c r="N751" s="18">
        <f>IF(NOT(ISNUMBER($A751)),NA(),IF(COUNT(OFFSET(G751,1,0,Settings!$B$12,1))&lt;Settings!$B$12,NA(),STDEV(OFFSET(G751,1,0,Settings!$B$12,1))*SQRT(Settings!$B$13)))</f>
        <v/>
      </c>
      <c r="O751" s="18">
        <f>IF(AND(ISNUMBER(E751),ISNUMBER(N751)),E751-N751,NA())</f>
        <v/>
      </c>
      <c r="P751" s="17">
        <f>IF(NOT(ISNUMBER($A751)),NA(),IF(OR($A751&lt;MIN(KW_TP!$A$2:$A$2501),$A751&gt;MAX(KW_TP!$A$2:$A$2501)),NA(),INDEX(KW_TP!$C$2:$C$2501,MATCH($A751,KW_TP!$A$2:$A$2501,1))))</f>
        <v/>
      </c>
    </row>
    <row r="752">
      <c r="A752" s="15">
        <f>IF(ISNUMBER(BBG_Data!A752),BBG_Data!A752,"")</f>
        <v/>
      </c>
      <c r="B752" s="16">
        <f>IF(AND(ISNUMBER($A752),ISNUMBER(BBG_Data!B752)),BBG_Data!B752,NA())</f>
        <v/>
      </c>
      <c r="C752" s="16">
        <f>IF(AND(ISNUMBER($A752),ISNUMBER(BBG_Data!C752)),BBG_Data!C752,NA())</f>
        <v/>
      </c>
      <c r="D752" s="17">
        <f>IF(AND(ISNUMBER($A752),ISNUMBER(BBG_Data!D752)),BBG_Data!D752,NA())</f>
        <v/>
      </c>
      <c r="E752" s="17">
        <f>IF(AND(ISNUMBER($A752),ISNUMBER(BBG_Data!E752)),BBG_Data!E752,NA())</f>
        <v/>
      </c>
      <c r="F752" s="18">
        <f>IF(AND(ISNUMBER(B752),ISNUMBER(B751)),(B752-B751)*100,"")</f>
        <v/>
      </c>
      <c r="G752" s="18">
        <f>IF(AND(ISNUMBER(C752),ISNUMBER(C751)),(C752-C751)*100,"")</f>
        <v/>
      </c>
      <c r="H752" s="18">
        <f>IF(OR(NOT(ISNUMBER($A752)),ROW()-2&lt;Settings!$B$11),NA(),IF(COUNT(OFFSET(F752,1-Settings!$B$11,0,Settings!$B$11,1))&lt;Settings!$B$11,NA(),STDEV(OFFSET(F752,1-Settings!$B$11,0,Settings!$B$11,1))*SQRT(Settings!$B$13)))</f>
        <v/>
      </c>
      <c r="I752" s="18">
        <f>IF(OR(NOT(ISNUMBER($A752)),ROW()-2&lt;Settings!$B$12),NA(),IF(COUNT(OFFSET(F752,1-Settings!$B$12,0,Settings!$B$12,1))&lt;Settings!$B$12,NA(),STDEV(OFFSET(F752,1-Settings!$B$12,0,Settings!$B$12,1))*SQRT(Settings!$B$13)))</f>
        <v/>
      </c>
      <c r="J752" s="18">
        <f>IF(OR(NOT(ISNUMBER($A752)),ROW()-2&lt;Settings!$B$11),NA(),IF(COUNT(OFFSET(G752,1-Settings!$B$11,0,Settings!$B$11,1))&lt;Settings!$B$11,NA(),STDEV(OFFSET(G752,1-Settings!$B$11,0,Settings!$B$11,1))*SQRT(Settings!$B$13)))</f>
        <v/>
      </c>
      <c r="K752" s="18">
        <f>IF(OR(NOT(ISNUMBER($A752)),ROW()-2&lt;Settings!$B$12),NA(),IF(COUNT(OFFSET(G752,1-Settings!$B$12,0,Settings!$B$12,1))&lt;Settings!$B$12,NA(),STDEV(OFFSET(G752,1-Settings!$B$12,0,Settings!$B$12,1))*SQRT(Settings!$B$13)))</f>
        <v/>
      </c>
      <c r="L752" s="18">
        <f>IF(AND(ISNUMBER(D752),ISNUMBER(H752)),D752-H752,NA())</f>
        <v/>
      </c>
      <c r="M752" s="18">
        <f>IF(AND(ISNUMBER(E752),ISNUMBER(K752)),E752-K752,NA())</f>
        <v/>
      </c>
      <c r="N752" s="18">
        <f>IF(NOT(ISNUMBER($A752)),NA(),IF(COUNT(OFFSET(G752,1,0,Settings!$B$12,1))&lt;Settings!$B$12,NA(),STDEV(OFFSET(G752,1,0,Settings!$B$12,1))*SQRT(Settings!$B$13)))</f>
        <v/>
      </c>
      <c r="O752" s="18">
        <f>IF(AND(ISNUMBER(E752),ISNUMBER(N752)),E752-N752,NA())</f>
        <v/>
      </c>
      <c r="P752" s="17">
        <f>IF(NOT(ISNUMBER($A752)),NA(),IF(OR($A752&lt;MIN(KW_TP!$A$2:$A$2501),$A752&gt;MAX(KW_TP!$A$2:$A$2501)),NA(),INDEX(KW_TP!$C$2:$C$2501,MATCH($A752,KW_TP!$A$2:$A$2501,1))))</f>
        <v/>
      </c>
    </row>
    <row r="753">
      <c r="A753" s="15">
        <f>IF(ISNUMBER(BBG_Data!A753),BBG_Data!A753,"")</f>
        <v/>
      </c>
      <c r="B753" s="16">
        <f>IF(AND(ISNUMBER($A753),ISNUMBER(BBG_Data!B753)),BBG_Data!B753,NA())</f>
        <v/>
      </c>
      <c r="C753" s="16">
        <f>IF(AND(ISNUMBER($A753),ISNUMBER(BBG_Data!C753)),BBG_Data!C753,NA())</f>
        <v/>
      </c>
      <c r="D753" s="17">
        <f>IF(AND(ISNUMBER($A753),ISNUMBER(BBG_Data!D753)),BBG_Data!D753,NA())</f>
        <v/>
      </c>
      <c r="E753" s="17">
        <f>IF(AND(ISNUMBER($A753),ISNUMBER(BBG_Data!E753)),BBG_Data!E753,NA())</f>
        <v/>
      </c>
      <c r="F753" s="18">
        <f>IF(AND(ISNUMBER(B753),ISNUMBER(B752)),(B753-B752)*100,"")</f>
        <v/>
      </c>
      <c r="G753" s="18">
        <f>IF(AND(ISNUMBER(C753),ISNUMBER(C752)),(C753-C752)*100,"")</f>
        <v/>
      </c>
      <c r="H753" s="18">
        <f>IF(OR(NOT(ISNUMBER($A753)),ROW()-2&lt;Settings!$B$11),NA(),IF(COUNT(OFFSET(F753,1-Settings!$B$11,0,Settings!$B$11,1))&lt;Settings!$B$11,NA(),STDEV(OFFSET(F753,1-Settings!$B$11,0,Settings!$B$11,1))*SQRT(Settings!$B$13)))</f>
        <v/>
      </c>
      <c r="I753" s="18">
        <f>IF(OR(NOT(ISNUMBER($A753)),ROW()-2&lt;Settings!$B$12),NA(),IF(COUNT(OFFSET(F753,1-Settings!$B$12,0,Settings!$B$12,1))&lt;Settings!$B$12,NA(),STDEV(OFFSET(F753,1-Settings!$B$12,0,Settings!$B$12,1))*SQRT(Settings!$B$13)))</f>
        <v/>
      </c>
      <c r="J753" s="18">
        <f>IF(OR(NOT(ISNUMBER($A753)),ROW()-2&lt;Settings!$B$11),NA(),IF(COUNT(OFFSET(G753,1-Settings!$B$11,0,Settings!$B$11,1))&lt;Settings!$B$11,NA(),STDEV(OFFSET(G753,1-Settings!$B$11,0,Settings!$B$11,1))*SQRT(Settings!$B$13)))</f>
        <v/>
      </c>
      <c r="K753" s="18">
        <f>IF(OR(NOT(ISNUMBER($A753)),ROW()-2&lt;Settings!$B$12),NA(),IF(COUNT(OFFSET(G753,1-Settings!$B$12,0,Settings!$B$12,1))&lt;Settings!$B$12,NA(),STDEV(OFFSET(G753,1-Settings!$B$12,0,Settings!$B$12,1))*SQRT(Settings!$B$13)))</f>
        <v/>
      </c>
      <c r="L753" s="18">
        <f>IF(AND(ISNUMBER(D753),ISNUMBER(H753)),D753-H753,NA())</f>
        <v/>
      </c>
      <c r="M753" s="18">
        <f>IF(AND(ISNUMBER(E753),ISNUMBER(K753)),E753-K753,NA())</f>
        <v/>
      </c>
      <c r="N753" s="18">
        <f>IF(NOT(ISNUMBER($A753)),NA(),IF(COUNT(OFFSET(G753,1,0,Settings!$B$12,1))&lt;Settings!$B$12,NA(),STDEV(OFFSET(G753,1,0,Settings!$B$12,1))*SQRT(Settings!$B$13)))</f>
        <v/>
      </c>
      <c r="O753" s="18">
        <f>IF(AND(ISNUMBER(E753),ISNUMBER(N753)),E753-N753,NA())</f>
        <v/>
      </c>
      <c r="P753" s="17">
        <f>IF(NOT(ISNUMBER($A753)),NA(),IF(OR($A753&lt;MIN(KW_TP!$A$2:$A$2501),$A753&gt;MAX(KW_TP!$A$2:$A$2501)),NA(),INDEX(KW_TP!$C$2:$C$2501,MATCH($A753,KW_TP!$A$2:$A$2501,1))))</f>
        <v/>
      </c>
    </row>
    <row r="754">
      <c r="A754" s="15">
        <f>IF(ISNUMBER(BBG_Data!A754),BBG_Data!A754,"")</f>
        <v/>
      </c>
      <c r="B754" s="16">
        <f>IF(AND(ISNUMBER($A754),ISNUMBER(BBG_Data!B754)),BBG_Data!B754,NA())</f>
        <v/>
      </c>
      <c r="C754" s="16">
        <f>IF(AND(ISNUMBER($A754),ISNUMBER(BBG_Data!C754)),BBG_Data!C754,NA())</f>
        <v/>
      </c>
      <c r="D754" s="17">
        <f>IF(AND(ISNUMBER($A754),ISNUMBER(BBG_Data!D754)),BBG_Data!D754,NA())</f>
        <v/>
      </c>
      <c r="E754" s="17">
        <f>IF(AND(ISNUMBER($A754),ISNUMBER(BBG_Data!E754)),BBG_Data!E754,NA())</f>
        <v/>
      </c>
      <c r="F754" s="18">
        <f>IF(AND(ISNUMBER(B754),ISNUMBER(B753)),(B754-B753)*100,"")</f>
        <v/>
      </c>
      <c r="G754" s="18">
        <f>IF(AND(ISNUMBER(C754),ISNUMBER(C753)),(C754-C753)*100,"")</f>
        <v/>
      </c>
      <c r="H754" s="18">
        <f>IF(OR(NOT(ISNUMBER($A754)),ROW()-2&lt;Settings!$B$11),NA(),IF(COUNT(OFFSET(F754,1-Settings!$B$11,0,Settings!$B$11,1))&lt;Settings!$B$11,NA(),STDEV(OFFSET(F754,1-Settings!$B$11,0,Settings!$B$11,1))*SQRT(Settings!$B$13)))</f>
        <v/>
      </c>
      <c r="I754" s="18">
        <f>IF(OR(NOT(ISNUMBER($A754)),ROW()-2&lt;Settings!$B$12),NA(),IF(COUNT(OFFSET(F754,1-Settings!$B$12,0,Settings!$B$12,1))&lt;Settings!$B$12,NA(),STDEV(OFFSET(F754,1-Settings!$B$12,0,Settings!$B$12,1))*SQRT(Settings!$B$13)))</f>
        <v/>
      </c>
      <c r="J754" s="18">
        <f>IF(OR(NOT(ISNUMBER($A754)),ROW()-2&lt;Settings!$B$11),NA(),IF(COUNT(OFFSET(G754,1-Settings!$B$11,0,Settings!$B$11,1))&lt;Settings!$B$11,NA(),STDEV(OFFSET(G754,1-Settings!$B$11,0,Settings!$B$11,1))*SQRT(Settings!$B$13)))</f>
        <v/>
      </c>
      <c r="K754" s="18">
        <f>IF(OR(NOT(ISNUMBER($A754)),ROW()-2&lt;Settings!$B$12),NA(),IF(COUNT(OFFSET(G754,1-Settings!$B$12,0,Settings!$B$12,1))&lt;Settings!$B$12,NA(),STDEV(OFFSET(G754,1-Settings!$B$12,0,Settings!$B$12,1))*SQRT(Settings!$B$13)))</f>
        <v/>
      </c>
      <c r="L754" s="18">
        <f>IF(AND(ISNUMBER(D754),ISNUMBER(H754)),D754-H754,NA())</f>
        <v/>
      </c>
      <c r="M754" s="18">
        <f>IF(AND(ISNUMBER(E754),ISNUMBER(K754)),E754-K754,NA())</f>
        <v/>
      </c>
      <c r="N754" s="18">
        <f>IF(NOT(ISNUMBER($A754)),NA(),IF(COUNT(OFFSET(G754,1,0,Settings!$B$12,1))&lt;Settings!$B$12,NA(),STDEV(OFFSET(G754,1,0,Settings!$B$12,1))*SQRT(Settings!$B$13)))</f>
        <v/>
      </c>
      <c r="O754" s="18">
        <f>IF(AND(ISNUMBER(E754),ISNUMBER(N754)),E754-N754,NA())</f>
        <v/>
      </c>
      <c r="P754" s="17">
        <f>IF(NOT(ISNUMBER($A754)),NA(),IF(OR($A754&lt;MIN(KW_TP!$A$2:$A$2501),$A754&gt;MAX(KW_TP!$A$2:$A$2501)),NA(),INDEX(KW_TP!$C$2:$C$2501,MATCH($A754,KW_TP!$A$2:$A$2501,1))))</f>
        <v/>
      </c>
    </row>
    <row r="755">
      <c r="A755" s="15">
        <f>IF(ISNUMBER(BBG_Data!A755),BBG_Data!A755,"")</f>
        <v/>
      </c>
      <c r="B755" s="16">
        <f>IF(AND(ISNUMBER($A755),ISNUMBER(BBG_Data!B755)),BBG_Data!B755,NA())</f>
        <v/>
      </c>
      <c r="C755" s="16">
        <f>IF(AND(ISNUMBER($A755),ISNUMBER(BBG_Data!C755)),BBG_Data!C755,NA())</f>
        <v/>
      </c>
      <c r="D755" s="17">
        <f>IF(AND(ISNUMBER($A755),ISNUMBER(BBG_Data!D755)),BBG_Data!D755,NA())</f>
        <v/>
      </c>
      <c r="E755" s="17">
        <f>IF(AND(ISNUMBER($A755),ISNUMBER(BBG_Data!E755)),BBG_Data!E755,NA())</f>
        <v/>
      </c>
      <c r="F755" s="18">
        <f>IF(AND(ISNUMBER(B755),ISNUMBER(B754)),(B755-B754)*100,"")</f>
        <v/>
      </c>
      <c r="G755" s="18">
        <f>IF(AND(ISNUMBER(C755),ISNUMBER(C754)),(C755-C754)*100,"")</f>
        <v/>
      </c>
      <c r="H755" s="18">
        <f>IF(OR(NOT(ISNUMBER($A755)),ROW()-2&lt;Settings!$B$11),NA(),IF(COUNT(OFFSET(F755,1-Settings!$B$11,0,Settings!$B$11,1))&lt;Settings!$B$11,NA(),STDEV(OFFSET(F755,1-Settings!$B$11,0,Settings!$B$11,1))*SQRT(Settings!$B$13)))</f>
        <v/>
      </c>
      <c r="I755" s="18">
        <f>IF(OR(NOT(ISNUMBER($A755)),ROW()-2&lt;Settings!$B$12),NA(),IF(COUNT(OFFSET(F755,1-Settings!$B$12,0,Settings!$B$12,1))&lt;Settings!$B$12,NA(),STDEV(OFFSET(F755,1-Settings!$B$12,0,Settings!$B$12,1))*SQRT(Settings!$B$13)))</f>
        <v/>
      </c>
      <c r="J755" s="18">
        <f>IF(OR(NOT(ISNUMBER($A755)),ROW()-2&lt;Settings!$B$11),NA(),IF(COUNT(OFFSET(G755,1-Settings!$B$11,0,Settings!$B$11,1))&lt;Settings!$B$11,NA(),STDEV(OFFSET(G755,1-Settings!$B$11,0,Settings!$B$11,1))*SQRT(Settings!$B$13)))</f>
        <v/>
      </c>
      <c r="K755" s="18">
        <f>IF(OR(NOT(ISNUMBER($A755)),ROW()-2&lt;Settings!$B$12),NA(),IF(COUNT(OFFSET(G755,1-Settings!$B$12,0,Settings!$B$12,1))&lt;Settings!$B$12,NA(),STDEV(OFFSET(G755,1-Settings!$B$12,0,Settings!$B$12,1))*SQRT(Settings!$B$13)))</f>
        <v/>
      </c>
      <c r="L755" s="18">
        <f>IF(AND(ISNUMBER(D755),ISNUMBER(H755)),D755-H755,NA())</f>
        <v/>
      </c>
      <c r="M755" s="18">
        <f>IF(AND(ISNUMBER(E755),ISNUMBER(K755)),E755-K755,NA())</f>
        <v/>
      </c>
      <c r="N755" s="18">
        <f>IF(NOT(ISNUMBER($A755)),NA(),IF(COUNT(OFFSET(G755,1,0,Settings!$B$12,1))&lt;Settings!$B$12,NA(),STDEV(OFFSET(G755,1,0,Settings!$B$12,1))*SQRT(Settings!$B$13)))</f>
        <v/>
      </c>
      <c r="O755" s="18">
        <f>IF(AND(ISNUMBER(E755),ISNUMBER(N755)),E755-N755,NA())</f>
        <v/>
      </c>
      <c r="P755" s="17">
        <f>IF(NOT(ISNUMBER($A755)),NA(),IF(OR($A755&lt;MIN(KW_TP!$A$2:$A$2501),$A755&gt;MAX(KW_TP!$A$2:$A$2501)),NA(),INDEX(KW_TP!$C$2:$C$2501,MATCH($A755,KW_TP!$A$2:$A$2501,1))))</f>
        <v/>
      </c>
    </row>
    <row r="756">
      <c r="A756" s="15">
        <f>IF(ISNUMBER(BBG_Data!A756),BBG_Data!A756,"")</f>
        <v/>
      </c>
      <c r="B756" s="16">
        <f>IF(AND(ISNUMBER($A756),ISNUMBER(BBG_Data!B756)),BBG_Data!B756,NA())</f>
        <v/>
      </c>
      <c r="C756" s="16">
        <f>IF(AND(ISNUMBER($A756),ISNUMBER(BBG_Data!C756)),BBG_Data!C756,NA())</f>
        <v/>
      </c>
      <c r="D756" s="17">
        <f>IF(AND(ISNUMBER($A756),ISNUMBER(BBG_Data!D756)),BBG_Data!D756,NA())</f>
        <v/>
      </c>
      <c r="E756" s="17">
        <f>IF(AND(ISNUMBER($A756),ISNUMBER(BBG_Data!E756)),BBG_Data!E756,NA())</f>
        <v/>
      </c>
      <c r="F756" s="18">
        <f>IF(AND(ISNUMBER(B756),ISNUMBER(B755)),(B756-B755)*100,"")</f>
        <v/>
      </c>
      <c r="G756" s="18">
        <f>IF(AND(ISNUMBER(C756),ISNUMBER(C755)),(C756-C755)*100,"")</f>
        <v/>
      </c>
      <c r="H756" s="18">
        <f>IF(OR(NOT(ISNUMBER($A756)),ROW()-2&lt;Settings!$B$11),NA(),IF(COUNT(OFFSET(F756,1-Settings!$B$11,0,Settings!$B$11,1))&lt;Settings!$B$11,NA(),STDEV(OFFSET(F756,1-Settings!$B$11,0,Settings!$B$11,1))*SQRT(Settings!$B$13)))</f>
        <v/>
      </c>
      <c r="I756" s="18">
        <f>IF(OR(NOT(ISNUMBER($A756)),ROW()-2&lt;Settings!$B$12),NA(),IF(COUNT(OFFSET(F756,1-Settings!$B$12,0,Settings!$B$12,1))&lt;Settings!$B$12,NA(),STDEV(OFFSET(F756,1-Settings!$B$12,0,Settings!$B$12,1))*SQRT(Settings!$B$13)))</f>
        <v/>
      </c>
      <c r="J756" s="18">
        <f>IF(OR(NOT(ISNUMBER($A756)),ROW()-2&lt;Settings!$B$11),NA(),IF(COUNT(OFFSET(G756,1-Settings!$B$11,0,Settings!$B$11,1))&lt;Settings!$B$11,NA(),STDEV(OFFSET(G756,1-Settings!$B$11,0,Settings!$B$11,1))*SQRT(Settings!$B$13)))</f>
        <v/>
      </c>
      <c r="K756" s="18">
        <f>IF(OR(NOT(ISNUMBER($A756)),ROW()-2&lt;Settings!$B$12),NA(),IF(COUNT(OFFSET(G756,1-Settings!$B$12,0,Settings!$B$12,1))&lt;Settings!$B$12,NA(),STDEV(OFFSET(G756,1-Settings!$B$12,0,Settings!$B$12,1))*SQRT(Settings!$B$13)))</f>
        <v/>
      </c>
      <c r="L756" s="18">
        <f>IF(AND(ISNUMBER(D756),ISNUMBER(H756)),D756-H756,NA())</f>
        <v/>
      </c>
      <c r="M756" s="18">
        <f>IF(AND(ISNUMBER(E756),ISNUMBER(K756)),E756-K756,NA())</f>
        <v/>
      </c>
      <c r="N756" s="18">
        <f>IF(NOT(ISNUMBER($A756)),NA(),IF(COUNT(OFFSET(G756,1,0,Settings!$B$12,1))&lt;Settings!$B$12,NA(),STDEV(OFFSET(G756,1,0,Settings!$B$12,1))*SQRT(Settings!$B$13)))</f>
        <v/>
      </c>
      <c r="O756" s="18">
        <f>IF(AND(ISNUMBER(E756),ISNUMBER(N756)),E756-N756,NA())</f>
        <v/>
      </c>
      <c r="P756" s="17">
        <f>IF(NOT(ISNUMBER($A756)),NA(),IF(OR($A756&lt;MIN(KW_TP!$A$2:$A$2501),$A756&gt;MAX(KW_TP!$A$2:$A$2501)),NA(),INDEX(KW_TP!$C$2:$C$2501,MATCH($A756,KW_TP!$A$2:$A$2501,1))))</f>
        <v/>
      </c>
    </row>
    <row r="757">
      <c r="A757" s="15">
        <f>IF(ISNUMBER(BBG_Data!A757),BBG_Data!A757,"")</f>
        <v/>
      </c>
      <c r="B757" s="16">
        <f>IF(AND(ISNUMBER($A757),ISNUMBER(BBG_Data!B757)),BBG_Data!B757,NA())</f>
        <v/>
      </c>
      <c r="C757" s="16">
        <f>IF(AND(ISNUMBER($A757),ISNUMBER(BBG_Data!C757)),BBG_Data!C757,NA())</f>
        <v/>
      </c>
      <c r="D757" s="17">
        <f>IF(AND(ISNUMBER($A757),ISNUMBER(BBG_Data!D757)),BBG_Data!D757,NA())</f>
        <v/>
      </c>
      <c r="E757" s="17">
        <f>IF(AND(ISNUMBER($A757),ISNUMBER(BBG_Data!E757)),BBG_Data!E757,NA())</f>
        <v/>
      </c>
      <c r="F757" s="18">
        <f>IF(AND(ISNUMBER(B757),ISNUMBER(B756)),(B757-B756)*100,"")</f>
        <v/>
      </c>
      <c r="G757" s="18">
        <f>IF(AND(ISNUMBER(C757),ISNUMBER(C756)),(C757-C756)*100,"")</f>
        <v/>
      </c>
      <c r="H757" s="18">
        <f>IF(OR(NOT(ISNUMBER($A757)),ROW()-2&lt;Settings!$B$11),NA(),IF(COUNT(OFFSET(F757,1-Settings!$B$11,0,Settings!$B$11,1))&lt;Settings!$B$11,NA(),STDEV(OFFSET(F757,1-Settings!$B$11,0,Settings!$B$11,1))*SQRT(Settings!$B$13)))</f>
        <v/>
      </c>
      <c r="I757" s="18">
        <f>IF(OR(NOT(ISNUMBER($A757)),ROW()-2&lt;Settings!$B$12),NA(),IF(COUNT(OFFSET(F757,1-Settings!$B$12,0,Settings!$B$12,1))&lt;Settings!$B$12,NA(),STDEV(OFFSET(F757,1-Settings!$B$12,0,Settings!$B$12,1))*SQRT(Settings!$B$13)))</f>
        <v/>
      </c>
      <c r="J757" s="18">
        <f>IF(OR(NOT(ISNUMBER($A757)),ROW()-2&lt;Settings!$B$11),NA(),IF(COUNT(OFFSET(G757,1-Settings!$B$11,0,Settings!$B$11,1))&lt;Settings!$B$11,NA(),STDEV(OFFSET(G757,1-Settings!$B$11,0,Settings!$B$11,1))*SQRT(Settings!$B$13)))</f>
        <v/>
      </c>
      <c r="K757" s="18">
        <f>IF(OR(NOT(ISNUMBER($A757)),ROW()-2&lt;Settings!$B$12),NA(),IF(COUNT(OFFSET(G757,1-Settings!$B$12,0,Settings!$B$12,1))&lt;Settings!$B$12,NA(),STDEV(OFFSET(G757,1-Settings!$B$12,0,Settings!$B$12,1))*SQRT(Settings!$B$13)))</f>
        <v/>
      </c>
      <c r="L757" s="18">
        <f>IF(AND(ISNUMBER(D757),ISNUMBER(H757)),D757-H757,NA())</f>
        <v/>
      </c>
      <c r="M757" s="18">
        <f>IF(AND(ISNUMBER(E757),ISNUMBER(K757)),E757-K757,NA())</f>
        <v/>
      </c>
      <c r="N757" s="18">
        <f>IF(NOT(ISNUMBER($A757)),NA(),IF(COUNT(OFFSET(G757,1,0,Settings!$B$12,1))&lt;Settings!$B$12,NA(),STDEV(OFFSET(G757,1,0,Settings!$B$12,1))*SQRT(Settings!$B$13)))</f>
        <v/>
      </c>
      <c r="O757" s="18">
        <f>IF(AND(ISNUMBER(E757),ISNUMBER(N757)),E757-N757,NA())</f>
        <v/>
      </c>
      <c r="P757" s="17">
        <f>IF(NOT(ISNUMBER($A757)),NA(),IF(OR($A757&lt;MIN(KW_TP!$A$2:$A$2501),$A757&gt;MAX(KW_TP!$A$2:$A$2501)),NA(),INDEX(KW_TP!$C$2:$C$2501,MATCH($A757,KW_TP!$A$2:$A$2501,1))))</f>
        <v/>
      </c>
    </row>
    <row r="758">
      <c r="A758" s="15">
        <f>IF(ISNUMBER(BBG_Data!A758),BBG_Data!A758,"")</f>
        <v/>
      </c>
      <c r="B758" s="16">
        <f>IF(AND(ISNUMBER($A758),ISNUMBER(BBG_Data!B758)),BBG_Data!B758,NA())</f>
        <v/>
      </c>
      <c r="C758" s="16">
        <f>IF(AND(ISNUMBER($A758),ISNUMBER(BBG_Data!C758)),BBG_Data!C758,NA())</f>
        <v/>
      </c>
      <c r="D758" s="17">
        <f>IF(AND(ISNUMBER($A758),ISNUMBER(BBG_Data!D758)),BBG_Data!D758,NA())</f>
        <v/>
      </c>
      <c r="E758" s="17">
        <f>IF(AND(ISNUMBER($A758),ISNUMBER(BBG_Data!E758)),BBG_Data!E758,NA())</f>
        <v/>
      </c>
      <c r="F758" s="18">
        <f>IF(AND(ISNUMBER(B758),ISNUMBER(B757)),(B758-B757)*100,"")</f>
        <v/>
      </c>
      <c r="G758" s="18">
        <f>IF(AND(ISNUMBER(C758),ISNUMBER(C757)),(C758-C757)*100,"")</f>
        <v/>
      </c>
      <c r="H758" s="18">
        <f>IF(OR(NOT(ISNUMBER($A758)),ROW()-2&lt;Settings!$B$11),NA(),IF(COUNT(OFFSET(F758,1-Settings!$B$11,0,Settings!$B$11,1))&lt;Settings!$B$11,NA(),STDEV(OFFSET(F758,1-Settings!$B$11,0,Settings!$B$11,1))*SQRT(Settings!$B$13)))</f>
        <v/>
      </c>
      <c r="I758" s="18">
        <f>IF(OR(NOT(ISNUMBER($A758)),ROW()-2&lt;Settings!$B$12),NA(),IF(COUNT(OFFSET(F758,1-Settings!$B$12,0,Settings!$B$12,1))&lt;Settings!$B$12,NA(),STDEV(OFFSET(F758,1-Settings!$B$12,0,Settings!$B$12,1))*SQRT(Settings!$B$13)))</f>
        <v/>
      </c>
      <c r="J758" s="18">
        <f>IF(OR(NOT(ISNUMBER($A758)),ROW()-2&lt;Settings!$B$11),NA(),IF(COUNT(OFFSET(G758,1-Settings!$B$11,0,Settings!$B$11,1))&lt;Settings!$B$11,NA(),STDEV(OFFSET(G758,1-Settings!$B$11,0,Settings!$B$11,1))*SQRT(Settings!$B$13)))</f>
        <v/>
      </c>
      <c r="K758" s="18">
        <f>IF(OR(NOT(ISNUMBER($A758)),ROW()-2&lt;Settings!$B$12),NA(),IF(COUNT(OFFSET(G758,1-Settings!$B$12,0,Settings!$B$12,1))&lt;Settings!$B$12,NA(),STDEV(OFFSET(G758,1-Settings!$B$12,0,Settings!$B$12,1))*SQRT(Settings!$B$13)))</f>
        <v/>
      </c>
      <c r="L758" s="18">
        <f>IF(AND(ISNUMBER(D758),ISNUMBER(H758)),D758-H758,NA())</f>
        <v/>
      </c>
      <c r="M758" s="18">
        <f>IF(AND(ISNUMBER(E758),ISNUMBER(K758)),E758-K758,NA())</f>
        <v/>
      </c>
      <c r="N758" s="18">
        <f>IF(NOT(ISNUMBER($A758)),NA(),IF(COUNT(OFFSET(G758,1,0,Settings!$B$12,1))&lt;Settings!$B$12,NA(),STDEV(OFFSET(G758,1,0,Settings!$B$12,1))*SQRT(Settings!$B$13)))</f>
        <v/>
      </c>
      <c r="O758" s="18">
        <f>IF(AND(ISNUMBER(E758),ISNUMBER(N758)),E758-N758,NA())</f>
        <v/>
      </c>
      <c r="P758" s="17">
        <f>IF(NOT(ISNUMBER($A758)),NA(),IF(OR($A758&lt;MIN(KW_TP!$A$2:$A$2501),$A758&gt;MAX(KW_TP!$A$2:$A$2501)),NA(),INDEX(KW_TP!$C$2:$C$2501,MATCH($A758,KW_TP!$A$2:$A$2501,1))))</f>
        <v/>
      </c>
    </row>
    <row r="759">
      <c r="A759" s="15">
        <f>IF(ISNUMBER(BBG_Data!A759),BBG_Data!A759,"")</f>
        <v/>
      </c>
      <c r="B759" s="16">
        <f>IF(AND(ISNUMBER($A759),ISNUMBER(BBG_Data!B759)),BBG_Data!B759,NA())</f>
        <v/>
      </c>
      <c r="C759" s="16">
        <f>IF(AND(ISNUMBER($A759),ISNUMBER(BBG_Data!C759)),BBG_Data!C759,NA())</f>
        <v/>
      </c>
      <c r="D759" s="17">
        <f>IF(AND(ISNUMBER($A759),ISNUMBER(BBG_Data!D759)),BBG_Data!D759,NA())</f>
        <v/>
      </c>
      <c r="E759" s="17">
        <f>IF(AND(ISNUMBER($A759),ISNUMBER(BBG_Data!E759)),BBG_Data!E759,NA())</f>
        <v/>
      </c>
      <c r="F759" s="18">
        <f>IF(AND(ISNUMBER(B759),ISNUMBER(B758)),(B759-B758)*100,"")</f>
        <v/>
      </c>
      <c r="G759" s="18">
        <f>IF(AND(ISNUMBER(C759),ISNUMBER(C758)),(C759-C758)*100,"")</f>
        <v/>
      </c>
      <c r="H759" s="18">
        <f>IF(OR(NOT(ISNUMBER($A759)),ROW()-2&lt;Settings!$B$11),NA(),IF(COUNT(OFFSET(F759,1-Settings!$B$11,0,Settings!$B$11,1))&lt;Settings!$B$11,NA(),STDEV(OFFSET(F759,1-Settings!$B$11,0,Settings!$B$11,1))*SQRT(Settings!$B$13)))</f>
        <v/>
      </c>
      <c r="I759" s="18">
        <f>IF(OR(NOT(ISNUMBER($A759)),ROW()-2&lt;Settings!$B$12),NA(),IF(COUNT(OFFSET(F759,1-Settings!$B$12,0,Settings!$B$12,1))&lt;Settings!$B$12,NA(),STDEV(OFFSET(F759,1-Settings!$B$12,0,Settings!$B$12,1))*SQRT(Settings!$B$13)))</f>
        <v/>
      </c>
      <c r="J759" s="18">
        <f>IF(OR(NOT(ISNUMBER($A759)),ROW()-2&lt;Settings!$B$11),NA(),IF(COUNT(OFFSET(G759,1-Settings!$B$11,0,Settings!$B$11,1))&lt;Settings!$B$11,NA(),STDEV(OFFSET(G759,1-Settings!$B$11,0,Settings!$B$11,1))*SQRT(Settings!$B$13)))</f>
        <v/>
      </c>
      <c r="K759" s="18">
        <f>IF(OR(NOT(ISNUMBER($A759)),ROW()-2&lt;Settings!$B$12),NA(),IF(COUNT(OFFSET(G759,1-Settings!$B$12,0,Settings!$B$12,1))&lt;Settings!$B$12,NA(),STDEV(OFFSET(G759,1-Settings!$B$12,0,Settings!$B$12,1))*SQRT(Settings!$B$13)))</f>
        <v/>
      </c>
      <c r="L759" s="18">
        <f>IF(AND(ISNUMBER(D759),ISNUMBER(H759)),D759-H759,NA())</f>
        <v/>
      </c>
      <c r="M759" s="18">
        <f>IF(AND(ISNUMBER(E759),ISNUMBER(K759)),E759-K759,NA())</f>
        <v/>
      </c>
      <c r="N759" s="18">
        <f>IF(NOT(ISNUMBER($A759)),NA(),IF(COUNT(OFFSET(G759,1,0,Settings!$B$12,1))&lt;Settings!$B$12,NA(),STDEV(OFFSET(G759,1,0,Settings!$B$12,1))*SQRT(Settings!$B$13)))</f>
        <v/>
      </c>
      <c r="O759" s="18">
        <f>IF(AND(ISNUMBER(E759),ISNUMBER(N759)),E759-N759,NA())</f>
        <v/>
      </c>
      <c r="P759" s="17">
        <f>IF(NOT(ISNUMBER($A759)),NA(),IF(OR($A759&lt;MIN(KW_TP!$A$2:$A$2501),$A759&gt;MAX(KW_TP!$A$2:$A$2501)),NA(),INDEX(KW_TP!$C$2:$C$2501,MATCH($A759,KW_TP!$A$2:$A$2501,1))))</f>
        <v/>
      </c>
    </row>
    <row r="760">
      <c r="A760" s="15">
        <f>IF(ISNUMBER(BBG_Data!A760),BBG_Data!A760,"")</f>
        <v/>
      </c>
      <c r="B760" s="16">
        <f>IF(AND(ISNUMBER($A760),ISNUMBER(BBG_Data!B760)),BBG_Data!B760,NA())</f>
        <v/>
      </c>
      <c r="C760" s="16">
        <f>IF(AND(ISNUMBER($A760),ISNUMBER(BBG_Data!C760)),BBG_Data!C760,NA())</f>
        <v/>
      </c>
      <c r="D760" s="17">
        <f>IF(AND(ISNUMBER($A760),ISNUMBER(BBG_Data!D760)),BBG_Data!D760,NA())</f>
        <v/>
      </c>
      <c r="E760" s="17">
        <f>IF(AND(ISNUMBER($A760),ISNUMBER(BBG_Data!E760)),BBG_Data!E760,NA())</f>
        <v/>
      </c>
      <c r="F760" s="18">
        <f>IF(AND(ISNUMBER(B760),ISNUMBER(B759)),(B760-B759)*100,"")</f>
        <v/>
      </c>
      <c r="G760" s="18">
        <f>IF(AND(ISNUMBER(C760),ISNUMBER(C759)),(C760-C759)*100,"")</f>
        <v/>
      </c>
      <c r="H760" s="18">
        <f>IF(OR(NOT(ISNUMBER($A760)),ROW()-2&lt;Settings!$B$11),NA(),IF(COUNT(OFFSET(F760,1-Settings!$B$11,0,Settings!$B$11,1))&lt;Settings!$B$11,NA(),STDEV(OFFSET(F760,1-Settings!$B$11,0,Settings!$B$11,1))*SQRT(Settings!$B$13)))</f>
        <v/>
      </c>
      <c r="I760" s="18">
        <f>IF(OR(NOT(ISNUMBER($A760)),ROW()-2&lt;Settings!$B$12),NA(),IF(COUNT(OFFSET(F760,1-Settings!$B$12,0,Settings!$B$12,1))&lt;Settings!$B$12,NA(),STDEV(OFFSET(F760,1-Settings!$B$12,0,Settings!$B$12,1))*SQRT(Settings!$B$13)))</f>
        <v/>
      </c>
      <c r="J760" s="18">
        <f>IF(OR(NOT(ISNUMBER($A760)),ROW()-2&lt;Settings!$B$11),NA(),IF(COUNT(OFFSET(G760,1-Settings!$B$11,0,Settings!$B$11,1))&lt;Settings!$B$11,NA(),STDEV(OFFSET(G760,1-Settings!$B$11,0,Settings!$B$11,1))*SQRT(Settings!$B$13)))</f>
        <v/>
      </c>
      <c r="K760" s="18">
        <f>IF(OR(NOT(ISNUMBER($A760)),ROW()-2&lt;Settings!$B$12),NA(),IF(COUNT(OFFSET(G760,1-Settings!$B$12,0,Settings!$B$12,1))&lt;Settings!$B$12,NA(),STDEV(OFFSET(G760,1-Settings!$B$12,0,Settings!$B$12,1))*SQRT(Settings!$B$13)))</f>
        <v/>
      </c>
      <c r="L760" s="18">
        <f>IF(AND(ISNUMBER(D760),ISNUMBER(H760)),D760-H760,NA())</f>
        <v/>
      </c>
      <c r="M760" s="18">
        <f>IF(AND(ISNUMBER(E760),ISNUMBER(K760)),E760-K760,NA())</f>
        <v/>
      </c>
      <c r="N760" s="18">
        <f>IF(NOT(ISNUMBER($A760)),NA(),IF(COUNT(OFFSET(G760,1,0,Settings!$B$12,1))&lt;Settings!$B$12,NA(),STDEV(OFFSET(G760,1,0,Settings!$B$12,1))*SQRT(Settings!$B$13)))</f>
        <v/>
      </c>
      <c r="O760" s="18">
        <f>IF(AND(ISNUMBER(E760),ISNUMBER(N760)),E760-N760,NA())</f>
        <v/>
      </c>
      <c r="P760" s="17">
        <f>IF(NOT(ISNUMBER($A760)),NA(),IF(OR($A760&lt;MIN(KW_TP!$A$2:$A$2501),$A760&gt;MAX(KW_TP!$A$2:$A$2501)),NA(),INDEX(KW_TP!$C$2:$C$2501,MATCH($A760,KW_TP!$A$2:$A$2501,1))))</f>
        <v/>
      </c>
    </row>
    <row r="761">
      <c r="A761" s="15">
        <f>IF(ISNUMBER(BBG_Data!A761),BBG_Data!A761,"")</f>
        <v/>
      </c>
      <c r="B761" s="16">
        <f>IF(AND(ISNUMBER($A761),ISNUMBER(BBG_Data!B761)),BBG_Data!B761,NA())</f>
        <v/>
      </c>
      <c r="C761" s="16">
        <f>IF(AND(ISNUMBER($A761),ISNUMBER(BBG_Data!C761)),BBG_Data!C761,NA())</f>
        <v/>
      </c>
      <c r="D761" s="17">
        <f>IF(AND(ISNUMBER($A761),ISNUMBER(BBG_Data!D761)),BBG_Data!D761,NA())</f>
        <v/>
      </c>
      <c r="E761" s="17">
        <f>IF(AND(ISNUMBER($A761),ISNUMBER(BBG_Data!E761)),BBG_Data!E761,NA())</f>
        <v/>
      </c>
      <c r="F761" s="18">
        <f>IF(AND(ISNUMBER(B761),ISNUMBER(B760)),(B761-B760)*100,"")</f>
        <v/>
      </c>
      <c r="G761" s="18">
        <f>IF(AND(ISNUMBER(C761),ISNUMBER(C760)),(C761-C760)*100,"")</f>
        <v/>
      </c>
      <c r="H761" s="18">
        <f>IF(OR(NOT(ISNUMBER($A761)),ROW()-2&lt;Settings!$B$11),NA(),IF(COUNT(OFFSET(F761,1-Settings!$B$11,0,Settings!$B$11,1))&lt;Settings!$B$11,NA(),STDEV(OFFSET(F761,1-Settings!$B$11,0,Settings!$B$11,1))*SQRT(Settings!$B$13)))</f>
        <v/>
      </c>
      <c r="I761" s="18">
        <f>IF(OR(NOT(ISNUMBER($A761)),ROW()-2&lt;Settings!$B$12),NA(),IF(COUNT(OFFSET(F761,1-Settings!$B$12,0,Settings!$B$12,1))&lt;Settings!$B$12,NA(),STDEV(OFFSET(F761,1-Settings!$B$12,0,Settings!$B$12,1))*SQRT(Settings!$B$13)))</f>
        <v/>
      </c>
      <c r="J761" s="18">
        <f>IF(OR(NOT(ISNUMBER($A761)),ROW()-2&lt;Settings!$B$11),NA(),IF(COUNT(OFFSET(G761,1-Settings!$B$11,0,Settings!$B$11,1))&lt;Settings!$B$11,NA(),STDEV(OFFSET(G761,1-Settings!$B$11,0,Settings!$B$11,1))*SQRT(Settings!$B$13)))</f>
        <v/>
      </c>
      <c r="K761" s="18">
        <f>IF(OR(NOT(ISNUMBER($A761)),ROW()-2&lt;Settings!$B$12),NA(),IF(COUNT(OFFSET(G761,1-Settings!$B$12,0,Settings!$B$12,1))&lt;Settings!$B$12,NA(),STDEV(OFFSET(G761,1-Settings!$B$12,0,Settings!$B$12,1))*SQRT(Settings!$B$13)))</f>
        <v/>
      </c>
      <c r="L761" s="18">
        <f>IF(AND(ISNUMBER(D761),ISNUMBER(H761)),D761-H761,NA())</f>
        <v/>
      </c>
      <c r="M761" s="18">
        <f>IF(AND(ISNUMBER(E761),ISNUMBER(K761)),E761-K761,NA())</f>
        <v/>
      </c>
      <c r="N761" s="18">
        <f>IF(NOT(ISNUMBER($A761)),NA(),IF(COUNT(OFFSET(G761,1,0,Settings!$B$12,1))&lt;Settings!$B$12,NA(),STDEV(OFFSET(G761,1,0,Settings!$B$12,1))*SQRT(Settings!$B$13)))</f>
        <v/>
      </c>
      <c r="O761" s="18">
        <f>IF(AND(ISNUMBER(E761),ISNUMBER(N761)),E761-N761,NA())</f>
        <v/>
      </c>
      <c r="P761" s="17">
        <f>IF(NOT(ISNUMBER($A761)),NA(),IF(OR($A761&lt;MIN(KW_TP!$A$2:$A$2501),$A761&gt;MAX(KW_TP!$A$2:$A$2501)),NA(),INDEX(KW_TP!$C$2:$C$2501,MATCH($A761,KW_TP!$A$2:$A$2501,1))))</f>
        <v/>
      </c>
    </row>
    <row r="762">
      <c r="A762" s="15">
        <f>IF(ISNUMBER(BBG_Data!A762),BBG_Data!A762,"")</f>
        <v/>
      </c>
      <c r="B762" s="16">
        <f>IF(AND(ISNUMBER($A762),ISNUMBER(BBG_Data!B762)),BBG_Data!B762,NA())</f>
        <v/>
      </c>
      <c r="C762" s="16">
        <f>IF(AND(ISNUMBER($A762),ISNUMBER(BBG_Data!C762)),BBG_Data!C762,NA())</f>
        <v/>
      </c>
      <c r="D762" s="17">
        <f>IF(AND(ISNUMBER($A762),ISNUMBER(BBG_Data!D762)),BBG_Data!D762,NA())</f>
        <v/>
      </c>
      <c r="E762" s="17">
        <f>IF(AND(ISNUMBER($A762),ISNUMBER(BBG_Data!E762)),BBG_Data!E762,NA())</f>
        <v/>
      </c>
      <c r="F762" s="18">
        <f>IF(AND(ISNUMBER(B762),ISNUMBER(B761)),(B762-B761)*100,"")</f>
        <v/>
      </c>
      <c r="G762" s="18">
        <f>IF(AND(ISNUMBER(C762),ISNUMBER(C761)),(C762-C761)*100,"")</f>
        <v/>
      </c>
      <c r="H762" s="18">
        <f>IF(OR(NOT(ISNUMBER($A762)),ROW()-2&lt;Settings!$B$11),NA(),IF(COUNT(OFFSET(F762,1-Settings!$B$11,0,Settings!$B$11,1))&lt;Settings!$B$11,NA(),STDEV(OFFSET(F762,1-Settings!$B$11,0,Settings!$B$11,1))*SQRT(Settings!$B$13)))</f>
        <v/>
      </c>
      <c r="I762" s="18">
        <f>IF(OR(NOT(ISNUMBER($A762)),ROW()-2&lt;Settings!$B$12),NA(),IF(COUNT(OFFSET(F762,1-Settings!$B$12,0,Settings!$B$12,1))&lt;Settings!$B$12,NA(),STDEV(OFFSET(F762,1-Settings!$B$12,0,Settings!$B$12,1))*SQRT(Settings!$B$13)))</f>
        <v/>
      </c>
      <c r="J762" s="18">
        <f>IF(OR(NOT(ISNUMBER($A762)),ROW()-2&lt;Settings!$B$11),NA(),IF(COUNT(OFFSET(G762,1-Settings!$B$11,0,Settings!$B$11,1))&lt;Settings!$B$11,NA(),STDEV(OFFSET(G762,1-Settings!$B$11,0,Settings!$B$11,1))*SQRT(Settings!$B$13)))</f>
        <v/>
      </c>
      <c r="K762" s="18">
        <f>IF(OR(NOT(ISNUMBER($A762)),ROW()-2&lt;Settings!$B$12),NA(),IF(COUNT(OFFSET(G762,1-Settings!$B$12,0,Settings!$B$12,1))&lt;Settings!$B$12,NA(),STDEV(OFFSET(G762,1-Settings!$B$12,0,Settings!$B$12,1))*SQRT(Settings!$B$13)))</f>
        <v/>
      </c>
      <c r="L762" s="18">
        <f>IF(AND(ISNUMBER(D762),ISNUMBER(H762)),D762-H762,NA())</f>
        <v/>
      </c>
      <c r="M762" s="18">
        <f>IF(AND(ISNUMBER(E762),ISNUMBER(K762)),E762-K762,NA())</f>
        <v/>
      </c>
      <c r="N762" s="18">
        <f>IF(NOT(ISNUMBER($A762)),NA(),IF(COUNT(OFFSET(G762,1,0,Settings!$B$12,1))&lt;Settings!$B$12,NA(),STDEV(OFFSET(G762,1,0,Settings!$B$12,1))*SQRT(Settings!$B$13)))</f>
        <v/>
      </c>
      <c r="O762" s="18">
        <f>IF(AND(ISNUMBER(E762),ISNUMBER(N762)),E762-N762,NA())</f>
        <v/>
      </c>
      <c r="P762" s="17">
        <f>IF(NOT(ISNUMBER($A762)),NA(),IF(OR($A762&lt;MIN(KW_TP!$A$2:$A$2501),$A762&gt;MAX(KW_TP!$A$2:$A$2501)),NA(),INDEX(KW_TP!$C$2:$C$2501,MATCH($A762,KW_TP!$A$2:$A$2501,1))))</f>
        <v/>
      </c>
    </row>
    <row r="763">
      <c r="A763" s="15">
        <f>IF(ISNUMBER(BBG_Data!A763),BBG_Data!A763,"")</f>
        <v/>
      </c>
      <c r="B763" s="16">
        <f>IF(AND(ISNUMBER($A763),ISNUMBER(BBG_Data!B763)),BBG_Data!B763,NA())</f>
        <v/>
      </c>
      <c r="C763" s="16">
        <f>IF(AND(ISNUMBER($A763),ISNUMBER(BBG_Data!C763)),BBG_Data!C763,NA())</f>
        <v/>
      </c>
      <c r="D763" s="17">
        <f>IF(AND(ISNUMBER($A763),ISNUMBER(BBG_Data!D763)),BBG_Data!D763,NA())</f>
        <v/>
      </c>
      <c r="E763" s="17">
        <f>IF(AND(ISNUMBER($A763),ISNUMBER(BBG_Data!E763)),BBG_Data!E763,NA())</f>
        <v/>
      </c>
      <c r="F763" s="18">
        <f>IF(AND(ISNUMBER(B763),ISNUMBER(B762)),(B763-B762)*100,"")</f>
        <v/>
      </c>
      <c r="G763" s="18">
        <f>IF(AND(ISNUMBER(C763),ISNUMBER(C762)),(C763-C762)*100,"")</f>
        <v/>
      </c>
      <c r="H763" s="18">
        <f>IF(OR(NOT(ISNUMBER($A763)),ROW()-2&lt;Settings!$B$11),NA(),IF(COUNT(OFFSET(F763,1-Settings!$B$11,0,Settings!$B$11,1))&lt;Settings!$B$11,NA(),STDEV(OFFSET(F763,1-Settings!$B$11,0,Settings!$B$11,1))*SQRT(Settings!$B$13)))</f>
        <v/>
      </c>
      <c r="I763" s="18">
        <f>IF(OR(NOT(ISNUMBER($A763)),ROW()-2&lt;Settings!$B$12),NA(),IF(COUNT(OFFSET(F763,1-Settings!$B$12,0,Settings!$B$12,1))&lt;Settings!$B$12,NA(),STDEV(OFFSET(F763,1-Settings!$B$12,0,Settings!$B$12,1))*SQRT(Settings!$B$13)))</f>
        <v/>
      </c>
      <c r="J763" s="18">
        <f>IF(OR(NOT(ISNUMBER($A763)),ROW()-2&lt;Settings!$B$11),NA(),IF(COUNT(OFFSET(G763,1-Settings!$B$11,0,Settings!$B$11,1))&lt;Settings!$B$11,NA(),STDEV(OFFSET(G763,1-Settings!$B$11,0,Settings!$B$11,1))*SQRT(Settings!$B$13)))</f>
        <v/>
      </c>
      <c r="K763" s="18">
        <f>IF(OR(NOT(ISNUMBER($A763)),ROW()-2&lt;Settings!$B$12),NA(),IF(COUNT(OFFSET(G763,1-Settings!$B$12,0,Settings!$B$12,1))&lt;Settings!$B$12,NA(),STDEV(OFFSET(G763,1-Settings!$B$12,0,Settings!$B$12,1))*SQRT(Settings!$B$13)))</f>
        <v/>
      </c>
      <c r="L763" s="18">
        <f>IF(AND(ISNUMBER(D763),ISNUMBER(H763)),D763-H763,NA())</f>
        <v/>
      </c>
      <c r="M763" s="18">
        <f>IF(AND(ISNUMBER(E763),ISNUMBER(K763)),E763-K763,NA())</f>
        <v/>
      </c>
      <c r="N763" s="18">
        <f>IF(NOT(ISNUMBER($A763)),NA(),IF(COUNT(OFFSET(G763,1,0,Settings!$B$12,1))&lt;Settings!$B$12,NA(),STDEV(OFFSET(G763,1,0,Settings!$B$12,1))*SQRT(Settings!$B$13)))</f>
        <v/>
      </c>
      <c r="O763" s="18">
        <f>IF(AND(ISNUMBER(E763),ISNUMBER(N763)),E763-N763,NA())</f>
        <v/>
      </c>
      <c r="P763" s="17">
        <f>IF(NOT(ISNUMBER($A763)),NA(),IF(OR($A763&lt;MIN(KW_TP!$A$2:$A$2501),$A763&gt;MAX(KW_TP!$A$2:$A$2501)),NA(),INDEX(KW_TP!$C$2:$C$2501,MATCH($A763,KW_TP!$A$2:$A$2501,1))))</f>
        <v/>
      </c>
    </row>
    <row r="764">
      <c r="A764" s="15">
        <f>IF(ISNUMBER(BBG_Data!A764),BBG_Data!A764,"")</f>
        <v/>
      </c>
      <c r="B764" s="16">
        <f>IF(AND(ISNUMBER($A764),ISNUMBER(BBG_Data!B764)),BBG_Data!B764,NA())</f>
        <v/>
      </c>
      <c r="C764" s="16">
        <f>IF(AND(ISNUMBER($A764),ISNUMBER(BBG_Data!C764)),BBG_Data!C764,NA())</f>
        <v/>
      </c>
      <c r="D764" s="17">
        <f>IF(AND(ISNUMBER($A764),ISNUMBER(BBG_Data!D764)),BBG_Data!D764,NA())</f>
        <v/>
      </c>
      <c r="E764" s="17">
        <f>IF(AND(ISNUMBER($A764),ISNUMBER(BBG_Data!E764)),BBG_Data!E764,NA())</f>
        <v/>
      </c>
      <c r="F764" s="18">
        <f>IF(AND(ISNUMBER(B764),ISNUMBER(B763)),(B764-B763)*100,"")</f>
        <v/>
      </c>
      <c r="G764" s="18">
        <f>IF(AND(ISNUMBER(C764),ISNUMBER(C763)),(C764-C763)*100,"")</f>
        <v/>
      </c>
      <c r="H764" s="18">
        <f>IF(OR(NOT(ISNUMBER($A764)),ROW()-2&lt;Settings!$B$11),NA(),IF(COUNT(OFFSET(F764,1-Settings!$B$11,0,Settings!$B$11,1))&lt;Settings!$B$11,NA(),STDEV(OFFSET(F764,1-Settings!$B$11,0,Settings!$B$11,1))*SQRT(Settings!$B$13)))</f>
        <v/>
      </c>
      <c r="I764" s="18">
        <f>IF(OR(NOT(ISNUMBER($A764)),ROW()-2&lt;Settings!$B$12),NA(),IF(COUNT(OFFSET(F764,1-Settings!$B$12,0,Settings!$B$12,1))&lt;Settings!$B$12,NA(),STDEV(OFFSET(F764,1-Settings!$B$12,0,Settings!$B$12,1))*SQRT(Settings!$B$13)))</f>
        <v/>
      </c>
      <c r="J764" s="18">
        <f>IF(OR(NOT(ISNUMBER($A764)),ROW()-2&lt;Settings!$B$11),NA(),IF(COUNT(OFFSET(G764,1-Settings!$B$11,0,Settings!$B$11,1))&lt;Settings!$B$11,NA(),STDEV(OFFSET(G764,1-Settings!$B$11,0,Settings!$B$11,1))*SQRT(Settings!$B$13)))</f>
        <v/>
      </c>
      <c r="K764" s="18">
        <f>IF(OR(NOT(ISNUMBER($A764)),ROW()-2&lt;Settings!$B$12),NA(),IF(COUNT(OFFSET(G764,1-Settings!$B$12,0,Settings!$B$12,1))&lt;Settings!$B$12,NA(),STDEV(OFFSET(G764,1-Settings!$B$12,0,Settings!$B$12,1))*SQRT(Settings!$B$13)))</f>
        <v/>
      </c>
      <c r="L764" s="18">
        <f>IF(AND(ISNUMBER(D764),ISNUMBER(H764)),D764-H764,NA())</f>
        <v/>
      </c>
      <c r="M764" s="18">
        <f>IF(AND(ISNUMBER(E764),ISNUMBER(K764)),E764-K764,NA())</f>
        <v/>
      </c>
      <c r="N764" s="18">
        <f>IF(NOT(ISNUMBER($A764)),NA(),IF(COUNT(OFFSET(G764,1,0,Settings!$B$12,1))&lt;Settings!$B$12,NA(),STDEV(OFFSET(G764,1,0,Settings!$B$12,1))*SQRT(Settings!$B$13)))</f>
        <v/>
      </c>
      <c r="O764" s="18">
        <f>IF(AND(ISNUMBER(E764),ISNUMBER(N764)),E764-N764,NA())</f>
        <v/>
      </c>
      <c r="P764" s="17">
        <f>IF(NOT(ISNUMBER($A764)),NA(),IF(OR($A764&lt;MIN(KW_TP!$A$2:$A$2501),$A764&gt;MAX(KW_TP!$A$2:$A$2501)),NA(),INDEX(KW_TP!$C$2:$C$2501,MATCH($A764,KW_TP!$A$2:$A$2501,1))))</f>
        <v/>
      </c>
    </row>
    <row r="765">
      <c r="A765" s="15">
        <f>IF(ISNUMBER(BBG_Data!A765),BBG_Data!A765,"")</f>
        <v/>
      </c>
      <c r="B765" s="16">
        <f>IF(AND(ISNUMBER($A765),ISNUMBER(BBG_Data!B765)),BBG_Data!B765,NA())</f>
        <v/>
      </c>
      <c r="C765" s="16">
        <f>IF(AND(ISNUMBER($A765),ISNUMBER(BBG_Data!C765)),BBG_Data!C765,NA())</f>
        <v/>
      </c>
      <c r="D765" s="17">
        <f>IF(AND(ISNUMBER($A765),ISNUMBER(BBG_Data!D765)),BBG_Data!D765,NA())</f>
        <v/>
      </c>
      <c r="E765" s="17">
        <f>IF(AND(ISNUMBER($A765),ISNUMBER(BBG_Data!E765)),BBG_Data!E765,NA())</f>
        <v/>
      </c>
      <c r="F765" s="18">
        <f>IF(AND(ISNUMBER(B765),ISNUMBER(B764)),(B765-B764)*100,"")</f>
        <v/>
      </c>
      <c r="G765" s="18">
        <f>IF(AND(ISNUMBER(C765),ISNUMBER(C764)),(C765-C764)*100,"")</f>
        <v/>
      </c>
      <c r="H765" s="18">
        <f>IF(OR(NOT(ISNUMBER($A765)),ROW()-2&lt;Settings!$B$11),NA(),IF(COUNT(OFFSET(F765,1-Settings!$B$11,0,Settings!$B$11,1))&lt;Settings!$B$11,NA(),STDEV(OFFSET(F765,1-Settings!$B$11,0,Settings!$B$11,1))*SQRT(Settings!$B$13)))</f>
        <v/>
      </c>
      <c r="I765" s="18">
        <f>IF(OR(NOT(ISNUMBER($A765)),ROW()-2&lt;Settings!$B$12),NA(),IF(COUNT(OFFSET(F765,1-Settings!$B$12,0,Settings!$B$12,1))&lt;Settings!$B$12,NA(),STDEV(OFFSET(F765,1-Settings!$B$12,0,Settings!$B$12,1))*SQRT(Settings!$B$13)))</f>
        <v/>
      </c>
      <c r="J765" s="18">
        <f>IF(OR(NOT(ISNUMBER($A765)),ROW()-2&lt;Settings!$B$11),NA(),IF(COUNT(OFFSET(G765,1-Settings!$B$11,0,Settings!$B$11,1))&lt;Settings!$B$11,NA(),STDEV(OFFSET(G765,1-Settings!$B$11,0,Settings!$B$11,1))*SQRT(Settings!$B$13)))</f>
        <v/>
      </c>
      <c r="K765" s="18">
        <f>IF(OR(NOT(ISNUMBER($A765)),ROW()-2&lt;Settings!$B$12),NA(),IF(COUNT(OFFSET(G765,1-Settings!$B$12,0,Settings!$B$12,1))&lt;Settings!$B$12,NA(),STDEV(OFFSET(G765,1-Settings!$B$12,0,Settings!$B$12,1))*SQRT(Settings!$B$13)))</f>
        <v/>
      </c>
      <c r="L765" s="18">
        <f>IF(AND(ISNUMBER(D765),ISNUMBER(H765)),D765-H765,NA())</f>
        <v/>
      </c>
      <c r="M765" s="18">
        <f>IF(AND(ISNUMBER(E765),ISNUMBER(K765)),E765-K765,NA())</f>
        <v/>
      </c>
      <c r="N765" s="18">
        <f>IF(NOT(ISNUMBER($A765)),NA(),IF(COUNT(OFFSET(G765,1,0,Settings!$B$12,1))&lt;Settings!$B$12,NA(),STDEV(OFFSET(G765,1,0,Settings!$B$12,1))*SQRT(Settings!$B$13)))</f>
        <v/>
      </c>
      <c r="O765" s="18">
        <f>IF(AND(ISNUMBER(E765),ISNUMBER(N765)),E765-N765,NA())</f>
        <v/>
      </c>
      <c r="P765" s="17">
        <f>IF(NOT(ISNUMBER($A765)),NA(),IF(OR($A765&lt;MIN(KW_TP!$A$2:$A$2501),$A765&gt;MAX(KW_TP!$A$2:$A$2501)),NA(),INDEX(KW_TP!$C$2:$C$2501,MATCH($A765,KW_TP!$A$2:$A$2501,1))))</f>
        <v/>
      </c>
    </row>
    <row r="766">
      <c r="A766" s="15">
        <f>IF(ISNUMBER(BBG_Data!A766),BBG_Data!A766,"")</f>
        <v/>
      </c>
      <c r="B766" s="16">
        <f>IF(AND(ISNUMBER($A766),ISNUMBER(BBG_Data!B766)),BBG_Data!B766,NA())</f>
        <v/>
      </c>
      <c r="C766" s="16">
        <f>IF(AND(ISNUMBER($A766),ISNUMBER(BBG_Data!C766)),BBG_Data!C766,NA())</f>
        <v/>
      </c>
      <c r="D766" s="17">
        <f>IF(AND(ISNUMBER($A766),ISNUMBER(BBG_Data!D766)),BBG_Data!D766,NA())</f>
        <v/>
      </c>
      <c r="E766" s="17">
        <f>IF(AND(ISNUMBER($A766),ISNUMBER(BBG_Data!E766)),BBG_Data!E766,NA())</f>
        <v/>
      </c>
      <c r="F766" s="18">
        <f>IF(AND(ISNUMBER(B766),ISNUMBER(B765)),(B766-B765)*100,"")</f>
        <v/>
      </c>
      <c r="G766" s="18">
        <f>IF(AND(ISNUMBER(C766),ISNUMBER(C765)),(C766-C765)*100,"")</f>
        <v/>
      </c>
      <c r="H766" s="18">
        <f>IF(OR(NOT(ISNUMBER($A766)),ROW()-2&lt;Settings!$B$11),NA(),IF(COUNT(OFFSET(F766,1-Settings!$B$11,0,Settings!$B$11,1))&lt;Settings!$B$11,NA(),STDEV(OFFSET(F766,1-Settings!$B$11,0,Settings!$B$11,1))*SQRT(Settings!$B$13)))</f>
        <v/>
      </c>
      <c r="I766" s="18">
        <f>IF(OR(NOT(ISNUMBER($A766)),ROW()-2&lt;Settings!$B$12),NA(),IF(COUNT(OFFSET(F766,1-Settings!$B$12,0,Settings!$B$12,1))&lt;Settings!$B$12,NA(),STDEV(OFFSET(F766,1-Settings!$B$12,0,Settings!$B$12,1))*SQRT(Settings!$B$13)))</f>
        <v/>
      </c>
      <c r="J766" s="18">
        <f>IF(OR(NOT(ISNUMBER($A766)),ROW()-2&lt;Settings!$B$11),NA(),IF(COUNT(OFFSET(G766,1-Settings!$B$11,0,Settings!$B$11,1))&lt;Settings!$B$11,NA(),STDEV(OFFSET(G766,1-Settings!$B$11,0,Settings!$B$11,1))*SQRT(Settings!$B$13)))</f>
        <v/>
      </c>
      <c r="K766" s="18">
        <f>IF(OR(NOT(ISNUMBER($A766)),ROW()-2&lt;Settings!$B$12),NA(),IF(COUNT(OFFSET(G766,1-Settings!$B$12,0,Settings!$B$12,1))&lt;Settings!$B$12,NA(),STDEV(OFFSET(G766,1-Settings!$B$12,0,Settings!$B$12,1))*SQRT(Settings!$B$13)))</f>
        <v/>
      </c>
      <c r="L766" s="18">
        <f>IF(AND(ISNUMBER(D766),ISNUMBER(H766)),D766-H766,NA())</f>
        <v/>
      </c>
      <c r="M766" s="18">
        <f>IF(AND(ISNUMBER(E766),ISNUMBER(K766)),E766-K766,NA())</f>
        <v/>
      </c>
      <c r="N766" s="18">
        <f>IF(NOT(ISNUMBER($A766)),NA(),IF(COUNT(OFFSET(G766,1,0,Settings!$B$12,1))&lt;Settings!$B$12,NA(),STDEV(OFFSET(G766,1,0,Settings!$B$12,1))*SQRT(Settings!$B$13)))</f>
        <v/>
      </c>
      <c r="O766" s="18">
        <f>IF(AND(ISNUMBER(E766),ISNUMBER(N766)),E766-N766,NA())</f>
        <v/>
      </c>
      <c r="P766" s="17">
        <f>IF(NOT(ISNUMBER($A766)),NA(),IF(OR($A766&lt;MIN(KW_TP!$A$2:$A$2501),$A766&gt;MAX(KW_TP!$A$2:$A$2501)),NA(),INDEX(KW_TP!$C$2:$C$2501,MATCH($A766,KW_TP!$A$2:$A$2501,1))))</f>
        <v/>
      </c>
    </row>
    <row r="767">
      <c r="A767" s="15">
        <f>IF(ISNUMBER(BBG_Data!A767),BBG_Data!A767,"")</f>
        <v/>
      </c>
      <c r="B767" s="16">
        <f>IF(AND(ISNUMBER($A767),ISNUMBER(BBG_Data!B767)),BBG_Data!B767,NA())</f>
        <v/>
      </c>
      <c r="C767" s="16">
        <f>IF(AND(ISNUMBER($A767),ISNUMBER(BBG_Data!C767)),BBG_Data!C767,NA())</f>
        <v/>
      </c>
      <c r="D767" s="17">
        <f>IF(AND(ISNUMBER($A767),ISNUMBER(BBG_Data!D767)),BBG_Data!D767,NA())</f>
        <v/>
      </c>
      <c r="E767" s="17">
        <f>IF(AND(ISNUMBER($A767),ISNUMBER(BBG_Data!E767)),BBG_Data!E767,NA())</f>
        <v/>
      </c>
      <c r="F767" s="18">
        <f>IF(AND(ISNUMBER(B767),ISNUMBER(B766)),(B767-B766)*100,"")</f>
        <v/>
      </c>
      <c r="G767" s="18">
        <f>IF(AND(ISNUMBER(C767),ISNUMBER(C766)),(C767-C766)*100,"")</f>
        <v/>
      </c>
      <c r="H767" s="18">
        <f>IF(OR(NOT(ISNUMBER($A767)),ROW()-2&lt;Settings!$B$11),NA(),IF(COUNT(OFFSET(F767,1-Settings!$B$11,0,Settings!$B$11,1))&lt;Settings!$B$11,NA(),STDEV(OFFSET(F767,1-Settings!$B$11,0,Settings!$B$11,1))*SQRT(Settings!$B$13)))</f>
        <v/>
      </c>
      <c r="I767" s="18">
        <f>IF(OR(NOT(ISNUMBER($A767)),ROW()-2&lt;Settings!$B$12),NA(),IF(COUNT(OFFSET(F767,1-Settings!$B$12,0,Settings!$B$12,1))&lt;Settings!$B$12,NA(),STDEV(OFFSET(F767,1-Settings!$B$12,0,Settings!$B$12,1))*SQRT(Settings!$B$13)))</f>
        <v/>
      </c>
      <c r="J767" s="18">
        <f>IF(OR(NOT(ISNUMBER($A767)),ROW()-2&lt;Settings!$B$11),NA(),IF(COUNT(OFFSET(G767,1-Settings!$B$11,0,Settings!$B$11,1))&lt;Settings!$B$11,NA(),STDEV(OFFSET(G767,1-Settings!$B$11,0,Settings!$B$11,1))*SQRT(Settings!$B$13)))</f>
        <v/>
      </c>
      <c r="K767" s="18">
        <f>IF(OR(NOT(ISNUMBER($A767)),ROW()-2&lt;Settings!$B$12),NA(),IF(COUNT(OFFSET(G767,1-Settings!$B$12,0,Settings!$B$12,1))&lt;Settings!$B$12,NA(),STDEV(OFFSET(G767,1-Settings!$B$12,0,Settings!$B$12,1))*SQRT(Settings!$B$13)))</f>
        <v/>
      </c>
      <c r="L767" s="18">
        <f>IF(AND(ISNUMBER(D767),ISNUMBER(H767)),D767-H767,NA())</f>
        <v/>
      </c>
      <c r="M767" s="18">
        <f>IF(AND(ISNUMBER(E767),ISNUMBER(K767)),E767-K767,NA())</f>
        <v/>
      </c>
      <c r="N767" s="18">
        <f>IF(NOT(ISNUMBER($A767)),NA(),IF(COUNT(OFFSET(G767,1,0,Settings!$B$12,1))&lt;Settings!$B$12,NA(),STDEV(OFFSET(G767,1,0,Settings!$B$12,1))*SQRT(Settings!$B$13)))</f>
        <v/>
      </c>
      <c r="O767" s="18">
        <f>IF(AND(ISNUMBER(E767),ISNUMBER(N767)),E767-N767,NA())</f>
        <v/>
      </c>
      <c r="P767" s="17">
        <f>IF(NOT(ISNUMBER($A767)),NA(),IF(OR($A767&lt;MIN(KW_TP!$A$2:$A$2501),$A767&gt;MAX(KW_TP!$A$2:$A$2501)),NA(),INDEX(KW_TP!$C$2:$C$2501,MATCH($A767,KW_TP!$A$2:$A$2501,1))))</f>
        <v/>
      </c>
    </row>
    <row r="768">
      <c r="A768" s="15">
        <f>IF(ISNUMBER(BBG_Data!A768),BBG_Data!A768,"")</f>
        <v/>
      </c>
      <c r="B768" s="16">
        <f>IF(AND(ISNUMBER($A768),ISNUMBER(BBG_Data!B768)),BBG_Data!B768,NA())</f>
        <v/>
      </c>
      <c r="C768" s="16">
        <f>IF(AND(ISNUMBER($A768),ISNUMBER(BBG_Data!C768)),BBG_Data!C768,NA())</f>
        <v/>
      </c>
      <c r="D768" s="17">
        <f>IF(AND(ISNUMBER($A768),ISNUMBER(BBG_Data!D768)),BBG_Data!D768,NA())</f>
        <v/>
      </c>
      <c r="E768" s="17">
        <f>IF(AND(ISNUMBER($A768),ISNUMBER(BBG_Data!E768)),BBG_Data!E768,NA())</f>
        <v/>
      </c>
      <c r="F768" s="18">
        <f>IF(AND(ISNUMBER(B768),ISNUMBER(B767)),(B768-B767)*100,"")</f>
        <v/>
      </c>
      <c r="G768" s="18">
        <f>IF(AND(ISNUMBER(C768),ISNUMBER(C767)),(C768-C767)*100,"")</f>
        <v/>
      </c>
      <c r="H768" s="18">
        <f>IF(OR(NOT(ISNUMBER($A768)),ROW()-2&lt;Settings!$B$11),NA(),IF(COUNT(OFFSET(F768,1-Settings!$B$11,0,Settings!$B$11,1))&lt;Settings!$B$11,NA(),STDEV(OFFSET(F768,1-Settings!$B$11,0,Settings!$B$11,1))*SQRT(Settings!$B$13)))</f>
        <v/>
      </c>
      <c r="I768" s="18">
        <f>IF(OR(NOT(ISNUMBER($A768)),ROW()-2&lt;Settings!$B$12),NA(),IF(COUNT(OFFSET(F768,1-Settings!$B$12,0,Settings!$B$12,1))&lt;Settings!$B$12,NA(),STDEV(OFFSET(F768,1-Settings!$B$12,0,Settings!$B$12,1))*SQRT(Settings!$B$13)))</f>
        <v/>
      </c>
      <c r="J768" s="18">
        <f>IF(OR(NOT(ISNUMBER($A768)),ROW()-2&lt;Settings!$B$11),NA(),IF(COUNT(OFFSET(G768,1-Settings!$B$11,0,Settings!$B$11,1))&lt;Settings!$B$11,NA(),STDEV(OFFSET(G768,1-Settings!$B$11,0,Settings!$B$11,1))*SQRT(Settings!$B$13)))</f>
        <v/>
      </c>
      <c r="K768" s="18">
        <f>IF(OR(NOT(ISNUMBER($A768)),ROW()-2&lt;Settings!$B$12),NA(),IF(COUNT(OFFSET(G768,1-Settings!$B$12,0,Settings!$B$12,1))&lt;Settings!$B$12,NA(),STDEV(OFFSET(G768,1-Settings!$B$12,0,Settings!$B$12,1))*SQRT(Settings!$B$13)))</f>
        <v/>
      </c>
      <c r="L768" s="18">
        <f>IF(AND(ISNUMBER(D768),ISNUMBER(H768)),D768-H768,NA())</f>
        <v/>
      </c>
      <c r="M768" s="18">
        <f>IF(AND(ISNUMBER(E768),ISNUMBER(K768)),E768-K768,NA())</f>
        <v/>
      </c>
      <c r="N768" s="18">
        <f>IF(NOT(ISNUMBER($A768)),NA(),IF(COUNT(OFFSET(G768,1,0,Settings!$B$12,1))&lt;Settings!$B$12,NA(),STDEV(OFFSET(G768,1,0,Settings!$B$12,1))*SQRT(Settings!$B$13)))</f>
        <v/>
      </c>
      <c r="O768" s="18">
        <f>IF(AND(ISNUMBER(E768),ISNUMBER(N768)),E768-N768,NA())</f>
        <v/>
      </c>
      <c r="P768" s="17">
        <f>IF(NOT(ISNUMBER($A768)),NA(),IF(OR($A768&lt;MIN(KW_TP!$A$2:$A$2501),$A768&gt;MAX(KW_TP!$A$2:$A$2501)),NA(),INDEX(KW_TP!$C$2:$C$2501,MATCH($A768,KW_TP!$A$2:$A$2501,1))))</f>
        <v/>
      </c>
    </row>
    <row r="769">
      <c r="A769" s="15">
        <f>IF(ISNUMBER(BBG_Data!A769),BBG_Data!A769,"")</f>
        <v/>
      </c>
      <c r="B769" s="16">
        <f>IF(AND(ISNUMBER($A769),ISNUMBER(BBG_Data!B769)),BBG_Data!B769,NA())</f>
        <v/>
      </c>
      <c r="C769" s="16">
        <f>IF(AND(ISNUMBER($A769),ISNUMBER(BBG_Data!C769)),BBG_Data!C769,NA())</f>
        <v/>
      </c>
      <c r="D769" s="17">
        <f>IF(AND(ISNUMBER($A769),ISNUMBER(BBG_Data!D769)),BBG_Data!D769,NA())</f>
        <v/>
      </c>
      <c r="E769" s="17">
        <f>IF(AND(ISNUMBER($A769),ISNUMBER(BBG_Data!E769)),BBG_Data!E769,NA())</f>
        <v/>
      </c>
      <c r="F769" s="18">
        <f>IF(AND(ISNUMBER(B769),ISNUMBER(B768)),(B769-B768)*100,"")</f>
        <v/>
      </c>
      <c r="G769" s="18">
        <f>IF(AND(ISNUMBER(C769),ISNUMBER(C768)),(C769-C768)*100,"")</f>
        <v/>
      </c>
      <c r="H769" s="18">
        <f>IF(OR(NOT(ISNUMBER($A769)),ROW()-2&lt;Settings!$B$11),NA(),IF(COUNT(OFFSET(F769,1-Settings!$B$11,0,Settings!$B$11,1))&lt;Settings!$B$11,NA(),STDEV(OFFSET(F769,1-Settings!$B$11,0,Settings!$B$11,1))*SQRT(Settings!$B$13)))</f>
        <v/>
      </c>
      <c r="I769" s="18">
        <f>IF(OR(NOT(ISNUMBER($A769)),ROW()-2&lt;Settings!$B$12),NA(),IF(COUNT(OFFSET(F769,1-Settings!$B$12,0,Settings!$B$12,1))&lt;Settings!$B$12,NA(),STDEV(OFFSET(F769,1-Settings!$B$12,0,Settings!$B$12,1))*SQRT(Settings!$B$13)))</f>
        <v/>
      </c>
      <c r="J769" s="18">
        <f>IF(OR(NOT(ISNUMBER($A769)),ROW()-2&lt;Settings!$B$11),NA(),IF(COUNT(OFFSET(G769,1-Settings!$B$11,0,Settings!$B$11,1))&lt;Settings!$B$11,NA(),STDEV(OFFSET(G769,1-Settings!$B$11,0,Settings!$B$11,1))*SQRT(Settings!$B$13)))</f>
        <v/>
      </c>
      <c r="K769" s="18">
        <f>IF(OR(NOT(ISNUMBER($A769)),ROW()-2&lt;Settings!$B$12),NA(),IF(COUNT(OFFSET(G769,1-Settings!$B$12,0,Settings!$B$12,1))&lt;Settings!$B$12,NA(),STDEV(OFFSET(G769,1-Settings!$B$12,0,Settings!$B$12,1))*SQRT(Settings!$B$13)))</f>
        <v/>
      </c>
      <c r="L769" s="18">
        <f>IF(AND(ISNUMBER(D769),ISNUMBER(H769)),D769-H769,NA())</f>
        <v/>
      </c>
      <c r="M769" s="18">
        <f>IF(AND(ISNUMBER(E769),ISNUMBER(K769)),E769-K769,NA())</f>
        <v/>
      </c>
      <c r="N769" s="18">
        <f>IF(NOT(ISNUMBER($A769)),NA(),IF(COUNT(OFFSET(G769,1,0,Settings!$B$12,1))&lt;Settings!$B$12,NA(),STDEV(OFFSET(G769,1,0,Settings!$B$12,1))*SQRT(Settings!$B$13)))</f>
        <v/>
      </c>
      <c r="O769" s="18">
        <f>IF(AND(ISNUMBER(E769),ISNUMBER(N769)),E769-N769,NA())</f>
        <v/>
      </c>
      <c r="P769" s="17">
        <f>IF(NOT(ISNUMBER($A769)),NA(),IF(OR($A769&lt;MIN(KW_TP!$A$2:$A$2501),$A769&gt;MAX(KW_TP!$A$2:$A$2501)),NA(),INDEX(KW_TP!$C$2:$C$2501,MATCH($A769,KW_TP!$A$2:$A$2501,1))))</f>
        <v/>
      </c>
    </row>
    <row r="770">
      <c r="A770" s="15">
        <f>IF(ISNUMBER(BBG_Data!A770),BBG_Data!A770,"")</f>
        <v/>
      </c>
      <c r="B770" s="16">
        <f>IF(AND(ISNUMBER($A770),ISNUMBER(BBG_Data!B770)),BBG_Data!B770,NA())</f>
        <v/>
      </c>
      <c r="C770" s="16">
        <f>IF(AND(ISNUMBER($A770),ISNUMBER(BBG_Data!C770)),BBG_Data!C770,NA())</f>
        <v/>
      </c>
      <c r="D770" s="17">
        <f>IF(AND(ISNUMBER($A770),ISNUMBER(BBG_Data!D770)),BBG_Data!D770,NA())</f>
        <v/>
      </c>
      <c r="E770" s="17">
        <f>IF(AND(ISNUMBER($A770),ISNUMBER(BBG_Data!E770)),BBG_Data!E770,NA())</f>
        <v/>
      </c>
      <c r="F770" s="18">
        <f>IF(AND(ISNUMBER(B770),ISNUMBER(B769)),(B770-B769)*100,"")</f>
        <v/>
      </c>
      <c r="G770" s="18">
        <f>IF(AND(ISNUMBER(C770),ISNUMBER(C769)),(C770-C769)*100,"")</f>
        <v/>
      </c>
      <c r="H770" s="18">
        <f>IF(OR(NOT(ISNUMBER($A770)),ROW()-2&lt;Settings!$B$11),NA(),IF(COUNT(OFFSET(F770,1-Settings!$B$11,0,Settings!$B$11,1))&lt;Settings!$B$11,NA(),STDEV(OFFSET(F770,1-Settings!$B$11,0,Settings!$B$11,1))*SQRT(Settings!$B$13)))</f>
        <v/>
      </c>
      <c r="I770" s="18">
        <f>IF(OR(NOT(ISNUMBER($A770)),ROW()-2&lt;Settings!$B$12),NA(),IF(COUNT(OFFSET(F770,1-Settings!$B$12,0,Settings!$B$12,1))&lt;Settings!$B$12,NA(),STDEV(OFFSET(F770,1-Settings!$B$12,0,Settings!$B$12,1))*SQRT(Settings!$B$13)))</f>
        <v/>
      </c>
      <c r="J770" s="18">
        <f>IF(OR(NOT(ISNUMBER($A770)),ROW()-2&lt;Settings!$B$11),NA(),IF(COUNT(OFFSET(G770,1-Settings!$B$11,0,Settings!$B$11,1))&lt;Settings!$B$11,NA(),STDEV(OFFSET(G770,1-Settings!$B$11,0,Settings!$B$11,1))*SQRT(Settings!$B$13)))</f>
        <v/>
      </c>
      <c r="K770" s="18">
        <f>IF(OR(NOT(ISNUMBER($A770)),ROW()-2&lt;Settings!$B$12),NA(),IF(COUNT(OFFSET(G770,1-Settings!$B$12,0,Settings!$B$12,1))&lt;Settings!$B$12,NA(),STDEV(OFFSET(G770,1-Settings!$B$12,0,Settings!$B$12,1))*SQRT(Settings!$B$13)))</f>
        <v/>
      </c>
      <c r="L770" s="18">
        <f>IF(AND(ISNUMBER(D770),ISNUMBER(H770)),D770-H770,NA())</f>
        <v/>
      </c>
      <c r="M770" s="18">
        <f>IF(AND(ISNUMBER(E770),ISNUMBER(K770)),E770-K770,NA())</f>
        <v/>
      </c>
      <c r="N770" s="18">
        <f>IF(NOT(ISNUMBER($A770)),NA(),IF(COUNT(OFFSET(G770,1,0,Settings!$B$12,1))&lt;Settings!$B$12,NA(),STDEV(OFFSET(G770,1,0,Settings!$B$12,1))*SQRT(Settings!$B$13)))</f>
        <v/>
      </c>
      <c r="O770" s="18">
        <f>IF(AND(ISNUMBER(E770),ISNUMBER(N770)),E770-N770,NA())</f>
        <v/>
      </c>
      <c r="P770" s="17">
        <f>IF(NOT(ISNUMBER($A770)),NA(),IF(OR($A770&lt;MIN(KW_TP!$A$2:$A$2501),$A770&gt;MAX(KW_TP!$A$2:$A$2501)),NA(),INDEX(KW_TP!$C$2:$C$2501,MATCH($A770,KW_TP!$A$2:$A$2501,1))))</f>
        <v/>
      </c>
    </row>
    <row r="771">
      <c r="A771" s="15">
        <f>IF(ISNUMBER(BBG_Data!A771),BBG_Data!A771,"")</f>
        <v/>
      </c>
      <c r="B771" s="16">
        <f>IF(AND(ISNUMBER($A771),ISNUMBER(BBG_Data!B771)),BBG_Data!B771,NA())</f>
        <v/>
      </c>
      <c r="C771" s="16">
        <f>IF(AND(ISNUMBER($A771),ISNUMBER(BBG_Data!C771)),BBG_Data!C771,NA())</f>
        <v/>
      </c>
      <c r="D771" s="17">
        <f>IF(AND(ISNUMBER($A771),ISNUMBER(BBG_Data!D771)),BBG_Data!D771,NA())</f>
        <v/>
      </c>
      <c r="E771" s="17">
        <f>IF(AND(ISNUMBER($A771),ISNUMBER(BBG_Data!E771)),BBG_Data!E771,NA())</f>
        <v/>
      </c>
      <c r="F771" s="18">
        <f>IF(AND(ISNUMBER(B771),ISNUMBER(B770)),(B771-B770)*100,"")</f>
        <v/>
      </c>
      <c r="G771" s="18">
        <f>IF(AND(ISNUMBER(C771),ISNUMBER(C770)),(C771-C770)*100,"")</f>
        <v/>
      </c>
      <c r="H771" s="18">
        <f>IF(OR(NOT(ISNUMBER($A771)),ROW()-2&lt;Settings!$B$11),NA(),IF(COUNT(OFFSET(F771,1-Settings!$B$11,0,Settings!$B$11,1))&lt;Settings!$B$11,NA(),STDEV(OFFSET(F771,1-Settings!$B$11,0,Settings!$B$11,1))*SQRT(Settings!$B$13)))</f>
        <v/>
      </c>
      <c r="I771" s="18">
        <f>IF(OR(NOT(ISNUMBER($A771)),ROW()-2&lt;Settings!$B$12),NA(),IF(COUNT(OFFSET(F771,1-Settings!$B$12,0,Settings!$B$12,1))&lt;Settings!$B$12,NA(),STDEV(OFFSET(F771,1-Settings!$B$12,0,Settings!$B$12,1))*SQRT(Settings!$B$13)))</f>
        <v/>
      </c>
      <c r="J771" s="18">
        <f>IF(OR(NOT(ISNUMBER($A771)),ROW()-2&lt;Settings!$B$11),NA(),IF(COUNT(OFFSET(G771,1-Settings!$B$11,0,Settings!$B$11,1))&lt;Settings!$B$11,NA(),STDEV(OFFSET(G771,1-Settings!$B$11,0,Settings!$B$11,1))*SQRT(Settings!$B$13)))</f>
        <v/>
      </c>
      <c r="K771" s="18">
        <f>IF(OR(NOT(ISNUMBER($A771)),ROW()-2&lt;Settings!$B$12),NA(),IF(COUNT(OFFSET(G771,1-Settings!$B$12,0,Settings!$B$12,1))&lt;Settings!$B$12,NA(),STDEV(OFFSET(G771,1-Settings!$B$12,0,Settings!$B$12,1))*SQRT(Settings!$B$13)))</f>
        <v/>
      </c>
      <c r="L771" s="18">
        <f>IF(AND(ISNUMBER(D771),ISNUMBER(H771)),D771-H771,NA())</f>
        <v/>
      </c>
      <c r="M771" s="18">
        <f>IF(AND(ISNUMBER(E771),ISNUMBER(K771)),E771-K771,NA())</f>
        <v/>
      </c>
      <c r="N771" s="18">
        <f>IF(NOT(ISNUMBER($A771)),NA(),IF(COUNT(OFFSET(G771,1,0,Settings!$B$12,1))&lt;Settings!$B$12,NA(),STDEV(OFFSET(G771,1,0,Settings!$B$12,1))*SQRT(Settings!$B$13)))</f>
        <v/>
      </c>
      <c r="O771" s="18">
        <f>IF(AND(ISNUMBER(E771),ISNUMBER(N771)),E771-N771,NA())</f>
        <v/>
      </c>
      <c r="P771" s="17">
        <f>IF(NOT(ISNUMBER($A771)),NA(),IF(OR($A771&lt;MIN(KW_TP!$A$2:$A$2501),$A771&gt;MAX(KW_TP!$A$2:$A$2501)),NA(),INDEX(KW_TP!$C$2:$C$2501,MATCH($A771,KW_TP!$A$2:$A$2501,1))))</f>
        <v/>
      </c>
    </row>
    <row r="772">
      <c r="A772" s="15">
        <f>IF(ISNUMBER(BBG_Data!A772),BBG_Data!A772,"")</f>
        <v/>
      </c>
      <c r="B772" s="16">
        <f>IF(AND(ISNUMBER($A772),ISNUMBER(BBG_Data!B772)),BBG_Data!B772,NA())</f>
        <v/>
      </c>
      <c r="C772" s="16">
        <f>IF(AND(ISNUMBER($A772),ISNUMBER(BBG_Data!C772)),BBG_Data!C772,NA())</f>
        <v/>
      </c>
      <c r="D772" s="17">
        <f>IF(AND(ISNUMBER($A772),ISNUMBER(BBG_Data!D772)),BBG_Data!D772,NA())</f>
        <v/>
      </c>
      <c r="E772" s="17">
        <f>IF(AND(ISNUMBER($A772),ISNUMBER(BBG_Data!E772)),BBG_Data!E772,NA())</f>
        <v/>
      </c>
      <c r="F772" s="18">
        <f>IF(AND(ISNUMBER(B772),ISNUMBER(B771)),(B772-B771)*100,"")</f>
        <v/>
      </c>
      <c r="G772" s="18">
        <f>IF(AND(ISNUMBER(C772),ISNUMBER(C771)),(C772-C771)*100,"")</f>
        <v/>
      </c>
      <c r="H772" s="18">
        <f>IF(OR(NOT(ISNUMBER($A772)),ROW()-2&lt;Settings!$B$11),NA(),IF(COUNT(OFFSET(F772,1-Settings!$B$11,0,Settings!$B$11,1))&lt;Settings!$B$11,NA(),STDEV(OFFSET(F772,1-Settings!$B$11,0,Settings!$B$11,1))*SQRT(Settings!$B$13)))</f>
        <v/>
      </c>
      <c r="I772" s="18">
        <f>IF(OR(NOT(ISNUMBER($A772)),ROW()-2&lt;Settings!$B$12),NA(),IF(COUNT(OFFSET(F772,1-Settings!$B$12,0,Settings!$B$12,1))&lt;Settings!$B$12,NA(),STDEV(OFFSET(F772,1-Settings!$B$12,0,Settings!$B$12,1))*SQRT(Settings!$B$13)))</f>
        <v/>
      </c>
      <c r="J772" s="18">
        <f>IF(OR(NOT(ISNUMBER($A772)),ROW()-2&lt;Settings!$B$11),NA(),IF(COUNT(OFFSET(G772,1-Settings!$B$11,0,Settings!$B$11,1))&lt;Settings!$B$11,NA(),STDEV(OFFSET(G772,1-Settings!$B$11,0,Settings!$B$11,1))*SQRT(Settings!$B$13)))</f>
        <v/>
      </c>
      <c r="K772" s="18">
        <f>IF(OR(NOT(ISNUMBER($A772)),ROW()-2&lt;Settings!$B$12),NA(),IF(COUNT(OFFSET(G772,1-Settings!$B$12,0,Settings!$B$12,1))&lt;Settings!$B$12,NA(),STDEV(OFFSET(G772,1-Settings!$B$12,0,Settings!$B$12,1))*SQRT(Settings!$B$13)))</f>
        <v/>
      </c>
      <c r="L772" s="18">
        <f>IF(AND(ISNUMBER(D772),ISNUMBER(H772)),D772-H772,NA())</f>
        <v/>
      </c>
      <c r="M772" s="18">
        <f>IF(AND(ISNUMBER(E772),ISNUMBER(K772)),E772-K772,NA())</f>
        <v/>
      </c>
      <c r="N772" s="18">
        <f>IF(NOT(ISNUMBER($A772)),NA(),IF(COUNT(OFFSET(G772,1,0,Settings!$B$12,1))&lt;Settings!$B$12,NA(),STDEV(OFFSET(G772,1,0,Settings!$B$12,1))*SQRT(Settings!$B$13)))</f>
        <v/>
      </c>
      <c r="O772" s="18">
        <f>IF(AND(ISNUMBER(E772),ISNUMBER(N772)),E772-N772,NA())</f>
        <v/>
      </c>
      <c r="P772" s="17">
        <f>IF(NOT(ISNUMBER($A772)),NA(),IF(OR($A772&lt;MIN(KW_TP!$A$2:$A$2501),$A772&gt;MAX(KW_TP!$A$2:$A$2501)),NA(),INDEX(KW_TP!$C$2:$C$2501,MATCH($A772,KW_TP!$A$2:$A$2501,1))))</f>
        <v/>
      </c>
    </row>
    <row r="773">
      <c r="A773" s="15">
        <f>IF(ISNUMBER(BBG_Data!A773),BBG_Data!A773,"")</f>
        <v/>
      </c>
      <c r="B773" s="16">
        <f>IF(AND(ISNUMBER($A773),ISNUMBER(BBG_Data!B773)),BBG_Data!B773,NA())</f>
        <v/>
      </c>
      <c r="C773" s="16">
        <f>IF(AND(ISNUMBER($A773),ISNUMBER(BBG_Data!C773)),BBG_Data!C773,NA())</f>
        <v/>
      </c>
      <c r="D773" s="17">
        <f>IF(AND(ISNUMBER($A773),ISNUMBER(BBG_Data!D773)),BBG_Data!D773,NA())</f>
        <v/>
      </c>
      <c r="E773" s="17">
        <f>IF(AND(ISNUMBER($A773),ISNUMBER(BBG_Data!E773)),BBG_Data!E773,NA())</f>
        <v/>
      </c>
      <c r="F773" s="18">
        <f>IF(AND(ISNUMBER(B773),ISNUMBER(B772)),(B773-B772)*100,"")</f>
        <v/>
      </c>
      <c r="G773" s="18">
        <f>IF(AND(ISNUMBER(C773),ISNUMBER(C772)),(C773-C772)*100,"")</f>
        <v/>
      </c>
      <c r="H773" s="18">
        <f>IF(OR(NOT(ISNUMBER($A773)),ROW()-2&lt;Settings!$B$11),NA(),IF(COUNT(OFFSET(F773,1-Settings!$B$11,0,Settings!$B$11,1))&lt;Settings!$B$11,NA(),STDEV(OFFSET(F773,1-Settings!$B$11,0,Settings!$B$11,1))*SQRT(Settings!$B$13)))</f>
        <v/>
      </c>
      <c r="I773" s="18">
        <f>IF(OR(NOT(ISNUMBER($A773)),ROW()-2&lt;Settings!$B$12),NA(),IF(COUNT(OFFSET(F773,1-Settings!$B$12,0,Settings!$B$12,1))&lt;Settings!$B$12,NA(),STDEV(OFFSET(F773,1-Settings!$B$12,0,Settings!$B$12,1))*SQRT(Settings!$B$13)))</f>
        <v/>
      </c>
      <c r="J773" s="18">
        <f>IF(OR(NOT(ISNUMBER($A773)),ROW()-2&lt;Settings!$B$11),NA(),IF(COUNT(OFFSET(G773,1-Settings!$B$11,0,Settings!$B$11,1))&lt;Settings!$B$11,NA(),STDEV(OFFSET(G773,1-Settings!$B$11,0,Settings!$B$11,1))*SQRT(Settings!$B$13)))</f>
        <v/>
      </c>
      <c r="K773" s="18">
        <f>IF(OR(NOT(ISNUMBER($A773)),ROW()-2&lt;Settings!$B$12),NA(),IF(COUNT(OFFSET(G773,1-Settings!$B$12,0,Settings!$B$12,1))&lt;Settings!$B$12,NA(),STDEV(OFFSET(G773,1-Settings!$B$12,0,Settings!$B$12,1))*SQRT(Settings!$B$13)))</f>
        <v/>
      </c>
      <c r="L773" s="18">
        <f>IF(AND(ISNUMBER(D773),ISNUMBER(H773)),D773-H773,NA())</f>
        <v/>
      </c>
      <c r="M773" s="18">
        <f>IF(AND(ISNUMBER(E773),ISNUMBER(K773)),E773-K773,NA())</f>
        <v/>
      </c>
      <c r="N773" s="18">
        <f>IF(NOT(ISNUMBER($A773)),NA(),IF(COUNT(OFFSET(G773,1,0,Settings!$B$12,1))&lt;Settings!$B$12,NA(),STDEV(OFFSET(G773,1,0,Settings!$B$12,1))*SQRT(Settings!$B$13)))</f>
        <v/>
      </c>
      <c r="O773" s="18">
        <f>IF(AND(ISNUMBER(E773),ISNUMBER(N773)),E773-N773,NA())</f>
        <v/>
      </c>
      <c r="P773" s="17">
        <f>IF(NOT(ISNUMBER($A773)),NA(),IF(OR($A773&lt;MIN(KW_TP!$A$2:$A$2501),$A773&gt;MAX(KW_TP!$A$2:$A$2501)),NA(),INDEX(KW_TP!$C$2:$C$2501,MATCH($A773,KW_TP!$A$2:$A$2501,1))))</f>
        <v/>
      </c>
    </row>
    <row r="774">
      <c r="A774" s="15">
        <f>IF(ISNUMBER(BBG_Data!A774),BBG_Data!A774,"")</f>
        <v/>
      </c>
      <c r="B774" s="16">
        <f>IF(AND(ISNUMBER($A774),ISNUMBER(BBG_Data!B774)),BBG_Data!B774,NA())</f>
        <v/>
      </c>
      <c r="C774" s="16">
        <f>IF(AND(ISNUMBER($A774),ISNUMBER(BBG_Data!C774)),BBG_Data!C774,NA())</f>
        <v/>
      </c>
      <c r="D774" s="17">
        <f>IF(AND(ISNUMBER($A774),ISNUMBER(BBG_Data!D774)),BBG_Data!D774,NA())</f>
        <v/>
      </c>
      <c r="E774" s="17">
        <f>IF(AND(ISNUMBER($A774),ISNUMBER(BBG_Data!E774)),BBG_Data!E774,NA())</f>
        <v/>
      </c>
      <c r="F774" s="18">
        <f>IF(AND(ISNUMBER(B774),ISNUMBER(B773)),(B774-B773)*100,"")</f>
        <v/>
      </c>
      <c r="G774" s="18">
        <f>IF(AND(ISNUMBER(C774),ISNUMBER(C773)),(C774-C773)*100,"")</f>
        <v/>
      </c>
      <c r="H774" s="18">
        <f>IF(OR(NOT(ISNUMBER($A774)),ROW()-2&lt;Settings!$B$11),NA(),IF(COUNT(OFFSET(F774,1-Settings!$B$11,0,Settings!$B$11,1))&lt;Settings!$B$11,NA(),STDEV(OFFSET(F774,1-Settings!$B$11,0,Settings!$B$11,1))*SQRT(Settings!$B$13)))</f>
        <v/>
      </c>
      <c r="I774" s="18">
        <f>IF(OR(NOT(ISNUMBER($A774)),ROW()-2&lt;Settings!$B$12),NA(),IF(COUNT(OFFSET(F774,1-Settings!$B$12,0,Settings!$B$12,1))&lt;Settings!$B$12,NA(),STDEV(OFFSET(F774,1-Settings!$B$12,0,Settings!$B$12,1))*SQRT(Settings!$B$13)))</f>
        <v/>
      </c>
      <c r="J774" s="18">
        <f>IF(OR(NOT(ISNUMBER($A774)),ROW()-2&lt;Settings!$B$11),NA(),IF(COUNT(OFFSET(G774,1-Settings!$B$11,0,Settings!$B$11,1))&lt;Settings!$B$11,NA(),STDEV(OFFSET(G774,1-Settings!$B$11,0,Settings!$B$11,1))*SQRT(Settings!$B$13)))</f>
        <v/>
      </c>
      <c r="K774" s="18">
        <f>IF(OR(NOT(ISNUMBER($A774)),ROW()-2&lt;Settings!$B$12),NA(),IF(COUNT(OFFSET(G774,1-Settings!$B$12,0,Settings!$B$12,1))&lt;Settings!$B$12,NA(),STDEV(OFFSET(G774,1-Settings!$B$12,0,Settings!$B$12,1))*SQRT(Settings!$B$13)))</f>
        <v/>
      </c>
      <c r="L774" s="18">
        <f>IF(AND(ISNUMBER(D774),ISNUMBER(H774)),D774-H774,NA())</f>
        <v/>
      </c>
      <c r="M774" s="18">
        <f>IF(AND(ISNUMBER(E774),ISNUMBER(K774)),E774-K774,NA())</f>
        <v/>
      </c>
      <c r="N774" s="18">
        <f>IF(NOT(ISNUMBER($A774)),NA(),IF(COUNT(OFFSET(G774,1,0,Settings!$B$12,1))&lt;Settings!$B$12,NA(),STDEV(OFFSET(G774,1,0,Settings!$B$12,1))*SQRT(Settings!$B$13)))</f>
        <v/>
      </c>
      <c r="O774" s="18">
        <f>IF(AND(ISNUMBER(E774),ISNUMBER(N774)),E774-N774,NA())</f>
        <v/>
      </c>
      <c r="P774" s="17">
        <f>IF(NOT(ISNUMBER($A774)),NA(),IF(OR($A774&lt;MIN(KW_TP!$A$2:$A$2501),$A774&gt;MAX(KW_TP!$A$2:$A$2501)),NA(),INDEX(KW_TP!$C$2:$C$2501,MATCH($A774,KW_TP!$A$2:$A$2501,1))))</f>
        <v/>
      </c>
    </row>
    <row r="775">
      <c r="A775" s="15">
        <f>IF(ISNUMBER(BBG_Data!A775),BBG_Data!A775,"")</f>
        <v/>
      </c>
      <c r="B775" s="16">
        <f>IF(AND(ISNUMBER($A775),ISNUMBER(BBG_Data!B775)),BBG_Data!B775,NA())</f>
        <v/>
      </c>
      <c r="C775" s="16">
        <f>IF(AND(ISNUMBER($A775),ISNUMBER(BBG_Data!C775)),BBG_Data!C775,NA())</f>
        <v/>
      </c>
      <c r="D775" s="17">
        <f>IF(AND(ISNUMBER($A775),ISNUMBER(BBG_Data!D775)),BBG_Data!D775,NA())</f>
        <v/>
      </c>
      <c r="E775" s="17">
        <f>IF(AND(ISNUMBER($A775),ISNUMBER(BBG_Data!E775)),BBG_Data!E775,NA())</f>
        <v/>
      </c>
      <c r="F775" s="18">
        <f>IF(AND(ISNUMBER(B775),ISNUMBER(B774)),(B775-B774)*100,"")</f>
        <v/>
      </c>
      <c r="G775" s="18">
        <f>IF(AND(ISNUMBER(C775),ISNUMBER(C774)),(C775-C774)*100,"")</f>
        <v/>
      </c>
      <c r="H775" s="18">
        <f>IF(OR(NOT(ISNUMBER($A775)),ROW()-2&lt;Settings!$B$11),NA(),IF(COUNT(OFFSET(F775,1-Settings!$B$11,0,Settings!$B$11,1))&lt;Settings!$B$11,NA(),STDEV(OFFSET(F775,1-Settings!$B$11,0,Settings!$B$11,1))*SQRT(Settings!$B$13)))</f>
        <v/>
      </c>
      <c r="I775" s="18">
        <f>IF(OR(NOT(ISNUMBER($A775)),ROW()-2&lt;Settings!$B$12),NA(),IF(COUNT(OFFSET(F775,1-Settings!$B$12,0,Settings!$B$12,1))&lt;Settings!$B$12,NA(),STDEV(OFFSET(F775,1-Settings!$B$12,0,Settings!$B$12,1))*SQRT(Settings!$B$13)))</f>
        <v/>
      </c>
      <c r="J775" s="18">
        <f>IF(OR(NOT(ISNUMBER($A775)),ROW()-2&lt;Settings!$B$11),NA(),IF(COUNT(OFFSET(G775,1-Settings!$B$11,0,Settings!$B$11,1))&lt;Settings!$B$11,NA(),STDEV(OFFSET(G775,1-Settings!$B$11,0,Settings!$B$11,1))*SQRT(Settings!$B$13)))</f>
        <v/>
      </c>
      <c r="K775" s="18">
        <f>IF(OR(NOT(ISNUMBER($A775)),ROW()-2&lt;Settings!$B$12),NA(),IF(COUNT(OFFSET(G775,1-Settings!$B$12,0,Settings!$B$12,1))&lt;Settings!$B$12,NA(),STDEV(OFFSET(G775,1-Settings!$B$12,0,Settings!$B$12,1))*SQRT(Settings!$B$13)))</f>
        <v/>
      </c>
      <c r="L775" s="18">
        <f>IF(AND(ISNUMBER(D775),ISNUMBER(H775)),D775-H775,NA())</f>
        <v/>
      </c>
      <c r="M775" s="18">
        <f>IF(AND(ISNUMBER(E775),ISNUMBER(K775)),E775-K775,NA())</f>
        <v/>
      </c>
      <c r="N775" s="18">
        <f>IF(NOT(ISNUMBER($A775)),NA(),IF(COUNT(OFFSET(G775,1,0,Settings!$B$12,1))&lt;Settings!$B$12,NA(),STDEV(OFFSET(G775,1,0,Settings!$B$12,1))*SQRT(Settings!$B$13)))</f>
        <v/>
      </c>
      <c r="O775" s="18">
        <f>IF(AND(ISNUMBER(E775),ISNUMBER(N775)),E775-N775,NA())</f>
        <v/>
      </c>
      <c r="P775" s="17">
        <f>IF(NOT(ISNUMBER($A775)),NA(),IF(OR($A775&lt;MIN(KW_TP!$A$2:$A$2501),$A775&gt;MAX(KW_TP!$A$2:$A$2501)),NA(),INDEX(KW_TP!$C$2:$C$2501,MATCH($A775,KW_TP!$A$2:$A$2501,1))))</f>
        <v/>
      </c>
    </row>
    <row r="776">
      <c r="A776" s="15">
        <f>IF(ISNUMBER(BBG_Data!A776),BBG_Data!A776,"")</f>
        <v/>
      </c>
      <c r="B776" s="16">
        <f>IF(AND(ISNUMBER($A776),ISNUMBER(BBG_Data!B776)),BBG_Data!B776,NA())</f>
        <v/>
      </c>
      <c r="C776" s="16">
        <f>IF(AND(ISNUMBER($A776),ISNUMBER(BBG_Data!C776)),BBG_Data!C776,NA())</f>
        <v/>
      </c>
      <c r="D776" s="17">
        <f>IF(AND(ISNUMBER($A776),ISNUMBER(BBG_Data!D776)),BBG_Data!D776,NA())</f>
        <v/>
      </c>
      <c r="E776" s="17">
        <f>IF(AND(ISNUMBER($A776),ISNUMBER(BBG_Data!E776)),BBG_Data!E776,NA())</f>
        <v/>
      </c>
      <c r="F776" s="18">
        <f>IF(AND(ISNUMBER(B776),ISNUMBER(B775)),(B776-B775)*100,"")</f>
        <v/>
      </c>
      <c r="G776" s="18">
        <f>IF(AND(ISNUMBER(C776),ISNUMBER(C775)),(C776-C775)*100,"")</f>
        <v/>
      </c>
      <c r="H776" s="18">
        <f>IF(OR(NOT(ISNUMBER($A776)),ROW()-2&lt;Settings!$B$11),NA(),IF(COUNT(OFFSET(F776,1-Settings!$B$11,0,Settings!$B$11,1))&lt;Settings!$B$11,NA(),STDEV(OFFSET(F776,1-Settings!$B$11,0,Settings!$B$11,1))*SQRT(Settings!$B$13)))</f>
        <v/>
      </c>
      <c r="I776" s="18">
        <f>IF(OR(NOT(ISNUMBER($A776)),ROW()-2&lt;Settings!$B$12),NA(),IF(COUNT(OFFSET(F776,1-Settings!$B$12,0,Settings!$B$12,1))&lt;Settings!$B$12,NA(),STDEV(OFFSET(F776,1-Settings!$B$12,0,Settings!$B$12,1))*SQRT(Settings!$B$13)))</f>
        <v/>
      </c>
      <c r="J776" s="18">
        <f>IF(OR(NOT(ISNUMBER($A776)),ROW()-2&lt;Settings!$B$11),NA(),IF(COUNT(OFFSET(G776,1-Settings!$B$11,0,Settings!$B$11,1))&lt;Settings!$B$11,NA(),STDEV(OFFSET(G776,1-Settings!$B$11,0,Settings!$B$11,1))*SQRT(Settings!$B$13)))</f>
        <v/>
      </c>
      <c r="K776" s="18">
        <f>IF(OR(NOT(ISNUMBER($A776)),ROW()-2&lt;Settings!$B$12),NA(),IF(COUNT(OFFSET(G776,1-Settings!$B$12,0,Settings!$B$12,1))&lt;Settings!$B$12,NA(),STDEV(OFFSET(G776,1-Settings!$B$12,0,Settings!$B$12,1))*SQRT(Settings!$B$13)))</f>
        <v/>
      </c>
      <c r="L776" s="18">
        <f>IF(AND(ISNUMBER(D776),ISNUMBER(H776)),D776-H776,NA())</f>
        <v/>
      </c>
      <c r="M776" s="18">
        <f>IF(AND(ISNUMBER(E776),ISNUMBER(K776)),E776-K776,NA())</f>
        <v/>
      </c>
      <c r="N776" s="18">
        <f>IF(NOT(ISNUMBER($A776)),NA(),IF(COUNT(OFFSET(G776,1,0,Settings!$B$12,1))&lt;Settings!$B$12,NA(),STDEV(OFFSET(G776,1,0,Settings!$B$12,1))*SQRT(Settings!$B$13)))</f>
        <v/>
      </c>
      <c r="O776" s="18">
        <f>IF(AND(ISNUMBER(E776),ISNUMBER(N776)),E776-N776,NA())</f>
        <v/>
      </c>
      <c r="P776" s="17">
        <f>IF(NOT(ISNUMBER($A776)),NA(),IF(OR($A776&lt;MIN(KW_TP!$A$2:$A$2501),$A776&gt;MAX(KW_TP!$A$2:$A$2501)),NA(),INDEX(KW_TP!$C$2:$C$2501,MATCH($A776,KW_TP!$A$2:$A$2501,1))))</f>
        <v/>
      </c>
    </row>
    <row r="777">
      <c r="A777" s="15">
        <f>IF(ISNUMBER(BBG_Data!A777),BBG_Data!A777,"")</f>
        <v/>
      </c>
      <c r="B777" s="16">
        <f>IF(AND(ISNUMBER($A777),ISNUMBER(BBG_Data!B777)),BBG_Data!B777,NA())</f>
        <v/>
      </c>
      <c r="C777" s="16">
        <f>IF(AND(ISNUMBER($A777),ISNUMBER(BBG_Data!C777)),BBG_Data!C777,NA())</f>
        <v/>
      </c>
      <c r="D777" s="17">
        <f>IF(AND(ISNUMBER($A777),ISNUMBER(BBG_Data!D777)),BBG_Data!D777,NA())</f>
        <v/>
      </c>
      <c r="E777" s="17">
        <f>IF(AND(ISNUMBER($A777),ISNUMBER(BBG_Data!E777)),BBG_Data!E777,NA())</f>
        <v/>
      </c>
      <c r="F777" s="18">
        <f>IF(AND(ISNUMBER(B777),ISNUMBER(B776)),(B777-B776)*100,"")</f>
        <v/>
      </c>
      <c r="G777" s="18">
        <f>IF(AND(ISNUMBER(C777),ISNUMBER(C776)),(C777-C776)*100,"")</f>
        <v/>
      </c>
      <c r="H777" s="18">
        <f>IF(OR(NOT(ISNUMBER($A777)),ROW()-2&lt;Settings!$B$11),NA(),IF(COUNT(OFFSET(F777,1-Settings!$B$11,0,Settings!$B$11,1))&lt;Settings!$B$11,NA(),STDEV(OFFSET(F777,1-Settings!$B$11,0,Settings!$B$11,1))*SQRT(Settings!$B$13)))</f>
        <v/>
      </c>
      <c r="I777" s="18">
        <f>IF(OR(NOT(ISNUMBER($A777)),ROW()-2&lt;Settings!$B$12),NA(),IF(COUNT(OFFSET(F777,1-Settings!$B$12,0,Settings!$B$12,1))&lt;Settings!$B$12,NA(),STDEV(OFFSET(F777,1-Settings!$B$12,0,Settings!$B$12,1))*SQRT(Settings!$B$13)))</f>
        <v/>
      </c>
      <c r="J777" s="18">
        <f>IF(OR(NOT(ISNUMBER($A777)),ROW()-2&lt;Settings!$B$11),NA(),IF(COUNT(OFFSET(G777,1-Settings!$B$11,0,Settings!$B$11,1))&lt;Settings!$B$11,NA(),STDEV(OFFSET(G777,1-Settings!$B$11,0,Settings!$B$11,1))*SQRT(Settings!$B$13)))</f>
        <v/>
      </c>
      <c r="K777" s="18">
        <f>IF(OR(NOT(ISNUMBER($A777)),ROW()-2&lt;Settings!$B$12),NA(),IF(COUNT(OFFSET(G777,1-Settings!$B$12,0,Settings!$B$12,1))&lt;Settings!$B$12,NA(),STDEV(OFFSET(G777,1-Settings!$B$12,0,Settings!$B$12,1))*SQRT(Settings!$B$13)))</f>
        <v/>
      </c>
      <c r="L777" s="18">
        <f>IF(AND(ISNUMBER(D777),ISNUMBER(H777)),D777-H777,NA())</f>
        <v/>
      </c>
      <c r="M777" s="18">
        <f>IF(AND(ISNUMBER(E777),ISNUMBER(K777)),E777-K777,NA())</f>
        <v/>
      </c>
      <c r="N777" s="18">
        <f>IF(NOT(ISNUMBER($A777)),NA(),IF(COUNT(OFFSET(G777,1,0,Settings!$B$12,1))&lt;Settings!$B$12,NA(),STDEV(OFFSET(G777,1,0,Settings!$B$12,1))*SQRT(Settings!$B$13)))</f>
        <v/>
      </c>
      <c r="O777" s="18">
        <f>IF(AND(ISNUMBER(E777),ISNUMBER(N777)),E777-N777,NA())</f>
        <v/>
      </c>
      <c r="P777" s="17">
        <f>IF(NOT(ISNUMBER($A777)),NA(),IF(OR($A777&lt;MIN(KW_TP!$A$2:$A$2501),$A777&gt;MAX(KW_TP!$A$2:$A$2501)),NA(),INDEX(KW_TP!$C$2:$C$2501,MATCH($A777,KW_TP!$A$2:$A$2501,1))))</f>
        <v/>
      </c>
    </row>
    <row r="778">
      <c r="A778" s="15">
        <f>IF(ISNUMBER(BBG_Data!A778),BBG_Data!A778,"")</f>
        <v/>
      </c>
      <c r="B778" s="16">
        <f>IF(AND(ISNUMBER($A778),ISNUMBER(BBG_Data!B778)),BBG_Data!B778,NA())</f>
        <v/>
      </c>
      <c r="C778" s="16">
        <f>IF(AND(ISNUMBER($A778),ISNUMBER(BBG_Data!C778)),BBG_Data!C778,NA())</f>
        <v/>
      </c>
      <c r="D778" s="17">
        <f>IF(AND(ISNUMBER($A778),ISNUMBER(BBG_Data!D778)),BBG_Data!D778,NA())</f>
        <v/>
      </c>
      <c r="E778" s="17">
        <f>IF(AND(ISNUMBER($A778),ISNUMBER(BBG_Data!E778)),BBG_Data!E778,NA())</f>
        <v/>
      </c>
      <c r="F778" s="18">
        <f>IF(AND(ISNUMBER(B778),ISNUMBER(B777)),(B778-B777)*100,"")</f>
        <v/>
      </c>
      <c r="G778" s="18">
        <f>IF(AND(ISNUMBER(C778),ISNUMBER(C777)),(C778-C777)*100,"")</f>
        <v/>
      </c>
      <c r="H778" s="18">
        <f>IF(OR(NOT(ISNUMBER($A778)),ROW()-2&lt;Settings!$B$11),NA(),IF(COUNT(OFFSET(F778,1-Settings!$B$11,0,Settings!$B$11,1))&lt;Settings!$B$11,NA(),STDEV(OFFSET(F778,1-Settings!$B$11,0,Settings!$B$11,1))*SQRT(Settings!$B$13)))</f>
        <v/>
      </c>
      <c r="I778" s="18">
        <f>IF(OR(NOT(ISNUMBER($A778)),ROW()-2&lt;Settings!$B$12),NA(),IF(COUNT(OFFSET(F778,1-Settings!$B$12,0,Settings!$B$12,1))&lt;Settings!$B$12,NA(),STDEV(OFFSET(F778,1-Settings!$B$12,0,Settings!$B$12,1))*SQRT(Settings!$B$13)))</f>
        <v/>
      </c>
      <c r="J778" s="18">
        <f>IF(OR(NOT(ISNUMBER($A778)),ROW()-2&lt;Settings!$B$11),NA(),IF(COUNT(OFFSET(G778,1-Settings!$B$11,0,Settings!$B$11,1))&lt;Settings!$B$11,NA(),STDEV(OFFSET(G778,1-Settings!$B$11,0,Settings!$B$11,1))*SQRT(Settings!$B$13)))</f>
        <v/>
      </c>
      <c r="K778" s="18">
        <f>IF(OR(NOT(ISNUMBER($A778)),ROW()-2&lt;Settings!$B$12),NA(),IF(COUNT(OFFSET(G778,1-Settings!$B$12,0,Settings!$B$12,1))&lt;Settings!$B$12,NA(),STDEV(OFFSET(G778,1-Settings!$B$12,0,Settings!$B$12,1))*SQRT(Settings!$B$13)))</f>
        <v/>
      </c>
      <c r="L778" s="18">
        <f>IF(AND(ISNUMBER(D778),ISNUMBER(H778)),D778-H778,NA())</f>
        <v/>
      </c>
      <c r="M778" s="18">
        <f>IF(AND(ISNUMBER(E778),ISNUMBER(K778)),E778-K778,NA())</f>
        <v/>
      </c>
      <c r="N778" s="18">
        <f>IF(NOT(ISNUMBER($A778)),NA(),IF(COUNT(OFFSET(G778,1,0,Settings!$B$12,1))&lt;Settings!$B$12,NA(),STDEV(OFFSET(G778,1,0,Settings!$B$12,1))*SQRT(Settings!$B$13)))</f>
        <v/>
      </c>
      <c r="O778" s="18">
        <f>IF(AND(ISNUMBER(E778),ISNUMBER(N778)),E778-N778,NA())</f>
        <v/>
      </c>
      <c r="P778" s="17">
        <f>IF(NOT(ISNUMBER($A778)),NA(),IF(OR($A778&lt;MIN(KW_TP!$A$2:$A$2501),$A778&gt;MAX(KW_TP!$A$2:$A$2501)),NA(),INDEX(KW_TP!$C$2:$C$2501,MATCH($A778,KW_TP!$A$2:$A$2501,1))))</f>
        <v/>
      </c>
    </row>
    <row r="779">
      <c r="A779" s="15">
        <f>IF(ISNUMBER(BBG_Data!A779),BBG_Data!A779,"")</f>
        <v/>
      </c>
      <c r="B779" s="16">
        <f>IF(AND(ISNUMBER($A779),ISNUMBER(BBG_Data!B779)),BBG_Data!B779,NA())</f>
        <v/>
      </c>
      <c r="C779" s="16">
        <f>IF(AND(ISNUMBER($A779),ISNUMBER(BBG_Data!C779)),BBG_Data!C779,NA())</f>
        <v/>
      </c>
      <c r="D779" s="17">
        <f>IF(AND(ISNUMBER($A779),ISNUMBER(BBG_Data!D779)),BBG_Data!D779,NA())</f>
        <v/>
      </c>
      <c r="E779" s="17">
        <f>IF(AND(ISNUMBER($A779),ISNUMBER(BBG_Data!E779)),BBG_Data!E779,NA())</f>
        <v/>
      </c>
      <c r="F779" s="18">
        <f>IF(AND(ISNUMBER(B779),ISNUMBER(B778)),(B779-B778)*100,"")</f>
        <v/>
      </c>
      <c r="G779" s="18">
        <f>IF(AND(ISNUMBER(C779),ISNUMBER(C778)),(C779-C778)*100,"")</f>
        <v/>
      </c>
      <c r="H779" s="18">
        <f>IF(OR(NOT(ISNUMBER($A779)),ROW()-2&lt;Settings!$B$11),NA(),IF(COUNT(OFFSET(F779,1-Settings!$B$11,0,Settings!$B$11,1))&lt;Settings!$B$11,NA(),STDEV(OFFSET(F779,1-Settings!$B$11,0,Settings!$B$11,1))*SQRT(Settings!$B$13)))</f>
        <v/>
      </c>
      <c r="I779" s="18">
        <f>IF(OR(NOT(ISNUMBER($A779)),ROW()-2&lt;Settings!$B$12),NA(),IF(COUNT(OFFSET(F779,1-Settings!$B$12,0,Settings!$B$12,1))&lt;Settings!$B$12,NA(),STDEV(OFFSET(F779,1-Settings!$B$12,0,Settings!$B$12,1))*SQRT(Settings!$B$13)))</f>
        <v/>
      </c>
      <c r="J779" s="18">
        <f>IF(OR(NOT(ISNUMBER($A779)),ROW()-2&lt;Settings!$B$11),NA(),IF(COUNT(OFFSET(G779,1-Settings!$B$11,0,Settings!$B$11,1))&lt;Settings!$B$11,NA(),STDEV(OFFSET(G779,1-Settings!$B$11,0,Settings!$B$11,1))*SQRT(Settings!$B$13)))</f>
        <v/>
      </c>
      <c r="K779" s="18">
        <f>IF(OR(NOT(ISNUMBER($A779)),ROW()-2&lt;Settings!$B$12),NA(),IF(COUNT(OFFSET(G779,1-Settings!$B$12,0,Settings!$B$12,1))&lt;Settings!$B$12,NA(),STDEV(OFFSET(G779,1-Settings!$B$12,0,Settings!$B$12,1))*SQRT(Settings!$B$13)))</f>
        <v/>
      </c>
      <c r="L779" s="18">
        <f>IF(AND(ISNUMBER(D779),ISNUMBER(H779)),D779-H779,NA())</f>
        <v/>
      </c>
      <c r="M779" s="18">
        <f>IF(AND(ISNUMBER(E779),ISNUMBER(K779)),E779-K779,NA())</f>
        <v/>
      </c>
      <c r="N779" s="18">
        <f>IF(NOT(ISNUMBER($A779)),NA(),IF(COUNT(OFFSET(G779,1,0,Settings!$B$12,1))&lt;Settings!$B$12,NA(),STDEV(OFFSET(G779,1,0,Settings!$B$12,1))*SQRT(Settings!$B$13)))</f>
        <v/>
      </c>
      <c r="O779" s="18">
        <f>IF(AND(ISNUMBER(E779),ISNUMBER(N779)),E779-N779,NA())</f>
        <v/>
      </c>
      <c r="P779" s="17">
        <f>IF(NOT(ISNUMBER($A779)),NA(),IF(OR($A779&lt;MIN(KW_TP!$A$2:$A$2501),$A779&gt;MAX(KW_TP!$A$2:$A$2501)),NA(),INDEX(KW_TP!$C$2:$C$2501,MATCH($A779,KW_TP!$A$2:$A$2501,1))))</f>
        <v/>
      </c>
    </row>
    <row r="780">
      <c r="A780" s="15">
        <f>IF(ISNUMBER(BBG_Data!A780),BBG_Data!A780,"")</f>
        <v/>
      </c>
      <c r="B780" s="16">
        <f>IF(AND(ISNUMBER($A780),ISNUMBER(BBG_Data!B780)),BBG_Data!B780,NA())</f>
        <v/>
      </c>
      <c r="C780" s="16">
        <f>IF(AND(ISNUMBER($A780),ISNUMBER(BBG_Data!C780)),BBG_Data!C780,NA())</f>
        <v/>
      </c>
      <c r="D780" s="17">
        <f>IF(AND(ISNUMBER($A780),ISNUMBER(BBG_Data!D780)),BBG_Data!D780,NA())</f>
        <v/>
      </c>
      <c r="E780" s="17">
        <f>IF(AND(ISNUMBER($A780),ISNUMBER(BBG_Data!E780)),BBG_Data!E780,NA())</f>
        <v/>
      </c>
      <c r="F780" s="18">
        <f>IF(AND(ISNUMBER(B780),ISNUMBER(B779)),(B780-B779)*100,"")</f>
        <v/>
      </c>
      <c r="G780" s="18">
        <f>IF(AND(ISNUMBER(C780),ISNUMBER(C779)),(C780-C779)*100,"")</f>
        <v/>
      </c>
      <c r="H780" s="18">
        <f>IF(OR(NOT(ISNUMBER($A780)),ROW()-2&lt;Settings!$B$11),NA(),IF(COUNT(OFFSET(F780,1-Settings!$B$11,0,Settings!$B$11,1))&lt;Settings!$B$11,NA(),STDEV(OFFSET(F780,1-Settings!$B$11,0,Settings!$B$11,1))*SQRT(Settings!$B$13)))</f>
        <v/>
      </c>
      <c r="I780" s="18">
        <f>IF(OR(NOT(ISNUMBER($A780)),ROW()-2&lt;Settings!$B$12),NA(),IF(COUNT(OFFSET(F780,1-Settings!$B$12,0,Settings!$B$12,1))&lt;Settings!$B$12,NA(),STDEV(OFFSET(F780,1-Settings!$B$12,0,Settings!$B$12,1))*SQRT(Settings!$B$13)))</f>
        <v/>
      </c>
      <c r="J780" s="18">
        <f>IF(OR(NOT(ISNUMBER($A780)),ROW()-2&lt;Settings!$B$11),NA(),IF(COUNT(OFFSET(G780,1-Settings!$B$11,0,Settings!$B$11,1))&lt;Settings!$B$11,NA(),STDEV(OFFSET(G780,1-Settings!$B$11,0,Settings!$B$11,1))*SQRT(Settings!$B$13)))</f>
        <v/>
      </c>
      <c r="K780" s="18">
        <f>IF(OR(NOT(ISNUMBER($A780)),ROW()-2&lt;Settings!$B$12),NA(),IF(COUNT(OFFSET(G780,1-Settings!$B$12,0,Settings!$B$12,1))&lt;Settings!$B$12,NA(),STDEV(OFFSET(G780,1-Settings!$B$12,0,Settings!$B$12,1))*SQRT(Settings!$B$13)))</f>
        <v/>
      </c>
      <c r="L780" s="18">
        <f>IF(AND(ISNUMBER(D780),ISNUMBER(H780)),D780-H780,NA())</f>
        <v/>
      </c>
      <c r="M780" s="18">
        <f>IF(AND(ISNUMBER(E780),ISNUMBER(K780)),E780-K780,NA())</f>
        <v/>
      </c>
      <c r="N780" s="18">
        <f>IF(NOT(ISNUMBER($A780)),NA(),IF(COUNT(OFFSET(G780,1,0,Settings!$B$12,1))&lt;Settings!$B$12,NA(),STDEV(OFFSET(G780,1,0,Settings!$B$12,1))*SQRT(Settings!$B$13)))</f>
        <v/>
      </c>
      <c r="O780" s="18">
        <f>IF(AND(ISNUMBER(E780),ISNUMBER(N780)),E780-N780,NA())</f>
        <v/>
      </c>
      <c r="P780" s="17">
        <f>IF(NOT(ISNUMBER($A780)),NA(),IF(OR($A780&lt;MIN(KW_TP!$A$2:$A$2501),$A780&gt;MAX(KW_TP!$A$2:$A$2501)),NA(),INDEX(KW_TP!$C$2:$C$2501,MATCH($A780,KW_TP!$A$2:$A$2501,1))))</f>
        <v/>
      </c>
    </row>
    <row r="781">
      <c r="A781" s="15">
        <f>IF(ISNUMBER(BBG_Data!A781),BBG_Data!A781,"")</f>
        <v/>
      </c>
      <c r="B781" s="16">
        <f>IF(AND(ISNUMBER($A781),ISNUMBER(BBG_Data!B781)),BBG_Data!B781,NA())</f>
        <v/>
      </c>
      <c r="C781" s="16">
        <f>IF(AND(ISNUMBER($A781),ISNUMBER(BBG_Data!C781)),BBG_Data!C781,NA())</f>
        <v/>
      </c>
      <c r="D781" s="17">
        <f>IF(AND(ISNUMBER($A781),ISNUMBER(BBG_Data!D781)),BBG_Data!D781,NA())</f>
        <v/>
      </c>
      <c r="E781" s="17">
        <f>IF(AND(ISNUMBER($A781),ISNUMBER(BBG_Data!E781)),BBG_Data!E781,NA())</f>
        <v/>
      </c>
      <c r="F781" s="18">
        <f>IF(AND(ISNUMBER(B781),ISNUMBER(B780)),(B781-B780)*100,"")</f>
        <v/>
      </c>
      <c r="G781" s="18">
        <f>IF(AND(ISNUMBER(C781),ISNUMBER(C780)),(C781-C780)*100,"")</f>
        <v/>
      </c>
      <c r="H781" s="18">
        <f>IF(OR(NOT(ISNUMBER($A781)),ROW()-2&lt;Settings!$B$11),NA(),IF(COUNT(OFFSET(F781,1-Settings!$B$11,0,Settings!$B$11,1))&lt;Settings!$B$11,NA(),STDEV(OFFSET(F781,1-Settings!$B$11,0,Settings!$B$11,1))*SQRT(Settings!$B$13)))</f>
        <v/>
      </c>
      <c r="I781" s="18">
        <f>IF(OR(NOT(ISNUMBER($A781)),ROW()-2&lt;Settings!$B$12),NA(),IF(COUNT(OFFSET(F781,1-Settings!$B$12,0,Settings!$B$12,1))&lt;Settings!$B$12,NA(),STDEV(OFFSET(F781,1-Settings!$B$12,0,Settings!$B$12,1))*SQRT(Settings!$B$13)))</f>
        <v/>
      </c>
      <c r="J781" s="18">
        <f>IF(OR(NOT(ISNUMBER($A781)),ROW()-2&lt;Settings!$B$11),NA(),IF(COUNT(OFFSET(G781,1-Settings!$B$11,0,Settings!$B$11,1))&lt;Settings!$B$11,NA(),STDEV(OFFSET(G781,1-Settings!$B$11,0,Settings!$B$11,1))*SQRT(Settings!$B$13)))</f>
        <v/>
      </c>
      <c r="K781" s="18">
        <f>IF(OR(NOT(ISNUMBER($A781)),ROW()-2&lt;Settings!$B$12),NA(),IF(COUNT(OFFSET(G781,1-Settings!$B$12,0,Settings!$B$12,1))&lt;Settings!$B$12,NA(),STDEV(OFFSET(G781,1-Settings!$B$12,0,Settings!$B$12,1))*SQRT(Settings!$B$13)))</f>
        <v/>
      </c>
      <c r="L781" s="18">
        <f>IF(AND(ISNUMBER(D781),ISNUMBER(H781)),D781-H781,NA())</f>
        <v/>
      </c>
      <c r="M781" s="18">
        <f>IF(AND(ISNUMBER(E781),ISNUMBER(K781)),E781-K781,NA())</f>
        <v/>
      </c>
      <c r="N781" s="18">
        <f>IF(NOT(ISNUMBER($A781)),NA(),IF(COUNT(OFFSET(G781,1,0,Settings!$B$12,1))&lt;Settings!$B$12,NA(),STDEV(OFFSET(G781,1,0,Settings!$B$12,1))*SQRT(Settings!$B$13)))</f>
        <v/>
      </c>
      <c r="O781" s="18">
        <f>IF(AND(ISNUMBER(E781),ISNUMBER(N781)),E781-N781,NA())</f>
        <v/>
      </c>
      <c r="P781" s="17">
        <f>IF(NOT(ISNUMBER($A781)),NA(),IF(OR($A781&lt;MIN(KW_TP!$A$2:$A$2501),$A781&gt;MAX(KW_TP!$A$2:$A$2501)),NA(),INDEX(KW_TP!$C$2:$C$2501,MATCH($A781,KW_TP!$A$2:$A$2501,1))))</f>
        <v/>
      </c>
    </row>
    <row r="782">
      <c r="A782" s="15">
        <f>IF(ISNUMBER(BBG_Data!A782),BBG_Data!A782,"")</f>
        <v/>
      </c>
      <c r="B782" s="16">
        <f>IF(AND(ISNUMBER($A782),ISNUMBER(BBG_Data!B782)),BBG_Data!B782,NA())</f>
        <v/>
      </c>
      <c r="C782" s="16">
        <f>IF(AND(ISNUMBER($A782),ISNUMBER(BBG_Data!C782)),BBG_Data!C782,NA())</f>
        <v/>
      </c>
      <c r="D782" s="17">
        <f>IF(AND(ISNUMBER($A782),ISNUMBER(BBG_Data!D782)),BBG_Data!D782,NA())</f>
        <v/>
      </c>
      <c r="E782" s="17">
        <f>IF(AND(ISNUMBER($A782),ISNUMBER(BBG_Data!E782)),BBG_Data!E782,NA())</f>
        <v/>
      </c>
      <c r="F782" s="18">
        <f>IF(AND(ISNUMBER(B782),ISNUMBER(B781)),(B782-B781)*100,"")</f>
        <v/>
      </c>
      <c r="G782" s="18">
        <f>IF(AND(ISNUMBER(C782),ISNUMBER(C781)),(C782-C781)*100,"")</f>
        <v/>
      </c>
      <c r="H782" s="18">
        <f>IF(OR(NOT(ISNUMBER($A782)),ROW()-2&lt;Settings!$B$11),NA(),IF(COUNT(OFFSET(F782,1-Settings!$B$11,0,Settings!$B$11,1))&lt;Settings!$B$11,NA(),STDEV(OFFSET(F782,1-Settings!$B$11,0,Settings!$B$11,1))*SQRT(Settings!$B$13)))</f>
        <v/>
      </c>
      <c r="I782" s="18">
        <f>IF(OR(NOT(ISNUMBER($A782)),ROW()-2&lt;Settings!$B$12),NA(),IF(COUNT(OFFSET(F782,1-Settings!$B$12,0,Settings!$B$12,1))&lt;Settings!$B$12,NA(),STDEV(OFFSET(F782,1-Settings!$B$12,0,Settings!$B$12,1))*SQRT(Settings!$B$13)))</f>
        <v/>
      </c>
      <c r="J782" s="18">
        <f>IF(OR(NOT(ISNUMBER($A782)),ROW()-2&lt;Settings!$B$11),NA(),IF(COUNT(OFFSET(G782,1-Settings!$B$11,0,Settings!$B$11,1))&lt;Settings!$B$11,NA(),STDEV(OFFSET(G782,1-Settings!$B$11,0,Settings!$B$11,1))*SQRT(Settings!$B$13)))</f>
        <v/>
      </c>
      <c r="K782" s="18">
        <f>IF(OR(NOT(ISNUMBER($A782)),ROW()-2&lt;Settings!$B$12),NA(),IF(COUNT(OFFSET(G782,1-Settings!$B$12,0,Settings!$B$12,1))&lt;Settings!$B$12,NA(),STDEV(OFFSET(G782,1-Settings!$B$12,0,Settings!$B$12,1))*SQRT(Settings!$B$13)))</f>
        <v/>
      </c>
      <c r="L782" s="18">
        <f>IF(AND(ISNUMBER(D782),ISNUMBER(H782)),D782-H782,NA())</f>
        <v/>
      </c>
      <c r="M782" s="18">
        <f>IF(AND(ISNUMBER(E782),ISNUMBER(K782)),E782-K782,NA())</f>
        <v/>
      </c>
      <c r="N782" s="18">
        <f>IF(NOT(ISNUMBER($A782)),NA(),IF(COUNT(OFFSET(G782,1,0,Settings!$B$12,1))&lt;Settings!$B$12,NA(),STDEV(OFFSET(G782,1,0,Settings!$B$12,1))*SQRT(Settings!$B$13)))</f>
        <v/>
      </c>
      <c r="O782" s="18">
        <f>IF(AND(ISNUMBER(E782),ISNUMBER(N782)),E782-N782,NA())</f>
        <v/>
      </c>
      <c r="P782" s="17">
        <f>IF(NOT(ISNUMBER($A782)),NA(),IF(OR($A782&lt;MIN(KW_TP!$A$2:$A$2501),$A782&gt;MAX(KW_TP!$A$2:$A$2501)),NA(),INDEX(KW_TP!$C$2:$C$2501,MATCH($A782,KW_TP!$A$2:$A$2501,1))))</f>
        <v/>
      </c>
    </row>
    <row r="783">
      <c r="A783" s="15">
        <f>IF(ISNUMBER(BBG_Data!A783),BBG_Data!A783,"")</f>
        <v/>
      </c>
      <c r="B783" s="16">
        <f>IF(AND(ISNUMBER($A783),ISNUMBER(BBG_Data!B783)),BBG_Data!B783,NA())</f>
        <v/>
      </c>
      <c r="C783" s="16">
        <f>IF(AND(ISNUMBER($A783),ISNUMBER(BBG_Data!C783)),BBG_Data!C783,NA())</f>
        <v/>
      </c>
      <c r="D783" s="17">
        <f>IF(AND(ISNUMBER($A783),ISNUMBER(BBG_Data!D783)),BBG_Data!D783,NA())</f>
        <v/>
      </c>
      <c r="E783" s="17">
        <f>IF(AND(ISNUMBER($A783),ISNUMBER(BBG_Data!E783)),BBG_Data!E783,NA())</f>
        <v/>
      </c>
      <c r="F783" s="18">
        <f>IF(AND(ISNUMBER(B783),ISNUMBER(B782)),(B783-B782)*100,"")</f>
        <v/>
      </c>
      <c r="G783" s="18">
        <f>IF(AND(ISNUMBER(C783),ISNUMBER(C782)),(C783-C782)*100,"")</f>
        <v/>
      </c>
      <c r="H783" s="18">
        <f>IF(OR(NOT(ISNUMBER($A783)),ROW()-2&lt;Settings!$B$11),NA(),IF(COUNT(OFFSET(F783,1-Settings!$B$11,0,Settings!$B$11,1))&lt;Settings!$B$11,NA(),STDEV(OFFSET(F783,1-Settings!$B$11,0,Settings!$B$11,1))*SQRT(Settings!$B$13)))</f>
        <v/>
      </c>
      <c r="I783" s="18">
        <f>IF(OR(NOT(ISNUMBER($A783)),ROW()-2&lt;Settings!$B$12),NA(),IF(COUNT(OFFSET(F783,1-Settings!$B$12,0,Settings!$B$12,1))&lt;Settings!$B$12,NA(),STDEV(OFFSET(F783,1-Settings!$B$12,0,Settings!$B$12,1))*SQRT(Settings!$B$13)))</f>
        <v/>
      </c>
      <c r="J783" s="18">
        <f>IF(OR(NOT(ISNUMBER($A783)),ROW()-2&lt;Settings!$B$11),NA(),IF(COUNT(OFFSET(G783,1-Settings!$B$11,0,Settings!$B$11,1))&lt;Settings!$B$11,NA(),STDEV(OFFSET(G783,1-Settings!$B$11,0,Settings!$B$11,1))*SQRT(Settings!$B$13)))</f>
        <v/>
      </c>
      <c r="K783" s="18">
        <f>IF(OR(NOT(ISNUMBER($A783)),ROW()-2&lt;Settings!$B$12),NA(),IF(COUNT(OFFSET(G783,1-Settings!$B$12,0,Settings!$B$12,1))&lt;Settings!$B$12,NA(),STDEV(OFFSET(G783,1-Settings!$B$12,0,Settings!$B$12,1))*SQRT(Settings!$B$13)))</f>
        <v/>
      </c>
      <c r="L783" s="18">
        <f>IF(AND(ISNUMBER(D783),ISNUMBER(H783)),D783-H783,NA())</f>
        <v/>
      </c>
      <c r="M783" s="18">
        <f>IF(AND(ISNUMBER(E783),ISNUMBER(K783)),E783-K783,NA())</f>
        <v/>
      </c>
      <c r="N783" s="18">
        <f>IF(NOT(ISNUMBER($A783)),NA(),IF(COUNT(OFFSET(G783,1,0,Settings!$B$12,1))&lt;Settings!$B$12,NA(),STDEV(OFFSET(G783,1,0,Settings!$B$12,1))*SQRT(Settings!$B$13)))</f>
        <v/>
      </c>
      <c r="O783" s="18">
        <f>IF(AND(ISNUMBER(E783),ISNUMBER(N783)),E783-N783,NA())</f>
        <v/>
      </c>
      <c r="P783" s="17">
        <f>IF(NOT(ISNUMBER($A783)),NA(),IF(OR($A783&lt;MIN(KW_TP!$A$2:$A$2501),$A783&gt;MAX(KW_TP!$A$2:$A$2501)),NA(),INDEX(KW_TP!$C$2:$C$2501,MATCH($A783,KW_TP!$A$2:$A$2501,1))))</f>
        <v/>
      </c>
    </row>
    <row r="784">
      <c r="A784" s="15">
        <f>IF(ISNUMBER(BBG_Data!A784),BBG_Data!A784,"")</f>
        <v/>
      </c>
      <c r="B784" s="16">
        <f>IF(AND(ISNUMBER($A784),ISNUMBER(BBG_Data!B784)),BBG_Data!B784,NA())</f>
        <v/>
      </c>
      <c r="C784" s="16">
        <f>IF(AND(ISNUMBER($A784),ISNUMBER(BBG_Data!C784)),BBG_Data!C784,NA())</f>
        <v/>
      </c>
      <c r="D784" s="17">
        <f>IF(AND(ISNUMBER($A784),ISNUMBER(BBG_Data!D784)),BBG_Data!D784,NA())</f>
        <v/>
      </c>
      <c r="E784" s="17">
        <f>IF(AND(ISNUMBER($A784),ISNUMBER(BBG_Data!E784)),BBG_Data!E784,NA())</f>
        <v/>
      </c>
      <c r="F784" s="18">
        <f>IF(AND(ISNUMBER(B784),ISNUMBER(B783)),(B784-B783)*100,"")</f>
        <v/>
      </c>
      <c r="G784" s="18">
        <f>IF(AND(ISNUMBER(C784),ISNUMBER(C783)),(C784-C783)*100,"")</f>
        <v/>
      </c>
      <c r="H784" s="18">
        <f>IF(OR(NOT(ISNUMBER($A784)),ROW()-2&lt;Settings!$B$11),NA(),IF(COUNT(OFFSET(F784,1-Settings!$B$11,0,Settings!$B$11,1))&lt;Settings!$B$11,NA(),STDEV(OFFSET(F784,1-Settings!$B$11,0,Settings!$B$11,1))*SQRT(Settings!$B$13)))</f>
        <v/>
      </c>
      <c r="I784" s="18">
        <f>IF(OR(NOT(ISNUMBER($A784)),ROW()-2&lt;Settings!$B$12),NA(),IF(COUNT(OFFSET(F784,1-Settings!$B$12,0,Settings!$B$12,1))&lt;Settings!$B$12,NA(),STDEV(OFFSET(F784,1-Settings!$B$12,0,Settings!$B$12,1))*SQRT(Settings!$B$13)))</f>
        <v/>
      </c>
      <c r="J784" s="18">
        <f>IF(OR(NOT(ISNUMBER($A784)),ROW()-2&lt;Settings!$B$11),NA(),IF(COUNT(OFFSET(G784,1-Settings!$B$11,0,Settings!$B$11,1))&lt;Settings!$B$11,NA(),STDEV(OFFSET(G784,1-Settings!$B$11,0,Settings!$B$11,1))*SQRT(Settings!$B$13)))</f>
        <v/>
      </c>
      <c r="K784" s="18">
        <f>IF(OR(NOT(ISNUMBER($A784)),ROW()-2&lt;Settings!$B$12),NA(),IF(COUNT(OFFSET(G784,1-Settings!$B$12,0,Settings!$B$12,1))&lt;Settings!$B$12,NA(),STDEV(OFFSET(G784,1-Settings!$B$12,0,Settings!$B$12,1))*SQRT(Settings!$B$13)))</f>
        <v/>
      </c>
      <c r="L784" s="18">
        <f>IF(AND(ISNUMBER(D784),ISNUMBER(H784)),D784-H784,NA())</f>
        <v/>
      </c>
      <c r="M784" s="18">
        <f>IF(AND(ISNUMBER(E784),ISNUMBER(K784)),E784-K784,NA())</f>
        <v/>
      </c>
      <c r="N784" s="18">
        <f>IF(NOT(ISNUMBER($A784)),NA(),IF(COUNT(OFFSET(G784,1,0,Settings!$B$12,1))&lt;Settings!$B$12,NA(),STDEV(OFFSET(G784,1,0,Settings!$B$12,1))*SQRT(Settings!$B$13)))</f>
        <v/>
      </c>
      <c r="O784" s="18">
        <f>IF(AND(ISNUMBER(E784),ISNUMBER(N784)),E784-N784,NA())</f>
        <v/>
      </c>
      <c r="P784" s="17">
        <f>IF(NOT(ISNUMBER($A784)),NA(),IF(OR($A784&lt;MIN(KW_TP!$A$2:$A$2501),$A784&gt;MAX(KW_TP!$A$2:$A$2501)),NA(),INDEX(KW_TP!$C$2:$C$2501,MATCH($A784,KW_TP!$A$2:$A$2501,1))))</f>
        <v/>
      </c>
    </row>
    <row r="785">
      <c r="A785" s="15">
        <f>IF(ISNUMBER(BBG_Data!A785),BBG_Data!A785,"")</f>
        <v/>
      </c>
      <c r="B785" s="16">
        <f>IF(AND(ISNUMBER($A785),ISNUMBER(BBG_Data!B785)),BBG_Data!B785,NA())</f>
        <v/>
      </c>
      <c r="C785" s="16">
        <f>IF(AND(ISNUMBER($A785),ISNUMBER(BBG_Data!C785)),BBG_Data!C785,NA())</f>
        <v/>
      </c>
      <c r="D785" s="17">
        <f>IF(AND(ISNUMBER($A785),ISNUMBER(BBG_Data!D785)),BBG_Data!D785,NA())</f>
        <v/>
      </c>
      <c r="E785" s="17">
        <f>IF(AND(ISNUMBER($A785),ISNUMBER(BBG_Data!E785)),BBG_Data!E785,NA())</f>
        <v/>
      </c>
      <c r="F785" s="18">
        <f>IF(AND(ISNUMBER(B785),ISNUMBER(B784)),(B785-B784)*100,"")</f>
        <v/>
      </c>
      <c r="G785" s="18">
        <f>IF(AND(ISNUMBER(C785),ISNUMBER(C784)),(C785-C784)*100,"")</f>
        <v/>
      </c>
      <c r="H785" s="18">
        <f>IF(OR(NOT(ISNUMBER($A785)),ROW()-2&lt;Settings!$B$11),NA(),IF(COUNT(OFFSET(F785,1-Settings!$B$11,0,Settings!$B$11,1))&lt;Settings!$B$11,NA(),STDEV(OFFSET(F785,1-Settings!$B$11,0,Settings!$B$11,1))*SQRT(Settings!$B$13)))</f>
        <v/>
      </c>
      <c r="I785" s="18">
        <f>IF(OR(NOT(ISNUMBER($A785)),ROW()-2&lt;Settings!$B$12),NA(),IF(COUNT(OFFSET(F785,1-Settings!$B$12,0,Settings!$B$12,1))&lt;Settings!$B$12,NA(),STDEV(OFFSET(F785,1-Settings!$B$12,0,Settings!$B$12,1))*SQRT(Settings!$B$13)))</f>
        <v/>
      </c>
      <c r="J785" s="18">
        <f>IF(OR(NOT(ISNUMBER($A785)),ROW()-2&lt;Settings!$B$11),NA(),IF(COUNT(OFFSET(G785,1-Settings!$B$11,0,Settings!$B$11,1))&lt;Settings!$B$11,NA(),STDEV(OFFSET(G785,1-Settings!$B$11,0,Settings!$B$11,1))*SQRT(Settings!$B$13)))</f>
        <v/>
      </c>
      <c r="K785" s="18">
        <f>IF(OR(NOT(ISNUMBER($A785)),ROW()-2&lt;Settings!$B$12),NA(),IF(COUNT(OFFSET(G785,1-Settings!$B$12,0,Settings!$B$12,1))&lt;Settings!$B$12,NA(),STDEV(OFFSET(G785,1-Settings!$B$12,0,Settings!$B$12,1))*SQRT(Settings!$B$13)))</f>
        <v/>
      </c>
      <c r="L785" s="18">
        <f>IF(AND(ISNUMBER(D785),ISNUMBER(H785)),D785-H785,NA())</f>
        <v/>
      </c>
      <c r="M785" s="18">
        <f>IF(AND(ISNUMBER(E785),ISNUMBER(K785)),E785-K785,NA())</f>
        <v/>
      </c>
      <c r="N785" s="18">
        <f>IF(NOT(ISNUMBER($A785)),NA(),IF(COUNT(OFFSET(G785,1,0,Settings!$B$12,1))&lt;Settings!$B$12,NA(),STDEV(OFFSET(G785,1,0,Settings!$B$12,1))*SQRT(Settings!$B$13)))</f>
        <v/>
      </c>
      <c r="O785" s="18">
        <f>IF(AND(ISNUMBER(E785),ISNUMBER(N785)),E785-N785,NA())</f>
        <v/>
      </c>
      <c r="P785" s="17">
        <f>IF(NOT(ISNUMBER($A785)),NA(),IF(OR($A785&lt;MIN(KW_TP!$A$2:$A$2501),$A785&gt;MAX(KW_TP!$A$2:$A$2501)),NA(),INDEX(KW_TP!$C$2:$C$2501,MATCH($A785,KW_TP!$A$2:$A$2501,1))))</f>
        <v/>
      </c>
    </row>
    <row r="786">
      <c r="A786" s="15">
        <f>IF(ISNUMBER(BBG_Data!A786),BBG_Data!A786,"")</f>
        <v/>
      </c>
      <c r="B786" s="16">
        <f>IF(AND(ISNUMBER($A786),ISNUMBER(BBG_Data!B786)),BBG_Data!B786,NA())</f>
        <v/>
      </c>
      <c r="C786" s="16">
        <f>IF(AND(ISNUMBER($A786),ISNUMBER(BBG_Data!C786)),BBG_Data!C786,NA())</f>
        <v/>
      </c>
      <c r="D786" s="17">
        <f>IF(AND(ISNUMBER($A786),ISNUMBER(BBG_Data!D786)),BBG_Data!D786,NA())</f>
        <v/>
      </c>
      <c r="E786" s="17">
        <f>IF(AND(ISNUMBER($A786),ISNUMBER(BBG_Data!E786)),BBG_Data!E786,NA())</f>
        <v/>
      </c>
      <c r="F786" s="18">
        <f>IF(AND(ISNUMBER(B786),ISNUMBER(B785)),(B786-B785)*100,"")</f>
        <v/>
      </c>
      <c r="G786" s="18">
        <f>IF(AND(ISNUMBER(C786),ISNUMBER(C785)),(C786-C785)*100,"")</f>
        <v/>
      </c>
      <c r="H786" s="18">
        <f>IF(OR(NOT(ISNUMBER($A786)),ROW()-2&lt;Settings!$B$11),NA(),IF(COUNT(OFFSET(F786,1-Settings!$B$11,0,Settings!$B$11,1))&lt;Settings!$B$11,NA(),STDEV(OFFSET(F786,1-Settings!$B$11,0,Settings!$B$11,1))*SQRT(Settings!$B$13)))</f>
        <v/>
      </c>
      <c r="I786" s="18">
        <f>IF(OR(NOT(ISNUMBER($A786)),ROW()-2&lt;Settings!$B$12),NA(),IF(COUNT(OFFSET(F786,1-Settings!$B$12,0,Settings!$B$12,1))&lt;Settings!$B$12,NA(),STDEV(OFFSET(F786,1-Settings!$B$12,0,Settings!$B$12,1))*SQRT(Settings!$B$13)))</f>
        <v/>
      </c>
      <c r="J786" s="18">
        <f>IF(OR(NOT(ISNUMBER($A786)),ROW()-2&lt;Settings!$B$11),NA(),IF(COUNT(OFFSET(G786,1-Settings!$B$11,0,Settings!$B$11,1))&lt;Settings!$B$11,NA(),STDEV(OFFSET(G786,1-Settings!$B$11,0,Settings!$B$11,1))*SQRT(Settings!$B$13)))</f>
        <v/>
      </c>
      <c r="K786" s="18">
        <f>IF(OR(NOT(ISNUMBER($A786)),ROW()-2&lt;Settings!$B$12),NA(),IF(COUNT(OFFSET(G786,1-Settings!$B$12,0,Settings!$B$12,1))&lt;Settings!$B$12,NA(),STDEV(OFFSET(G786,1-Settings!$B$12,0,Settings!$B$12,1))*SQRT(Settings!$B$13)))</f>
        <v/>
      </c>
      <c r="L786" s="18">
        <f>IF(AND(ISNUMBER(D786),ISNUMBER(H786)),D786-H786,NA())</f>
        <v/>
      </c>
      <c r="M786" s="18">
        <f>IF(AND(ISNUMBER(E786),ISNUMBER(K786)),E786-K786,NA())</f>
        <v/>
      </c>
      <c r="N786" s="18">
        <f>IF(NOT(ISNUMBER($A786)),NA(),IF(COUNT(OFFSET(G786,1,0,Settings!$B$12,1))&lt;Settings!$B$12,NA(),STDEV(OFFSET(G786,1,0,Settings!$B$12,1))*SQRT(Settings!$B$13)))</f>
        <v/>
      </c>
      <c r="O786" s="18">
        <f>IF(AND(ISNUMBER(E786),ISNUMBER(N786)),E786-N786,NA())</f>
        <v/>
      </c>
      <c r="P786" s="17">
        <f>IF(NOT(ISNUMBER($A786)),NA(),IF(OR($A786&lt;MIN(KW_TP!$A$2:$A$2501),$A786&gt;MAX(KW_TP!$A$2:$A$2501)),NA(),INDEX(KW_TP!$C$2:$C$2501,MATCH($A786,KW_TP!$A$2:$A$2501,1))))</f>
        <v/>
      </c>
    </row>
    <row r="787">
      <c r="A787" s="15">
        <f>IF(ISNUMBER(BBG_Data!A787),BBG_Data!A787,"")</f>
        <v/>
      </c>
      <c r="B787" s="16">
        <f>IF(AND(ISNUMBER($A787),ISNUMBER(BBG_Data!B787)),BBG_Data!B787,NA())</f>
        <v/>
      </c>
      <c r="C787" s="16">
        <f>IF(AND(ISNUMBER($A787),ISNUMBER(BBG_Data!C787)),BBG_Data!C787,NA())</f>
        <v/>
      </c>
      <c r="D787" s="17">
        <f>IF(AND(ISNUMBER($A787),ISNUMBER(BBG_Data!D787)),BBG_Data!D787,NA())</f>
        <v/>
      </c>
      <c r="E787" s="17">
        <f>IF(AND(ISNUMBER($A787),ISNUMBER(BBG_Data!E787)),BBG_Data!E787,NA())</f>
        <v/>
      </c>
      <c r="F787" s="18">
        <f>IF(AND(ISNUMBER(B787),ISNUMBER(B786)),(B787-B786)*100,"")</f>
        <v/>
      </c>
      <c r="G787" s="18">
        <f>IF(AND(ISNUMBER(C787),ISNUMBER(C786)),(C787-C786)*100,"")</f>
        <v/>
      </c>
      <c r="H787" s="18">
        <f>IF(OR(NOT(ISNUMBER($A787)),ROW()-2&lt;Settings!$B$11),NA(),IF(COUNT(OFFSET(F787,1-Settings!$B$11,0,Settings!$B$11,1))&lt;Settings!$B$11,NA(),STDEV(OFFSET(F787,1-Settings!$B$11,0,Settings!$B$11,1))*SQRT(Settings!$B$13)))</f>
        <v/>
      </c>
      <c r="I787" s="18">
        <f>IF(OR(NOT(ISNUMBER($A787)),ROW()-2&lt;Settings!$B$12),NA(),IF(COUNT(OFFSET(F787,1-Settings!$B$12,0,Settings!$B$12,1))&lt;Settings!$B$12,NA(),STDEV(OFFSET(F787,1-Settings!$B$12,0,Settings!$B$12,1))*SQRT(Settings!$B$13)))</f>
        <v/>
      </c>
      <c r="J787" s="18">
        <f>IF(OR(NOT(ISNUMBER($A787)),ROW()-2&lt;Settings!$B$11),NA(),IF(COUNT(OFFSET(G787,1-Settings!$B$11,0,Settings!$B$11,1))&lt;Settings!$B$11,NA(),STDEV(OFFSET(G787,1-Settings!$B$11,0,Settings!$B$11,1))*SQRT(Settings!$B$13)))</f>
        <v/>
      </c>
      <c r="K787" s="18">
        <f>IF(OR(NOT(ISNUMBER($A787)),ROW()-2&lt;Settings!$B$12),NA(),IF(COUNT(OFFSET(G787,1-Settings!$B$12,0,Settings!$B$12,1))&lt;Settings!$B$12,NA(),STDEV(OFFSET(G787,1-Settings!$B$12,0,Settings!$B$12,1))*SQRT(Settings!$B$13)))</f>
        <v/>
      </c>
      <c r="L787" s="18">
        <f>IF(AND(ISNUMBER(D787),ISNUMBER(H787)),D787-H787,NA())</f>
        <v/>
      </c>
      <c r="M787" s="18">
        <f>IF(AND(ISNUMBER(E787),ISNUMBER(K787)),E787-K787,NA())</f>
        <v/>
      </c>
      <c r="N787" s="18">
        <f>IF(NOT(ISNUMBER($A787)),NA(),IF(COUNT(OFFSET(G787,1,0,Settings!$B$12,1))&lt;Settings!$B$12,NA(),STDEV(OFFSET(G787,1,0,Settings!$B$12,1))*SQRT(Settings!$B$13)))</f>
        <v/>
      </c>
      <c r="O787" s="18">
        <f>IF(AND(ISNUMBER(E787),ISNUMBER(N787)),E787-N787,NA())</f>
        <v/>
      </c>
      <c r="P787" s="17">
        <f>IF(NOT(ISNUMBER($A787)),NA(),IF(OR($A787&lt;MIN(KW_TP!$A$2:$A$2501),$A787&gt;MAX(KW_TP!$A$2:$A$2501)),NA(),INDEX(KW_TP!$C$2:$C$2501,MATCH($A787,KW_TP!$A$2:$A$2501,1))))</f>
        <v/>
      </c>
    </row>
    <row r="788">
      <c r="A788" s="15">
        <f>IF(ISNUMBER(BBG_Data!A788),BBG_Data!A788,"")</f>
        <v/>
      </c>
      <c r="B788" s="16">
        <f>IF(AND(ISNUMBER($A788),ISNUMBER(BBG_Data!B788)),BBG_Data!B788,NA())</f>
        <v/>
      </c>
      <c r="C788" s="16">
        <f>IF(AND(ISNUMBER($A788),ISNUMBER(BBG_Data!C788)),BBG_Data!C788,NA())</f>
        <v/>
      </c>
      <c r="D788" s="17">
        <f>IF(AND(ISNUMBER($A788),ISNUMBER(BBG_Data!D788)),BBG_Data!D788,NA())</f>
        <v/>
      </c>
      <c r="E788" s="17">
        <f>IF(AND(ISNUMBER($A788),ISNUMBER(BBG_Data!E788)),BBG_Data!E788,NA())</f>
        <v/>
      </c>
      <c r="F788" s="18">
        <f>IF(AND(ISNUMBER(B788),ISNUMBER(B787)),(B788-B787)*100,"")</f>
        <v/>
      </c>
      <c r="G788" s="18">
        <f>IF(AND(ISNUMBER(C788),ISNUMBER(C787)),(C788-C787)*100,"")</f>
        <v/>
      </c>
      <c r="H788" s="18">
        <f>IF(OR(NOT(ISNUMBER($A788)),ROW()-2&lt;Settings!$B$11),NA(),IF(COUNT(OFFSET(F788,1-Settings!$B$11,0,Settings!$B$11,1))&lt;Settings!$B$11,NA(),STDEV(OFFSET(F788,1-Settings!$B$11,0,Settings!$B$11,1))*SQRT(Settings!$B$13)))</f>
        <v/>
      </c>
      <c r="I788" s="18">
        <f>IF(OR(NOT(ISNUMBER($A788)),ROW()-2&lt;Settings!$B$12),NA(),IF(COUNT(OFFSET(F788,1-Settings!$B$12,0,Settings!$B$12,1))&lt;Settings!$B$12,NA(),STDEV(OFFSET(F788,1-Settings!$B$12,0,Settings!$B$12,1))*SQRT(Settings!$B$13)))</f>
        <v/>
      </c>
      <c r="J788" s="18">
        <f>IF(OR(NOT(ISNUMBER($A788)),ROW()-2&lt;Settings!$B$11),NA(),IF(COUNT(OFFSET(G788,1-Settings!$B$11,0,Settings!$B$11,1))&lt;Settings!$B$11,NA(),STDEV(OFFSET(G788,1-Settings!$B$11,0,Settings!$B$11,1))*SQRT(Settings!$B$13)))</f>
        <v/>
      </c>
      <c r="K788" s="18">
        <f>IF(OR(NOT(ISNUMBER($A788)),ROW()-2&lt;Settings!$B$12),NA(),IF(COUNT(OFFSET(G788,1-Settings!$B$12,0,Settings!$B$12,1))&lt;Settings!$B$12,NA(),STDEV(OFFSET(G788,1-Settings!$B$12,0,Settings!$B$12,1))*SQRT(Settings!$B$13)))</f>
        <v/>
      </c>
      <c r="L788" s="18">
        <f>IF(AND(ISNUMBER(D788),ISNUMBER(H788)),D788-H788,NA())</f>
        <v/>
      </c>
      <c r="M788" s="18">
        <f>IF(AND(ISNUMBER(E788),ISNUMBER(K788)),E788-K788,NA())</f>
        <v/>
      </c>
      <c r="N788" s="18">
        <f>IF(NOT(ISNUMBER($A788)),NA(),IF(COUNT(OFFSET(G788,1,0,Settings!$B$12,1))&lt;Settings!$B$12,NA(),STDEV(OFFSET(G788,1,0,Settings!$B$12,1))*SQRT(Settings!$B$13)))</f>
        <v/>
      </c>
      <c r="O788" s="18">
        <f>IF(AND(ISNUMBER(E788),ISNUMBER(N788)),E788-N788,NA())</f>
        <v/>
      </c>
      <c r="P788" s="17">
        <f>IF(NOT(ISNUMBER($A788)),NA(),IF(OR($A788&lt;MIN(KW_TP!$A$2:$A$2501),$A788&gt;MAX(KW_TP!$A$2:$A$2501)),NA(),INDEX(KW_TP!$C$2:$C$2501,MATCH($A788,KW_TP!$A$2:$A$2501,1))))</f>
        <v/>
      </c>
    </row>
    <row r="789">
      <c r="A789" s="15">
        <f>IF(ISNUMBER(BBG_Data!A789),BBG_Data!A789,"")</f>
        <v/>
      </c>
      <c r="B789" s="16">
        <f>IF(AND(ISNUMBER($A789),ISNUMBER(BBG_Data!B789)),BBG_Data!B789,NA())</f>
        <v/>
      </c>
      <c r="C789" s="16">
        <f>IF(AND(ISNUMBER($A789),ISNUMBER(BBG_Data!C789)),BBG_Data!C789,NA())</f>
        <v/>
      </c>
      <c r="D789" s="17">
        <f>IF(AND(ISNUMBER($A789),ISNUMBER(BBG_Data!D789)),BBG_Data!D789,NA())</f>
        <v/>
      </c>
      <c r="E789" s="17">
        <f>IF(AND(ISNUMBER($A789),ISNUMBER(BBG_Data!E789)),BBG_Data!E789,NA())</f>
        <v/>
      </c>
      <c r="F789" s="18">
        <f>IF(AND(ISNUMBER(B789),ISNUMBER(B788)),(B789-B788)*100,"")</f>
        <v/>
      </c>
      <c r="G789" s="18">
        <f>IF(AND(ISNUMBER(C789),ISNUMBER(C788)),(C789-C788)*100,"")</f>
        <v/>
      </c>
      <c r="H789" s="18">
        <f>IF(OR(NOT(ISNUMBER($A789)),ROW()-2&lt;Settings!$B$11),NA(),IF(COUNT(OFFSET(F789,1-Settings!$B$11,0,Settings!$B$11,1))&lt;Settings!$B$11,NA(),STDEV(OFFSET(F789,1-Settings!$B$11,0,Settings!$B$11,1))*SQRT(Settings!$B$13)))</f>
        <v/>
      </c>
      <c r="I789" s="18">
        <f>IF(OR(NOT(ISNUMBER($A789)),ROW()-2&lt;Settings!$B$12),NA(),IF(COUNT(OFFSET(F789,1-Settings!$B$12,0,Settings!$B$12,1))&lt;Settings!$B$12,NA(),STDEV(OFFSET(F789,1-Settings!$B$12,0,Settings!$B$12,1))*SQRT(Settings!$B$13)))</f>
        <v/>
      </c>
      <c r="J789" s="18">
        <f>IF(OR(NOT(ISNUMBER($A789)),ROW()-2&lt;Settings!$B$11),NA(),IF(COUNT(OFFSET(G789,1-Settings!$B$11,0,Settings!$B$11,1))&lt;Settings!$B$11,NA(),STDEV(OFFSET(G789,1-Settings!$B$11,0,Settings!$B$11,1))*SQRT(Settings!$B$13)))</f>
        <v/>
      </c>
      <c r="K789" s="18">
        <f>IF(OR(NOT(ISNUMBER($A789)),ROW()-2&lt;Settings!$B$12),NA(),IF(COUNT(OFFSET(G789,1-Settings!$B$12,0,Settings!$B$12,1))&lt;Settings!$B$12,NA(),STDEV(OFFSET(G789,1-Settings!$B$12,0,Settings!$B$12,1))*SQRT(Settings!$B$13)))</f>
        <v/>
      </c>
      <c r="L789" s="18">
        <f>IF(AND(ISNUMBER(D789),ISNUMBER(H789)),D789-H789,NA())</f>
        <v/>
      </c>
      <c r="M789" s="18">
        <f>IF(AND(ISNUMBER(E789),ISNUMBER(K789)),E789-K789,NA())</f>
        <v/>
      </c>
      <c r="N789" s="18">
        <f>IF(NOT(ISNUMBER($A789)),NA(),IF(COUNT(OFFSET(G789,1,0,Settings!$B$12,1))&lt;Settings!$B$12,NA(),STDEV(OFFSET(G789,1,0,Settings!$B$12,1))*SQRT(Settings!$B$13)))</f>
        <v/>
      </c>
      <c r="O789" s="18">
        <f>IF(AND(ISNUMBER(E789),ISNUMBER(N789)),E789-N789,NA())</f>
        <v/>
      </c>
      <c r="P789" s="17">
        <f>IF(NOT(ISNUMBER($A789)),NA(),IF(OR($A789&lt;MIN(KW_TP!$A$2:$A$2501),$A789&gt;MAX(KW_TP!$A$2:$A$2501)),NA(),INDEX(KW_TP!$C$2:$C$2501,MATCH($A789,KW_TP!$A$2:$A$2501,1))))</f>
        <v/>
      </c>
    </row>
    <row r="790">
      <c r="A790" s="15">
        <f>IF(ISNUMBER(BBG_Data!A790),BBG_Data!A790,"")</f>
        <v/>
      </c>
      <c r="B790" s="16">
        <f>IF(AND(ISNUMBER($A790),ISNUMBER(BBG_Data!B790)),BBG_Data!B790,NA())</f>
        <v/>
      </c>
      <c r="C790" s="16">
        <f>IF(AND(ISNUMBER($A790),ISNUMBER(BBG_Data!C790)),BBG_Data!C790,NA())</f>
        <v/>
      </c>
      <c r="D790" s="17">
        <f>IF(AND(ISNUMBER($A790),ISNUMBER(BBG_Data!D790)),BBG_Data!D790,NA())</f>
        <v/>
      </c>
      <c r="E790" s="17">
        <f>IF(AND(ISNUMBER($A790),ISNUMBER(BBG_Data!E790)),BBG_Data!E790,NA())</f>
        <v/>
      </c>
      <c r="F790" s="18">
        <f>IF(AND(ISNUMBER(B790),ISNUMBER(B789)),(B790-B789)*100,"")</f>
        <v/>
      </c>
      <c r="G790" s="18">
        <f>IF(AND(ISNUMBER(C790),ISNUMBER(C789)),(C790-C789)*100,"")</f>
        <v/>
      </c>
      <c r="H790" s="18">
        <f>IF(OR(NOT(ISNUMBER($A790)),ROW()-2&lt;Settings!$B$11),NA(),IF(COUNT(OFFSET(F790,1-Settings!$B$11,0,Settings!$B$11,1))&lt;Settings!$B$11,NA(),STDEV(OFFSET(F790,1-Settings!$B$11,0,Settings!$B$11,1))*SQRT(Settings!$B$13)))</f>
        <v/>
      </c>
      <c r="I790" s="18">
        <f>IF(OR(NOT(ISNUMBER($A790)),ROW()-2&lt;Settings!$B$12),NA(),IF(COUNT(OFFSET(F790,1-Settings!$B$12,0,Settings!$B$12,1))&lt;Settings!$B$12,NA(),STDEV(OFFSET(F790,1-Settings!$B$12,0,Settings!$B$12,1))*SQRT(Settings!$B$13)))</f>
        <v/>
      </c>
      <c r="J790" s="18">
        <f>IF(OR(NOT(ISNUMBER($A790)),ROW()-2&lt;Settings!$B$11),NA(),IF(COUNT(OFFSET(G790,1-Settings!$B$11,0,Settings!$B$11,1))&lt;Settings!$B$11,NA(),STDEV(OFFSET(G790,1-Settings!$B$11,0,Settings!$B$11,1))*SQRT(Settings!$B$13)))</f>
        <v/>
      </c>
      <c r="K790" s="18">
        <f>IF(OR(NOT(ISNUMBER($A790)),ROW()-2&lt;Settings!$B$12),NA(),IF(COUNT(OFFSET(G790,1-Settings!$B$12,0,Settings!$B$12,1))&lt;Settings!$B$12,NA(),STDEV(OFFSET(G790,1-Settings!$B$12,0,Settings!$B$12,1))*SQRT(Settings!$B$13)))</f>
        <v/>
      </c>
      <c r="L790" s="18">
        <f>IF(AND(ISNUMBER(D790),ISNUMBER(H790)),D790-H790,NA())</f>
        <v/>
      </c>
      <c r="M790" s="18">
        <f>IF(AND(ISNUMBER(E790),ISNUMBER(K790)),E790-K790,NA())</f>
        <v/>
      </c>
      <c r="N790" s="18">
        <f>IF(NOT(ISNUMBER($A790)),NA(),IF(COUNT(OFFSET(G790,1,0,Settings!$B$12,1))&lt;Settings!$B$12,NA(),STDEV(OFFSET(G790,1,0,Settings!$B$12,1))*SQRT(Settings!$B$13)))</f>
        <v/>
      </c>
      <c r="O790" s="18">
        <f>IF(AND(ISNUMBER(E790),ISNUMBER(N790)),E790-N790,NA())</f>
        <v/>
      </c>
      <c r="P790" s="17">
        <f>IF(NOT(ISNUMBER($A790)),NA(),IF(OR($A790&lt;MIN(KW_TP!$A$2:$A$2501),$A790&gt;MAX(KW_TP!$A$2:$A$2501)),NA(),INDEX(KW_TP!$C$2:$C$2501,MATCH($A790,KW_TP!$A$2:$A$2501,1))))</f>
        <v/>
      </c>
    </row>
    <row r="791">
      <c r="A791" s="15">
        <f>IF(ISNUMBER(BBG_Data!A791),BBG_Data!A791,"")</f>
        <v/>
      </c>
      <c r="B791" s="16">
        <f>IF(AND(ISNUMBER($A791),ISNUMBER(BBG_Data!B791)),BBG_Data!B791,NA())</f>
        <v/>
      </c>
      <c r="C791" s="16">
        <f>IF(AND(ISNUMBER($A791),ISNUMBER(BBG_Data!C791)),BBG_Data!C791,NA())</f>
        <v/>
      </c>
      <c r="D791" s="17">
        <f>IF(AND(ISNUMBER($A791),ISNUMBER(BBG_Data!D791)),BBG_Data!D791,NA())</f>
        <v/>
      </c>
      <c r="E791" s="17">
        <f>IF(AND(ISNUMBER($A791),ISNUMBER(BBG_Data!E791)),BBG_Data!E791,NA())</f>
        <v/>
      </c>
      <c r="F791" s="18">
        <f>IF(AND(ISNUMBER(B791),ISNUMBER(B790)),(B791-B790)*100,"")</f>
        <v/>
      </c>
      <c r="G791" s="18">
        <f>IF(AND(ISNUMBER(C791),ISNUMBER(C790)),(C791-C790)*100,"")</f>
        <v/>
      </c>
      <c r="H791" s="18">
        <f>IF(OR(NOT(ISNUMBER($A791)),ROW()-2&lt;Settings!$B$11),NA(),IF(COUNT(OFFSET(F791,1-Settings!$B$11,0,Settings!$B$11,1))&lt;Settings!$B$11,NA(),STDEV(OFFSET(F791,1-Settings!$B$11,0,Settings!$B$11,1))*SQRT(Settings!$B$13)))</f>
        <v/>
      </c>
      <c r="I791" s="18">
        <f>IF(OR(NOT(ISNUMBER($A791)),ROW()-2&lt;Settings!$B$12),NA(),IF(COUNT(OFFSET(F791,1-Settings!$B$12,0,Settings!$B$12,1))&lt;Settings!$B$12,NA(),STDEV(OFFSET(F791,1-Settings!$B$12,0,Settings!$B$12,1))*SQRT(Settings!$B$13)))</f>
        <v/>
      </c>
      <c r="J791" s="18">
        <f>IF(OR(NOT(ISNUMBER($A791)),ROW()-2&lt;Settings!$B$11),NA(),IF(COUNT(OFFSET(G791,1-Settings!$B$11,0,Settings!$B$11,1))&lt;Settings!$B$11,NA(),STDEV(OFFSET(G791,1-Settings!$B$11,0,Settings!$B$11,1))*SQRT(Settings!$B$13)))</f>
        <v/>
      </c>
      <c r="K791" s="18">
        <f>IF(OR(NOT(ISNUMBER($A791)),ROW()-2&lt;Settings!$B$12),NA(),IF(COUNT(OFFSET(G791,1-Settings!$B$12,0,Settings!$B$12,1))&lt;Settings!$B$12,NA(),STDEV(OFFSET(G791,1-Settings!$B$12,0,Settings!$B$12,1))*SQRT(Settings!$B$13)))</f>
        <v/>
      </c>
      <c r="L791" s="18">
        <f>IF(AND(ISNUMBER(D791),ISNUMBER(H791)),D791-H791,NA())</f>
        <v/>
      </c>
      <c r="M791" s="18">
        <f>IF(AND(ISNUMBER(E791),ISNUMBER(K791)),E791-K791,NA())</f>
        <v/>
      </c>
      <c r="N791" s="18">
        <f>IF(NOT(ISNUMBER($A791)),NA(),IF(COUNT(OFFSET(G791,1,0,Settings!$B$12,1))&lt;Settings!$B$12,NA(),STDEV(OFFSET(G791,1,0,Settings!$B$12,1))*SQRT(Settings!$B$13)))</f>
        <v/>
      </c>
      <c r="O791" s="18">
        <f>IF(AND(ISNUMBER(E791),ISNUMBER(N791)),E791-N791,NA())</f>
        <v/>
      </c>
      <c r="P791" s="17">
        <f>IF(NOT(ISNUMBER($A791)),NA(),IF(OR($A791&lt;MIN(KW_TP!$A$2:$A$2501),$A791&gt;MAX(KW_TP!$A$2:$A$2501)),NA(),INDEX(KW_TP!$C$2:$C$2501,MATCH($A791,KW_TP!$A$2:$A$2501,1))))</f>
        <v/>
      </c>
    </row>
    <row r="792">
      <c r="A792" s="15">
        <f>IF(ISNUMBER(BBG_Data!A792),BBG_Data!A792,"")</f>
        <v/>
      </c>
      <c r="B792" s="16">
        <f>IF(AND(ISNUMBER($A792),ISNUMBER(BBG_Data!B792)),BBG_Data!B792,NA())</f>
        <v/>
      </c>
      <c r="C792" s="16">
        <f>IF(AND(ISNUMBER($A792),ISNUMBER(BBG_Data!C792)),BBG_Data!C792,NA())</f>
        <v/>
      </c>
      <c r="D792" s="17">
        <f>IF(AND(ISNUMBER($A792),ISNUMBER(BBG_Data!D792)),BBG_Data!D792,NA())</f>
        <v/>
      </c>
      <c r="E792" s="17">
        <f>IF(AND(ISNUMBER($A792),ISNUMBER(BBG_Data!E792)),BBG_Data!E792,NA())</f>
        <v/>
      </c>
      <c r="F792" s="18">
        <f>IF(AND(ISNUMBER(B792),ISNUMBER(B791)),(B792-B791)*100,"")</f>
        <v/>
      </c>
      <c r="G792" s="18">
        <f>IF(AND(ISNUMBER(C792),ISNUMBER(C791)),(C792-C791)*100,"")</f>
        <v/>
      </c>
      <c r="H792" s="18">
        <f>IF(OR(NOT(ISNUMBER($A792)),ROW()-2&lt;Settings!$B$11),NA(),IF(COUNT(OFFSET(F792,1-Settings!$B$11,0,Settings!$B$11,1))&lt;Settings!$B$11,NA(),STDEV(OFFSET(F792,1-Settings!$B$11,0,Settings!$B$11,1))*SQRT(Settings!$B$13)))</f>
        <v/>
      </c>
      <c r="I792" s="18">
        <f>IF(OR(NOT(ISNUMBER($A792)),ROW()-2&lt;Settings!$B$12),NA(),IF(COUNT(OFFSET(F792,1-Settings!$B$12,0,Settings!$B$12,1))&lt;Settings!$B$12,NA(),STDEV(OFFSET(F792,1-Settings!$B$12,0,Settings!$B$12,1))*SQRT(Settings!$B$13)))</f>
        <v/>
      </c>
      <c r="J792" s="18">
        <f>IF(OR(NOT(ISNUMBER($A792)),ROW()-2&lt;Settings!$B$11),NA(),IF(COUNT(OFFSET(G792,1-Settings!$B$11,0,Settings!$B$11,1))&lt;Settings!$B$11,NA(),STDEV(OFFSET(G792,1-Settings!$B$11,0,Settings!$B$11,1))*SQRT(Settings!$B$13)))</f>
        <v/>
      </c>
      <c r="K792" s="18">
        <f>IF(OR(NOT(ISNUMBER($A792)),ROW()-2&lt;Settings!$B$12),NA(),IF(COUNT(OFFSET(G792,1-Settings!$B$12,0,Settings!$B$12,1))&lt;Settings!$B$12,NA(),STDEV(OFFSET(G792,1-Settings!$B$12,0,Settings!$B$12,1))*SQRT(Settings!$B$13)))</f>
        <v/>
      </c>
      <c r="L792" s="18">
        <f>IF(AND(ISNUMBER(D792),ISNUMBER(H792)),D792-H792,NA())</f>
        <v/>
      </c>
      <c r="M792" s="18">
        <f>IF(AND(ISNUMBER(E792),ISNUMBER(K792)),E792-K792,NA())</f>
        <v/>
      </c>
      <c r="N792" s="18">
        <f>IF(NOT(ISNUMBER($A792)),NA(),IF(COUNT(OFFSET(G792,1,0,Settings!$B$12,1))&lt;Settings!$B$12,NA(),STDEV(OFFSET(G792,1,0,Settings!$B$12,1))*SQRT(Settings!$B$13)))</f>
        <v/>
      </c>
      <c r="O792" s="18">
        <f>IF(AND(ISNUMBER(E792),ISNUMBER(N792)),E792-N792,NA())</f>
        <v/>
      </c>
      <c r="P792" s="17">
        <f>IF(NOT(ISNUMBER($A792)),NA(),IF(OR($A792&lt;MIN(KW_TP!$A$2:$A$2501),$A792&gt;MAX(KW_TP!$A$2:$A$2501)),NA(),INDEX(KW_TP!$C$2:$C$2501,MATCH($A792,KW_TP!$A$2:$A$2501,1))))</f>
        <v/>
      </c>
    </row>
    <row r="793">
      <c r="A793" s="15">
        <f>IF(ISNUMBER(BBG_Data!A793),BBG_Data!A793,"")</f>
        <v/>
      </c>
      <c r="B793" s="16">
        <f>IF(AND(ISNUMBER($A793),ISNUMBER(BBG_Data!B793)),BBG_Data!B793,NA())</f>
        <v/>
      </c>
      <c r="C793" s="16">
        <f>IF(AND(ISNUMBER($A793),ISNUMBER(BBG_Data!C793)),BBG_Data!C793,NA())</f>
        <v/>
      </c>
      <c r="D793" s="17">
        <f>IF(AND(ISNUMBER($A793),ISNUMBER(BBG_Data!D793)),BBG_Data!D793,NA())</f>
        <v/>
      </c>
      <c r="E793" s="17">
        <f>IF(AND(ISNUMBER($A793),ISNUMBER(BBG_Data!E793)),BBG_Data!E793,NA())</f>
        <v/>
      </c>
      <c r="F793" s="18">
        <f>IF(AND(ISNUMBER(B793),ISNUMBER(B792)),(B793-B792)*100,"")</f>
        <v/>
      </c>
      <c r="G793" s="18">
        <f>IF(AND(ISNUMBER(C793),ISNUMBER(C792)),(C793-C792)*100,"")</f>
        <v/>
      </c>
      <c r="H793" s="18">
        <f>IF(OR(NOT(ISNUMBER($A793)),ROW()-2&lt;Settings!$B$11),NA(),IF(COUNT(OFFSET(F793,1-Settings!$B$11,0,Settings!$B$11,1))&lt;Settings!$B$11,NA(),STDEV(OFFSET(F793,1-Settings!$B$11,0,Settings!$B$11,1))*SQRT(Settings!$B$13)))</f>
        <v/>
      </c>
      <c r="I793" s="18">
        <f>IF(OR(NOT(ISNUMBER($A793)),ROW()-2&lt;Settings!$B$12),NA(),IF(COUNT(OFFSET(F793,1-Settings!$B$12,0,Settings!$B$12,1))&lt;Settings!$B$12,NA(),STDEV(OFFSET(F793,1-Settings!$B$12,0,Settings!$B$12,1))*SQRT(Settings!$B$13)))</f>
        <v/>
      </c>
      <c r="J793" s="18">
        <f>IF(OR(NOT(ISNUMBER($A793)),ROW()-2&lt;Settings!$B$11),NA(),IF(COUNT(OFFSET(G793,1-Settings!$B$11,0,Settings!$B$11,1))&lt;Settings!$B$11,NA(),STDEV(OFFSET(G793,1-Settings!$B$11,0,Settings!$B$11,1))*SQRT(Settings!$B$13)))</f>
        <v/>
      </c>
      <c r="K793" s="18">
        <f>IF(OR(NOT(ISNUMBER($A793)),ROW()-2&lt;Settings!$B$12),NA(),IF(COUNT(OFFSET(G793,1-Settings!$B$12,0,Settings!$B$12,1))&lt;Settings!$B$12,NA(),STDEV(OFFSET(G793,1-Settings!$B$12,0,Settings!$B$12,1))*SQRT(Settings!$B$13)))</f>
        <v/>
      </c>
      <c r="L793" s="18">
        <f>IF(AND(ISNUMBER(D793),ISNUMBER(H793)),D793-H793,NA())</f>
        <v/>
      </c>
      <c r="M793" s="18">
        <f>IF(AND(ISNUMBER(E793),ISNUMBER(K793)),E793-K793,NA())</f>
        <v/>
      </c>
      <c r="N793" s="18">
        <f>IF(NOT(ISNUMBER($A793)),NA(),IF(COUNT(OFFSET(G793,1,0,Settings!$B$12,1))&lt;Settings!$B$12,NA(),STDEV(OFFSET(G793,1,0,Settings!$B$12,1))*SQRT(Settings!$B$13)))</f>
        <v/>
      </c>
      <c r="O793" s="18">
        <f>IF(AND(ISNUMBER(E793),ISNUMBER(N793)),E793-N793,NA())</f>
        <v/>
      </c>
      <c r="P793" s="17">
        <f>IF(NOT(ISNUMBER($A793)),NA(),IF(OR($A793&lt;MIN(KW_TP!$A$2:$A$2501),$A793&gt;MAX(KW_TP!$A$2:$A$2501)),NA(),INDEX(KW_TP!$C$2:$C$2501,MATCH($A793,KW_TP!$A$2:$A$2501,1))))</f>
        <v/>
      </c>
    </row>
    <row r="794">
      <c r="A794" s="15">
        <f>IF(ISNUMBER(BBG_Data!A794),BBG_Data!A794,"")</f>
        <v/>
      </c>
      <c r="B794" s="16">
        <f>IF(AND(ISNUMBER($A794),ISNUMBER(BBG_Data!B794)),BBG_Data!B794,NA())</f>
        <v/>
      </c>
      <c r="C794" s="16">
        <f>IF(AND(ISNUMBER($A794),ISNUMBER(BBG_Data!C794)),BBG_Data!C794,NA())</f>
        <v/>
      </c>
      <c r="D794" s="17">
        <f>IF(AND(ISNUMBER($A794),ISNUMBER(BBG_Data!D794)),BBG_Data!D794,NA())</f>
        <v/>
      </c>
      <c r="E794" s="17">
        <f>IF(AND(ISNUMBER($A794),ISNUMBER(BBG_Data!E794)),BBG_Data!E794,NA())</f>
        <v/>
      </c>
      <c r="F794" s="18">
        <f>IF(AND(ISNUMBER(B794),ISNUMBER(B793)),(B794-B793)*100,"")</f>
        <v/>
      </c>
      <c r="G794" s="18">
        <f>IF(AND(ISNUMBER(C794),ISNUMBER(C793)),(C794-C793)*100,"")</f>
        <v/>
      </c>
      <c r="H794" s="18">
        <f>IF(OR(NOT(ISNUMBER($A794)),ROW()-2&lt;Settings!$B$11),NA(),IF(COUNT(OFFSET(F794,1-Settings!$B$11,0,Settings!$B$11,1))&lt;Settings!$B$11,NA(),STDEV(OFFSET(F794,1-Settings!$B$11,0,Settings!$B$11,1))*SQRT(Settings!$B$13)))</f>
        <v/>
      </c>
      <c r="I794" s="18">
        <f>IF(OR(NOT(ISNUMBER($A794)),ROW()-2&lt;Settings!$B$12),NA(),IF(COUNT(OFFSET(F794,1-Settings!$B$12,0,Settings!$B$12,1))&lt;Settings!$B$12,NA(),STDEV(OFFSET(F794,1-Settings!$B$12,0,Settings!$B$12,1))*SQRT(Settings!$B$13)))</f>
        <v/>
      </c>
      <c r="J794" s="18">
        <f>IF(OR(NOT(ISNUMBER($A794)),ROW()-2&lt;Settings!$B$11),NA(),IF(COUNT(OFFSET(G794,1-Settings!$B$11,0,Settings!$B$11,1))&lt;Settings!$B$11,NA(),STDEV(OFFSET(G794,1-Settings!$B$11,0,Settings!$B$11,1))*SQRT(Settings!$B$13)))</f>
        <v/>
      </c>
      <c r="K794" s="18">
        <f>IF(OR(NOT(ISNUMBER($A794)),ROW()-2&lt;Settings!$B$12),NA(),IF(COUNT(OFFSET(G794,1-Settings!$B$12,0,Settings!$B$12,1))&lt;Settings!$B$12,NA(),STDEV(OFFSET(G794,1-Settings!$B$12,0,Settings!$B$12,1))*SQRT(Settings!$B$13)))</f>
        <v/>
      </c>
      <c r="L794" s="18">
        <f>IF(AND(ISNUMBER(D794),ISNUMBER(H794)),D794-H794,NA())</f>
        <v/>
      </c>
      <c r="M794" s="18">
        <f>IF(AND(ISNUMBER(E794),ISNUMBER(K794)),E794-K794,NA())</f>
        <v/>
      </c>
      <c r="N794" s="18">
        <f>IF(NOT(ISNUMBER($A794)),NA(),IF(COUNT(OFFSET(G794,1,0,Settings!$B$12,1))&lt;Settings!$B$12,NA(),STDEV(OFFSET(G794,1,0,Settings!$B$12,1))*SQRT(Settings!$B$13)))</f>
        <v/>
      </c>
      <c r="O794" s="18">
        <f>IF(AND(ISNUMBER(E794),ISNUMBER(N794)),E794-N794,NA())</f>
        <v/>
      </c>
      <c r="P794" s="17">
        <f>IF(NOT(ISNUMBER($A794)),NA(),IF(OR($A794&lt;MIN(KW_TP!$A$2:$A$2501),$A794&gt;MAX(KW_TP!$A$2:$A$2501)),NA(),INDEX(KW_TP!$C$2:$C$2501,MATCH($A794,KW_TP!$A$2:$A$2501,1))))</f>
        <v/>
      </c>
    </row>
    <row r="795">
      <c r="A795" s="15">
        <f>IF(ISNUMBER(BBG_Data!A795),BBG_Data!A795,"")</f>
        <v/>
      </c>
      <c r="B795" s="16">
        <f>IF(AND(ISNUMBER($A795),ISNUMBER(BBG_Data!B795)),BBG_Data!B795,NA())</f>
        <v/>
      </c>
      <c r="C795" s="16">
        <f>IF(AND(ISNUMBER($A795),ISNUMBER(BBG_Data!C795)),BBG_Data!C795,NA())</f>
        <v/>
      </c>
      <c r="D795" s="17">
        <f>IF(AND(ISNUMBER($A795),ISNUMBER(BBG_Data!D795)),BBG_Data!D795,NA())</f>
        <v/>
      </c>
      <c r="E795" s="17">
        <f>IF(AND(ISNUMBER($A795),ISNUMBER(BBG_Data!E795)),BBG_Data!E795,NA())</f>
        <v/>
      </c>
      <c r="F795" s="18">
        <f>IF(AND(ISNUMBER(B795),ISNUMBER(B794)),(B795-B794)*100,"")</f>
        <v/>
      </c>
      <c r="G795" s="18">
        <f>IF(AND(ISNUMBER(C795),ISNUMBER(C794)),(C795-C794)*100,"")</f>
        <v/>
      </c>
      <c r="H795" s="18">
        <f>IF(OR(NOT(ISNUMBER($A795)),ROW()-2&lt;Settings!$B$11),NA(),IF(COUNT(OFFSET(F795,1-Settings!$B$11,0,Settings!$B$11,1))&lt;Settings!$B$11,NA(),STDEV(OFFSET(F795,1-Settings!$B$11,0,Settings!$B$11,1))*SQRT(Settings!$B$13)))</f>
        <v/>
      </c>
      <c r="I795" s="18">
        <f>IF(OR(NOT(ISNUMBER($A795)),ROW()-2&lt;Settings!$B$12),NA(),IF(COUNT(OFFSET(F795,1-Settings!$B$12,0,Settings!$B$12,1))&lt;Settings!$B$12,NA(),STDEV(OFFSET(F795,1-Settings!$B$12,0,Settings!$B$12,1))*SQRT(Settings!$B$13)))</f>
        <v/>
      </c>
      <c r="J795" s="18">
        <f>IF(OR(NOT(ISNUMBER($A795)),ROW()-2&lt;Settings!$B$11),NA(),IF(COUNT(OFFSET(G795,1-Settings!$B$11,0,Settings!$B$11,1))&lt;Settings!$B$11,NA(),STDEV(OFFSET(G795,1-Settings!$B$11,0,Settings!$B$11,1))*SQRT(Settings!$B$13)))</f>
        <v/>
      </c>
      <c r="K795" s="18">
        <f>IF(OR(NOT(ISNUMBER($A795)),ROW()-2&lt;Settings!$B$12),NA(),IF(COUNT(OFFSET(G795,1-Settings!$B$12,0,Settings!$B$12,1))&lt;Settings!$B$12,NA(),STDEV(OFFSET(G795,1-Settings!$B$12,0,Settings!$B$12,1))*SQRT(Settings!$B$13)))</f>
        <v/>
      </c>
      <c r="L795" s="18">
        <f>IF(AND(ISNUMBER(D795),ISNUMBER(H795)),D795-H795,NA())</f>
        <v/>
      </c>
      <c r="M795" s="18">
        <f>IF(AND(ISNUMBER(E795),ISNUMBER(K795)),E795-K795,NA())</f>
        <v/>
      </c>
      <c r="N795" s="18">
        <f>IF(NOT(ISNUMBER($A795)),NA(),IF(COUNT(OFFSET(G795,1,0,Settings!$B$12,1))&lt;Settings!$B$12,NA(),STDEV(OFFSET(G795,1,0,Settings!$B$12,1))*SQRT(Settings!$B$13)))</f>
        <v/>
      </c>
      <c r="O795" s="18">
        <f>IF(AND(ISNUMBER(E795),ISNUMBER(N795)),E795-N795,NA())</f>
        <v/>
      </c>
      <c r="P795" s="17">
        <f>IF(NOT(ISNUMBER($A795)),NA(),IF(OR($A795&lt;MIN(KW_TP!$A$2:$A$2501),$A795&gt;MAX(KW_TP!$A$2:$A$2501)),NA(),INDEX(KW_TP!$C$2:$C$2501,MATCH($A795,KW_TP!$A$2:$A$2501,1))))</f>
        <v/>
      </c>
    </row>
    <row r="796">
      <c r="A796" s="15">
        <f>IF(ISNUMBER(BBG_Data!A796),BBG_Data!A796,"")</f>
        <v/>
      </c>
      <c r="B796" s="16">
        <f>IF(AND(ISNUMBER($A796),ISNUMBER(BBG_Data!B796)),BBG_Data!B796,NA())</f>
        <v/>
      </c>
      <c r="C796" s="16">
        <f>IF(AND(ISNUMBER($A796),ISNUMBER(BBG_Data!C796)),BBG_Data!C796,NA())</f>
        <v/>
      </c>
      <c r="D796" s="17">
        <f>IF(AND(ISNUMBER($A796),ISNUMBER(BBG_Data!D796)),BBG_Data!D796,NA())</f>
        <v/>
      </c>
      <c r="E796" s="17">
        <f>IF(AND(ISNUMBER($A796),ISNUMBER(BBG_Data!E796)),BBG_Data!E796,NA())</f>
        <v/>
      </c>
      <c r="F796" s="18">
        <f>IF(AND(ISNUMBER(B796),ISNUMBER(B795)),(B796-B795)*100,"")</f>
        <v/>
      </c>
      <c r="G796" s="18">
        <f>IF(AND(ISNUMBER(C796),ISNUMBER(C795)),(C796-C795)*100,"")</f>
        <v/>
      </c>
      <c r="H796" s="18">
        <f>IF(OR(NOT(ISNUMBER($A796)),ROW()-2&lt;Settings!$B$11),NA(),IF(COUNT(OFFSET(F796,1-Settings!$B$11,0,Settings!$B$11,1))&lt;Settings!$B$11,NA(),STDEV(OFFSET(F796,1-Settings!$B$11,0,Settings!$B$11,1))*SQRT(Settings!$B$13)))</f>
        <v/>
      </c>
      <c r="I796" s="18">
        <f>IF(OR(NOT(ISNUMBER($A796)),ROW()-2&lt;Settings!$B$12),NA(),IF(COUNT(OFFSET(F796,1-Settings!$B$12,0,Settings!$B$12,1))&lt;Settings!$B$12,NA(),STDEV(OFFSET(F796,1-Settings!$B$12,0,Settings!$B$12,1))*SQRT(Settings!$B$13)))</f>
        <v/>
      </c>
      <c r="J796" s="18">
        <f>IF(OR(NOT(ISNUMBER($A796)),ROW()-2&lt;Settings!$B$11),NA(),IF(COUNT(OFFSET(G796,1-Settings!$B$11,0,Settings!$B$11,1))&lt;Settings!$B$11,NA(),STDEV(OFFSET(G796,1-Settings!$B$11,0,Settings!$B$11,1))*SQRT(Settings!$B$13)))</f>
        <v/>
      </c>
      <c r="K796" s="18">
        <f>IF(OR(NOT(ISNUMBER($A796)),ROW()-2&lt;Settings!$B$12),NA(),IF(COUNT(OFFSET(G796,1-Settings!$B$12,0,Settings!$B$12,1))&lt;Settings!$B$12,NA(),STDEV(OFFSET(G796,1-Settings!$B$12,0,Settings!$B$12,1))*SQRT(Settings!$B$13)))</f>
        <v/>
      </c>
      <c r="L796" s="18">
        <f>IF(AND(ISNUMBER(D796),ISNUMBER(H796)),D796-H796,NA())</f>
        <v/>
      </c>
      <c r="M796" s="18">
        <f>IF(AND(ISNUMBER(E796),ISNUMBER(K796)),E796-K796,NA())</f>
        <v/>
      </c>
      <c r="N796" s="18">
        <f>IF(NOT(ISNUMBER($A796)),NA(),IF(COUNT(OFFSET(G796,1,0,Settings!$B$12,1))&lt;Settings!$B$12,NA(),STDEV(OFFSET(G796,1,0,Settings!$B$12,1))*SQRT(Settings!$B$13)))</f>
        <v/>
      </c>
      <c r="O796" s="18">
        <f>IF(AND(ISNUMBER(E796),ISNUMBER(N796)),E796-N796,NA())</f>
        <v/>
      </c>
      <c r="P796" s="17">
        <f>IF(NOT(ISNUMBER($A796)),NA(),IF(OR($A796&lt;MIN(KW_TP!$A$2:$A$2501),$A796&gt;MAX(KW_TP!$A$2:$A$2501)),NA(),INDEX(KW_TP!$C$2:$C$2501,MATCH($A796,KW_TP!$A$2:$A$2501,1))))</f>
        <v/>
      </c>
    </row>
    <row r="797">
      <c r="A797" s="15">
        <f>IF(ISNUMBER(BBG_Data!A797),BBG_Data!A797,"")</f>
        <v/>
      </c>
      <c r="B797" s="16">
        <f>IF(AND(ISNUMBER($A797),ISNUMBER(BBG_Data!B797)),BBG_Data!B797,NA())</f>
        <v/>
      </c>
      <c r="C797" s="16">
        <f>IF(AND(ISNUMBER($A797),ISNUMBER(BBG_Data!C797)),BBG_Data!C797,NA())</f>
        <v/>
      </c>
      <c r="D797" s="17">
        <f>IF(AND(ISNUMBER($A797),ISNUMBER(BBG_Data!D797)),BBG_Data!D797,NA())</f>
        <v/>
      </c>
      <c r="E797" s="17">
        <f>IF(AND(ISNUMBER($A797),ISNUMBER(BBG_Data!E797)),BBG_Data!E797,NA())</f>
        <v/>
      </c>
      <c r="F797" s="18">
        <f>IF(AND(ISNUMBER(B797),ISNUMBER(B796)),(B797-B796)*100,"")</f>
        <v/>
      </c>
      <c r="G797" s="18">
        <f>IF(AND(ISNUMBER(C797),ISNUMBER(C796)),(C797-C796)*100,"")</f>
        <v/>
      </c>
      <c r="H797" s="18">
        <f>IF(OR(NOT(ISNUMBER($A797)),ROW()-2&lt;Settings!$B$11),NA(),IF(COUNT(OFFSET(F797,1-Settings!$B$11,0,Settings!$B$11,1))&lt;Settings!$B$11,NA(),STDEV(OFFSET(F797,1-Settings!$B$11,0,Settings!$B$11,1))*SQRT(Settings!$B$13)))</f>
        <v/>
      </c>
      <c r="I797" s="18">
        <f>IF(OR(NOT(ISNUMBER($A797)),ROW()-2&lt;Settings!$B$12),NA(),IF(COUNT(OFFSET(F797,1-Settings!$B$12,0,Settings!$B$12,1))&lt;Settings!$B$12,NA(),STDEV(OFFSET(F797,1-Settings!$B$12,0,Settings!$B$12,1))*SQRT(Settings!$B$13)))</f>
        <v/>
      </c>
      <c r="J797" s="18">
        <f>IF(OR(NOT(ISNUMBER($A797)),ROW()-2&lt;Settings!$B$11),NA(),IF(COUNT(OFFSET(G797,1-Settings!$B$11,0,Settings!$B$11,1))&lt;Settings!$B$11,NA(),STDEV(OFFSET(G797,1-Settings!$B$11,0,Settings!$B$11,1))*SQRT(Settings!$B$13)))</f>
        <v/>
      </c>
      <c r="K797" s="18">
        <f>IF(OR(NOT(ISNUMBER($A797)),ROW()-2&lt;Settings!$B$12),NA(),IF(COUNT(OFFSET(G797,1-Settings!$B$12,0,Settings!$B$12,1))&lt;Settings!$B$12,NA(),STDEV(OFFSET(G797,1-Settings!$B$12,0,Settings!$B$12,1))*SQRT(Settings!$B$13)))</f>
        <v/>
      </c>
      <c r="L797" s="18">
        <f>IF(AND(ISNUMBER(D797),ISNUMBER(H797)),D797-H797,NA())</f>
        <v/>
      </c>
      <c r="M797" s="18">
        <f>IF(AND(ISNUMBER(E797),ISNUMBER(K797)),E797-K797,NA())</f>
        <v/>
      </c>
      <c r="N797" s="18">
        <f>IF(NOT(ISNUMBER($A797)),NA(),IF(COUNT(OFFSET(G797,1,0,Settings!$B$12,1))&lt;Settings!$B$12,NA(),STDEV(OFFSET(G797,1,0,Settings!$B$12,1))*SQRT(Settings!$B$13)))</f>
        <v/>
      </c>
      <c r="O797" s="18">
        <f>IF(AND(ISNUMBER(E797),ISNUMBER(N797)),E797-N797,NA())</f>
        <v/>
      </c>
      <c r="P797" s="17">
        <f>IF(NOT(ISNUMBER($A797)),NA(),IF(OR($A797&lt;MIN(KW_TP!$A$2:$A$2501),$A797&gt;MAX(KW_TP!$A$2:$A$2501)),NA(),INDEX(KW_TP!$C$2:$C$2501,MATCH($A797,KW_TP!$A$2:$A$2501,1))))</f>
        <v/>
      </c>
    </row>
    <row r="798">
      <c r="A798" s="15">
        <f>IF(ISNUMBER(BBG_Data!A798),BBG_Data!A798,"")</f>
        <v/>
      </c>
      <c r="B798" s="16">
        <f>IF(AND(ISNUMBER($A798),ISNUMBER(BBG_Data!B798)),BBG_Data!B798,NA())</f>
        <v/>
      </c>
      <c r="C798" s="16">
        <f>IF(AND(ISNUMBER($A798),ISNUMBER(BBG_Data!C798)),BBG_Data!C798,NA())</f>
        <v/>
      </c>
      <c r="D798" s="17">
        <f>IF(AND(ISNUMBER($A798),ISNUMBER(BBG_Data!D798)),BBG_Data!D798,NA())</f>
        <v/>
      </c>
      <c r="E798" s="17">
        <f>IF(AND(ISNUMBER($A798),ISNUMBER(BBG_Data!E798)),BBG_Data!E798,NA())</f>
        <v/>
      </c>
      <c r="F798" s="18">
        <f>IF(AND(ISNUMBER(B798),ISNUMBER(B797)),(B798-B797)*100,"")</f>
        <v/>
      </c>
      <c r="G798" s="18">
        <f>IF(AND(ISNUMBER(C798),ISNUMBER(C797)),(C798-C797)*100,"")</f>
        <v/>
      </c>
      <c r="H798" s="18">
        <f>IF(OR(NOT(ISNUMBER($A798)),ROW()-2&lt;Settings!$B$11),NA(),IF(COUNT(OFFSET(F798,1-Settings!$B$11,0,Settings!$B$11,1))&lt;Settings!$B$11,NA(),STDEV(OFFSET(F798,1-Settings!$B$11,0,Settings!$B$11,1))*SQRT(Settings!$B$13)))</f>
        <v/>
      </c>
      <c r="I798" s="18">
        <f>IF(OR(NOT(ISNUMBER($A798)),ROW()-2&lt;Settings!$B$12),NA(),IF(COUNT(OFFSET(F798,1-Settings!$B$12,0,Settings!$B$12,1))&lt;Settings!$B$12,NA(),STDEV(OFFSET(F798,1-Settings!$B$12,0,Settings!$B$12,1))*SQRT(Settings!$B$13)))</f>
        <v/>
      </c>
      <c r="J798" s="18">
        <f>IF(OR(NOT(ISNUMBER($A798)),ROW()-2&lt;Settings!$B$11),NA(),IF(COUNT(OFFSET(G798,1-Settings!$B$11,0,Settings!$B$11,1))&lt;Settings!$B$11,NA(),STDEV(OFFSET(G798,1-Settings!$B$11,0,Settings!$B$11,1))*SQRT(Settings!$B$13)))</f>
        <v/>
      </c>
      <c r="K798" s="18">
        <f>IF(OR(NOT(ISNUMBER($A798)),ROW()-2&lt;Settings!$B$12),NA(),IF(COUNT(OFFSET(G798,1-Settings!$B$12,0,Settings!$B$12,1))&lt;Settings!$B$12,NA(),STDEV(OFFSET(G798,1-Settings!$B$12,0,Settings!$B$12,1))*SQRT(Settings!$B$13)))</f>
        <v/>
      </c>
      <c r="L798" s="18">
        <f>IF(AND(ISNUMBER(D798),ISNUMBER(H798)),D798-H798,NA())</f>
        <v/>
      </c>
      <c r="M798" s="18">
        <f>IF(AND(ISNUMBER(E798),ISNUMBER(K798)),E798-K798,NA())</f>
        <v/>
      </c>
      <c r="N798" s="18">
        <f>IF(NOT(ISNUMBER($A798)),NA(),IF(COUNT(OFFSET(G798,1,0,Settings!$B$12,1))&lt;Settings!$B$12,NA(),STDEV(OFFSET(G798,1,0,Settings!$B$12,1))*SQRT(Settings!$B$13)))</f>
        <v/>
      </c>
      <c r="O798" s="18">
        <f>IF(AND(ISNUMBER(E798),ISNUMBER(N798)),E798-N798,NA())</f>
        <v/>
      </c>
      <c r="P798" s="17">
        <f>IF(NOT(ISNUMBER($A798)),NA(),IF(OR($A798&lt;MIN(KW_TP!$A$2:$A$2501),$A798&gt;MAX(KW_TP!$A$2:$A$2501)),NA(),INDEX(KW_TP!$C$2:$C$2501,MATCH($A798,KW_TP!$A$2:$A$2501,1))))</f>
        <v/>
      </c>
    </row>
    <row r="799">
      <c r="A799" s="15">
        <f>IF(ISNUMBER(BBG_Data!A799),BBG_Data!A799,"")</f>
        <v/>
      </c>
      <c r="B799" s="16">
        <f>IF(AND(ISNUMBER($A799),ISNUMBER(BBG_Data!B799)),BBG_Data!B799,NA())</f>
        <v/>
      </c>
      <c r="C799" s="16">
        <f>IF(AND(ISNUMBER($A799),ISNUMBER(BBG_Data!C799)),BBG_Data!C799,NA())</f>
        <v/>
      </c>
      <c r="D799" s="17">
        <f>IF(AND(ISNUMBER($A799),ISNUMBER(BBG_Data!D799)),BBG_Data!D799,NA())</f>
        <v/>
      </c>
      <c r="E799" s="17">
        <f>IF(AND(ISNUMBER($A799),ISNUMBER(BBG_Data!E799)),BBG_Data!E799,NA())</f>
        <v/>
      </c>
      <c r="F799" s="18">
        <f>IF(AND(ISNUMBER(B799),ISNUMBER(B798)),(B799-B798)*100,"")</f>
        <v/>
      </c>
      <c r="G799" s="18">
        <f>IF(AND(ISNUMBER(C799),ISNUMBER(C798)),(C799-C798)*100,"")</f>
        <v/>
      </c>
      <c r="H799" s="18">
        <f>IF(OR(NOT(ISNUMBER($A799)),ROW()-2&lt;Settings!$B$11),NA(),IF(COUNT(OFFSET(F799,1-Settings!$B$11,0,Settings!$B$11,1))&lt;Settings!$B$11,NA(),STDEV(OFFSET(F799,1-Settings!$B$11,0,Settings!$B$11,1))*SQRT(Settings!$B$13)))</f>
        <v/>
      </c>
      <c r="I799" s="18">
        <f>IF(OR(NOT(ISNUMBER($A799)),ROW()-2&lt;Settings!$B$12),NA(),IF(COUNT(OFFSET(F799,1-Settings!$B$12,0,Settings!$B$12,1))&lt;Settings!$B$12,NA(),STDEV(OFFSET(F799,1-Settings!$B$12,0,Settings!$B$12,1))*SQRT(Settings!$B$13)))</f>
        <v/>
      </c>
      <c r="J799" s="18">
        <f>IF(OR(NOT(ISNUMBER($A799)),ROW()-2&lt;Settings!$B$11),NA(),IF(COUNT(OFFSET(G799,1-Settings!$B$11,0,Settings!$B$11,1))&lt;Settings!$B$11,NA(),STDEV(OFFSET(G799,1-Settings!$B$11,0,Settings!$B$11,1))*SQRT(Settings!$B$13)))</f>
        <v/>
      </c>
      <c r="K799" s="18">
        <f>IF(OR(NOT(ISNUMBER($A799)),ROW()-2&lt;Settings!$B$12),NA(),IF(COUNT(OFFSET(G799,1-Settings!$B$12,0,Settings!$B$12,1))&lt;Settings!$B$12,NA(),STDEV(OFFSET(G799,1-Settings!$B$12,0,Settings!$B$12,1))*SQRT(Settings!$B$13)))</f>
        <v/>
      </c>
      <c r="L799" s="18">
        <f>IF(AND(ISNUMBER(D799),ISNUMBER(H799)),D799-H799,NA())</f>
        <v/>
      </c>
      <c r="M799" s="18">
        <f>IF(AND(ISNUMBER(E799),ISNUMBER(K799)),E799-K799,NA())</f>
        <v/>
      </c>
      <c r="N799" s="18">
        <f>IF(NOT(ISNUMBER($A799)),NA(),IF(COUNT(OFFSET(G799,1,0,Settings!$B$12,1))&lt;Settings!$B$12,NA(),STDEV(OFFSET(G799,1,0,Settings!$B$12,1))*SQRT(Settings!$B$13)))</f>
        <v/>
      </c>
      <c r="O799" s="18">
        <f>IF(AND(ISNUMBER(E799),ISNUMBER(N799)),E799-N799,NA())</f>
        <v/>
      </c>
      <c r="P799" s="17">
        <f>IF(NOT(ISNUMBER($A799)),NA(),IF(OR($A799&lt;MIN(KW_TP!$A$2:$A$2501),$A799&gt;MAX(KW_TP!$A$2:$A$2501)),NA(),INDEX(KW_TP!$C$2:$C$2501,MATCH($A799,KW_TP!$A$2:$A$2501,1))))</f>
        <v/>
      </c>
    </row>
    <row r="800">
      <c r="A800" s="15">
        <f>IF(ISNUMBER(BBG_Data!A800),BBG_Data!A800,"")</f>
        <v/>
      </c>
      <c r="B800" s="16">
        <f>IF(AND(ISNUMBER($A800),ISNUMBER(BBG_Data!B800)),BBG_Data!B800,NA())</f>
        <v/>
      </c>
      <c r="C800" s="16">
        <f>IF(AND(ISNUMBER($A800),ISNUMBER(BBG_Data!C800)),BBG_Data!C800,NA())</f>
        <v/>
      </c>
      <c r="D800" s="17">
        <f>IF(AND(ISNUMBER($A800),ISNUMBER(BBG_Data!D800)),BBG_Data!D800,NA())</f>
        <v/>
      </c>
      <c r="E800" s="17">
        <f>IF(AND(ISNUMBER($A800),ISNUMBER(BBG_Data!E800)),BBG_Data!E800,NA())</f>
        <v/>
      </c>
      <c r="F800" s="18">
        <f>IF(AND(ISNUMBER(B800),ISNUMBER(B799)),(B800-B799)*100,"")</f>
        <v/>
      </c>
      <c r="G800" s="18">
        <f>IF(AND(ISNUMBER(C800),ISNUMBER(C799)),(C800-C799)*100,"")</f>
        <v/>
      </c>
      <c r="H800" s="18">
        <f>IF(OR(NOT(ISNUMBER($A800)),ROW()-2&lt;Settings!$B$11),NA(),IF(COUNT(OFFSET(F800,1-Settings!$B$11,0,Settings!$B$11,1))&lt;Settings!$B$11,NA(),STDEV(OFFSET(F800,1-Settings!$B$11,0,Settings!$B$11,1))*SQRT(Settings!$B$13)))</f>
        <v/>
      </c>
      <c r="I800" s="18">
        <f>IF(OR(NOT(ISNUMBER($A800)),ROW()-2&lt;Settings!$B$12),NA(),IF(COUNT(OFFSET(F800,1-Settings!$B$12,0,Settings!$B$12,1))&lt;Settings!$B$12,NA(),STDEV(OFFSET(F800,1-Settings!$B$12,0,Settings!$B$12,1))*SQRT(Settings!$B$13)))</f>
        <v/>
      </c>
      <c r="J800" s="18">
        <f>IF(OR(NOT(ISNUMBER($A800)),ROW()-2&lt;Settings!$B$11),NA(),IF(COUNT(OFFSET(G800,1-Settings!$B$11,0,Settings!$B$11,1))&lt;Settings!$B$11,NA(),STDEV(OFFSET(G800,1-Settings!$B$11,0,Settings!$B$11,1))*SQRT(Settings!$B$13)))</f>
        <v/>
      </c>
      <c r="K800" s="18">
        <f>IF(OR(NOT(ISNUMBER($A800)),ROW()-2&lt;Settings!$B$12),NA(),IF(COUNT(OFFSET(G800,1-Settings!$B$12,0,Settings!$B$12,1))&lt;Settings!$B$12,NA(),STDEV(OFFSET(G800,1-Settings!$B$12,0,Settings!$B$12,1))*SQRT(Settings!$B$13)))</f>
        <v/>
      </c>
      <c r="L800" s="18">
        <f>IF(AND(ISNUMBER(D800),ISNUMBER(H800)),D800-H800,NA())</f>
        <v/>
      </c>
      <c r="M800" s="18">
        <f>IF(AND(ISNUMBER(E800),ISNUMBER(K800)),E800-K800,NA())</f>
        <v/>
      </c>
      <c r="N800" s="18">
        <f>IF(NOT(ISNUMBER($A800)),NA(),IF(COUNT(OFFSET(G800,1,0,Settings!$B$12,1))&lt;Settings!$B$12,NA(),STDEV(OFFSET(G800,1,0,Settings!$B$12,1))*SQRT(Settings!$B$13)))</f>
        <v/>
      </c>
      <c r="O800" s="18">
        <f>IF(AND(ISNUMBER(E800),ISNUMBER(N800)),E800-N800,NA())</f>
        <v/>
      </c>
      <c r="P800" s="17">
        <f>IF(NOT(ISNUMBER($A800)),NA(),IF(OR($A800&lt;MIN(KW_TP!$A$2:$A$2501),$A800&gt;MAX(KW_TP!$A$2:$A$2501)),NA(),INDEX(KW_TP!$C$2:$C$2501,MATCH($A800,KW_TP!$A$2:$A$2501,1))))</f>
        <v/>
      </c>
    </row>
    <row r="801">
      <c r="A801" s="15">
        <f>IF(ISNUMBER(BBG_Data!A801),BBG_Data!A801,"")</f>
        <v/>
      </c>
      <c r="B801" s="16">
        <f>IF(AND(ISNUMBER($A801),ISNUMBER(BBG_Data!B801)),BBG_Data!B801,NA())</f>
        <v/>
      </c>
      <c r="C801" s="16">
        <f>IF(AND(ISNUMBER($A801),ISNUMBER(BBG_Data!C801)),BBG_Data!C801,NA())</f>
        <v/>
      </c>
      <c r="D801" s="17">
        <f>IF(AND(ISNUMBER($A801),ISNUMBER(BBG_Data!D801)),BBG_Data!D801,NA())</f>
        <v/>
      </c>
      <c r="E801" s="17">
        <f>IF(AND(ISNUMBER($A801),ISNUMBER(BBG_Data!E801)),BBG_Data!E801,NA())</f>
        <v/>
      </c>
      <c r="F801" s="18">
        <f>IF(AND(ISNUMBER(B801),ISNUMBER(B800)),(B801-B800)*100,"")</f>
        <v/>
      </c>
      <c r="G801" s="18">
        <f>IF(AND(ISNUMBER(C801),ISNUMBER(C800)),(C801-C800)*100,"")</f>
        <v/>
      </c>
      <c r="H801" s="18">
        <f>IF(OR(NOT(ISNUMBER($A801)),ROW()-2&lt;Settings!$B$11),NA(),IF(COUNT(OFFSET(F801,1-Settings!$B$11,0,Settings!$B$11,1))&lt;Settings!$B$11,NA(),STDEV(OFFSET(F801,1-Settings!$B$11,0,Settings!$B$11,1))*SQRT(Settings!$B$13)))</f>
        <v/>
      </c>
      <c r="I801" s="18">
        <f>IF(OR(NOT(ISNUMBER($A801)),ROW()-2&lt;Settings!$B$12),NA(),IF(COUNT(OFFSET(F801,1-Settings!$B$12,0,Settings!$B$12,1))&lt;Settings!$B$12,NA(),STDEV(OFFSET(F801,1-Settings!$B$12,0,Settings!$B$12,1))*SQRT(Settings!$B$13)))</f>
        <v/>
      </c>
      <c r="J801" s="18">
        <f>IF(OR(NOT(ISNUMBER($A801)),ROW()-2&lt;Settings!$B$11),NA(),IF(COUNT(OFFSET(G801,1-Settings!$B$11,0,Settings!$B$11,1))&lt;Settings!$B$11,NA(),STDEV(OFFSET(G801,1-Settings!$B$11,0,Settings!$B$11,1))*SQRT(Settings!$B$13)))</f>
        <v/>
      </c>
      <c r="K801" s="18">
        <f>IF(OR(NOT(ISNUMBER($A801)),ROW()-2&lt;Settings!$B$12),NA(),IF(COUNT(OFFSET(G801,1-Settings!$B$12,0,Settings!$B$12,1))&lt;Settings!$B$12,NA(),STDEV(OFFSET(G801,1-Settings!$B$12,0,Settings!$B$12,1))*SQRT(Settings!$B$13)))</f>
        <v/>
      </c>
      <c r="L801" s="18">
        <f>IF(AND(ISNUMBER(D801),ISNUMBER(H801)),D801-H801,NA())</f>
        <v/>
      </c>
      <c r="M801" s="18">
        <f>IF(AND(ISNUMBER(E801),ISNUMBER(K801)),E801-K801,NA())</f>
        <v/>
      </c>
      <c r="N801" s="18">
        <f>IF(NOT(ISNUMBER($A801)),NA(),IF(COUNT(OFFSET(G801,1,0,Settings!$B$12,1))&lt;Settings!$B$12,NA(),STDEV(OFFSET(G801,1,0,Settings!$B$12,1))*SQRT(Settings!$B$13)))</f>
        <v/>
      </c>
      <c r="O801" s="18">
        <f>IF(AND(ISNUMBER(E801),ISNUMBER(N801)),E801-N801,NA())</f>
        <v/>
      </c>
      <c r="P801" s="17">
        <f>IF(NOT(ISNUMBER($A801)),NA(),IF(OR($A801&lt;MIN(KW_TP!$A$2:$A$2501),$A801&gt;MAX(KW_TP!$A$2:$A$2501)),NA(),INDEX(KW_TP!$C$2:$C$2501,MATCH($A801,KW_TP!$A$2:$A$2501,1))))</f>
        <v/>
      </c>
    </row>
    <row r="802">
      <c r="A802" s="15">
        <f>IF(ISNUMBER(BBG_Data!A802),BBG_Data!A802,"")</f>
        <v/>
      </c>
      <c r="B802" s="16">
        <f>IF(AND(ISNUMBER($A802),ISNUMBER(BBG_Data!B802)),BBG_Data!B802,NA())</f>
        <v/>
      </c>
      <c r="C802" s="16">
        <f>IF(AND(ISNUMBER($A802),ISNUMBER(BBG_Data!C802)),BBG_Data!C802,NA())</f>
        <v/>
      </c>
      <c r="D802" s="17">
        <f>IF(AND(ISNUMBER($A802),ISNUMBER(BBG_Data!D802)),BBG_Data!D802,NA())</f>
        <v/>
      </c>
      <c r="E802" s="17">
        <f>IF(AND(ISNUMBER($A802),ISNUMBER(BBG_Data!E802)),BBG_Data!E802,NA())</f>
        <v/>
      </c>
      <c r="F802" s="18">
        <f>IF(AND(ISNUMBER(B802),ISNUMBER(B801)),(B802-B801)*100,"")</f>
        <v/>
      </c>
      <c r="G802" s="18">
        <f>IF(AND(ISNUMBER(C802),ISNUMBER(C801)),(C802-C801)*100,"")</f>
        <v/>
      </c>
      <c r="H802" s="18">
        <f>IF(OR(NOT(ISNUMBER($A802)),ROW()-2&lt;Settings!$B$11),NA(),IF(COUNT(OFFSET(F802,1-Settings!$B$11,0,Settings!$B$11,1))&lt;Settings!$B$11,NA(),STDEV(OFFSET(F802,1-Settings!$B$11,0,Settings!$B$11,1))*SQRT(Settings!$B$13)))</f>
        <v/>
      </c>
      <c r="I802" s="18">
        <f>IF(OR(NOT(ISNUMBER($A802)),ROW()-2&lt;Settings!$B$12),NA(),IF(COUNT(OFFSET(F802,1-Settings!$B$12,0,Settings!$B$12,1))&lt;Settings!$B$12,NA(),STDEV(OFFSET(F802,1-Settings!$B$12,0,Settings!$B$12,1))*SQRT(Settings!$B$13)))</f>
        <v/>
      </c>
      <c r="J802" s="18">
        <f>IF(OR(NOT(ISNUMBER($A802)),ROW()-2&lt;Settings!$B$11),NA(),IF(COUNT(OFFSET(G802,1-Settings!$B$11,0,Settings!$B$11,1))&lt;Settings!$B$11,NA(),STDEV(OFFSET(G802,1-Settings!$B$11,0,Settings!$B$11,1))*SQRT(Settings!$B$13)))</f>
        <v/>
      </c>
      <c r="K802" s="18">
        <f>IF(OR(NOT(ISNUMBER($A802)),ROW()-2&lt;Settings!$B$12),NA(),IF(COUNT(OFFSET(G802,1-Settings!$B$12,0,Settings!$B$12,1))&lt;Settings!$B$12,NA(),STDEV(OFFSET(G802,1-Settings!$B$12,0,Settings!$B$12,1))*SQRT(Settings!$B$13)))</f>
        <v/>
      </c>
      <c r="L802" s="18">
        <f>IF(AND(ISNUMBER(D802),ISNUMBER(H802)),D802-H802,NA())</f>
        <v/>
      </c>
      <c r="M802" s="18">
        <f>IF(AND(ISNUMBER(E802),ISNUMBER(K802)),E802-K802,NA())</f>
        <v/>
      </c>
      <c r="N802" s="18">
        <f>IF(NOT(ISNUMBER($A802)),NA(),IF(COUNT(OFFSET(G802,1,0,Settings!$B$12,1))&lt;Settings!$B$12,NA(),STDEV(OFFSET(G802,1,0,Settings!$B$12,1))*SQRT(Settings!$B$13)))</f>
        <v/>
      </c>
      <c r="O802" s="18">
        <f>IF(AND(ISNUMBER(E802),ISNUMBER(N802)),E802-N802,NA())</f>
        <v/>
      </c>
      <c r="P802" s="17">
        <f>IF(NOT(ISNUMBER($A802)),NA(),IF(OR($A802&lt;MIN(KW_TP!$A$2:$A$2501),$A802&gt;MAX(KW_TP!$A$2:$A$2501)),NA(),INDEX(KW_TP!$C$2:$C$2501,MATCH($A802,KW_TP!$A$2:$A$2501,1))))</f>
        <v/>
      </c>
    </row>
    <row r="803">
      <c r="A803" s="15">
        <f>IF(ISNUMBER(BBG_Data!A803),BBG_Data!A803,"")</f>
        <v/>
      </c>
      <c r="B803" s="16">
        <f>IF(AND(ISNUMBER($A803),ISNUMBER(BBG_Data!B803)),BBG_Data!B803,NA())</f>
        <v/>
      </c>
      <c r="C803" s="16">
        <f>IF(AND(ISNUMBER($A803),ISNUMBER(BBG_Data!C803)),BBG_Data!C803,NA())</f>
        <v/>
      </c>
      <c r="D803" s="17">
        <f>IF(AND(ISNUMBER($A803),ISNUMBER(BBG_Data!D803)),BBG_Data!D803,NA())</f>
        <v/>
      </c>
      <c r="E803" s="17">
        <f>IF(AND(ISNUMBER($A803),ISNUMBER(BBG_Data!E803)),BBG_Data!E803,NA())</f>
        <v/>
      </c>
      <c r="F803" s="18">
        <f>IF(AND(ISNUMBER(B803),ISNUMBER(B802)),(B803-B802)*100,"")</f>
        <v/>
      </c>
      <c r="G803" s="18">
        <f>IF(AND(ISNUMBER(C803),ISNUMBER(C802)),(C803-C802)*100,"")</f>
        <v/>
      </c>
      <c r="H803" s="18">
        <f>IF(OR(NOT(ISNUMBER($A803)),ROW()-2&lt;Settings!$B$11),NA(),IF(COUNT(OFFSET(F803,1-Settings!$B$11,0,Settings!$B$11,1))&lt;Settings!$B$11,NA(),STDEV(OFFSET(F803,1-Settings!$B$11,0,Settings!$B$11,1))*SQRT(Settings!$B$13)))</f>
        <v/>
      </c>
      <c r="I803" s="18">
        <f>IF(OR(NOT(ISNUMBER($A803)),ROW()-2&lt;Settings!$B$12),NA(),IF(COUNT(OFFSET(F803,1-Settings!$B$12,0,Settings!$B$12,1))&lt;Settings!$B$12,NA(),STDEV(OFFSET(F803,1-Settings!$B$12,0,Settings!$B$12,1))*SQRT(Settings!$B$13)))</f>
        <v/>
      </c>
      <c r="J803" s="18">
        <f>IF(OR(NOT(ISNUMBER($A803)),ROW()-2&lt;Settings!$B$11),NA(),IF(COUNT(OFFSET(G803,1-Settings!$B$11,0,Settings!$B$11,1))&lt;Settings!$B$11,NA(),STDEV(OFFSET(G803,1-Settings!$B$11,0,Settings!$B$11,1))*SQRT(Settings!$B$13)))</f>
        <v/>
      </c>
      <c r="K803" s="18">
        <f>IF(OR(NOT(ISNUMBER($A803)),ROW()-2&lt;Settings!$B$12),NA(),IF(COUNT(OFFSET(G803,1-Settings!$B$12,0,Settings!$B$12,1))&lt;Settings!$B$12,NA(),STDEV(OFFSET(G803,1-Settings!$B$12,0,Settings!$B$12,1))*SQRT(Settings!$B$13)))</f>
        <v/>
      </c>
      <c r="L803" s="18">
        <f>IF(AND(ISNUMBER(D803),ISNUMBER(H803)),D803-H803,NA())</f>
        <v/>
      </c>
      <c r="M803" s="18">
        <f>IF(AND(ISNUMBER(E803),ISNUMBER(K803)),E803-K803,NA())</f>
        <v/>
      </c>
      <c r="N803" s="18">
        <f>IF(NOT(ISNUMBER($A803)),NA(),IF(COUNT(OFFSET(G803,1,0,Settings!$B$12,1))&lt;Settings!$B$12,NA(),STDEV(OFFSET(G803,1,0,Settings!$B$12,1))*SQRT(Settings!$B$13)))</f>
        <v/>
      </c>
      <c r="O803" s="18">
        <f>IF(AND(ISNUMBER(E803),ISNUMBER(N803)),E803-N803,NA())</f>
        <v/>
      </c>
      <c r="P803" s="17">
        <f>IF(NOT(ISNUMBER($A803)),NA(),IF(OR($A803&lt;MIN(KW_TP!$A$2:$A$2501),$A803&gt;MAX(KW_TP!$A$2:$A$2501)),NA(),INDEX(KW_TP!$C$2:$C$2501,MATCH($A803,KW_TP!$A$2:$A$2501,1))))</f>
        <v/>
      </c>
    </row>
    <row r="804">
      <c r="A804" s="15">
        <f>IF(ISNUMBER(BBG_Data!A804),BBG_Data!A804,"")</f>
        <v/>
      </c>
      <c r="B804" s="16">
        <f>IF(AND(ISNUMBER($A804),ISNUMBER(BBG_Data!B804)),BBG_Data!B804,NA())</f>
        <v/>
      </c>
      <c r="C804" s="16">
        <f>IF(AND(ISNUMBER($A804),ISNUMBER(BBG_Data!C804)),BBG_Data!C804,NA())</f>
        <v/>
      </c>
      <c r="D804" s="17">
        <f>IF(AND(ISNUMBER($A804),ISNUMBER(BBG_Data!D804)),BBG_Data!D804,NA())</f>
        <v/>
      </c>
      <c r="E804" s="17">
        <f>IF(AND(ISNUMBER($A804),ISNUMBER(BBG_Data!E804)),BBG_Data!E804,NA())</f>
        <v/>
      </c>
      <c r="F804" s="18">
        <f>IF(AND(ISNUMBER(B804),ISNUMBER(B803)),(B804-B803)*100,"")</f>
        <v/>
      </c>
      <c r="G804" s="18">
        <f>IF(AND(ISNUMBER(C804),ISNUMBER(C803)),(C804-C803)*100,"")</f>
        <v/>
      </c>
      <c r="H804" s="18">
        <f>IF(OR(NOT(ISNUMBER($A804)),ROW()-2&lt;Settings!$B$11),NA(),IF(COUNT(OFFSET(F804,1-Settings!$B$11,0,Settings!$B$11,1))&lt;Settings!$B$11,NA(),STDEV(OFFSET(F804,1-Settings!$B$11,0,Settings!$B$11,1))*SQRT(Settings!$B$13)))</f>
        <v/>
      </c>
      <c r="I804" s="18">
        <f>IF(OR(NOT(ISNUMBER($A804)),ROW()-2&lt;Settings!$B$12),NA(),IF(COUNT(OFFSET(F804,1-Settings!$B$12,0,Settings!$B$12,1))&lt;Settings!$B$12,NA(),STDEV(OFFSET(F804,1-Settings!$B$12,0,Settings!$B$12,1))*SQRT(Settings!$B$13)))</f>
        <v/>
      </c>
      <c r="J804" s="18">
        <f>IF(OR(NOT(ISNUMBER($A804)),ROW()-2&lt;Settings!$B$11),NA(),IF(COUNT(OFFSET(G804,1-Settings!$B$11,0,Settings!$B$11,1))&lt;Settings!$B$11,NA(),STDEV(OFFSET(G804,1-Settings!$B$11,0,Settings!$B$11,1))*SQRT(Settings!$B$13)))</f>
        <v/>
      </c>
      <c r="K804" s="18">
        <f>IF(OR(NOT(ISNUMBER($A804)),ROW()-2&lt;Settings!$B$12),NA(),IF(COUNT(OFFSET(G804,1-Settings!$B$12,0,Settings!$B$12,1))&lt;Settings!$B$12,NA(),STDEV(OFFSET(G804,1-Settings!$B$12,0,Settings!$B$12,1))*SQRT(Settings!$B$13)))</f>
        <v/>
      </c>
      <c r="L804" s="18">
        <f>IF(AND(ISNUMBER(D804),ISNUMBER(H804)),D804-H804,NA())</f>
        <v/>
      </c>
      <c r="M804" s="18">
        <f>IF(AND(ISNUMBER(E804),ISNUMBER(K804)),E804-K804,NA())</f>
        <v/>
      </c>
      <c r="N804" s="18">
        <f>IF(NOT(ISNUMBER($A804)),NA(),IF(COUNT(OFFSET(G804,1,0,Settings!$B$12,1))&lt;Settings!$B$12,NA(),STDEV(OFFSET(G804,1,0,Settings!$B$12,1))*SQRT(Settings!$B$13)))</f>
        <v/>
      </c>
      <c r="O804" s="18">
        <f>IF(AND(ISNUMBER(E804),ISNUMBER(N804)),E804-N804,NA())</f>
        <v/>
      </c>
      <c r="P804" s="17">
        <f>IF(NOT(ISNUMBER($A804)),NA(),IF(OR($A804&lt;MIN(KW_TP!$A$2:$A$2501),$A804&gt;MAX(KW_TP!$A$2:$A$2501)),NA(),INDEX(KW_TP!$C$2:$C$2501,MATCH($A804,KW_TP!$A$2:$A$2501,1))))</f>
        <v/>
      </c>
    </row>
    <row r="805">
      <c r="A805" s="15">
        <f>IF(ISNUMBER(BBG_Data!A805),BBG_Data!A805,"")</f>
        <v/>
      </c>
      <c r="B805" s="16">
        <f>IF(AND(ISNUMBER($A805),ISNUMBER(BBG_Data!B805)),BBG_Data!B805,NA())</f>
        <v/>
      </c>
      <c r="C805" s="16">
        <f>IF(AND(ISNUMBER($A805),ISNUMBER(BBG_Data!C805)),BBG_Data!C805,NA())</f>
        <v/>
      </c>
      <c r="D805" s="17">
        <f>IF(AND(ISNUMBER($A805),ISNUMBER(BBG_Data!D805)),BBG_Data!D805,NA())</f>
        <v/>
      </c>
      <c r="E805" s="17">
        <f>IF(AND(ISNUMBER($A805),ISNUMBER(BBG_Data!E805)),BBG_Data!E805,NA())</f>
        <v/>
      </c>
      <c r="F805" s="18">
        <f>IF(AND(ISNUMBER(B805),ISNUMBER(B804)),(B805-B804)*100,"")</f>
        <v/>
      </c>
      <c r="G805" s="18">
        <f>IF(AND(ISNUMBER(C805),ISNUMBER(C804)),(C805-C804)*100,"")</f>
        <v/>
      </c>
      <c r="H805" s="18">
        <f>IF(OR(NOT(ISNUMBER($A805)),ROW()-2&lt;Settings!$B$11),NA(),IF(COUNT(OFFSET(F805,1-Settings!$B$11,0,Settings!$B$11,1))&lt;Settings!$B$11,NA(),STDEV(OFFSET(F805,1-Settings!$B$11,0,Settings!$B$11,1))*SQRT(Settings!$B$13)))</f>
        <v/>
      </c>
      <c r="I805" s="18">
        <f>IF(OR(NOT(ISNUMBER($A805)),ROW()-2&lt;Settings!$B$12),NA(),IF(COUNT(OFFSET(F805,1-Settings!$B$12,0,Settings!$B$12,1))&lt;Settings!$B$12,NA(),STDEV(OFFSET(F805,1-Settings!$B$12,0,Settings!$B$12,1))*SQRT(Settings!$B$13)))</f>
        <v/>
      </c>
      <c r="J805" s="18">
        <f>IF(OR(NOT(ISNUMBER($A805)),ROW()-2&lt;Settings!$B$11),NA(),IF(COUNT(OFFSET(G805,1-Settings!$B$11,0,Settings!$B$11,1))&lt;Settings!$B$11,NA(),STDEV(OFFSET(G805,1-Settings!$B$11,0,Settings!$B$11,1))*SQRT(Settings!$B$13)))</f>
        <v/>
      </c>
      <c r="K805" s="18">
        <f>IF(OR(NOT(ISNUMBER($A805)),ROW()-2&lt;Settings!$B$12),NA(),IF(COUNT(OFFSET(G805,1-Settings!$B$12,0,Settings!$B$12,1))&lt;Settings!$B$12,NA(),STDEV(OFFSET(G805,1-Settings!$B$12,0,Settings!$B$12,1))*SQRT(Settings!$B$13)))</f>
        <v/>
      </c>
      <c r="L805" s="18">
        <f>IF(AND(ISNUMBER(D805),ISNUMBER(H805)),D805-H805,NA())</f>
        <v/>
      </c>
      <c r="M805" s="18">
        <f>IF(AND(ISNUMBER(E805),ISNUMBER(K805)),E805-K805,NA())</f>
        <v/>
      </c>
      <c r="N805" s="18">
        <f>IF(NOT(ISNUMBER($A805)),NA(),IF(COUNT(OFFSET(G805,1,0,Settings!$B$12,1))&lt;Settings!$B$12,NA(),STDEV(OFFSET(G805,1,0,Settings!$B$12,1))*SQRT(Settings!$B$13)))</f>
        <v/>
      </c>
      <c r="O805" s="18">
        <f>IF(AND(ISNUMBER(E805),ISNUMBER(N805)),E805-N805,NA())</f>
        <v/>
      </c>
      <c r="P805" s="17">
        <f>IF(NOT(ISNUMBER($A805)),NA(),IF(OR($A805&lt;MIN(KW_TP!$A$2:$A$2501),$A805&gt;MAX(KW_TP!$A$2:$A$2501)),NA(),INDEX(KW_TP!$C$2:$C$2501,MATCH($A805,KW_TP!$A$2:$A$2501,1))))</f>
        <v/>
      </c>
    </row>
    <row r="806">
      <c r="A806" s="15">
        <f>IF(ISNUMBER(BBG_Data!A806),BBG_Data!A806,"")</f>
        <v/>
      </c>
      <c r="B806" s="16">
        <f>IF(AND(ISNUMBER($A806),ISNUMBER(BBG_Data!B806)),BBG_Data!B806,NA())</f>
        <v/>
      </c>
      <c r="C806" s="16">
        <f>IF(AND(ISNUMBER($A806),ISNUMBER(BBG_Data!C806)),BBG_Data!C806,NA())</f>
        <v/>
      </c>
      <c r="D806" s="17">
        <f>IF(AND(ISNUMBER($A806),ISNUMBER(BBG_Data!D806)),BBG_Data!D806,NA())</f>
        <v/>
      </c>
      <c r="E806" s="17">
        <f>IF(AND(ISNUMBER($A806),ISNUMBER(BBG_Data!E806)),BBG_Data!E806,NA())</f>
        <v/>
      </c>
      <c r="F806" s="18">
        <f>IF(AND(ISNUMBER(B806),ISNUMBER(B805)),(B806-B805)*100,"")</f>
        <v/>
      </c>
      <c r="G806" s="18">
        <f>IF(AND(ISNUMBER(C806),ISNUMBER(C805)),(C806-C805)*100,"")</f>
        <v/>
      </c>
      <c r="H806" s="18">
        <f>IF(OR(NOT(ISNUMBER($A806)),ROW()-2&lt;Settings!$B$11),NA(),IF(COUNT(OFFSET(F806,1-Settings!$B$11,0,Settings!$B$11,1))&lt;Settings!$B$11,NA(),STDEV(OFFSET(F806,1-Settings!$B$11,0,Settings!$B$11,1))*SQRT(Settings!$B$13)))</f>
        <v/>
      </c>
      <c r="I806" s="18">
        <f>IF(OR(NOT(ISNUMBER($A806)),ROW()-2&lt;Settings!$B$12),NA(),IF(COUNT(OFFSET(F806,1-Settings!$B$12,0,Settings!$B$12,1))&lt;Settings!$B$12,NA(),STDEV(OFFSET(F806,1-Settings!$B$12,0,Settings!$B$12,1))*SQRT(Settings!$B$13)))</f>
        <v/>
      </c>
      <c r="J806" s="18">
        <f>IF(OR(NOT(ISNUMBER($A806)),ROW()-2&lt;Settings!$B$11),NA(),IF(COUNT(OFFSET(G806,1-Settings!$B$11,0,Settings!$B$11,1))&lt;Settings!$B$11,NA(),STDEV(OFFSET(G806,1-Settings!$B$11,0,Settings!$B$11,1))*SQRT(Settings!$B$13)))</f>
        <v/>
      </c>
      <c r="K806" s="18">
        <f>IF(OR(NOT(ISNUMBER($A806)),ROW()-2&lt;Settings!$B$12),NA(),IF(COUNT(OFFSET(G806,1-Settings!$B$12,0,Settings!$B$12,1))&lt;Settings!$B$12,NA(),STDEV(OFFSET(G806,1-Settings!$B$12,0,Settings!$B$12,1))*SQRT(Settings!$B$13)))</f>
        <v/>
      </c>
      <c r="L806" s="18">
        <f>IF(AND(ISNUMBER(D806),ISNUMBER(H806)),D806-H806,NA())</f>
        <v/>
      </c>
      <c r="M806" s="18">
        <f>IF(AND(ISNUMBER(E806),ISNUMBER(K806)),E806-K806,NA())</f>
        <v/>
      </c>
      <c r="N806" s="18">
        <f>IF(NOT(ISNUMBER($A806)),NA(),IF(COUNT(OFFSET(G806,1,0,Settings!$B$12,1))&lt;Settings!$B$12,NA(),STDEV(OFFSET(G806,1,0,Settings!$B$12,1))*SQRT(Settings!$B$13)))</f>
        <v/>
      </c>
      <c r="O806" s="18">
        <f>IF(AND(ISNUMBER(E806),ISNUMBER(N806)),E806-N806,NA())</f>
        <v/>
      </c>
      <c r="P806" s="17">
        <f>IF(NOT(ISNUMBER($A806)),NA(),IF(OR($A806&lt;MIN(KW_TP!$A$2:$A$2501),$A806&gt;MAX(KW_TP!$A$2:$A$2501)),NA(),INDEX(KW_TP!$C$2:$C$2501,MATCH($A806,KW_TP!$A$2:$A$2501,1))))</f>
        <v/>
      </c>
    </row>
    <row r="807">
      <c r="A807" s="15">
        <f>IF(ISNUMBER(BBG_Data!A807),BBG_Data!A807,"")</f>
        <v/>
      </c>
      <c r="B807" s="16">
        <f>IF(AND(ISNUMBER($A807),ISNUMBER(BBG_Data!B807)),BBG_Data!B807,NA())</f>
        <v/>
      </c>
      <c r="C807" s="16">
        <f>IF(AND(ISNUMBER($A807),ISNUMBER(BBG_Data!C807)),BBG_Data!C807,NA())</f>
        <v/>
      </c>
      <c r="D807" s="17">
        <f>IF(AND(ISNUMBER($A807),ISNUMBER(BBG_Data!D807)),BBG_Data!D807,NA())</f>
        <v/>
      </c>
      <c r="E807" s="17">
        <f>IF(AND(ISNUMBER($A807),ISNUMBER(BBG_Data!E807)),BBG_Data!E807,NA())</f>
        <v/>
      </c>
      <c r="F807" s="18">
        <f>IF(AND(ISNUMBER(B807),ISNUMBER(B806)),(B807-B806)*100,"")</f>
        <v/>
      </c>
      <c r="G807" s="18">
        <f>IF(AND(ISNUMBER(C807),ISNUMBER(C806)),(C807-C806)*100,"")</f>
        <v/>
      </c>
      <c r="H807" s="18">
        <f>IF(OR(NOT(ISNUMBER($A807)),ROW()-2&lt;Settings!$B$11),NA(),IF(COUNT(OFFSET(F807,1-Settings!$B$11,0,Settings!$B$11,1))&lt;Settings!$B$11,NA(),STDEV(OFFSET(F807,1-Settings!$B$11,0,Settings!$B$11,1))*SQRT(Settings!$B$13)))</f>
        <v/>
      </c>
      <c r="I807" s="18">
        <f>IF(OR(NOT(ISNUMBER($A807)),ROW()-2&lt;Settings!$B$12),NA(),IF(COUNT(OFFSET(F807,1-Settings!$B$12,0,Settings!$B$12,1))&lt;Settings!$B$12,NA(),STDEV(OFFSET(F807,1-Settings!$B$12,0,Settings!$B$12,1))*SQRT(Settings!$B$13)))</f>
        <v/>
      </c>
      <c r="J807" s="18">
        <f>IF(OR(NOT(ISNUMBER($A807)),ROW()-2&lt;Settings!$B$11),NA(),IF(COUNT(OFFSET(G807,1-Settings!$B$11,0,Settings!$B$11,1))&lt;Settings!$B$11,NA(),STDEV(OFFSET(G807,1-Settings!$B$11,0,Settings!$B$11,1))*SQRT(Settings!$B$13)))</f>
        <v/>
      </c>
      <c r="K807" s="18">
        <f>IF(OR(NOT(ISNUMBER($A807)),ROW()-2&lt;Settings!$B$12),NA(),IF(COUNT(OFFSET(G807,1-Settings!$B$12,0,Settings!$B$12,1))&lt;Settings!$B$12,NA(),STDEV(OFFSET(G807,1-Settings!$B$12,0,Settings!$B$12,1))*SQRT(Settings!$B$13)))</f>
        <v/>
      </c>
      <c r="L807" s="18">
        <f>IF(AND(ISNUMBER(D807),ISNUMBER(H807)),D807-H807,NA())</f>
        <v/>
      </c>
      <c r="M807" s="18">
        <f>IF(AND(ISNUMBER(E807),ISNUMBER(K807)),E807-K807,NA())</f>
        <v/>
      </c>
      <c r="N807" s="18">
        <f>IF(NOT(ISNUMBER($A807)),NA(),IF(COUNT(OFFSET(G807,1,0,Settings!$B$12,1))&lt;Settings!$B$12,NA(),STDEV(OFFSET(G807,1,0,Settings!$B$12,1))*SQRT(Settings!$B$13)))</f>
        <v/>
      </c>
      <c r="O807" s="18">
        <f>IF(AND(ISNUMBER(E807),ISNUMBER(N807)),E807-N807,NA())</f>
        <v/>
      </c>
      <c r="P807" s="17">
        <f>IF(NOT(ISNUMBER($A807)),NA(),IF(OR($A807&lt;MIN(KW_TP!$A$2:$A$2501),$A807&gt;MAX(KW_TP!$A$2:$A$2501)),NA(),INDEX(KW_TP!$C$2:$C$2501,MATCH($A807,KW_TP!$A$2:$A$2501,1))))</f>
        <v/>
      </c>
    </row>
    <row r="808">
      <c r="A808" s="15">
        <f>IF(ISNUMBER(BBG_Data!A808),BBG_Data!A808,"")</f>
        <v/>
      </c>
      <c r="B808" s="16">
        <f>IF(AND(ISNUMBER($A808),ISNUMBER(BBG_Data!B808)),BBG_Data!B808,NA())</f>
        <v/>
      </c>
      <c r="C808" s="16">
        <f>IF(AND(ISNUMBER($A808),ISNUMBER(BBG_Data!C808)),BBG_Data!C808,NA())</f>
        <v/>
      </c>
      <c r="D808" s="17">
        <f>IF(AND(ISNUMBER($A808),ISNUMBER(BBG_Data!D808)),BBG_Data!D808,NA())</f>
        <v/>
      </c>
      <c r="E808" s="17">
        <f>IF(AND(ISNUMBER($A808),ISNUMBER(BBG_Data!E808)),BBG_Data!E808,NA())</f>
        <v/>
      </c>
      <c r="F808" s="18">
        <f>IF(AND(ISNUMBER(B808),ISNUMBER(B807)),(B808-B807)*100,"")</f>
        <v/>
      </c>
      <c r="G808" s="18">
        <f>IF(AND(ISNUMBER(C808),ISNUMBER(C807)),(C808-C807)*100,"")</f>
        <v/>
      </c>
      <c r="H808" s="18">
        <f>IF(OR(NOT(ISNUMBER($A808)),ROW()-2&lt;Settings!$B$11),NA(),IF(COUNT(OFFSET(F808,1-Settings!$B$11,0,Settings!$B$11,1))&lt;Settings!$B$11,NA(),STDEV(OFFSET(F808,1-Settings!$B$11,0,Settings!$B$11,1))*SQRT(Settings!$B$13)))</f>
        <v/>
      </c>
      <c r="I808" s="18">
        <f>IF(OR(NOT(ISNUMBER($A808)),ROW()-2&lt;Settings!$B$12),NA(),IF(COUNT(OFFSET(F808,1-Settings!$B$12,0,Settings!$B$12,1))&lt;Settings!$B$12,NA(),STDEV(OFFSET(F808,1-Settings!$B$12,0,Settings!$B$12,1))*SQRT(Settings!$B$13)))</f>
        <v/>
      </c>
      <c r="J808" s="18">
        <f>IF(OR(NOT(ISNUMBER($A808)),ROW()-2&lt;Settings!$B$11),NA(),IF(COUNT(OFFSET(G808,1-Settings!$B$11,0,Settings!$B$11,1))&lt;Settings!$B$11,NA(),STDEV(OFFSET(G808,1-Settings!$B$11,0,Settings!$B$11,1))*SQRT(Settings!$B$13)))</f>
        <v/>
      </c>
      <c r="K808" s="18">
        <f>IF(OR(NOT(ISNUMBER($A808)),ROW()-2&lt;Settings!$B$12),NA(),IF(COUNT(OFFSET(G808,1-Settings!$B$12,0,Settings!$B$12,1))&lt;Settings!$B$12,NA(),STDEV(OFFSET(G808,1-Settings!$B$12,0,Settings!$B$12,1))*SQRT(Settings!$B$13)))</f>
        <v/>
      </c>
      <c r="L808" s="18">
        <f>IF(AND(ISNUMBER(D808),ISNUMBER(H808)),D808-H808,NA())</f>
        <v/>
      </c>
      <c r="M808" s="18">
        <f>IF(AND(ISNUMBER(E808),ISNUMBER(K808)),E808-K808,NA())</f>
        <v/>
      </c>
      <c r="N808" s="18">
        <f>IF(NOT(ISNUMBER($A808)),NA(),IF(COUNT(OFFSET(G808,1,0,Settings!$B$12,1))&lt;Settings!$B$12,NA(),STDEV(OFFSET(G808,1,0,Settings!$B$12,1))*SQRT(Settings!$B$13)))</f>
        <v/>
      </c>
      <c r="O808" s="18">
        <f>IF(AND(ISNUMBER(E808),ISNUMBER(N808)),E808-N808,NA())</f>
        <v/>
      </c>
      <c r="P808" s="17">
        <f>IF(NOT(ISNUMBER($A808)),NA(),IF(OR($A808&lt;MIN(KW_TP!$A$2:$A$2501),$A808&gt;MAX(KW_TP!$A$2:$A$2501)),NA(),INDEX(KW_TP!$C$2:$C$2501,MATCH($A808,KW_TP!$A$2:$A$2501,1))))</f>
        <v/>
      </c>
    </row>
    <row r="809">
      <c r="A809" s="15">
        <f>IF(ISNUMBER(BBG_Data!A809),BBG_Data!A809,"")</f>
        <v/>
      </c>
      <c r="B809" s="16">
        <f>IF(AND(ISNUMBER($A809),ISNUMBER(BBG_Data!B809)),BBG_Data!B809,NA())</f>
        <v/>
      </c>
      <c r="C809" s="16">
        <f>IF(AND(ISNUMBER($A809),ISNUMBER(BBG_Data!C809)),BBG_Data!C809,NA())</f>
        <v/>
      </c>
      <c r="D809" s="17">
        <f>IF(AND(ISNUMBER($A809),ISNUMBER(BBG_Data!D809)),BBG_Data!D809,NA())</f>
        <v/>
      </c>
      <c r="E809" s="17">
        <f>IF(AND(ISNUMBER($A809),ISNUMBER(BBG_Data!E809)),BBG_Data!E809,NA())</f>
        <v/>
      </c>
      <c r="F809" s="18">
        <f>IF(AND(ISNUMBER(B809),ISNUMBER(B808)),(B809-B808)*100,"")</f>
        <v/>
      </c>
      <c r="G809" s="18">
        <f>IF(AND(ISNUMBER(C809),ISNUMBER(C808)),(C809-C808)*100,"")</f>
        <v/>
      </c>
      <c r="H809" s="18">
        <f>IF(OR(NOT(ISNUMBER($A809)),ROW()-2&lt;Settings!$B$11),NA(),IF(COUNT(OFFSET(F809,1-Settings!$B$11,0,Settings!$B$11,1))&lt;Settings!$B$11,NA(),STDEV(OFFSET(F809,1-Settings!$B$11,0,Settings!$B$11,1))*SQRT(Settings!$B$13)))</f>
        <v/>
      </c>
      <c r="I809" s="18">
        <f>IF(OR(NOT(ISNUMBER($A809)),ROW()-2&lt;Settings!$B$12),NA(),IF(COUNT(OFFSET(F809,1-Settings!$B$12,0,Settings!$B$12,1))&lt;Settings!$B$12,NA(),STDEV(OFFSET(F809,1-Settings!$B$12,0,Settings!$B$12,1))*SQRT(Settings!$B$13)))</f>
        <v/>
      </c>
      <c r="J809" s="18">
        <f>IF(OR(NOT(ISNUMBER($A809)),ROW()-2&lt;Settings!$B$11),NA(),IF(COUNT(OFFSET(G809,1-Settings!$B$11,0,Settings!$B$11,1))&lt;Settings!$B$11,NA(),STDEV(OFFSET(G809,1-Settings!$B$11,0,Settings!$B$11,1))*SQRT(Settings!$B$13)))</f>
        <v/>
      </c>
      <c r="K809" s="18">
        <f>IF(OR(NOT(ISNUMBER($A809)),ROW()-2&lt;Settings!$B$12),NA(),IF(COUNT(OFFSET(G809,1-Settings!$B$12,0,Settings!$B$12,1))&lt;Settings!$B$12,NA(),STDEV(OFFSET(G809,1-Settings!$B$12,0,Settings!$B$12,1))*SQRT(Settings!$B$13)))</f>
        <v/>
      </c>
      <c r="L809" s="18">
        <f>IF(AND(ISNUMBER(D809),ISNUMBER(H809)),D809-H809,NA())</f>
        <v/>
      </c>
      <c r="M809" s="18">
        <f>IF(AND(ISNUMBER(E809),ISNUMBER(K809)),E809-K809,NA())</f>
        <v/>
      </c>
      <c r="N809" s="18">
        <f>IF(NOT(ISNUMBER($A809)),NA(),IF(COUNT(OFFSET(G809,1,0,Settings!$B$12,1))&lt;Settings!$B$12,NA(),STDEV(OFFSET(G809,1,0,Settings!$B$12,1))*SQRT(Settings!$B$13)))</f>
        <v/>
      </c>
      <c r="O809" s="18">
        <f>IF(AND(ISNUMBER(E809),ISNUMBER(N809)),E809-N809,NA())</f>
        <v/>
      </c>
      <c r="P809" s="17">
        <f>IF(NOT(ISNUMBER($A809)),NA(),IF(OR($A809&lt;MIN(KW_TP!$A$2:$A$2501),$A809&gt;MAX(KW_TP!$A$2:$A$2501)),NA(),INDEX(KW_TP!$C$2:$C$2501,MATCH($A809,KW_TP!$A$2:$A$2501,1))))</f>
        <v/>
      </c>
    </row>
    <row r="810">
      <c r="A810" s="15">
        <f>IF(ISNUMBER(BBG_Data!A810),BBG_Data!A810,"")</f>
        <v/>
      </c>
      <c r="B810" s="16">
        <f>IF(AND(ISNUMBER($A810),ISNUMBER(BBG_Data!B810)),BBG_Data!B810,NA())</f>
        <v/>
      </c>
      <c r="C810" s="16">
        <f>IF(AND(ISNUMBER($A810),ISNUMBER(BBG_Data!C810)),BBG_Data!C810,NA())</f>
        <v/>
      </c>
      <c r="D810" s="17">
        <f>IF(AND(ISNUMBER($A810),ISNUMBER(BBG_Data!D810)),BBG_Data!D810,NA())</f>
        <v/>
      </c>
      <c r="E810" s="17">
        <f>IF(AND(ISNUMBER($A810),ISNUMBER(BBG_Data!E810)),BBG_Data!E810,NA())</f>
        <v/>
      </c>
      <c r="F810" s="18">
        <f>IF(AND(ISNUMBER(B810),ISNUMBER(B809)),(B810-B809)*100,"")</f>
        <v/>
      </c>
      <c r="G810" s="18">
        <f>IF(AND(ISNUMBER(C810),ISNUMBER(C809)),(C810-C809)*100,"")</f>
        <v/>
      </c>
      <c r="H810" s="18">
        <f>IF(OR(NOT(ISNUMBER($A810)),ROW()-2&lt;Settings!$B$11),NA(),IF(COUNT(OFFSET(F810,1-Settings!$B$11,0,Settings!$B$11,1))&lt;Settings!$B$11,NA(),STDEV(OFFSET(F810,1-Settings!$B$11,0,Settings!$B$11,1))*SQRT(Settings!$B$13)))</f>
        <v/>
      </c>
      <c r="I810" s="18">
        <f>IF(OR(NOT(ISNUMBER($A810)),ROW()-2&lt;Settings!$B$12),NA(),IF(COUNT(OFFSET(F810,1-Settings!$B$12,0,Settings!$B$12,1))&lt;Settings!$B$12,NA(),STDEV(OFFSET(F810,1-Settings!$B$12,0,Settings!$B$12,1))*SQRT(Settings!$B$13)))</f>
        <v/>
      </c>
      <c r="J810" s="18">
        <f>IF(OR(NOT(ISNUMBER($A810)),ROW()-2&lt;Settings!$B$11),NA(),IF(COUNT(OFFSET(G810,1-Settings!$B$11,0,Settings!$B$11,1))&lt;Settings!$B$11,NA(),STDEV(OFFSET(G810,1-Settings!$B$11,0,Settings!$B$11,1))*SQRT(Settings!$B$13)))</f>
        <v/>
      </c>
      <c r="K810" s="18">
        <f>IF(OR(NOT(ISNUMBER($A810)),ROW()-2&lt;Settings!$B$12),NA(),IF(COUNT(OFFSET(G810,1-Settings!$B$12,0,Settings!$B$12,1))&lt;Settings!$B$12,NA(),STDEV(OFFSET(G810,1-Settings!$B$12,0,Settings!$B$12,1))*SQRT(Settings!$B$13)))</f>
        <v/>
      </c>
      <c r="L810" s="18">
        <f>IF(AND(ISNUMBER(D810),ISNUMBER(H810)),D810-H810,NA())</f>
        <v/>
      </c>
      <c r="M810" s="18">
        <f>IF(AND(ISNUMBER(E810),ISNUMBER(K810)),E810-K810,NA())</f>
        <v/>
      </c>
      <c r="N810" s="18">
        <f>IF(NOT(ISNUMBER($A810)),NA(),IF(COUNT(OFFSET(G810,1,0,Settings!$B$12,1))&lt;Settings!$B$12,NA(),STDEV(OFFSET(G810,1,0,Settings!$B$12,1))*SQRT(Settings!$B$13)))</f>
        <v/>
      </c>
      <c r="O810" s="18">
        <f>IF(AND(ISNUMBER(E810),ISNUMBER(N810)),E810-N810,NA())</f>
        <v/>
      </c>
      <c r="P810" s="17">
        <f>IF(NOT(ISNUMBER($A810)),NA(),IF(OR($A810&lt;MIN(KW_TP!$A$2:$A$2501),$A810&gt;MAX(KW_TP!$A$2:$A$2501)),NA(),INDEX(KW_TP!$C$2:$C$2501,MATCH($A810,KW_TP!$A$2:$A$2501,1))))</f>
        <v/>
      </c>
    </row>
    <row r="811">
      <c r="A811" s="15">
        <f>IF(ISNUMBER(BBG_Data!A811),BBG_Data!A811,"")</f>
        <v/>
      </c>
      <c r="B811" s="16">
        <f>IF(AND(ISNUMBER($A811),ISNUMBER(BBG_Data!B811)),BBG_Data!B811,NA())</f>
        <v/>
      </c>
      <c r="C811" s="16">
        <f>IF(AND(ISNUMBER($A811),ISNUMBER(BBG_Data!C811)),BBG_Data!C811,NA())</f>
        <v/>
      </c>
      <c r="D811" s="17">
        <f>IF(AND(ISNUMBER($A811),ISNUMBER(BBG_Data!D811)),BBG_Data!D811,NA())</f>
        <v/>
      </c>
      <c r="E811" s="17">
        <f>IF(AND(ISNUMBER($A811),ISNUMBER(BBG_Data!E811)),BBG_Data!E811,NA())</f>
        <v/>
      </c>
      <c r="F811" s="18">
        <f>IF(AND(ISNUMBER(B811),ISNUMBER(B810)),(B811-B810)*100,"")</f>
        <v/>
      </c>
      <c r="G811" s="18">
        <f>IF(AND(ISNUMBER(C811),ISNUMBER(C810)),(C811-C810)*100,"")</f>
        <v/>
      </c>
      <c r="H811" s="18">
        <f>IF(OR(NOT(ISNUMBER($A811)),ROW()-2&lt;Settings!$B$11),NA(),IF(COUNT(OFFSET(F811,1-Settings!$B$11,0,Settings!$B$11,1))&lt;Settings!$B$11,NA(),STDEV(OFFSET(F811,1-Settings!$B$11,0,Settings!$B$11,1))*SQRT(Settings!$B$13)))</f>
        <v/>
      </c>
      <c r="I811" s="18">
        <f>IF(OR(NOT(ISNUMBER($A811)),ROW()-2&lt;Settings!$B$12),NA(),IF(COUNT(OFFSET(F811,1-Settings!$B$12,0,Settings!$B$12,1))&lt;Settings!$B$12,NA(),STDEV(OFFSET(F811,1-Settings!$B$12,0,Settings!$B$12,1))*SQRT(Settings!$B$13)))</f>
        <v/>
      </c>
      <c r="J811" s="18">
        <f>IF(OR(NOT(ISNUMBER($A811)),ROW()-2&lt;Settings!$B$11),NA(),IF(COUNT(OFFSET(G811,1-Settings!$B$11,0,Settings!$B$11,1))&lt;Settings!$B$11,NA(),STDEV(OFFSET(G811,1-Settings!$B$11,0,Settings!$B$11,1))*SQRT(Settings!$B$13)))</f>
        <v/>
      </c>
      <c r="K811" s="18">
        <f>IF(OR(NOT(ISNUMBER($A811)),ROW()-2&lt;Settings!$B$12),NA(),IF(COUNT(OFFSET(G811,1-Settings!$B$12,0,Settings!$B$12,1))&lt;Settings!$B$12,NA(),STDEV(OFFSET(G811,1-Settings!$B$12,0,Settings!$B$12,1))*SQRT(Settings!$B$13)))</f>
        <v/>
      </c>
      <c r="L811" s="18">
        <f>IF(AND(ISNUMBER(D811),ISNUMBER(H811)),D811-H811,NA())</f>
        <v/>
      </c>
      <c r="M811" s="18">
        <f>IF(AND(ISNUMBER(E811),ISNUMBER(K811)),E811-K811,NA())</f>
        <v/>
      </c>
      <c r="N811" s="18">
        <f>IF(NOT(ISNUMBER($A811)),NA(),IF(COUNT(OFFSET(G811,1,0,Settings!$B$12,1))&lt;Settings!$B$12,NA(),STDEV(OFFSET(G811,1,0,Settings!$B$12,1))*SQRT(Settings!$B$13)))</f>
        <v/>
      </c>
      <c r="O811" s="18">
        <f>IF(AND(ISNUMBER(E811),ISNUMBER(N811)),E811-N811,NA())</f>
        <v/>
      </c>
      <c r="P811" s="17">
        <f>IF(NOT(ISNUMBER($A811)),NA(),IF(OR($A811&lt;MIN(KW_TP!$A$2:$A$2501),$A811&gt;MAX(KW_TP!$A$2:$A$2501)),NA(),INDEX(KW_TP!$C$2:$C$2501,MATCH($A811,KW_TP!$A$2:$A$2501,1))))</f>
        <v/>
      </c>
    </row>
    <row r="812">
      <c r="A812" s="15">
        <f>IF(ISNUMBER(BBG_Data!A812),BBG_Data!A812,"")</f>
        <v/>
      </c>
      <c r="B812" s="16">
        <f>IF(AND(ISNUMBER($A812),ISNUMBER(BBG_Data!B812)),BBG_Data!B812,NA())</f>
        <v/>
      </c>
      <c r="C812" s="16">
        <f>IF(AND(ISNUMBER($A812),ISNUMBER(BBG_Data!C812)),BBG_Data!C812,NA())</f>
        <v/>
      </c>
      <c r="D812" s="17">
        <f>IF(AND(ISNUMBER($A812),ISNUMBER(BBG_Data!D812)),BBG_Data!D812,NA())</f>
        <v/>
      </c>
      <c r="E812" s="17">
        <f>IF(AND(ISNUMBER($A812),ISNUMBER(BBG_Data!E812)),BBG_Data!E812,NA())</f>
        <v/>
      </c>
      <c r="F812" s="18">
        <f>IF(AND(ISNUMBER(B812),ISNUMBER(B811)),(B812-B811)*100,"")</f>
        <v/>
      </c>
      <c r="G812" s="18">
        <f>IF(AND(ISNUMBER(C812),ISNUMBER(C811)),(C812-C811)*100,"")</f>
        <v/>
      </c>
      <c r="H812" s="18">
        <f>IF(OR(NOT(ISNUMBER($A812)),ROW()-2&lt;Settings!$B$11),NA(),IF(COUNT(OFFSET(F812,1-Settings!$B$11,0,Settings!$B$11,1))&lt;Settings!$B$11,NA(),STDEV(OFFSET(F812,1-Settings!$B$11,0,Settings!$B$11,1))*SQRT(Settings!$B$13)))</f>
        <v/>
      </c>
      <c r="I812" s="18">
        <f>IF(OR(NOT(ISNUMBER($A812)),ROW()-2&lt;Settings!$B$12),NA(),IF(COUNT(OFFSET(F812,1-Settings!$B$12,0,Settings!$B$12,1))&lt;Settings!$B$12,NA(),STDEV(OFFSET(F812,1-Settings!$B$12,0,Settings!$B$12,1))*SQRT(Settings!$B$13)))</f>
        <v/>
      </c>
      <c r="J812" s="18">
        <f>IF(OR(NOT(ISNUMBER($A812)),ROW()-2&lt;Settings!$B$11),NA(),IF(COUNT(OFFSET(G812,1-Settings!$B$11,0,Settings!$B$11,1))&lt;Settings!$B$11,NA(),STDEV(OFFSET(G812,1-Settings!$B$11,0,Settings!$B$11,1))*SQRT(Settings!$B$13)))</f>
        <v/>
      </c>
      <c r="K812" s="18">
        <f>IF(OR(NOT(ISNUMBER($A812)),ROW()-2&lt;Settings!$B$12),NA(),IF(COUNT(OFFSET(G812,1-Settings!$B$12,0,Settings!$B$12,1))&lt;Settings!$B$12,NA(),STDEV(OFFSET(G812,1-Settings!$B$12,0,Settings!$B$12,1))*SQRT(Settings!$B$13)))</f>
        <v/>
      </c>
      <c r="L812" s="18">
        <f>IF(AND(ISNUMBER(D812),ISNUMBER(H812)),D812-H812,NA())</f>
        <v/>
      </c>
      <c r="M812" s="18">
        <f>IF(AND(ISNUMBER(E812),ISNUMBER(K812)),E812-K812,NA())</f>
        <v/>
      </c>
      <c r="N812" s="18">
        <f>IF(NOT(ISNUMBER($A812)),NA(),IF(COUNT(OFFSET(G812,1,0,Settings!$B$12,1))&lt;Settings!$B$12,NA(),STDEV(OFFSET(G812,1,0,Settings!$B$12,1))*SQRT(Settings!$B$13)))</f>
        <v/>
      </c>
      <c r="O812" s="18">
        <f>IF(AND(ISNUMBER(E812),ISNUMBER(N812)),E812-N812,NA())</f>
        <v/>
      </c>
      <c r="P812" s="17">
        <f>IF(NOT(ISNUMBER($A812)),NA(),IF(OR($A812&lt;MIN(KW_TP!$A$2:$A$2501),$A812&gt;MAX(KW_TP!$A$2:$A$2501)),NA(),INDEX(KW_TP!$C$2:$C$2501,MATCH($A812,KW_TP!$A$2:$A$2501,1))))</f>
        <v/>
      </c>
    </row>
    <row r="813">
      <c r="A813" s="15">
        <f>IF(ISNUMBER(BBG_Data!A813),BBG_Data!A813,"")</f>
        <v/>
      </c>
      <c r="B813" s="16">
        <f>IF(AND(ISNUMBER($A813),ISNUMBER(BBG_Data!B813)),BBG_Data!B813,NA())</f>
        <v/>
      </c>
      <c r="C813" s="16">
        <f>IF(AND(ISNUMBER($A813),ISNUMBER(BBG_Data!C813)),BBG_Data!C813,NA())</f>
        <v/>
      </c>
      <c r="D813" s="17">
        <f>IF(AND(ISNUMBER($A813),ISNUMBER(BBG_Data!D813)),BBG_Data!D813,NA())</f>
        <v/>
      </c>
      <c r="E813" s="17">
        <f>IF(AND(ISNUMBER($A813),ISNUMBER(BBG_Data!E813)),BBG_Data!E813,NA())</f>
        <v/>
      </c>
      <c r="F813" s="18">
        <f>IF(AND(ISNUMBER(B813),ISNUMBER(B812)),(B813-B812)*100,"")</f>
        <v/>
      </c>
      <c r="G813" s="18">
        <f>IF(AND(ISNUMBER(C813),ISNUMBER(C812)),(C813-C812)*100,"")</f>
        <v/>
      </c>
      <c r="H813" s="18">
        <f>IF(OR(NOT(ISNUMBER($A813)),ROW()-2&lt;Settings!$B$11),NA(),IF(COUNT(OFFSET(F813,1-Settings!$B$11,0,Settings!$B$11,1))&lt;Settings!$B$11,NA(),STDEV(OFFSET(F813,1-Settings!$B$11,0,Settings!$B$11,1))*SQRT(Settings!$B$13)))</f>
        <v/>
      </c>
      <c r="I813" s="18">
        <f>IF(OR(NOT(ISNUMBER($A813)),ROW()-2&lt;Settings!$B$12),NA(),IF(COUNT(OFFSET(F813,1-Settings!$B$12,0,Settings!$B$12,1))&lt;Settings!$B$12,NA(),STDEV(OFFSET(F813,1-Settings!$B$12,0,Settings!$B$12,1))*SQRT(Settings!$B$13)))</f>
        <v/>
      </c>
      <c r="J813" s="18">
        <f>IF(OR(NOT(ISNUMBER($A813)),ROW()-2&lt;Settings!$B$11),NA(),IF(COUNT(OFFSET(G813,1-Settings!$B$11,0,Settings!$B$11,1))&lt;Settings!$B$11,NA(),STDEV(OFFSET(G813,1-Settings!$B$11,0,Settings!$B$11,1))*SQRT(Settings!$B$13)))</f>
        <v/>
      </c>
      <c r="K813" s="18">
        <f>IF(OR(NOT(ISNUMBER($A813)),ROW()-2&lt;Settings!$B$12),NA(),IF(COUNT(OFFSET(G813,1-Settings!$B$12,0,Settings!$B$12,1))&lt;Settings!$B$12,NA(),STDEV(OFFSET(G813,1-Settings!$B$12,0,Settings!$B$12,1))*SQRT(Settings!$B$13)))</f>
        <v/>
      </c>
      <c r="L813" s="18">
        <f>IF(AND(ISNUMBER(D813),ISNUMBER(H813)),D813-H813,NA())</f>
        <v/>
      </c>
      <c r="M813" s="18">
        <f>IF(AND(ISNUMBER(E813),ISNUMBER(K813)),E813-K813,NA())</f>
        <v/>
      </c>
      <c r="N813" s="18">
        <f>IF(NOT(ISNUMBER($A813)),NA(),IF(COUNT(OFFSET(G813,1,0,Settings!$B$12,1))&lt;Settings!$B$12,NA(),STDEV(OFFSET(G813,1,0,Settings!$B$12,1))*SQRT(Settings!$B$13)))</f>
        <v/>
      </c>
      <c r="O813" s="18">
        <f>IF(AND(ISNUMBER(E813),ISNUMBER(N813)),E813-N813,NA())</f>
        <v/>
      </c>
      <c r="P813" s="17">
        <f>IF(NOT(ISNUMBER($A813)),NA(),IF(OR($A813&lt;MIN(KW_TP!$A$2:$A$2501),$A813&gt;MAX(KW_TP!$A$2:$A$2501)),NA(),INDEX(KW_TP!$C$2:$C$2501,MATCH($A813,KW_TP!$A$2:$A$2501,1))))</f>
        <v/>
      </c>
    </row>
    <row r="814">
      <c r="A814" s="15">
        <f>IF(ISNUMBER(BBG_Data!A814),BBG_Data!A814,"")</f>
        <v/>
      </c>
      <c r="B814" s="16">
        <f>IF(AND(ISNUMBER($A814),ISNUMBER(BBG_Data!B814)),BBG_Data!B814,NA())</f>
        <v/>
      </c>
      <c r="C814" s="16">
        <f>IF(AND(ISNUMBER($A814),ISNUMBER(BBG_Data!C814)),BBG_Data!C814,NA())</f>
        <v/>
      </c>
      <c r="D814" s="17">
        <f>IF(AND(ISNUMBER($A814),ISNUMBER(BBG_Data!D814)),BBG_Data!D814,NA())</f>
        <v/>
      </c>
      <c r="E814" s="17">
        <f>IF(AND(ISNUMBER($A814),ISNUMBER(BBG_Data!E814)),BBG_Data!E814,NA())</f>
        <v/>
      </c>
      <c r="F814" s="18">
        <f>IF(AND(ISNUMBER(B814),ISNUMBER(B813)),(B814-B813)*100,"")</f>
        <v/>
      </c>
      <c r="G814" s="18">
        <f>IF(AND(ISNUMBER(C814),ISNUMBER(C813)),(C814-C813)*100,"")</f>
        <v/>
      </c>
      <c r="H814" s="18">
        <f>IF(OR(NOT(ISNUMBER($A814)),ROW()-2&lt;Settings!$B$11),NA(),IF(COUNT(OFFSET(F814,1-Settings!$B$11,0,Settings!$B$11,1))&lt;Settings!$B$11,NA(),STDEV(OFFSET(F814,1-Settings!$B$11,0,Settings!$B$11,1))*SQRT(Settings!$B$13)))</f>
        <v/>
      </c>
      <c r="I814" s="18">
        <f>IF(OR(NOT(ISNUMBER($A814)),ROW()-2&lt;Settings!$B$12),NA(),IF(COUNT(OFFSET(F814,1-Settings!$B$12,0,Settings!$B$12,1))&lt;Settings!$B$12,NA(),STDEV(OFFSET(F814,1-Settings!$B$12,0,Settings!$B$12,1))*SQRT(Settings!$B$13)))</f>
        <v/>
      </c>
      <c r="J814" s="18">
        <f>IF(OR(NOT(ISNUMBER($A814)),ROW()-2&lt;Settings!$B$11),NA(),IF(COUNT(OFFSET(G814,1-Settings!$B$11,0,Settings!$B$11,1))&lt;Settings!$B$11,NA(),STDEV(OFFSET(G814,1-Settings!$B$11,0,Settings!$B$11,1))*SQRT(Settings!$B$13)))</f>
        <v/>
      </c>
      <c r="K814" s="18">
        <f>IF(OR(NOT(ISNUMBER($A814)),ROW()-2&lt;Settings!$B$12),NA(),IF(COUNT(OFFSET(G814,1-Settings!$B$12,0,Settings!$B$12,1))&lt;Settings!$B$12,NA(),STDEV(OFFSET(G814,1-Settings!$B$12,0,Settings!$B$12,1))*SQRT(Settings!$B$13)))</f>
        <v/>
      </c>
      <c r="L814" s="18">
        <f>IF(AND(ISNUMBER(D814),ISNUMBER(H814)),D814-H814,NA())</f>
        <v/>
      </c>
      <c r="M814" s="18">
        <f>IF(AND(ISNUMBER(E814),ISNUMBER(K814)),E814-K814,NA())</f>
        <v/>
      </c>
      <c r="N814" s="18">
        <f>IF(NOT(ISNUMBER($A814)),NA(),IF(COUNT(OFFSET(G814,1,0,Settings!$B$12,1))&lt;Settings!$B$12,NA(),STDEV(OFFSET(G814,1,0,Settings!$B$12,1))*SQRT(Settings!$B$13)))</f>
        <v/>
      </c>
      <c r="O814" s="18">
        <f>IF(AND(ISNUMBER(E814),ISNUMBER(N814)),E814-N814,NA())</f>
        <v/>
      </c>
      <c r="P814" s="17">
        <f>IF(NOT(ISNUMBER($A814)),NA(),IF(OR($A814&lt;MIN(KW_TP!$A$2:$A$2501),$A814&gt;MAX(KW_TP!$A$2:$A$2501)),NA(),INDEX(KW_TP!$C$2:$C$2501,MATCH($A814,KW_TP!$A$2:$A$2501,1))))</f>
        <v/>
      </c>
    </row>
    <row r="815">
      <c r="A815" s="15">
        <f>IF(ISNUMBER(BBG_Data!A815),BBG_Data!A815,"")</f>
        <v/>
      </c>
      <c r="B815" s="16">
        <f>IF(AND(ISNUMBER($A815),ISNUMBER(BBG_Data!B815)),BBG_Data!B815,NA())</f>
        <v/>
      </c>
      <c r="C815" s="16">
        <f>IF(AND(ISNUMBER($A815),ISNUMBER(BBG_Data!C815)),BBG_Data!C815,NA())</f>
        <v/>
      </c>
      <c r="D815" s="17">
        <f>IF(AND(ISNUMBER($A815),ISNUMBER(BBG_Data!D815)),BBG_Data!D815,NA())</f>
        <v/>
      </c>
      <c r="E815" s="17">
        <f>IF(AND(ISNUMBER($A815),ISNUMBER(BBG_Data!E815)),BBG_Data!E815,NA())</f>
        <v/>
      </c>
      <c r="F815" s="18">
        <f>IF(AND(ISNUMBER(B815),ISNUMBER(B814)),(B815-B814)*100,"")</f>
        <v/>
      </c>
      <c r="G815" s="18">
        <f>IF(AND(ISNUMBER(C815),ISNUMBER(C814)),(C815-C814)*100,"")</f>
        <v/>
      </c>
      <c r="H815" s="18">
        <f>IF(OR(NOT(ISNUMBER($A815)),ROW()-2&lt;Settings!$B$11),NA(),IF(COUNT(OFFSET(F815,1-Settings!$B$11,0,Settings!$B$11,1))&lt;Settings!$B$11,NA(),STDEV(OFFSET(F815,1-Settings!$B$11,0,Settings!$B$11,1))*SQRT(Settings!$B$13)))</f>
        <v/>
      </c>
      <c r="I815" s="18">
        <f>IF(OR(NOT(ISNUMBER($A815)),ROW()-2&lt;Settings!$B$12),NA(),IF(COUNT(OFFSET(F815,1-Settings!$B$12,0,Settings!$B$12,1))&lt;Settings!$B$12,NA(),STDEV(OFFSET(F815,1-Settings!$B$12,0,Settings!$B$12,1))*SQRT(Settings!$B$13)))</f>
        <v/>
      </c>
      <c r="J815" s="18">
        <f>IF(OR(NOT(ISNUMBER($A815)),ROW()-2&lt;Settings!$B$11),NA(),IF(COUNT(OFFSET(G815,1-Settings!$B$11,0,Settings!$B$11,1))&lt;Settings!$B$11,NA(),STDEV(OFFSET(G815,1-Settings!$B$11,0,Settings!$B$11,1))*SQRT(Settings!$B$13)))</f>
        <v/>
      </c>
      <c r="K815" s="18">
        <f>IF(OR(NOT(ISNUMBER($A815)),ROW()-2&lt;Settings!$B$12),NA(),IF(COUNT(OFFSET(G815,1-Settings!$B$12,0,Settings!$B$12,1))&lt;Settings!$B$12,NA(),STDEV(OFFSET(G815,1-Settings!$B$12,0,Settings!$B$12,1))*SQRT(Settings!$B$13)))</f>
        <v/>
      </c>
      <c r="L815" s="18">
        <f>IF(AND(ISNUMBER(D815),ISNUMBER(H815)),D815-H815,NA())</f>
        <v/>
      </c>
      <c r="M815" s="18">
        <f>IF(AND(ISNUMBER(E815),ISNUMBER(K815)),E815-K815,NA())</f>
        <v/>
      </c>
      <c r="N815" s="18">
        <f>IF(NOT(ISNUMBER($A815)),NA(),IF(COUNT(OFFSET(G815,1,0,Settings!$B$12,1))&lt;Settings!$B$12,NA(),STDEV(OFFSET(G815,1,0,Settings!$B$12,1))*SQRT(Settings!$B$13)))</f>
        <v/>
      </c>
      <c r="O815" s="18">
        <f>IF(AND(ISNUMBER(E815),ISNUMBER(N815)),E815-N815,NA())</f>
        <v/>
      </c>
      <c r="P815" s="17">
        <f>IF(NOT(ISNUMBER($A815)),NA(),IF(OR($A815&lt;MIN(KW_TP!$A$2:$A$2501),$A815&gt;MAX(KW_TP!$A$2:$A$2501)),NA(),INDEX(KW_TP!$C$2:$C$2501,MATCH($A815,KW_TP!$A$2:$A$2501,1))))</f>
        <v/>
      </c>
    </row>
    <row r="816">
      <c r="A816" s="15">
        <f>IF(ISNUMBER(BBG_Data!A816),BBG_Data!A816,"")</f>
        <v/>
      </c>
      <c r="B816" s="16">
        <f>IF(AND(ISNUMBER($A816),ISNUMBER(BBG_Data!B816)),BBG_Data!B816,NA())</f>
        <v/>
      </c>
      <c r="C816" s="16">
        <f>IF(AND(ISNUMBER($A816),ISNUMBER(BBG_Data!C816)),BBG_Data!C816,NA())</f>
        <v/>
      </c>
      <c r="D816" s="17">
        <f>IF(AND(ISNUMBER($A816),ISNUMBER(BBG_Data!D816)),BBG_Data!D816,NA())</f>
        <v/>
      </c>
      <c r="E816" s="17">
        <f>IF(AND(ISNUMBER($A816),ISNUMBER(BBG_Data!E816)),BBG_Data!E816,NA())</f>
        <v/>
      </c>
      <c r="F816" s="18">
        <f>IF(AND(ISNUMBER(B816),ISNUMBER(B815)),(B816-B815)*100,"")</f>
        <v/>
      </c>
      <c r="G816" s="18">
        <f>IF(AND(ISNUMBER(C816),ISNUMBER(C815)),(C816-C815)*100,"")</f>
        <v/>
      </c>
      <c r="H816" s="18">
        <f>IF(OR(NOT(ISNUMBER($A816)),ROW()-2&lt;Settings!$B$11),NA(),IF(COUNT(OFFSET(F816,1-Settings!$B$11,0,Settings!$B$11,1))&lt;Settings!$B$11,NA(),STDEV(OFFSET(F816,1-Settings!$B$11,0,Settings!$B$11,1))*SQRT(Settings!$B$13)))</f>
        <v/>
      </c>
      <c r="I816" s="18">
        <f>IF(OR(NOT(ISNUMBER($A816)),ROW()-2&lt;Settings!$B$12),NA(),IF(COUNT(OFFSET(F816,1-Settings!$B$12,0,Settings!$B$12,1))&lt;Settings!$B$12,NA(),STDEV(OFFSET(F816,1-Settings!$B$12,0,Settings!$B$12,1))*SQRT(Settings!$B$13)))</f>
        <v/>
      </c>
      <c r="J816" s="18">
        <f>IF(OR(NOT(ISNUMBER($A816)),ROW()-2&lt;Settings!$B$11),NA(),IF(COUNT(OFFSET(G816,1-Settings!$B$11,0,Settings!$B$11,1))&lt;Settings!$B$11,NA(),STDEV(OFFSET(G816,1-Settings!$B$11,0,Settings!$B$11,1))*SQRT(Settings!$B$13)))</f>
        <v/>
      </c>
      <c r="K816" s="18">
        <f>IF(OR(NOT(ISNUMBER($A816)),ROW()-2&lt;Settings!$B$12),NA(),IF(COUNT(OFFSET(G816,1-Settings!$B$12,0,Settings!$B$12,1))&lt;Settings!$B$12,NA(),STDEV(OFFSET(G816,1-Settings!$B$12,0,Settings!$B$12,1))*SQRT(Settings!$B$13)))</f>
        <v/>
      </c>
      <c r="L816" s="18">
        <f>IF(AND(ISNUMBER(D816),ISNUMBER(H816)),D816-H816,NA())</f>
        <v/>
      </c>
      <c r="M816" s="18">
        <f>IF(AND(ISNUMBER(E816),ISNUMBER(K816)),E816-K816,NA())</f>
        <v/>
      </c>
      <c r="N816" s="18">
        <f>IF(NOT(ISNUMBER($A816)),NA(),IF(COUNT(OFFSET(G816,1,0,Settings!$B$12,1))&lt;Settings!$B$12,NA(),STDEV(OFFSET(G816,1,0,Settings!$B$12,1))*SQRT(Settings!$B$13)))</f>
        <v/>
      </c>
      <c r="O816" s="18">
        <f>IF(AND(ISNUMBER(E816),ISNUMBER(N816)),E816-N816,NA())</f>
        <v/>
      </c>
      <c r="P816" s="17">
        <f>IF(NOT(ISNUMBER($A816)),NA(),IF(OR($A816&lt;MIN(KW_TP!$A$2:$A$2501),$A816&gt;MAX(KW_TP!$A$2:$A$2501)),NA(),INDEX(KW_TP!$C$2:$C$2501,MATCH($A816,KW_TP!$A$2:$A$2501,1))))</f>
        <v/>
      </c>
    </row>
    <row r="817">
      <c r="A817" s="15">
        <f>IF(ISNUMBER(BBG_Data!A817),BBG_Data!A817,"")</f>
        <v/>
      </c>
      <c r="B817" s="16">
        <f>IF(AND(ISNUMBER($A817),ISNUMBER(BBG_Data!B817)),BBG_Data!B817,NA())</f>
        <v/>
      </c>
      <c r="C817" s="16">
        <f>IF(AND(ISNUMBER($A817),ISNUMBER(BBG_Data!C817)),BBG_Data!C817,NA())</f>
        <v/>
      </c>
      <c r="D817" s="17">
        <f>IF(AND(ISNUMBER($A817),ISNUMBER(BBG_Data!D817)),BBG_Data!D817,NA())</f>
        <v/>
      </c>
      <c r="E817" s="17">
        <f>IF(AND(ISNUMBER($A817),ISNUMBER(BBG_Data!E817)),BBG_Data!E817,NA())</f>
        <v/>
      </c>
      <c r="F817" s="18">
        <f>IF(AND(ISNUMBER(B817),ISNUMBER(B816)),(B817-B816)*100,"")</f>
        <v/>
      </c>
      <c r="G817" s="18">
        <f>IF(AND(ISNUMBER(C817),ISNUMBER(C816)),(C817-C816)*100,"")</f>
        <v/>
      </c>
      <c r="H817" s="18">
        <f>IF(OR(NOT(ISNUMBER($A817)),ROW()-2&lt;Settings!$B$11),NA(),IF(COUNT(OFFSET(F817,1-Settings!$B$11,0,Settings!$B$11,1))&lt;Settings!$B$11,NA(),STDEV(OFFSET(F817,1-Settings!$B$11,0,Settings!$B$11,1))*SQRT(Settings!$B$13)))</f>
        <v/>
      </c>
      <c r="I817" s="18">
        <f>IF(OR(NOT(ISNUMBER($A817)),ROW()-2&lt;Settings!$B$12),NA(),IF(COUNT(OFFSET(F817,1-Settings!$B$12,0,Settings!$B$12,1))&lt;Settings!$B$12,NA(),STDEV(OFFSET(F817,1-Settings!$B$12,0,Settings!$B$12,1))*SQRT(Settings!$B$13)))</f>
        <v/>
      </c>
      <c r="J817" s="18">
        <f>IF(OR(NOT(ISNUMBER($A817)),ROW()-2&lt;Settings!$B$11),NA(),IF(COUNT(OFFSET(G817,1-Settings!$B$11,0,Settings!$B$11,1))&lt;Settings!$B$11,NA(),STDEV(OFFSET(G817,1-Settings!$B$11,0,Settings!$B$11,1))*SQRT(Settings!$B$13)))</f>
        <v/>
      </c>
      <c r="K817" s="18">
        <f>IF(OR(NOT(ISNUMBER($A817)),ROW()-2&lt;Settings!$B$12),NA(),IF(COUNT(OFFSET(G817,1-Settings!$B$12,0,Settings!$B$12,1))&lt;Settings!$B$12,NA(),STDEV(OFFSET(G817,1-Settings!$B$12,0,Settings!$B$12,1))*SQRT(Settings!$B$13)))</f>
        <v/>
      </c>
      <c r="L817" s="18">
        <f>IF(AND(ISNUMBER(D817),ISNUMBER(H817)),D817-H817,NA())</f>
        <v/>
      </c>
      <c r="M817" s="18">
        <f>IF(AND(ISNUMBER(E817),ISNUMBER(K817)),E817-K817,NA())</f>
        <v/>
      </c>
      <c r="N817" s="18">
        <f>IF(NOT(ISNUMBER($A817)),NA(),IF(COUNT(OFFSET(G817,1,0,Settings!$B$12,1))&lt;Settings!$B$12,NA(),STDEV(OFFSET(G817,1,0,Settings!$B$12,1))*SQRT(Settings!$B$13)))</f>
        <v/>
      </c>
      <c r="O817" s="18">
        <f>IF(AND(ISNUMBER(E817),ISNUMBER(N817)),E817-N817,NA())</f>
        <v/>
      </c>
      <c r="P817" s="17">
        <f>IF(NOT(ISNUMBER($A817)),NA(),IF(OR($A817&lt;MIN(KW_TP!$A$2:$A$2501),$A817&gt;MAX(KW_TP!$A$2:$A$2501)),NA(),INDEX(KW_TP!$C$2:$C$2501,MATCH($A817,KW_TP!$A$2:$A$2501,1))))</f>
        <v/>
      </c>
    </row>
    <row r="818">
      <c r="A818" s="15">
        <f>IF(ISNUMBER(BBG_Data!A818),BBG_Data!A818,"")</f>
        <v/>
      </c>
      <c r="B818" s="16">
        <f>IF(AND(ISNUMBER($A818),ISNUMBER(BBG_Data!B818)),BBG_Data!B818,NA())</f>
        <v/>
      </c>
      <c r="C818" s="16">
        <f>IF(AND(ISNUMBER($A818),ISNUMBER(BBG_Data!C818)),BBG_Data!C818,NA())</f>
        <v/>
      </c>
      <c r="D818" s="17">
        <f>IF(AND(ISNUMBER($A818),ISNUMBER(BBG_Data!D818)),BBG_Data!D818,NA())</f>
        <v/>
      </c>
      <c r="E818" s="17">
        <f>IF(AND(ISNUMBER($A818),ISNUMBER(BBG_Data!E818)),BBG_Data!E818,NA())</f>
        <v/>
      </c>
      <c r="F818" s="18">
        <f>IF(AND(ISNUMBER(B818),ISNUMBER(B817)),(B818-B817)*100,"")</f>
        <v/>
      </c>
      <c r="G818" s="18">
        <f>IF(AND(ISNUMBER(C818),ISNUMBER(C817)),(C818-C817)*100,"")</f>
        <v/>
      </c>
      <c r="H818" s="18">
        <f>IF(OR(NOT(ISNUMBER($A818)),ROW()-2&lt;Settings!$B$11),NA(),IF(COUNT(OFFSET(F818,1-Settings!$B$11,0,Settings!$B$11,1))&lt;Settings!$B$11,NA(),STDEV(OFFSET(F818,1-Settings!$B$11,0,Settings!$B$11,1))*SQRT(Settings!$B$13)))</f>
        <v/>
      </c>
      <c r="I818" s="18">
        <f>IF(OR(NOT(ISNUMBER($A818)),ROW()-2&lt;Settings!$B$12),NA(),IF(COUNT(OFFSET(F818,1-Settings!$B$12,0,Settings!$B$12,1))&lt;Settings!$B$12,NA(),STDEV(OFFSET(F818,1-Settings!$B$12,0,Settings!$B$12,1))*SQRT(Settings!$B$13)))</f>
        <v/>
      </c>
      <c r="J818" s="18">
        <f>IF(OR(NOT(ISNUMBER($A818)),ROW()-2&lt;Settings!$B$11),NA(),IF(COUNT(OFFSET(G818,1-Settings!$B$11,0,Settings!$B$11,1))&lt;Settings!$B$11,NA(),STDEV(OFFSET(G818,1-Settings!$B$11,0,Settings!$B$11,1))*SQRT(Settings!$B$13)))</f>
        <v/>
      </c>
      <c r="K818" s="18">
        <f>IF(OR(NOT(ISNUMBER($A818)),ROW()-2&lt;Settings!$B$12),NA(),IF(COUNT(OFFSET(G818,1-Settings!$B$12,0,Settings!$B$12,1))&lt;Settings!$B$12,NA(),STDEV(OFFSET(G818,1-Settings!$B$12,0,Settings!$B$12,1))*SQRT(Settings!$B$13)))</f>
        <v/>
      </c>
      <c r="L818" s="18">
        <f>IF(AND(ISNUMBER(D818),ISNUMBER(H818)),D818-H818,NA())</f>
        <v/>
      </c>
      <c r="M818" s="18">
        <f>IF(AND(ISNUMBER(E818),ISNUMBER(K818)),E818-K818,NA())</f>
        <v/>
      </c>
      <c r="N818" s="18">
        <f>IF(NOT(ISNUMBER($A818)),NA(),IF(COUNT(OFFSET(G818,1,0,Settings!$B$12,1))&lt;Settings!$B$12,NA(),STDEV(OFFSET(G818,1,0,Settings!$B$12,1))*SQRT(Settings!$B$13)))</f>
        <v/>
      </c>
      <c r="O818" s="18">
        <f>IF(AND(ISNUMBER(E818),ISNUMBER(N818)),E818-N818,NA())</f>
        <v/>
      </c>
      <c r="P818" s="17">
        <f>IF(NOT(ISNUMBER($A818)),NA(),IF(OR($A818&lt;MIN(KW_TP!$A$2:$A$2501),$A818&gt;MAX(KW_TP!$A$2:$A$2501)),NA(),INDEX(KW_TP!$C$2:$C$2501,MATCH($A818,KW_TP!$A$2:$A$2501,1))))</f>
        <v/>
      </c>
    </row>
    <row r="819">
      <c r="A819" s="15">
        <f>IF(ISNUMBER(BBG_Data!A819),BBG_Data!A819,"")</f>
        <v/>
      </c>
      <c r="B819" s="16">
        <f>IF(AND(ISNUMBER($A819),ISNUMBER(BBG_Data!B819)),BBG_Data!B819,NA())</f>
        <v/>
      </c>
      <c r="C819" s="16">
        <f>IF(AND(ISNUMBER($A819),ISNUMBER(BBG_Data!C819)),BBG_Data!C819,NA())</f>
        <v/>
      </c>
      <c r="D819" s="17">
        <f>IF(AND(ISNUMBER($A819),ISNUMBER(BBG_Data!D819)),BBG_Data!D819,NA())</f>
        <v/>
      </c>
      <c r="E819" s="17">
        <f>IF(AND(ISNUMBER($A819),ISNUMBER(BBG_Data!E819)),BBG_Data!E819,NA())</f>
        <v/>
      </c>
      <c r="F819" s="18">
        <f>IF(AND(ISNUMBER(B819),ISNUMBER(B818)),(B819-B818)*100,"")</f>
        <v/>
      </c>
      <c r="G819" s="18">
        <f>IF(AND(ISNUMBER(C819),ISNUMBER(C818)),(C819-C818)*100,"")</f>
        <v/>
      </c>
      <c r="H819" s="18">
        <f>IF(OR(NOT(ISNUMBER($A819)),ROW()-2&lt;Settings!$B$11),NA(),IF(COUNT(OFFSET(F819,1-Settings!$B$11,0,Settings!$B$11,1))&lt;Settings!$B$11,NA(),STDEV(OFFSET(F819,1-Settings!$B$11,0,Settings!$B$11,1))*SQRT(Settings!$B$13)))</f>
        <v/>
      </c>
      <c r="I819" s="18">
        <f>IF(OR(NOT(ISNUMBER($A819)),ROW()-2&lt;Settings!$B$12),NA(),IF(COUNT(OFFSET(F819,1-Settings!$B$12,0,Settings!$B$12,1))&lt;Settings!$B$12,NA(),STDEV(OFFSET(F819,1-Settings!$B$12,0,Settings!$B$12,1))*SQRT(Settings!$B$13)))</f>
        <v/>
      </c>
      <c r="J819" s="18">
        <f>IF(OR(NOT(ISNUMBER($A819)),ROW()-2&lt;Settings!$B$11),NA(),IF(COUNT(OFFSET(G819,1-Settings!$B$11,0,Settings!$B$11,1))&lt;Settings!$B$11,NA(),STDEV(OFFSET(G819,1-Settings!$B$11,0,Settings!$B$11,1))*SQRT(Settings!$B$13)))</f>
        <v/>
      </c>
      <c r="K819" s="18">
        <f>IF(OR(NOT(ISNUMBER($A819)),ROW()-2&lt;Settings!$B$12),NA(),IF(COUNT(OFFSET(G819,1-Settings!$B$12,0,Settings!$B$12,1))&lt;Settings!$B$12,NA(),STDEV(OFFSET(G819,1-Settings!$B$12,0,Settings!$B$12,1))*SQRT(Settings!$B$13)))</f>
        <v/>
      </c>
      <c r="L819" s="18">
        <f>IF(AND(ISNUMBER(D819),ISNUMBER(H819)),D819-H819,NA())</f>
        <v/>
      </c>
      <c r="M819" s="18">
        <f>IF(AND(ISNUMBER(E819),ISNUMBER(K819)),E819-K819,NA())</f>
        <v/>
      </c>
      <c r="N819" s="18">
        <f>IF(NOT(ISNUMBER($A819)),NA(),IF(COUNT(OFFSET(G819,1,0,Settings!$B$12,1))&lt;Settings!$B$12,NA(),STDEV(OFFSET(G819,1,0,Settings!$B$12,1))*SQRT(Settings!$B$13)))</f>
        <v/>
      </c>
      <c r="O819" s="18">
        <f>IF(AND(ISNUMBER(E819),ISNUMBER(N819)),E819-N819,NA())</f>
        <v/>
      </c>
      <c r="P819" s="17">
        <f>IF(NOT(ISNUMBER($A819)),NA(),IF(OR($A819&lt;MIN(KW_TP!$A$2:$A$2501),$A819&gt;MAX(KW_TP!$A$2:$A$2501)),NA(),INDEX(KW_TP!$C$2:$C$2501,MATCH($A819,KW_TP!$A$2:$A$2501,1))))</f>
        <v/>
      </c>
    </row>
    <row r="820">
      <c r="A820" s="15">
        <f>IF(ISNUMBER(BBG_Data!A820),BBG_Data!A820,"")</f>
        <v/>
      </c>
      <c r="B820" s="16">
        <f>IF(AND(ISNUMBER($A820),ISNUMBER(BBG_Data!B820)),BBG_Data!B820,NA())</f>
        <v/>
      </c>
      <c r="C820" s="16">
        <f>IF(AND(ISNUMBER($A820),ISNUMBER(BBG_Data!C820)),BBG_Data!C820,NA())</f>
        <v/>
      </c>
      <c r="D820" s="17">
        <f>IF(AND(ISNUMBER($A820),ISNUMBER(BBG_Data!D820)),BBG_Data!D820,NA())</f>
        <v/>
      </c>
      <c r="E820" s="17">
        <f>IF(AND(ISNUMBER($A820),ISNUMBER(BBG_Data!E820)),BBG_Data!E820,NA())</f>
        <v/>
      </c>
      <c r="F820" s="18">
        <f>IF(AND(ISNUMBER(B820),ISNUMBER(B819)),(B820-B819)*100,"")</f>
        <v/>
      </c>
      <c r="G820" s="18">
        <f>IF(AND(ISNUMBER(C820),ISNUMBER(C819)),(C820-C819)*100,"")</f>
        <v/>
      </c>
      <c r="H820" s="18">
        <f>IF(OR(NOT(ISNUMBER($A820)),ROW()-2&lt;Settings!$B$11),NA(),IF(COUNT(OFFSET(F820,1-Settings!$B$11,0,Settings!$B$11,1))&lt;Settings!$B$11,NA(),STDEV(OFFSET(F820,1-Settings!$B$11,0,Settings!$B$11,1))*SQRT(Settings!$B$13)))</f>
        <v/>
      </c>
      <c r="I820" s="18">
        <f>IF(OR(NOT(ISNUMBER($A820)),ROW()-2&lt;Settings!$B$12),NA(),IF(COUNT(OFFSET(F820,1-Settings!$B$12,0,Settings!$B$12,1))&lt;Settings!$B$12,NA(),STDEV(OFFSET(F820,1-Settings!$B$12,0,Settings!$B$12,1))*SQRT(Settings!$B$13)))</f>
        <v/>
      </c>
      <c r="J820" s="18">
        <f>IF(OR(NOT(ISNUMBER($A820)),ROW()-2&lt;Settings!$B$11),NA(),IF(COUNT(OFFSET(G820,1-Settings!$B$11,0,Settings!$B$11,1))&lt;Settings!$B$11,NA(),STDEV(OFFSET(G820,1-Settings!$B$11,0,Settings!$B$11,1))*SQRT(Settings!$B$13)))</f>
        <v/>
      </c>
      <c r="K820" s="18">
        <f>IF(OR(NOT(ISNUMBER($A820)),ROW()-2&lt;Settings!$B$12),NA(),IF(COUNT(OFFSET(G820,1-Settings!$B$12,0,Settings!$B$12,1))&lt;Settings!$B$12,NA(),STDEV(OFFSET(G820,1-Settings!$B$12,0,Settings!$B$12,1))*SQRT(Settings!$B$13)))</f>
        <v/>
      </c>
      <c r="L820" s="18">
        <f>IF(AND(ISNUMBER(D820),ISNUMBER(H820)),D820-H820,NA())</f>
        <v/>
      </c>
      <c r="M820" s="18">
        <f>IF(AND(ISNUMBER(E820),ISNUMBER(K820)),E820-K820,NA())</f>
        <v/>
      </c>
      <c r="N820" s="18">
        <f>IF(NOT(ISNUMBER($A820)),NA(),IF(COUNT(OFFSET(G820,1,0,Settings!$B$12,1))&lt;Settings!$B$12,NA(),STDEV(OFFSET(G820,1,0,Settings!$B$12,1))*SQRT(Settings!$B$13)))</f>
        <v/>
      </c>
      <c r="O820" s="18">
        <f>IF(AND(ISNUMBER(E820),ISNUMBER(N820)),E820-N820,NA())</f>
        <v/>
      </c>
      <c r="P820" s="17">
        <f>IF(NOT(ISNUMBER($A820)),NA(),IF(OR($A820&lt;MIN(KW_TP!$A$2:$A$2501),$A820&gt;MAX(KW_TP!$A$2:$A$2501)),NA(),INDEX(KW_TP!$C$2:$C$2501,MATCH($A820,KW_TP!$A$2:$A$2501,1))))</f>
        <v/>
      </c>
    </row>
    <row r="821">
      <c r="A821" s="15">
        <f>IF(ISNUMBER(BBG_Data!A821),BBG_Data!A821,"")</f>
        <v/>
      </c>
      <c r="B821" s="16">
        <f>IF(AND(ISNUMBER($A821),ISNUMBER(BBG_Data!B821)),BBG_Data!B821,NA())</f>
        <v/>
      </c>
      <c r="C821" s="16">
        <f>IF(AND(ISNUMBER($A821),ISNUMBER(BBG_Data!C821)),BBG_Data!C821,NA())</f>
        <v/>
      </c>
      <c r="D821" s="17">
        <f>IF(AND(ISNUMBER($A821),ISNUMBER(BBG_Data!D821)),BBG_Data!D821,NA())</f>
        <v/>
      </c>
      <c r="E821" s="17">
        <f>IF(AND(ISNUMBER($A821),ISNUMBER(BBG_Data!E821)),BBG_Data!E821,NA())</f>
        <v/>
      </c>
      <c r="F821" s="18">
        <f>IF(AND(ISNUMBER(B821),ISNUMBER(B820)),(B821-B820)*100,"")</f>
        <v/>
      </c>
      <c r="G821" s="18">
        <f>IF(AND(ISNUMBER(C821),ISNUMBER(C820)),(C821-C820)*100,"")</f>
        <v/>
      </c>
      <c r="H821" s="18">
        <f>IF(OR(NOT(ISNUMBER($A821)),ROW()-2&lt;Settings!$B$11),NA(),IF(COUNT(OFFSET(F821,1-Settings!$B$11,0,Settings!$B$11,1))&lt;Settings!$B$11,NA(),STDEV(OFFSET(F821,1-Settings!$B$11,0,Settings!$B$11,1))*SQRT(Settings!$B$13)))</f>
        <v/>
      </c>
      <c r="I821" s="18">
        <f>IF(OR(NOT(ISNUMBER($A821)),ROW()-2&lt;Settings!$B$12),NA(),IF(COUNT(OFFSET(F821,1-Settings!$B$12,0,Settings!$B$12,1))&lt;Settings!$B$12,NA(),STDEV(OFFSET(F821,1-Settings!$B$12,0,Settings!$B$12,1))*SQRT(Settings!$B$13)))</f>
        <v/>
      </c>
      <c r="J821" s="18">
        <f>IF(OR(NOT(ISNUMBER($A821)),ROW()-2&lt;Settings!$B$11),NA(),IF(COUNT(OFFSET(G821,1-Settings!$B$11,0,Settings!$B$11,1))&lt;Settings!$B$11,NA(),STDEV(OFFSET(G821,1-Settings!$B$11,0,Settings!$B$11,1))*SQRT(Settings!$B$13)))</f>
        <v/>
      </c>
      <c r="K821" s="18">
        <f>IF(OR(NOT(ISNUMBER($A821)),ROW()-2&lt;Settings!$B$12),NA(),IF(COUNT(OFFSET(G821,1-Settings!$B$12,0,Settings!$B$12,1))&lt;Settings!$B$12,NA(),STDEV(OFFSET(G821,1-Settings!$B$12,0,Settings!$B$12,1))*SQRT(Settings!$B$13)))</f>
        <v/>
      </c>
      <c r="L821" s="18">
        <f>IF(AND(ISNUMBER(D821),ISNUMBER(H821)),D821-H821,NA())</f>
        <v/>
      </c>
      <c r="M821" s="18">
        <f>IF(AND(ISNUMBER(E821),ISNUMBER(K821)),E821-K821,NA())</f>
        <v/>
      </c>
      <c r="N821" s="18">
        <f>IF(NOT(ISNUMBER($A821)),NA(),IF(COUNT(OFFSET(G821,1,0,Settings!$B$12,1))&lt;Settings!$B$12,NA(),STDEV(OFFSET(G821,1,0,Settings!$B$12,1))*SQRT(Settings!$B$13)))</f>
        <v/>
      </c>
      <c r="O821" s="18">
        <f>IF(AND(ISNUMBER(E821),ISNUMBER(N821)),E821-N821,NA())</f>
        <v/>
      </c>
      <c r="P821" s="17">
        <f>IF(NOT(ISNUMBER($A821)),NA(),IF(OR($A821&lt;MIN(KW_TP!$A$2:$A$2501),$A821&gt;MAX(KW_TP!$A$2:$A$2501)),NA(),INDEX(KW_TP!$C$2:$C$2501,MATCH($A821,KW_TP!$A$2:$A$2501,1))))</f>
        <v/>
      </c>
    </row>
    <row r="822">
      <c r="A822" s="15">
        <f>IF(ISNUMBER(BBG_Data!A822),BBG_Data!A822,"")</f>
        <v/>
      </c>
      <c r="B822" s="16">
        <f>IF(AND(ISNUMBER($A822),ISNUMBER(BBG_Data!B822)),BBG_Data!B822,NA())</f>
        <v/>
      </c>
      <c r="C822" s="16">
        <f>IF(AND(ISNUMBER($A822),ISNUMBER(BBG_Data!C822)),BBG_Data!C822,NA())</f>
        <v/>
      </c>
      <c r="D822" s="17">
        <f>IF(AND(ISNUMBER($A822),ISNUMBER(BBG_Data!D822)),BBG_Data!D822,NA())</f>
        <v/>
      </c>
      <c r="E822" s="17">
        <f>IF(AND(ISNUMBER($A822),ISNUMBER(BBG_Data!E822)),BBG_Data!E822,NA())</f>
        <v/>
      </c>
      <c r="F822" s="18">
        <f>IF(AND(ISNUMBER(B822),ISNUMBER(B821)),(B822-B821)*100,"")</f>
        <v/>
      </c>
      <c r="G822" s="18">
        <f>IF(AND(ISNUMBER(C822),ISNUMBER(C821)),(C822-C821)*100,"")</f>
        <v/>
      </c>
      <c r="H822" s="18">
        <f>IF(OR(NOT(ISNUMBER($A822)),ROW()-2&lt;Settings!$B$11),NA(),IF(COUNT(OFFSET(F822,1-Settings!$B$11,0,Settings!$B$11,1))&lt;Settings!$B$11,NA(),STDEV(OFFSET(F822,1-Settings!$B$11,0,Settings!$B$11,1))*SQRT(Settings!$B$13)))</f>
        <v/>
      </c>
      <c r="I822" s="18">
        <f>IF(OR(NOT(ISNUMBER($A822)),ROW()-2&lt;Settings!$B$12),NA(),IF(COUNT(OFFSET(F822,1-Settings!$B$12,0,Settings!$B$12,1))&lt;Settings!$B$12,NA(),STDEV(OFFSET(F822,1-Settings!$B$12,0,Settings!$B$12,1))*SQRT(Settings!$B$13)))</f>
        <v/>
      </c>
      <c r="J822" s="18">
        <f>IF(OR(NOT(ISNUMBER($A822)),ROW()-2&lt;Settings!$B$11),NA(),IF(COUNT(OFFSET(G822,1-Settings!$B$11,0,Settings!$B$11,1))&lt;Settings!$B$11,NA(),STDEV(OFFSET(G822,1-Settings!$B$11,0,Settings!$B$11,1))*SQRT(Settings!$B$13)))</f>
        <v/>
      </c>
      <c r="K822" s="18">
        <f>IF(OR(NOT(ISNUMBER($A822)),ROW()-2&lt;Settings!$B$12),NA(),IF(COUNT(OFFSET(G822,1-Settings!$B$12,0,Settings!$B$12,1))&lt;Settings!$B$12,NA(),STDEV(OFFSET(G822,1-Settings!$B$12,0,Settings!$B$12,1))*SQRT(Settings!$B$13)))</f>
        <v/>
      </c>
      <c r="L822" s="18">
        <f>IF(AND(ISNUMBER(D822),ISNUMBER(H822)),D822-H822,NA())</f>
        <v/>
      </c>
      <c r="M822" s="18">
        <f>IF(AND(ISNUMBER(E822),ISNUMBER(K822)),E822-K822,NA())</f>
        <v/>
      </c>
      <c r="N822" s="18">
        <f>IF(NOT(ISNUMBER($A822)),NA(),IF(COUNT(OFFSET(G822,1,0,Settings!$B$12,1))&lt;Settings!$B$12,NA(),STDEV(OFFSET(G822,1,0,Settings!$B$12,1))*SQRT(Settings!$B$13)))</f>
        <v/>
      </c>
      <c r="O822" s="18">
        <f>IF(AND(ISNUMBER(E822),ISNUMBER(N822)),E822-N822,NA())</f>
        <v/>
      </c>
      <c r="P822" s="17">
        <f>IF(NOT(ISNUMBER($A822)),NA(),IF(OR($A822&lt;MIN(KW_TP!$A$2:$A$2501),$A822&gt;MAX(KW_TP!$A$2:$A$2501)),NA(),INDEX(KW_TP!$C$2:$C$2501,MATCH($A822,KW_TP!$A$2:$A$2501,1))))</f>
        <v/>
      </c>
    </row>
    <row r="823">
      <c r="A823" s="15">
        <f>IF(ISNUMBER(BBG_Data!A823),BBG_Data!A823,"")</f>
        <v/>
      </c>
      <c r="B823" s="16">
        <f>IF(AND(ISNUMBER($A823),ISNUMBER(BBG_Data!B823)),BBG_Data!B823,NA())</f>
        <v/>
      </c>
      <c r="C823" s="16">
        <f>IF(AND(ISNUMBER($A823),ISNUMBER(BBG_Data!C823)),BBG_Data!C823,NA())</f>
        <v/>
      </c>
      <c r="D823" s="17">
        <f>IF(AND(ISNUMBER($A823),ISNUMBER(BBG_Data!D823)),BBG_Data!D823,NA())</f>
        <v/>
      </c>
      <c r="E823" s="17">
        <f>IF(AND(ISNUMBER($A823),ISNUMBER(BBG_Data!E823)),BBG_Data!E823,NA())</f>
        <v/>
      </c>
      <c r="F823" s="18">
        <f>IF(AND(ISNUMBER(B823),ISNUMBER(B822)),(B823-B822)*100,"")</f>
        <v/>
      </c>
      <c r="G823" s="18">
        <f>IF(AND(ISNUMBER(C823),ISNUMBER(C822)),(C823-C822)*100,"")</f>
        <v/>
      </c>
      <c r="H823" s="18">
        <f>IF(OR(NOT(ISNUMBER($A823)),ROW()-2&lt;Settings!$B$11),NA(),IF(COUNT(OFFSET(F823,1-Settings!$B$11,0,Settings!$B$11,1))&lt;Settings!$B$11,NA(),STDEV(OFFSET(F823,1-Settings!$B$11,0,Settings!$B$11,1))*SQRT(Settings!$B$13)))</f>
        <v/>
      </c>
      <c r="I823" s="18">
        <f>IF(OR(NOT(ISNUMBER($A823)),ROW()-2&lt;Settings!$B$12),NA(),IF(COUNT(OFFSET(F823,1-Settings!$B$12,0,Settings!$B$12,1))&lt;Settings!$B$12,NA(),STDEV(OFFSET(F823,1-Settings!$B$12,0,Settings!$B$12,1))*SQRT(Settings!$B$13)))</f>
        <v/>
      </c>
      <c r="J823" s="18">
        <f>IF(OR(NOT(ISNUMBER($A823)),ROW()-2&lt;Settings!$B$11),NA(),IF(COUNT(OFFSET(G823,1-Settings!$B$11,0,Settings!$B$11,1))&lt;Settings!$B$11,NA(),STDEV(OFFSET(G823,1-Settings!$B$11,0,Settings!$B$11,1))*SQRT(Settings!$B$13)))</f>
        <v/>
      </c>
      <c r="K823" s="18">
        <f>IF(OR(NOT(ISNUMBER($A823)),ROW()-2&lt;Settings!$B$12),NA(),IF(COUNT(OFFSET(G823,1-Settings!$B$12,0,Settings!$B$12,1))&lt;Settings!$B$12,NA(),STDEV(OFFSET(G823,1-Settings!$B$12,0,Settings!$B$12,1))*SQRT(Settings!$B$13)))</f>
        <v/>
      </c>
      <c r="L823" s="18">
        <f>IF(AND(ISNUMBER(D823),ISNUMBER(H823)),D823-H823,NA())</f>
        <v/>
      </c>
      <c r="M823" s="18">
        <f>IF(AND(ISNUMBER(E823),ISNUMBER(K823)),E823-K823,NA())</f>
        <v/>
      </c>
      <c r="N823" s="18">
        <f>IF(NOT(ISNUMBER($A823)),NA(),IF(COUNT(OFFSET(G823,1,0,Settings!$B$12,1))&lt;Settings!$B$12,NA(),STDEV(OFFSET(G823,1,0,Settings!$B$12,1))*SQRT(Settings!$B$13)))</f>
        <v/>
      </c>
      <c r="O823" s="18">
        <f>IF(AND(ISNUMBER(E823),ISNUMBER(N823)),E823-N823,NA())</f>
        <v/>
      </c>
      <c r="P823" s="17">
        <f>IF(NOT(ISNUMBER($A823)),NA(),IF(OR($A823&lt;MIN(KW_TP!$A$2:$A$2501),$A823&gt;MAX(KW_TP!$A$2:$A$2501)),NA(),INDEX(KW_TP!$C$2:$C$2501,MATCH($A823,KW_TP!$A$2:$A$2501,1))))</f>
        <v/>
      </c>
    </row>
    <row r="824">
      <c r="A824" s="15">
        <f>IF(ISNUMBER(BBG_Data!A824),BBG_Data!A824,"")</f>
        <v/>
      </c>
      <c r="B824" s="16">
        <f>IF(AND(ISNUMBER($A824),ISNUMBER(BBG_Data!B824)),BBG_Data!B824,NA())</f>
        <v/>
      </c>
      <c r="C824" s="16">
        <f>IF(AND(ISNUMBER($A824),ISNUMBER(BBG_Data!C824)),BBG_Data!C824,NA())</f>
        <v/>
      </c>
      <c r="D824" s="17">
        <f>IF(AND(ISNUMBER($A824),ISNUMBER(BBG_Data!D824)),BBG_Data!D824,NA())</f>
        <v/>
      </c>
      <c r="E824" s="17">
        <f>IF(AND(ISNUMBER($A824),ISNUMBER(BBG_Data!E824)),BBG_Data!E824,NA())</f>
        <v/>
      </c>
      <c r="F824" s="18">
        <f>IF(AND(ISNUMBER(B824),ISNUMBER(B823)),(B824-B823)*100,"")</f>
        <v/>
      </c>
      <c r="G824" s="18">
        <f>IF(AND(ISNUMBER(C824),ISNUMBER(C823)),(C824-C823)*100,"")</f>
        <v/>
      </c>
      <c r="H824" s="18">
        <f>IF(OR(NOT(ISNUMBER($A824)),ROW()-2&lt;Settings!$B$11),NA(),IF(COUNT(OFFSET(F824,1-Settings!$B$11,0,Settings!$B$11,1))&lt;Settings!$B$11,NA(),STDEV(OFFSET(F824,1-Settings!$B$11,0,Settings!$B$11,1))*SQRT(Settings!$B$13)))</f>
        <v/>
      </c>
      <c r="I824" s="18">
        <f>IF(OR(NOT(ISNUMBER($A824)),ROW()-2&lt;Settings!$B$12),NA(),IF(COUNT(OFFSET(F824,1-Settings!$B$12,0,Settings!$B$12,1))&lt;Settings!$B$12,NA(),STDEV(OFFSET(F824,1-Settings!$B$12,0,Settings!$B$12,1))*SQRT(Settings!$B$13)))</f>
        <v/>
      </c>
      <c r="J824" s="18">
        <f>IF(OR(NOT(ISNUMBER($A824)),ROW()-2&lt;Settings!$B$11),NA(),IF(COUNT(OFFSET(G824,1-Settings!$B$11,0,Settings!$B$11,1))&lt;Settings!$B$11,NA(),STDEV(OFFSET(G824,1-Settings!$B$11,0,Settings!$B$11,1))*SQRT(Settings!$B$13)))</f>
        <v/>
      </c>
      <c r="K824" s="18">
        <f>IF(OR(NOT(ISNUMBER($A824)),ROW()-2&lt;Settings!$B$12),NA(),IF(COUNT(OFFSET(G824,1-Settings!$B$12,0,Settings!$B$12,1))&lt;Settings!$B$12,NA(),STDEV(OFFSET(G824,1-Settings!$B$12,0,Settings!$B$12,1))*SQRT(Settings!$B$13)))</f>
        <v/>
      </c>
      <c r="L824" s="18">
        <f>IF(AND(ISNUMBER(D824),ISNUMBER(H824)),D824-H824,NA())</f>
        <v/>
      </c>
      <c r="M824" s="18">
        <f>IF(AND(ISNUMBER(E824),ISNUMBER(K824)),E824-K824,NA())</f>
        <v/>
      </c>
      <c r="N824" s="18">
        <f>IF(NOT(ISNUMBER($A824)),NA(),IF(COUNT(OFFSET(G824,1,0,Settings!$B$12,1))&lt;Settings!$B$12,NA(),STDEV(OFFSET(G824,1,0,Settings!$B$12,1))*SQRT(Settings!$B$13)))</f>
        <v/>
      </c>
      <c r="O824" s="18">
        <f>IF(AND(ISNUMBER(E824),ISNUMBER(N824)),E824-N824,NA())</f>
        <v/>
      </c>
      <c r="P824" s="17">
        <f>IF(NOT(ISNUMBER($A824)),NA(),IF(OR($A824&lt;MIN(KW_TP!$A$2:$A$2501),$A824&gt;MAX(KW_TP!$A$2:$A$2501)),NA(),INDEX(KW_TP!$C$2:$C$2501,MATCH($A824,KW_TP!$A$2:$A$2501,1))))</f>
        <v/>
      </c>
    </row>
    <row r="825">
      <c r="A825" s="15">
        <f>IF(ISNUMBER(BBG_Data!A825),BBG_Data!A825,"")</f>
        <v/>
      </c>
      <c r="B825" s="16">
        <f>IF(AND(ISNUMBER($A825),ISNUMBER(BBG_Data!B825)),BBG_Data!B825,NA())</f>
        <v/>
      </c>
      <c r="C825" s="16">
        <f>IF(AND(ISNUMBER($A825),ISNUMBER(BBG_Data!C825)),BBG_Data!C825,NA())</f>
        <v/>
      </c>
      <c r="D825" s="17">
        <f>IF(AND(ISNUMBER($A825),ISNUMBER(BBG_Data!D825)),BBG_Data!D825,NA())</f>
        <v/>
      </c>
      <c r="E825" s="17">
        <f>IF(AND(ISNUMBER($A825),ISNUMBER(BBG_Data!E825)),BBG_Data!E825,NA())</f>
        <v/>
      </c>
      <c r="F825" s="18">
        <f>IF(AND(ISNUMBER(B825),ISNUMBER(B824)),(B825-B824)*100,"")</f>
        <v/>
      </c>
      <c r="G825" s="18">
        <f>IF(AND(ISNUMBER(C825),ISNUMBER(C824)),(C825-C824)*100,"")</f>
        <v/>
      </c>
      <c r="H825" s="18">
        <f>IF(OR(NOT(ISNUMBER($A825)),ROW()-2&lt;Settings!$B$11),NA(),IF(COUNT(OFFSET(F825,1-Settings!$B$11,0,Settings!$B$11,1))&lt;Settings!$B$11,NA(),STDEV(OFFSET(F825,1-Settings!$B$11,0,Settings!$B$11,1))*SQRT(Settings!$B$13)))</f>
        <v/>
      </c>
      <c r="I825" s="18">
        <f>IF(OR(NOT(ISNUMBER($A825)),ROW()-2&lt;Settings!$B$12),NA(),IF(COUNT(OFFSET(F825,1-Settings!$B$12,0,Settings!$B$12,1))&lt;Settings!$B$12,NA(),STDEV(OFFSET(F825,1-Settings!$B$12,0,Settings!$B$12,1))*SQRT(Settings!$B$13)))</f>
        <v/>
      </c>
      <c r="J825" s="18">
        <f>IF(OR(NOT(ISNUMBER($A825)),ROW()-2&lt;Settings!$B$11),NA(),IF(COUNT(OFFSET(G825,1-Settings!$B$11,0,Settings!$B$11,1))&lt;Settings!$B$11,NA(),STDEV(OFFSET(G825,1-Settings!$B$11,0,Settings!$B$11,1))*SQRT(Settings!$B$13)))</f>
        <v/>
      </c>
      <c r="K825" s="18">
        <f>IF(OR(NOT(ISNUMBER($A825)),ROW()-2&lt;Settings!$B$12),NA(),IF(COUNT(OFFSET(G825,1-Settings!$B$12,0,Settings!$B$12,1))&lt;Settings!$B$12,NA(),STDEV(OFFSET(G825,1-Settings!$B$12,0,Settings!$B$12,1))*SQRT(Settings!$B$13)))</f>
        <v/>
      </c>
      <c r="L825" s="18">
        <f>IF(AND(ISNUMBER(D825),ISNUMBER(H825)),D825-H825,NA())</f>
        <v/>
      </c>
      <c r="M825" s="18">
        <f>IF(AND(ISNUMBER(E825),ISNUMBER(K825)),E825-K825,NA())</f>
        <v/>
      </c>
      <c r="N825" s="18">
        <f>IF(NOT(ISNUMBER($A825)),NA(),IF(COUNT(OFFSET(G825,1,0,Settings!$B$12,1))&lt;Settings!$B$12,NA(),STDEV(OFFSET(G825,1,0,Settings!$B$12,1))*SQRT(Settings!$B$13)))</f>
        <v/>
      </c>
      <c r="O825" s="18">
        <f>IF(AND(ISNUMBER(E825),ISNUMBER(N825)),E825-N825,NA())</f>
        <v/>
      </c>
      <c r="P825" s="17">
        <f>IF(NOT(ISNUMBER($A825)),NA(),IF(OR($A825&lt;MIN(KW_TP!$A$2:$A$2501),$A825&gt;MAX(KW_TP!$A$2:$A$2501)),NA(),INDEX(KW_TP!$C$2:$C$2501,MATCH($A825,KW_TP!$A$2:$A$2501,1))))</f>
        <v/>
      </c>
    </row>
    <row r="826">
      <c r="A826" s="15">
        <f>IF(ISNUMBER(BBG_Data!A826),BBG_Data!A826,"")</f>
        <v/>
      </c>
      <c r="B826" s="16">
        <f>IF(AND(ISNUMBER($A826),ISNUMBER(BBG_Data!B826)),BBG_Data!B826,NA())</f>
        <v/>
      </c>
      <c r="C826" s="16">
        <f>IF(AND(ISNUMBER($A826),ISNUMBER(BBG_Data!C826)),BBG_Data!C826,NA())</f>
        <v/>
      </c>
      <c r="D826" s="17">
        <f>IF(AND(ISNUMBER($A826),ISNUMBER(BBG_Data!D826)),BBG_Data!D826,NA())</f>
        <v/>
      </c>
      <c r="E826" s="17">
        <f>IF(AND(ISNUMBER($A826),ISNUMBER(BBG_Data!E826)),BBG_Data!E826,NA())</f>
        <v/>
      </c>
      <c r="F826" s="18">
        <f>IF(AND(ISNUMBER(B826),ISNUMBER(B825)),(B826-B825)*100,"")</f>
        <v/>
      </c>
      <c r="G826" s="18">
        <f>IF(AND(ISNUMBER(C826),ISNUMBER(C825)),(C826-C825)*100,"")</f>
        <v/>
      </c>
      <c r="H826" s="18">
        <f>IF(OR(NOT(ISNUMBER($A826)),ROW()-2&lt;Settings!$B$11),NA(),IF(COUNT(OFFSET(F826,1-Settings!$B$11,0,Settings!$B$11,1))&lt;Settings!$B$11,NA(),STDEV(OFFSET(F826,1-Settings!$B$11,0,Settings!$B$11,1))*SQRT(Settings!$B$13)))</f>
        <v/>
      </c>
      <c r="I826" s="18">
        <f>IF(OR(NOT(ISNUMBER($A826)),ROW()-2&lt;Settings!$B$12),NA(),IF(COUNT(OFFSET(F826,1-Settings!$B$12,0,Settings!$B$12,1))&lt;Settings!$B$12,NA(),STDEV(OFFSET(F826,1-Settings!$B$12,0,Settings!$B$12,1))*SQRT(Settings!$B$13)))</f>
        <v/>
      </c>
      <c r="J826" s="18">
        <f>IF(OR(NOT(ISNUMBER($A826)),ROW()-2&lt;Settings!$B$11),NA(),IF(COUNT(OFFSET(G826,1-Settings!$B$11,0,Settings!$B$11,1))&lt;Settings!$B$11,NA(),STDEV(OFFSET(G826,1-Settings!$B$11,0,Settings!$B$11,1))*SQRT(Settings!$B$13)))</f>
        <v/>
      </c>
      <c r="K826" s="18">
        <f>IF(OR(NOT(ISNUMBER($A826)),ROW()-2&lt;Settings!$B$12),NA(),IF(COUNT(OFFSET(G826,1-Settings!$B$12,0,Settings!$B$12,1))&lt;Settings!$B$12,NA(),STDEV(OFFSET(G826,1-Settings!$B$12,0,Settings!$B$12,1))*SQRT(Settings!$B$13)))</f>
        <v/>
      </c>
      <c r="L826" s="18">
        <f>IF(AND(ISNUMBER(D826),ISNUMBER(H826)),D826-H826,NA())</f>
        <v/>
      </c>
      <c r="M826" s="18">
        <f>IF(AND(ISNUMBER(E826),ISNUMBER(K826)),E826-K826,NA())</f>
        <v/>
      </c>
      <c r="N826" s="18">
        <f>IF(NOT(ISNUMBER($A826)),NA(),IF(COUNT(OFFSET(G826,1,0,Settings!$B$12,1))&lt;Settings!$B$12,NA(),STDEV(OFFSET(G826,1,0,Settings!$B$12,1))*SQRT(Settings!$B$13)))</f>
        <v/>
      </c>
      <c r="O826" s="18">
        <f>IF(AND(ISNUMBER(E826),ISNUMBER(N826)),E826-N826,NA())</f>
        <v/>
      </c>
      <c r="P826" s="17">
        <f>IF(NOT(ISNUMBER($A826)),NA(),IF(OR($A826&lt;MIN(KW_TP!$A$2:$A$2501),$A826&gt;MAX(KW_TP!$A$2:$A$2501)),NA(),INDEX(KW_TP!$C$2:$C$2501,MATCH($A826,KW_TP!$A$2:$A$2501,1))))</f>
        <v/>
      </c>
    </row>
    <row r="827">
      <c r="A827" s="15">
        <f>IF(ISNUMBER(BBG_Data!A827),BBG_Data!A827,"")</f>
        <v/>
      </c>
      <c r="B827" s="16">
        <f>IF(AND(ISNUMBER($A827),ISNUMBER(BBG_Data!B827)),BBG_Data!B827,NA())</f>
        <v/>
      </c>
      <c r="C827" s="16">
        <f>IF(AND(ISNUMBER($A827),ISNUMBER(BBG_Data!C827)),BBG_Data!C827,NA())</f>
        <v/>
      </c>
      <c r="D827" s="17">
        <f>IF(AND(ISNUMBER($A827),ISNUMBER(BBG_Data!D827)),BBG_Data!D827,NA())</f>
        <v/>
      </c>
      <c r="E827" s="17">
        <f>IF(AND(ISNUMBER($A827),ISNUMBER(BBG_Data!E827)),BBG_Data!E827,NA())</f>
        <v/>
      </c>
      <c r="F827" s="18">
        <f>IF(AND(ISNUMBER(B827),ISNUMBER(B826)),(B827-B826)*100,"")</f>
        <v/>
      </c>
      <c r="G827" s="18">
        <f>IF(AND(ISNUMBER(C827),ISNUMBER(C826)),(C827-C826)*100,"")</f>
        <v/>
      </c>
      <c r="H827" s="18">
        <f>IF(OR(NOT(ISNUMBER($A827)),ROW()-2&lt;Settings!$B$11),NA(),IF(COUNT(OFFSET(F827,1-Settings!$B$11,0,Settings!$B$11,1))&lt;Settings!$B$11,NA(),STDEV(OFFSET(F827,1-Settings!$B$11,0,Settings!$B$11,1))*SQRT(Settings!$B$13)))</f>
        <v/>
      </c>
      <c r="I827" s="18">
        <f>IF(OR(NOT(ISNUMBER($A827)),ROW()-2&lt;Settings!$B$12),NA(),IF(COUNT(OFFSET(F827,1-Settings!$B$12,0,Settings!$B$12,1))&lt;Settings!$B$12,NA(),STDEV(OFFSET(F827,1-Settings!$B$12,0,Settings!$B$12,1))*SQRT(Settings!$B$13)))</f>
        <v/>
      </c>
      <c r="J827" s="18">
        <f>IF(OR(NOT(ISNUMBER($A827)),ROW()-2&lt;Settings!$B$11),NA(),IF(COUNT(OFFSET(G827,1-Settings!$B$11,0,Settings!$B$11,1))&lt;Settings!$B$11,NA(),STDEV(OFFSET(G827,1-Settings!$B$11,0,Settings!$B$11,1))*SQRT(Settings!$B$13)))</f>
        <v/>
      </c>
      <c r="K827" s="18">
        <f>IF(OR(NOT(ISNUMBER($A827)),ROW()-2&lt;Settings!$B$12),NA(),IF(COUNT(OFFSET(G827,1-Settings!$B$12,0,Settings!$B$12,1))&lt;Settings!$B$12,NA(),STDEV(OFFSET(G827,1-Settings!$B$12,0,Settings!$B$12,1))*SQRT(Settings!$B$13)))</f>
        <v/>
      </c>
      <c r="L827" s="18">
        <f>IF(AND(ISNUMBER(D827),ISNUMBER(H827)),D827-H827,NA())</f>
        <v/>
      </c>
      <c r="M827" s="18">
        <f>IF(AND(ISNUMBER(E827),ISNUMBER(K827)),E827-K827,NA())</f>
        <v/>
      </c>
      <c r="N827" s="18">
        <f>IF(NOT(ISNUMBER($A827)),NA(),IF(COUNT(OFFSET(G827,1,0,Settings!$B$12,1))&lt;Settings!$B$12,NA(),STDEV(OFFSET(G827,1,0,Settings!$B$12,1))*SQRT(Settings!$B$13)))</f>
        <v/>
      </c>
      <c r="O827" s="18">
        <f>IF(AND(ISNUMBER(E827),ISNUMBER(N827)),E827-N827,NA())</f>
        <v/>
      </c>
      <c r="P827" s="17">
        <f>IF(NOT(ISNUMBER($A827)),NA(),IF(OR($A827&lt;MIN(KW_TP!$A$2:$A$2501),$A827&gt;MAX(KW_TP!$A$2:$A$2501)),NA(),INDEX(KW_TP!$C$2:$C$2501,MATCH($A827,KW_TP!$A$2:$A$2501,1))))</f>
        <v/>
      </c>
    </row>
    <row r="828">
      <c r="A828" s="15">
        <f>IF(ISNUMBER(BBG_Data!A828),BBG_Data!A828,"")</f>
        <v/>
      </c>
      <c r="B828" s="16">
        <f>IF(AND(ISNUMBER($A828),ISNUMBER(BBG_Data!B828)),BBG_Data!B828,NA())</f>
        <v/>
      </c>
      <c r="C828" s="16">
        <f>IF(AND(ISNUMBER($A828),ISNUMBER(BBG_Data!C828)),BBG_Data!C828,NA())</f>
        <v/>
      </c>
      <c r="D828" s="17">
        <f>IF(AND(ISNUMBER($A828),ISNUMBER(BBG_Data!D828)),BBG_Data!D828,NA())</f>
        <v/>
      </c>
      <c r="E828" s="17">
        <f>IF(AND(ISNUMBER($A828),ISNUMBER(BBG_Data!E828)),BBG_Data!E828,NA())</f>
        <v/>
      </c>
      <c r="F828" s="18">
        <f>IF(AND(ISNUMBER(B828),ISNUMBER(B827)),(B828-B827)*100,"")</f>
        <v/>
      </c>
      <c r="G828" s="18">
        <f>IF(AND(ISNUMBER(C828),ISNUMBER(C827)),(C828-C827)*100,"")</f>
        <v/>
      </c>
      <c r="H828" s="18">
        <f>IF(OR(NOT(ISNUMBER($A828)),ROW()-2&lt;Settings!$B$11),NA(),IF(COUNT(OFFSET(F828,1-Settings!$B$11,0,Settings!$B$11,1))&lt;Settings!$B$11,NA(),STDEV(OFFSET(F828,1-Settings!$B$11,0,Settings!$B$11,1))*SQRT(Settings!$B$13)))</f>
        <v/>
      </c>
      <c r="I828" s="18">
        <f>IF(OR(NOT(ISNUMBER($A828)),ROW()-2&lt;Settings!$B$12),NA(),IF(COUNT(OFFSET(F828,1-Settings!$B$12,0,Settings!$B$12,1))&lt;Settings!$B$12,NA(),STDEV(OFFSET(F828,1-Settings!$B$12,0,Settings!$B$12,1))*SQRT(Settings!$B$13)))</f>
        <v/>
      </c>
      <c r="J828" s="18">
        <f>IF(OR(NOT(ISNUMBER($A828)),ROW()-2&lt;Settings!$B$11),NA(),IF(COUNT(OFFSET(G828,1-Settings!$B$11,0,Settings!$B$11,1))&lt;Settings!$B$11,NA(),STDEV(OFFSET(G828,1-Settings!$B$11,0,Settings!$B$11,1))*SQRT(Settings!$B$13)))</f>
        <v/>
      </c>
      <c r="K828" s="18">
        <f>IF(OR(NOT(ISNUMBER($A828)),ROW()-2&lt;Settings!$B$12),NA(),IF(COUNT(OFFSET(G828,1-Settings!$B$12,0,Settings!$B$12,1))&lt;Settings!$B$12,NA(),STDEV(OFFSET(G828,1-Settings!$B$12,0,Settings!$B$12,1))*SQRT(Settings!$B$13)))</f>
        <v/>
      </c>
      <c r="L828" s="18">
        <f>IF(AND(ISNUMBER(D828),ISNUMBER(H828)),D828-H828,NA())</f>
        <v/>
      </c>
      <c r="M828" s="18">
        <f>IF(AND(ISNUMBER(E828),ISNUMBER(K828)),E828-K828,NA())</f>
        <v/>
      </c>
      <c r="N828" s="18">
        <f>IF(NOT(ISNUMBER($A828)),NA(),IF(COUNT(OFFSET(G828,1,0,Settings!$B$12,1))&lt;Settings!$B$12,NA(),STDEV(OFFSET(G828,1,0,Settings!$B$12,1))*SQRT(Settings!$B$13)))</f>
        <v/>
      </c>
      <c r="O828" s="18">
        <f>IF(AND(ISNUMBER(E828),ISNUMBER(N828)),E828-N828,NA())</f>
        <v/>
      </c>
      <c r="P828" s="17">
        <f>IF(NOT(ISNUMBER($A828)),NA(),IF(OR($A828&lt;MIN(KW_TP!$A$2:$A$2501),$A828&gt;MAX(KW_TP!$A$2:$A$2501)),NA(),INDEX(KW_TP!$C$2:$C$2501,MATCH($A828,KW_TP!$A$2:$A$2501,1))))</f>
        <v/>
      </c>
    </row>
    <row r="829">
      <c r="A829" s="15">
        <f>IF(ISNUMBER(BBG_Data!A829),BBG_Data!A829,"")</f>
        <v/>
      </c>
      <c r="B829" s="16">
        <f>IF(AND(ISNUMBER($A829),ISNUMBER(BBG_Data!B829)),BBG_Data!B829,NA())</f>
        <v/>
      </c>
      <c r="C829" s="16">
        <f>IF(AND(ISNUMBER($A829),ISNUMBER(BBG_Data!C829)),BBG_Data!C829,NA())</f>
        <v/>
      </c>
      <c r="D829" s="17">
        <f>IF(AND(ISNUMBER($A829),ISNUMBER(BBG_Data!D829)),BBG_Data!D829,NA())</f>
        <v/>
      </c>
      <c r="E829" s="17">
        <f>IF(AND(ISNUMBER($A829),ISNUMBER(BBG_Data!E829)),BBG_Data!E829,NA())</f>
        <v/>
      </c>
      <c r="F829" s="18">
        <f>IF(AND(ISNUMBER(B829),ISNUMBER(B828)),(B829-B828)*100,"")</f>
        <v/>
      </c>
      <c r="G829" s="18">
        <f>IF(AND(ISNUMBER(C829),ISNUMBER(C828)),(C829-C828)*100,"")</f>
        <v/>
      </c>
      <c r="H829" s="18">
        <f>IF(OR(NOT(ISNUMBER($A829)),ROW()-2&lt;Settings!$B$11),NA(),IF(COUNT(OFFSET(F829,1-Settings!$B$11,0,Settings!$B$11,1))&lt;Settings!$B$11,NA(),STDEV(OFFSET(F829,1-Settings!$B$11,0,Settings!$B$11,1))*SQRT(Settings!$B$13)))</f>
        <v/>
      </c>
      <c r="I829" s="18">
        <f>IF(OR(NOT(ISNUMBER($A829)),ROW()-2&lt;Settings!$B$12),NA(),IF(COUNT(OFFSET(F829,1-Settings!$B$12,0,Settings!$B$12,1))&lt;Settings!$B$12,NA(),STDEV(OFFSET(F829,1-Settings!$B$12,0,Settings!$B$12,1))*SQRT(Settings!$B$13)))</f>
        <v/>
      </c>
      <c r="J829" s="18">
        <f>IF(OR(NOT(ISNUMBER($A829)),ROW()-2&lt;Settings!$B$11),NA(),IF(COUNT(OFFSET(G829,1-Settings!$B$11,0,Settings!$B$11,1))&lt;Settings!$B$11,NA(),STDEV(OFFSET(G829,1-Settings!$B$11,0,Settings!$B$11,1))*SQRT(Settings!$B$13)))</f>
        <v/>
      </c>
      <c r="K829" s="18">
        <f>IF(OR(NOT(ISNUMBER($A829)),ROW()-2&lt;Settings!$B$12),NA(),IF(COUNT(OFFSET(G829,1-Settings!$B$12,0,Settings!$B$12,1))&lt;Settings!$B$12,NA(),STDEV(OFFSET(G829,1-Settings!$B$12,0,Settings!$B$12,1))*SQRT(Settings!$B$13)))</f>
        <v/>
      </c>
      <c r="L829" s="18">
        <f>IF(AND(ISNUMBER(D829),ISNUMBER(H829)),D829-H829,NA())</f>
        <v/>
      </c>
      <c r="M829" s="18">
        <f>IF(AND(ISNUMBER(E829),ISNUMBER(K829)),E829-K829,NA())</f>
        <v/>
      </c>
      <c r="N829" s="18">
        <f>IF(NOT(ISNUMBER($A829)),NA(),IF(COUNT(OFFSET(G829,1,0,Settings!$B$12,1))&lt;Settings!$B$12,NA(),STDEV(OFFSET(G829,1,0,Settings!$B$12,1))*SQRT(Settings!$B$13)))</f>
        <v/>
      </c>
      <c r="O829" s="18">
        <f>IF(AND(ISNUMBER(E829),ISNUMBER(N829)),E829-N829,NA())</f>
        <v/>
      </c>
      <c r="P829" s="17">
        <f>IF(NOT(ISNUMBER($A829)),NA(),IF(OR($A829&lt;MIN(KW_TP!$A$2:$A$2501),$A829&gt;MAX(KW_TP!$A$2:$A$2501)),NA(),INDEX(KW_TP!$C$2:$C$2501,MATCH($A829,KW_TP!$A$2:$A$2501,1))))</f>
        <v/>
      </c>
    </row>
    <row r="830">
      <c r="A830" s="15">
        <f>IF(ISNUMBER(BBG_Data!A830),BBG_Data!A830,"")</f>
        <v/>
      </c>
      <c r="B830" s="16">
        <f>IF(AND(ISNUMBER($A830),ISNUMBER(BBG_Data!B830)),BBG_Data!B830,NA())</f>
        <v/>
      </c>
      <c r="C830" s="16">
        <f>IF(AND(ISNUMBER($A830),ISNUMBER(BBG_Data!C830)),BBG_Data!C830,NA())</f>
        <v/>
      </c>
      <c r="D830" s="17">
        <f>IF(AND(ISNUMBER($A830),ISNUMBER(BBG_Data!D830)),BBG_Data!D830,NA())</f>
        <v/>
      </c>
      <c r="E830" s="17">
        <f>IF(AND(ISNUMBER($A830),ISNUMBER(BBG_Data!E830)),BBG_Data!E830,NA())</f>
        <v/>
      </c>
      <c r="F830" s="18">
        <f>IF(AND(ISNUMBER(B830),ISNUMBER(B829)),(B830-B829)*100,"")</f>
        <v/>
      </c>
      <c r="G830" s="18">
        <f>IF(AND(ISNUMBER(C830),ISNUMBER(C829)),(C830-C829)*100,"")</f>
        <v/>
      </c>
      <c r="H830" s="18">
        <f>IF(OR(NOT(ISNUMBER($A830)),ROW()-2&lt;Settings!$B$11),NA(),IF(COUNT(OFFSET(F830,1-Settings!$B$11,0,Settings!$B$11,1))&lt;Settings!$B$11,NA(),STDEV(OFFSET(F830,1-Settings!$B$11,0,Settings!$B$11,1))*SQRT(Settings!$B$13)))</f>
        <v/>
      </c>
      <c r="I830" s="18">
        <f>IF(OR(NOT(ISNUMBER($A830)),ROW()-2&lt;Settings!$B$12),NA(),IF(COUNT(OFFSET(F830,1-Settings!$B$12,0,Settings!$B$12,1))&lt;Settings!$B$12,NA(),STDEV(OFFSET(F830,1-Settings!$B$12,0,Settings!$B$12,1))*SQRT(Settings!$B$13)))</f>
        <v/>
      </c>
      <c r="J830" s="18">
        <f>IF(OR(NOT(ISNUMBER($A830)),ROW()-2&lt;Settings!$B$11),NA(),IF(COUNT(OFFSET(G830,1-Settings!$B$11,0,Settings!$B$11,1))&lt;Settings!$B$11,NA(),STDEV(OFFSET(G830,1-Settings!$B$11,0,Settings!$B$11,1))*SQRT(Settings!$B$13)))</f>
        <v/>
      </c>
      <c r="K830" s="18">
        <f>IF(OR(NOT(ISNUMBER($A830)),ROW()-2&lt;Settings!$B$12),NA(),IF(COUNT(OFFSET(G830,1-Settings!$B$12,0,Settings!$B$12,1))&lt;Settings!$B$12,NA(),STDEV(OFFSET(G830,1-Settings!$B$12,0,Settings!$B$12,1))*SQRT(Settings!$B$13)))</f>
        <v/>
      </c>
      <c r="L830" s="18">
        <f>IF(AND(ISNUMBER(D830),ISNUMBER(H830)),D830-H830,NA())</f>
        <v/>
      </c>
      <c r="M830" s="18">
        <f>IF(AND(ISNUMBER(E830),ISNUMBER(K830)),E830-K830,NA())</f>
        <v/>
      </c>
      <c r="N830" s="18">
        <f>IF(NOT(ISNUMBER($A830)),NA(),IF(COUNT(OFFSET(G830,1,0,Settings!$B$12,1))&lt;Settings!$B$12,NA(),STDEV(OFFSET(G830,1,0,Settings!$B$12,1))*SQRT(Settings!$B$13)))</f>
        <v/>
      </c>
      <c r="O830" s="18">
        <f>IF(AND(ISNUMBER(E830),ISNUMBER(N830)),E830-N830,NA())</f>
        <v/>
      </c>
      <c r="P830" s="17">
        <f>IF(NOT(ISNUMBER($A830)),NA(),IF(OR($A830&lt;MIN(KW_TP!$A$2:$A$2501),$A830&gt;MAX(KW_TP!$A$2:$A$2501)),NA(),INDEX(KW_TP!$C$2:$C$2501,MATCH($A830,KW_TP!$A$2:$A$2501,1))))</f>
        <v/>
      </c>
    </row>
    <row r="831">
      <c r="A831" s="15">
        <f>IF(ISNUMBER(BBG_Data!A831),BBG_Data!A831,"")</f>
        <v/>
      </c>
      <c r="B831" s="16">
        <f>IF(AND(ISNUMBER($A831),ISNUMBER(BBG_Data!B831)),BBG_Data!B831,NA())</f>
        <v/>
      </c>
      <c r="C831" s="16">
        <f>IF(AND(ISNUMBER($A831),ISNUMBER(BBG_Data!C831)),BBG_Data!C831,NA())</f>
        <v/>
      </c>
      <c r="D831" s="17">
        <f>IF(AND(ISNUMBER($A831),ISNUMBER(BBG_Data!D831)),BBG_Data!D831,NA())</f>
        <v/>
      </c>
      <c r="E831" s="17">
        <f>IF(AND(ISNUMBER($A831),ISNUMBER(BBG_Data!E831)),BBG_Data!E831,NA())</f>
        <v/>
      </c>
      <c r="F831" s="18">
        <f>IF(AND(ISNUMBER(B831),ISNUMBER(B830)),(B831-B830)*100,"")</f>
        <v/>
      </c>
      <c r="G831" s="18">
        <f>IF(AND(ISNUMBER(C831),ISNUMBER(C830)),(C831-C830)*100,"")</f>
        <v/>
      </c>
      <c r="H831" s="18">
        <f>IF(OR(NOT(ISNUMBER($A831)),ROW()-2&lt;Settings!$B$11),NA(),IF(COUNT(OFFSET(F831,1-Settings!$B$11,0,Settings!$B$11,1))&lt;Settings!$B$11,NA(),STDEV(OFFSET(F831,1-Settings!$B$11,0,Settings!$B$11,1))*SQRT(Settings!$B$13)))</f>
        <v/>
      </c>
      <c r="I831" s="18">
        <f>IF(OR(NOT(ISNUMBER($A831)),ROW()-2&lt;Settings!$B$12),NA(),IF(COUNT(OFFSET(F831,1-Settings!$B$12,0,Settings!$B$12,1))&lt;Settings!$B$12,NA(),STDEV(OFFSET(F831,1-Settings!$B$12,0,Settings!$B$12,1))*SQRT(Settings!$B$13)))</f>
        <v/>
      </c>
      <c r="J831" s="18">
        <f>IF(OR(NOT(ISNUMBER($A831)),ROW()-2&lt;Settings!$B$11),NA(),IF(COUNT(OFFSET(G831,1-Settings!$B$11,0,Settings!$B$11,1))&lt;Settings!$B$11,NA(),STDEV(OFFSET(G831,1-Settings!$B$11,0,Settings!$B$11,1))*SQRT(Settings!$B$13)))</f>
        <v/>
      </c>
      <c r="K831" s="18">
        <f>IF(OR(NOT(ISNUMBER($A831)),ROW()-2&lt;Settings!$B$12),NA(),IF(COUNT(OFFSET(G831,1-Settings!$B$12,0,Settings!$B$12,1))&lt;Settings!$B$12,NA(),STDEV(OFFSET(G831,1-Settings!$B$12,0,Settings!$B$12,1))*SQRT(Settings!$B$13)))</f>
        <v/>
      </c>
      <c r="L831" s="18">
        <f>IF(AND(ISNUMBER(D831),ISNUMBER(H831)),D831-H831,NA())</f>
        <v/>
      </c>
      <c r="M831" s="18">
        <f>IF(AND(ISNUMBER(E831),ISNUMBER(K831)),E831-K831,NA())</f>
        <v/>
      </c>
      <c r="N831" s="18">
        <f>IF(NOT(ISNUMBER($A831)),NA(),IF(COUNT(OFFSET(G831,1,0,Settings!$B$12,1))&lt;Settings!$B$12,NA(),STDEV(OFFSET(G831,1,0,Settings!$B$12,1))*SQRT(Settings!$B$13)))</f>
        <v/>
      </c>
      <c r="O831" s="18">
        <f>IF(AND(ISNUMBER(E831),ISNUMBER(N831)),E831-N831,NA())</f>
        <v/>
      </c>
      <c r="P831" s="17">
        <f>IF(NOT(ISNUMBER($A831)),NA(),IF(OR($A831&lt;MIN(KW_TP!$A$2:$A$2501),$A831&gt;MAX(KW_TP!$A$2:$A$2501)),NA(),INDEX(KW_TP!$C$2:$C$2501,MATCH($A831,KW_TP!$A$2:$A$2501,1))))</f>
        <v/>
      </c>
    </row>
    <row r="832">
      <c r="A832" s="15">
        <f>IF(ISNUMBER(BBG_Data!A832),BBG_Data!A832,"")</f>
        <v/>
      </c>
      <c r="B832" s="16">
        <f>IF(AND(ISNUMBER($A832),ISNUMBER(BBG_Data!B832)),BBG_Data!B832,NA())</f>
        <v/>
      </c>
      <c r="C832" s="16">
        <f>IF(AND(ISNUMBER($A832),ISNUMBER(BBG_Data!C832)),BBG_Data!C832,NA())</f>
        <v/>
      </c>
      <c r="D832" s="17">
        <f>IF(AND(ISNUMBER($A832),ISNUMBER(BBG_Data!D832)),BBG_Data!D832,NA())</f>
        <v/>
      </c>
      <c r="E832" s="17">
        <f>IF(AND(ISNUMBER($A832),ISNUMBER(BBG_Data!E832)),BBG_Data!E832,NA())</f>
        <v/>
      </c>
      <c r="F832" s="18">
        <f>IF(AND(ISNUMBER(B832),ISNUMBER(B831)),(B832-B831)*100,"")</f>
        <v/>
      </c>
      <c r="G832" s="18">
        <f>IF(AND(ISNUMBER(C832),ISNUMBER(C831)),(C832-C831)*100,"")</f>
        <v/>
      </c>
      <c r="H832" s="18">
        <f>IF(OR(NOT(ISNUMBER($A832)),ROW()-2&lt;Settings!$B$11),NA(),IF(COUNT(OFFSET(F832,1-Settings!$B$11,0,Settings!$B$11,1))&lt;Settings!$B$11,NA(),STDEV(OFFSET(F832,1-Settings!$B$11,0,Settings!$B$11,1))*SQRT(Settings!$B$13)))</f>
        <v/>
      </c>
      <c r="I832" s="18">
        <f>IF(OR(NOT(ISNUMBER($A832)),ROW()-2&lt;Settings!$B$12),NA(),IF(COUNT(OFFSET(F832,1-Settings!$B$12,0,Settings!$B$12,1))&lt;Settings!$B$12,NA(),STDEV(OFFSET(F832,1-Settings!$B$12,0,Settings!$B$12,1))*SQRT(Settings!$B$13)))</f>
        <v/>
      </c>
      <c r="J832" s="18">
        <f>IF(OR(NOT(ISNUMBER($A832)),ROW()-2&lt;Settings!$B$11),NA(),IF(COUNT(OFFSET(G832,1-Settings!$B$11,0,Settings!$B$11,1))&lt;Settings!$B$11,NA(),STDEV(OFFSET(G832,1-Settings!$B$11,0,Settings!$B$11,1))*SQRT(Settings!$B$13)))</f>
        <v/>
      </c>
      <c r="K832" s="18">
        <f>IF(OR(NOT(ISNUMBER($A832)),ROW()-2&lt;Settings!$B$12),NA(),IF(COUNT(OFFSET(G832,1-Settings!$B$12,0,Settings!$B$12,1))&lt;Settings!$B$12,NA(),STDEV(OFFSET(G832,1-Settings!$B$12,0,Settings!$B$12,1))*SQRT(Settings!$B$13)))</f>
        <v/>
      </c>
      <c r="L832" s="18">
        <f>IF(AND(ISNUMBER(D832),ISNUMBER(H832)),D832-H832,NA())</f>
        <v/>
      </c>
      <c r="M832" s="18">
        <f>IF(AND(ISNUMBER(E832),ISNUMBER(K832)),E832-K832,NA())</f>
        <v/>
      </c>
      <c r="N832" s="18">
        <f>IF(NOT(ISNUMBER($A832)),NA(),IF(COUNT(OFFSET(G832,1,0,Settings!$B$12,1))&lt;Settings!$B$12,NA(),STDEV(OFFSET(G832,1,0,Settings!$B$12,1))*SQRT(Settings!$B$13)))</f>
        <v/>
      </c>
      <c r="O832" s="18">
        <f>IF(AND(ISNUMBER(E832),ISNUMBER(N832)),E832-N832,NA())</f>
        <v/>
      </c>
      <c r="P832" s="17">
        <f>IF(NOT(ISNUMBER($A832)),NA(),IF(OR($A832&lt;MIN(KW_TP!$A$2:$A$2501),$A832&gt;MAX(KW_TP!$A$2:$A$2501)),NA(),INDEX(KW_TP!$C$2:$C$2501,MATCH($A832,KW_TP!$A$2:$A$2501,1))))</f>
        <v/>
      </c>
    </row>
    <row r="833">
      <c r="A833" s="15">
        <f>IF(ISNUMBER(BBG_Data!A833),BBG_Data!A833,"")</f>
        <v/>
      </c>
      <c r="B833" s="16">
        <f>IF(AND(ISNUMBER($A833),ISNUMBER(BBG_Data!B833)),BBG_Data!B833,NA())</f>
        <v/>
      </c>
      <c r="C833" s="16">
        <f>IF(AND(ISNUMBER($A833),ISNUMBER(BBG_Data!C833)),BBG_Data!C833,NA())</f>
        <v/>
      </c>
      <c r="D833" s="17">
        <f>IF(AND(ISNUMBER($A833),ISNUMBER(BBG_Data!D833)),BBG_Data!D833,NA())</f>
        <v/>
      </c>
      <c r="E833" s="17">
        <f>IF(AND(ISNUMBER($A833),ISNUMBER(BBG_Data!E833)),BBG_Data!E833,NA())</f>
        <v/>
      </c>
      <c r="F833" s="18">
        <f>IF(AND(ISNUMBER(B833),ISNUMBER(B832)),(B833-B832)*100,"")</f>
        <v/>
      </c>
      <c r="G833" s="18">
        <f>IF(AND(ISNUMBER(C833),ISNUMBER(C832)),(C833-C832)*100,"")</f>
        <v/>
      </c>
      <c r="H833" s="18">
        <f>IF(OR(NOT(ISNUMBER($A833)),ROW()-2&lt;Settings!$B$11),NA(),IF(COUNT(OFFSET(F833,1-Settings!$B$11,0,Settings!$B$11,1))&lt;Settings!$B$11,NA(),STDEV(OFFSET(F833,1-Settings!$B$11,0,Settings!$B$11,1))*SQRT(Settings!$B$13)))</f>
        <v/>
      </c>
      <c r="I833" s="18">
        <f>IF(OR(NOT(ISNUMBER($A833)),ROW()-2&lt;Settings!$B$12),NA(),IF(COUNT(OFFSET(F833,1-Settings!$B$12,0,Settings!$B$12,1))&lt;Settings!$B$12,NA(),STDEV(OFFSET(F833,1-Settings!$B$12,0,Settings!$B$12,1))*SQRT(Settings!$B$13)))</f>
        <v/>
      </c>
      <c r="J833" s="18">
        <f>IF(OR(NOT(ISNUMBER($A833)),ROW()-2&lt;Settings!$B$11),NA(),IF(COUNT(OFFSET(G833,1-Settings!$B$11,0,Settings!$B$11,1))&lt;Settings!$B$11,NA(),STDEV(OFFSET(G833,1-Settings!$B$11,0,Settings!$B$11,1))*SQRT(Settings!$B$13)))</f>
        <v/>
      </c>
      <c r="K833" s="18">
        <f>IF(OR(NOT(ISNUMBER($A833)),ROW()-2&lt;Settings!$B$12),NA(),IF(COUNT(OFFSET(G833,1-Settings!$B$12,0,Settings!$B$12,1))&lt;Settings!$B$12,NA(),STDEV(OFFSET(G833,1-Settings!$B$12,0,Settings!$B$12,1))*SQRT(Settings!$B$13)))</f>
        <v/>
      </c>
      <c r="L833" s="18">
        <f>IF(AND(ISNUMBER(D833),ISNUMBER(H833)),D833-H833,NA())</f>
        <v/>
      </c>
      <c r="M833" s="18">
        <f>IF(AND(ISNUMBER(E833),ISNUMBER(K833)),E833-K833,NA())</f>
        <v/>
      </c>
      <c r="N833" s="18">
        <f>IF(NOT(ISNUMBER($A833)),NA(),IF(COUNT(OFFSET(G833,1,0,Settings!$B$12,1))&lt;Settings!$B$12,NA(),STDEV(OFFSET(G833,1,0,Settings!$B$12,1))*SQRT(Settings!$B$13)))</f>
        <v/>
      </c>
      <c r="O833" s="18">
        <f>IF(AND(ISNUMBER(E833),ISNUMBER(N833)),E833-N833,NA())</f>
        <v/>
      </c>
      <c r="P833" s="17">
        <f>IF(NOT(ISNUMBER($A833)),NA(),IF(OR($A833&lt;MIN(KW_TP!$A$2:$A$2501),$A833&gt;MAX(KW_TP!$A$2:$A$2501)),NA(),INDEX(KW_TP!$C$2:$C$2501,MATCH($A833,KW_TP!$A$2:$A$2501,1))))</f>
        <v/>
      </c>
    </row>
    <row r="834">
      <c r="A834" s="15">
        <f>IF(ISNUMBER(BBG_Data!A834),BBG_Data!A834,"")</f>
        <v/>
      </c>
      <c r="B834" s="16">
        <f>IF(AND(ISNUMBER($A834),ISNUMBER(BBG_Data!B834)),BBG_Data!B834,NA())</f>
        <v/>
      </c>
      <c r="C834" s="16">
        <f>IF(AND(ISNUMBER($A834),ISNUMBER(BBG_Data!C834)),BBG_Data!C834,NA())</f>
        <v/>
      </c>
      <c r="D834" s="17">
        <f>IF(AND(ISNUMBER($A834),ISNUMBER(BBG_Data!D834)),BBG_Data!D834,NA())</f>
        <v/>
      </c>
      <c r="E834" s="17">
        <f>IF(AND(ISNUMBER($A834),ISNUMBER(BBG_Data!E834)),BBG_Data!E834,NA())</f>
        <v/>
      </c>
      <c r="F834" s="18">
        <f>IF(AND(ISNUMBER(B834),ISNUMBER(B833)),(B834-B833)*100,"")</f>
        <v/>
      </c>
      <c r="G834" s="18">
        <f>IF(AND(ISNUMBER(C834),ISNUMBER(C833)),(C834-C833)*100,"")</f>
        <v/>
      </c>
      <c r="H834" s="18">
        <f>IF(OR(NOT(ISNUMBER($A834)),ROW()-2&lt;Settings!$B$11),NA(),IF(COUNT(OFFSET(F834,1-Settings!$B$11,0,Settings!$B$11,1))&lt;Settings!$B$11,NA(),STDEV(OFFSET(F834,1-Settings!$B$11,0,Settings!$B$11,1))*SQRT(Settings!$B$13)))</f>
        <v/>
      </c>
      <c r="I834" s="18">
        <f>IF(OR(NOT(ISNUMBER($A834)),ROW()-2&lt;Settings!$B$12),NA(),IF(COUNT(OFFSET(F834,1-Settings!$B$12,0,Settings!$B$12,1))&lt;Settings!$B$12,NA(),STDEV(OFFSET(F834,1-Settings!$B$12,0,Settings!$B$12,1))*SQRT(Settings!$B$13)))</f>
        <v/>
      </c>
      <c r="J834" s="18">
        <f>IF(OR(NOT(ISNUMBER($A834)),ROW()-2&lt;Settings!$B$11),NA(),IF(COUNT(OFFSET(G834,1-Settings!$B$11,0,Settings!$B$11,1))&lt;Settings!$B$11,NA(),STDEV(OFFSET(G834,1-Settings!$B$11,0,Settings!$B$11,1))*SQRT(Settings!$B$13)))</f>
        <v/>
      </c>
      <c r="K834" s="18">
        <f>IF(OR(NOT(ISNUMBER($A834)),ROW()-2&lt;Settings!$B$12),NA(),IF(COUNT(OFFSET(G834,1-Settings!$B$12,0,Settings!$B$12,1))&lt;Settings!$B$12,NA(),STDEV(OFFSET(G834,1-Settings!$B$12,0,Settings!$B$12,1))*SQRT(Settings!$B$13)))</f>
        <v/>
      </c>
      <c r="L834" s="18">
        <f>IF(AND(ISNUMBER(D834),ISNUMBER(H834)),D834-H834,NA())</f>
        <v/>
      </c>
      <c r="M834" s="18">
        <f>IF(AND(ISNUMBER(E834),ISNUMBER(K834)),E834-K834,NA())</f>
        <v/>
      </c>
      <c r="N834" s="18">
        <f>IF(NOT(ISNUMBER($A834)),NA(),IF(COUNT(OFFSET(G834,1,0,Settings!$B$12,1))&lt;Settings!$B$12,NA(),STDEV(OFFSET(G834,1,0,Settings!$B$12,1))*SQRT(Settings!$B$13)))</f>
        <v/>
      </c>
      <c r="O834" s="18">
        <f>IF(AND(ISNUMBER(E834),ISNUMBER(N834)),E834-N834,NA())</f>
        <v/>
      </c>
      <c r="P834" s="17">
        <f>IF(NOT(ISNUMBER($A834)),NA(),IF(OR($A834&lt;MIN(KW_TP!$A$2:$A$2501),$A834&gt;MAX(KW_TP!$A$2:$A$2501)),NA(),INDEX(KW_TP!$C$2:$C$2501,MATCH($A834,KW_TP!$A$2:$A$2501,1))))</f>
        <v/>
      </c>
    </row>
    <row r="835">
      <c r="A835" s="15">
        <f>IF(ISNUMBER(BBG_Data!A835),BBG_Data!A835,"")</f>
        <v/>
      </c>
      <c r="B835" s="16">
        <f>IF(AND(ISNUMBER($A835),ISNUMBER(BBG_Data!B835)),BBG_Data!B835,NA())</f>
        <v/>
      </c>
      <c r="C835" s="16">
        <f>IF(AND(ISNUMBER($A835),ISNUMBER(BBG_Data!C835)),BBG_Data!C835,NA())</f>
        <v/>
      </c>
      <c r="D835" s="17">
        <f>IF(AND(ISNUMBER($A835),ISNUMBER(BBG_Data!D835)),BBG_Data!D835,NA())</f>
        <v/>
      </c>
      <c r="E835" s="17">
        <f>IF(AND(ISNUMBER($A835),ISNUMBER(BBG_Data!E835)),BBG_Data!E835,NA())</f>
        <v/>
      </c>
      <c r="F835" s="18">
        <f>IF(AND(ISNUMBER(B835),ISNUMBER(B834)),(B835-B834)*100,"")</f>
        <v/>
      </c>
      <c r="G835" s="18">
        <f>IF(AND(ISNUMBER(C835),ISNUMBER(C834)),(C835-C834)*100,"")</f>
        <v/>
      </c>
      <c r="H835" s="18">
        <f>IF(OR(NOT(ISNUMBER($A835)),ROW()-2&lt;Settings!$B$11),NA(),IF(COUNT(OFFSET(F835,1-Settings!$B$11,0,Settings!$B$11,1))&lt;Settings!$B$11,NA(),STDEV(OFFSET(F835,1-Settings!$B$11,0,Settings!$B$11,1))*SQRT(Settings!$B$13)))</f>
        <v/>
      </c>
      <c r="I835" s="18">
        <f>IF(OR(NOT(ISNUMBER($A835)),ROW()-2&lt;Settings!$B$12),NA(),IF(COUNT(OFFSET(F835,1-Settings!$B$12,0,Settings!$B$12,1))&lt;Settings!$B$12,NA(),STDEV(OFFSET(F835,1-Settings!$B$12,0,Settings!$B$12,1))*SQRT(Settings!$B$13)))</f>
        <v/>
      </c>
      <c r="J835" s="18">
        <f>IF(OR(NOT(ISNUMBER($A835)),ROW()-2&lt;Settings!$B$11),NA(),IF(COUNT(OFFSET(G835,1-Settings!$B$11,0,Settings!$B$11,1))&lt;Settings!$B$11,NA(),STDEV(OFFSET(G835,1-Settings!$B$11,0,Settings!$B$11,1))*SQRT(Settings!$B$13)))</f>
        <v/>
      </c>
      <c r="K835" s="18">
        <f>IF(OR(NOT(ISNUMBER($A835)),ROW()-2&lt;Settings!$B$12),NA(),IF(COUNT(OFFSET(G835,1-Settings!$B$12,0,Settings!$B$12,1))&lt;Settings!$B$12,NA(),STDEV(OFFSET(G835,1-Settings!$B$12,0,Settings!$B$12,1))*SQRT(Settings!$B$13)))</f>
        <v/>
      </c>
      <c r="L835" s="18">
        <f>IF(AND(ISNUMBER(D835),ISNUMBER(H835)),D835-H835,NA())</f>
        <v/>
      </c>
      <c r="M835" s="18">
        <f>IF(AND(ISNUMBER(E835),ISNUMBER(K835)),E835-K835,NA())</f>
        <v/>
      </c>
      <c r="N835" s="18">
        <f>IF(NOT(ISNUMBER($A835)),NA(),IF(COUNT(OFFSET(G835,1,0,Settings!$B$12,1))&lt;Settings!$B$12,NA(),STDEV(OFFSET(G835,1,0,Settings!$B$12,1))*SQRT(Settings!$B$13)))</f>
        <v/>
      </c>
      <c r="O835" s="18">
        <f>IF(AND(ISNUMBER(E835),ISNUMBER(N835)),E835-N835,NA())</f>
        <v/>
      </c>
      <c r="P835" s="17">
        <f>IF(NOT(ISNUMBER($A835)),NA(),IF(OR($A835&lt;MIN(KW_TP!$A$2:$A$2501),$A835&gt;MAX(KW_TP!$A$2:$A$2501)),NA(),INDEX(KW_TP!$C$2:$C$2501,MATCH($A835,KW_TP!$A$2:$A$2501,1))))</f>
        <v/>
      </c>
    </row>
    <row r="836">
      <c r="A836" s="15">
        <f>IF(ISNUMBER(BBG_Data!A836),BBG_Data!A836,"")</f>
        <v/>
      </c>
      <c r="B836" s="16">
        <f>IF(AND(ISNUMBER($A836),ISNUMBER(BBG_Data!B836)),BBG_Data!B836,NA())</f>
        <v/>
      </c>
      <c r="C836" s="16">
        <f>IF(AND(ISNUMBER($A836),ISNUMBER(BBG_Data!C836)),BBG_Data!C836,NA())</f>
        <v/>
      </c>
      <c r="D836" s="17">
        <f>IF(AND(ISNUMBER($A836),ISNUMBER(BBG_Data!D836)),BBG_Data!D836,NA())</f>
        <v/>
      </c>
      <c r="E836" s="17">
        <f>IF(AND(ISNUMBER($A836),ISNUMBER(BBG_Data!E836)),BBG_Data!E836,NA())</f>
        <v/>
      </c>
      <c r="F836" s="18">
        <f>IF(AND(ISNUMBER(B836),ISNUMBER(B835)),(B836-B835)*100,"")</f>
        <v/>
      </c>
      <c r="G836" s="18">
        <f>IF(AND(ISNUMBER(C836),ISNUMBER(C835)),(C836-C835)*100,"")</f>
        <v/>
      </c>
      <c r="H836" s="18">
        <f>IF(OR(NOT(ISNUMBER($A836)),ROW()-2&lt;Settings!$B$11),NA(),IF(COUNT(OFFSET(F836,1-Settings!$B$11,0,Settings!$B$11,1))&lt;Settings!$B$11,NA(),STDEV(OFFSET(F836,1-Settings!$B$11,0,Settings!$B$11,1))*SQRT(Settings!$B$13)))</f>
        <v/>
      </c>
      <c r="I836" s="18">
        <f>IF(OR(NOT(ISNUMBER($A836)),ROW()-2&lt;Settings!$B$12),NA(),IF(COUNT(OFFSET(F836,1-Settings!$B$12,0,Settings!$B$12,1))&lt;Settings!$B$12,NA(),STDEV(OFFSET(F836,1-Settings!$B$12,0,Settings!$B$12,1))*SQRT(Settings!$B$13)))</f>
        <v/>
      </c>
      <c r="J836" s="18">
        <f>IF(OR(NOT(ISNUMBER($A836)),ROW()-2&lt;Settings!$B$11),NA(),IF(COUNT(OFFSET(G836,1-Settings!$B$11,0,Settings!$B$11,1))&lt;Settings!$B$11,NA(),STDEV(OFFSET(G836,1-Settings!$B$11,0,Settings!$B$11,1))*SQRT(Settings!$B$13)))</f>
        <v/>
      </c>
      <c r="K836" s="18">
        <f>IF(OR(NOT(ISNUMBER($A836)),ROW()-2&lt;Settings!$B$12),NA(),IF(COUNT(OFFSET(G836,1-Settings!$B$12,0,Settings!$B$12,1))&lt;Settings!$B$12,NA(),STDEV(OFFSET(G836,1-Settings!$B$12,0,Settings!$B$12,1))*SQRT(Settings!$B$13)))</f>
        <v/>
      </c>
      <c r="L836" s="18">
        <f>IF(AND(ISNUMBER(D836),ISNUMBER(H836)),D836-H836,NA())</f>
        <v/>
      </c>
      <c r="M836" s="18">
        <f>IF(AND(ISNUMBER(E836),ISNUMBER(K836)),E836-K836,NA())</f>
        <v/>
      </c>
      <c r="N836" s="18">
        <f>IF(NOT(ISNUMBER($A836)),NA(),IF(COUNT(OFFSET(G836,1,0,Settings!$B$12,1))&lt;Settings!$B$12,NA(),STDEV(OFFSET(G836,1,0,Settings!$B$12,1))*SQRT(Settings!$B$13)))</f>
        <v/>
      </c>
      <c r="O836" s="18">
        <f>IF(AND(ISNUMBER(E836),ISNUMBER(N836)),E836-N836,NA())</f>
        <v/>
      </c>
      <c r="P836" s="17">
        <f>IF(NOT(ISNUMBER($A836)),NA(),IF(OR($A836&lt;MIN(KW_TP!$A$2:$A$2501),$A836&gt;MAX(KW_TP!$A$2:$A$2501)),NA(),INDEX(KW_TP!$C$2:$C$2501,MATCH($A836,KW_TP!$A$2:$A$2501,1))))</f>
        <v/>
      </c>
    </row>
    <row r="837">
      <c r="A837" s="15">
        <f>IF(ISNUMBER(BBG_Data!A837),BBG_Data!A837,"")</f>
        <v/>
      </c>
      <c r="B837" s="16">
        <f>IF(AND(ISNUMBER($A837),ISNUMBER(BBG_Data!B837)),BBG_Data!B837,NA())</f>
        <v/>
      </c>
      <c r="C837" s="16">
        <f>IF(AND(ISNUMBER($A837),ISNUMBER(BBG_Data!C837)),BBG_Data!C837,NA())</f>
        <v/>
      </c>
      <c r="D837" s="17">
        <f>IF(AND(ISNUMBER($A837),ISNUMBER(BBG_Data!D837)),BBG_Data!D837,NA())</f>
        <v/>
      </c>
      <c r="E837" s="17">
        <f>IF(AND(ISNUMBER($A837),ISNUMBER(BBG_Data!E837)),BBG_Data!E837,NA())</f>
        <v/>
      </c>
      <c r="F837" s="18">
        <f>IF(AND(ISNUMBER(B837),ISNUMBER(B836)),(B837-B836)*100,"")</f>
        <v/>
      </c>
      <c r="G837" s="18">
        <f>IF(AND(ISNUMBER(C837),ISNUMBER(C836)),(C837-C836)*100,"")</f>
        <v/>
      </c>
      <c r="H837" s="18">
        <f>IF(OR(NOT(ISNUMBER($A837)),ROW()-2&lt;Settings!$B$11),NA(),IF(COUNT(OFFSET(F837,1-Settings!$B$11,0,Settings!$B$11,1))&lt;Settings!$B$11,NA(),STDEV(OFFSET(F837,1-Settings!$B$11,0,Settings!$B$11,1))*SQRT(Settings!$B$13)))</f>
        <v/>
      </c>
      <c r="I837" s="18">
        <f>IF(OR(NOT(ISNUMBER($A837)),ROW()-2&lt;Settings!$B$12),NA(),IF(COUNT(OFFSET(F837,1-Settings!$B$12,0,Settings!$B$12,1))&lt;Settings!$B$12,NA(),STDEV(OFFSET(F837,1-Settings!$B$12,0,Settings!$B$12,1))*SQRT(Settings!$B$13)))</f>
        <v/>
      </c>
      <c r="J837" s="18">
        <f>IF(OR(NOT(ISNUMBER($A837)),ROW()-2&lt;Settings!$B$11),NA(),IF(COUNT(OFFSET(G837,1-Settings!$B$11,0,Settings!$B$11,1))&lt;Settings!$B$11,NA(),STDEV(OFFSET(G837,1-Settings!$B$11,0,Settings!$B$11,1))*SQRT(Settings!$B$13)))</f>
        <v/>
      </c>
      <c r="K837" s="18">
        <f>IF(OR(NOT(ISNUMBER($A837)),ROW()-2&lt;Settings!$B$12),NA(),IF(COUNT(OFFSET(G837,1-Settings!$B$12,0,Settings!$B$12,1))&lt;Settings!$B$12,NA(),STDEV(OFFSET(G837,1-Settings!$B$12,0,Settings!$B$12,1))*SQRT(Settings!$B$13)))</f>
        <v/>
      </c>
      <c r="L837" s="18">
        <f>IF(AND(ISNUMBER(D837),ISNUMBER(H837)),D837-H837,NA())</f>
        <v/>
      </c>
      <c r="M837" s="18">
        <f>IF(AND(ISNUMBER(E837),ISNUMBER(K837)),E837-K837,NA())</f>
        <v/>
      </c>
      <c r="N837" s="18">
        <f>IF(NOT(ISNUMBER($A837)),NA(),IF(COUNT(OFFSET(G837,1,0,Settings!$B$12,1))&lt;Settings!$B$12,NA(),STDEV(OFFSET(G837,1,0,Settings!$B$12,1))*SQRT(Settings!$B$13)))</f>
        <v/>
      </c>
      <c r="O837" s="18">
        <f>IF(AND(ISNUMBER(E837),ISNUMBER(N837)),E837-N837,NA())</f>
        <v/>
      </c>
      <c r="P837" s="17">
        <f>IF(NOT(ISNUMBER($A837)),NA(),IF(OR($A837&lt;MIN(KW_TP!$A$2:$A$2501),$A837&gt;MAX(KW_TP!$A$2:$A$2501)),NA(),INDEX(KW_TP!$C$2:$C$2501,MATCH($A837,KW_TP!$A$2:$A$2501,1))))</f>
        <v/>
      </c>
    </row>
    <row r="838">
      <c r="A838" s="15">
        <f>IF(ISNUMBER(BBG_Data!A838),BBG_Data!A838,"")</f>
        <v/>
      </c>
      <c r="B838" s="16">
        <f>IF(AND(ISNUMBER($A838),ISNUMBER(BBG_Data!B838)),BBG_Data!B838,NA())</f>
        <v/>
      </c>
      <c r="C838" s="16">
        <f>IF(AND(ISNUMBER($A838),ISNUMBER(BBG_Data!C838)),BBG_Data!C838,NA())</f>
        <v/>
      </c>
      <c r="D838" s="17">
        <f>IF(AND(ISNUMBER($A838),ISNUMBER(BBG_Data!D838)),BBG_Data!D838,NA())</f>
        <v/>
      </c>
      <c r="E838" s="17">
        <f>IF(AND(ISNUMBER($A838),ISNUMBER(BBG_Data!E838)),BBG_Data!E838,NA())</f>
        <v/>
      </c>
      <c r="F838" s="18">
        <f>IF(AND(ISNUMBER(B838),ISNUMBER(B837)),(B838-B837)*100,"")</f>
        <v/>
      </c>
      <c r="G838" s="18">
        <f>IF(AND(ISNUMBER(C838),ISNUMBER(C837)),(C838-C837)*100,"")</f>
        <v/>
      </c>
      <c r="H838" s="18">
        <f>IF(OR(NOT(ISNUMBER($A838)),ROW()-2&lt;Settings!$B$11),NA(),IF(COUNT(OFFSET(F838,1-Settings!$B$11,0,Settings!$B$11,1))&lt;Settings!$B$11,NA(),STDEV(OFFSET(F838,1-Settings!$B$11,0,Settings!$B$11,1))*SQRT(Settings!$B$13)))</f>
        <v/>
      </c>
      <c r="I838" s="18">
        <f>IF(OR(NOT(ISNUMBER($A838)),ROW()-2&lt;Settings!$B$12),NA(),IF(COUNT(OFFSET(F838,1-Settings!$B$12,0,Settings!$B$12,1))&lt;Settings!$B$12,NA(),STDEV(OFFSET(F838,1-Settings!$B$12,0,Settings!$B$12,1))*SQRT(Settings!$B$13)))</f>
        <v/>
      </c>
      <c r="J838" s="18">
        <f>IF(OR(NOT(ISNUMBER($A838)),ROW()-2&lt;Settings!$B$11),NA(),IF(COUNT(OFFSET(G838,1-Settings!$B$11,0,Settings!$B$11,1))&lt;Settings!$B$11,NA(),STDEV(OFFSET(G838,1-Settings!$B$11,0,Settings!$B$11,1))*SQRT(Settings!$B$13)))</f>
        <v/>
      </c>
      <c r="K838" s="18">
        <f>IF(OR(NOT(ISNUMBER($A838)),ROW()-2&lt;Settings!$B$12),NA(),IF(COUNT(OFFSET(G838,1-Settings!$B$12,0,Settings!$B$12,1))&lt;Settings!$B$12,NA(),STDEV(OFFSET(G838,1-Settings!$B$12,0,Settings!$B$12,1))*SQRT(Settings!$B$13)))</f>
        <v/>
      </c>
      <c r="L838" s="18">
        <f>IF(AND(ISNUMBER(D838),ISNUMBER(H838)),D838-H838,NA())</f>
        <v/>
      </c>
      <c r="M838" s="18">
        <f>IF(AND(ISNUMBER(E838),ISNUMBER(K838)),E838-K838,NA())</f>
        <v/>
      </c>
      <c r="N838" s="18">
        <f>IF(NOT(ISNUMBER($A838)),NA(),IF(COUNT(OFFSET(G838,1,0,Settings!$B$12,1))&lt;Settings!$B$12,NA(),STDEV(OFFSET(G838,1,0,Settings!$B$12,1))*SQRT(Settings!$B$13)))</f>
        <v/>
      </c>
      <c r="O838" s="18">
        <f>IF(AND(ISNUMBER(E838),ISNUMBER(N838)),E838-N838,NA())</f>
        <v/>
      </c>
      <c r="P838" s="17">
        <f>IF(NOT(ISNUMBER($A838)),NA(),IF(OR($A838&lt;MIN(KW_TP!$A$2:$A$2501),$A838&gt;MAX(KW_TP!$A$2:$A$2501)),NA(),INDEX(KW_TP!$C$2:$C$2501,MATCH($A838,KW_TP!$A$2:$A$2501,1))))</f>
        <v/>
      </c>
    </row>
    <row r="839">
      <c r="A839" s="15">
        <f>IF(ISNUMBER(BBG_Data!A839),BBG_Data!A839,"")</f>
        <v/>
      </c>
      <c r="B839" s="16">
        <f>IF(AND(ISNUMBER($A839),ISNUMBER(BBG_Data!B839)),BBG_Data!B839,NA())</f>
        <v/>
      </c>
      <c r="C839" s="16">
        <f>IF(AND(ISNUMBER($A839),ISNUMBER(BBG_Data!C839)),BBG_Data!C839,NA())</f>
        <v/>
      </c>
      <c r="D839" s="17">
        <f>IF(AND(ISNUMBER($A839),ISNUMBER(BBG_Data!D839)),BBG_Data!D839,NA())</f>
        <v/>
      </c>
      <c r="E839" s="17">
        <f>IF(AND(ISNUMBER($A839),ISNUMBER(BBG_Data!E839)),BBG_Data!E839,NA())</f>
        <v/>
      </c>
      <c r="F839" s="18">
        <f>IF(AND(ISNUMBER(B839),ISNUMBER(B838)),(B839-B838)*100,"")</f>
        <v/>
      </c>
      <c r="G839" s="18">
        <f>IF(AND(ISNUMBER(C839),ISNUMBER(C838)),(C839-C838)*100,"")</f>
        <v/>
      </c>
      <c r="H839" s="18">
        <f>IF(OR(NOT(ISNUMBER($A839)),ROW()-2&lt;Settings!$B$11),NA(),IF(COUNT(OFFSET(F839,1-Settings!$B$11,0,Settings!$B$11,1))&lt;Settings!$B$11,NA(),STDEV(OFFSET(F839,1-Settings!$B$11,0,Settings!$B$11,1))*SQRT(Settings!$B$13)))</f>
        <v/>
      </c>
      <c r="I839" s="18">
        <f>IF(OR(NOT(ISNUMBER($A839)),ROW()-2&lt;Settings!$B$12),NA(),IF(COUNT(OFFSET(F839,1-Settings!$B$12,0,Settings!$B$12,1))&lt;Settings!$B$12,NA(),STDEV(OFFSET(F839,1-Settings!$B$12,0,Settings!$B$12,1))*SQRT(Settings!$B$13)))</f>
        <v/>
      </c>
      <c r="J839" s="18">
        <f>IF(OR(NOT(ISNUMBER($A839)),ROW()-2&lt;Settings!$B$11),NA(),IF(COUNT(OFFSET(G839,1-Settings!$B$11,0,Settings!$B$11,1))&lt;Settings!$B$11,NA(),STDEV(OFFSET(G839,1-Settings!$B$11,0,Settings!$B$11,1))*SQRT(Settings!$B$13)))</f>
        <v/>
      </c>
      <c r="K839" s="18">
        <f>IF(OR(NOT(ISNUMBER($A839)),ROW()-2&lt;Settings!$B$12),NA(),IF(COUNT(OFFSET(G839,1-Settings!$B$12,0,Settings!$B$12,1))&lt;Settings!$B$12,NA(),STDEV(OFFSET(G839,1-Settings!$B$12,0,Settings!$B$12,1))*SQRT(Settings!$B$13)))</f>
        <v/>
      </c>
      <c r="L839" s="18">
        <f>IF(AND(ISNUMBER(D839),ISNUMBER(H839)),D839-H839,NA())</f>
        <v/>
      </c>
      <c r="M839" s="18">
        <f>IF(AND(ISNUMBER(E839),ISNUMBER(K839)),E839-K839,NA())</f>
        <v/>
      </c>
      <c r="N839" s="18">
        <f>IF(NOT(ISNUMBER($A839)),NA(),IF(COUNT(OFFSET(G839,1,0,Settings!$B$12,1))&lt;Settings!$B$12,NA(),STDEV(OFFSET(G839,1,0,Settings!$B$12,1))*SQRT(Settings!$B$13)))</f>
        <v/>
      </c>
      <c r="O839" s="18">
        <f>IF(AND(ISNUMBER(E839),ISNUMBER(N839)),E839-N839,NA())</f>
        <v/>
      </c>
      <c r="P839" s="17">
        <f>IF(NOT(ISNUMBER($A839)),NA(),IF(OR($A839&lt;MIN(KW_TP!$A$2:$A$2501),$A839&gt;MAX(KW_TP!$A$2:$A$2501)),NA(),INDEX(KW_TP!$C$2:$C$2501,MATCH($A839,KW_TP!$A$2:$A$2501,1))))</f>
        <v/>
      </c>
    </row>
    <row r="840">
      <c r="A840" s="15">
        <f>IF(ISNUMBER(BBG_Data!A840),BBG_Data!A840,"")</f>
        <v/>
      </c>
      <c r="B840" s="16">
        <f>IF(AND(ISNUMBER($A840),ISNUMBER(BBG_Data!B840)),BBG_Data!B840,NA())</f>
        <v/>
      </c>
      <c r="C840" s="16">
        <f>IF(AND(ISNUMBER($A840),ISNUMBER(BBG_Data!C840)),BBG_Data!C840,NA())</f>
        <v/>
      </c>
      <c r="D840" s="17">
        <f>IF(AND(ISNUMBER($A840),ISNUMBER(BBG_Data!D840)),BBG_Data!D840,NA())</f>
        <v/>
      </c>
      <c r="E840" s="17">
        <f>IF(AND(ISNUMBER($A840),ISNUMBER(BBG_Data!E840)),BBG_Data!E840,NA())</f>
        <v/>
      </c>
      <c r="F840" s="18">
        <f>IF(AND(ISNUMBER(B840),ISNUMBER(B839)),(B840-B839)*100,"")</f>
        <v/>
      </c>
      <c r="G840" s="18">
        <f>IF(AND(ISNUMBER(C840),ISNUMBER(C839)),(C840-C839)*100,"")</f>
        <v/>
      </c>
      <c r="H840" s="18">
        <f>IF(OR(NOT(ISNUMBER($A840)),ROW()-2&lt;Settings!$B$11),NA(),IF(COUNT(OFFSET(F840,1-Settings!$B$11,0,Settings!$B$11,1))&lt;Settings!$B$11,NA(),STDEV(OFFSET(F840,1-Settings!$B$11,0,Settings!$B$11,1))*SQRT(Settings!$B$13)))</f>
        <v/>
      </c>
      <c r="I840" s="18">
        <f>IF(OR(NOT(ISNUMBER($A840)),ROW()-2&lt;Settings!$B$12),NA(),IF(COUNT(OFFSET(F840,1-Settings!$B$12,0,Settings!$B$12,1))&lt;Settings!$B$12,NA(),STDEV(OFFSET(F840,1-Settings!$B$12,0,Settings!$B$12,1))*SQRT(Settings!$B$13)))</f>
        <v/>
      </c>
      <c r="J840" s="18">
        <f>IF(OR(NOT(ISNUMBER($A840)),ROW()-2&lt;Settings!$B$11),NA(),IF(COUNT(OFFSET(G840,1-Settings!$B$11,0,Settings!$B$11,1))&lt;Settings!$B$11,NA(),STDEV(OFFSET(G840,1-Settings!$B$11,0,Settings!$B$11,1))*SQRT(Settings!$B$13)))</f>
        <v/>
      </c>
      <c r="K840" s="18">
        <f>IF(OR(NOT(ISNUMBER($A840)),ROW()-2&lt;Settings!$B$12),NA(),IF(COUNT(OFFSET(G840,1-Settings!$B$12,0,Settings!$B$12,1))&lt;Settings!$B$12,NA(),STDEV(OFFSET(G840,1-Settings!$B$12,0,Settings!$B$12,1))*SQRT(Settings!$B$13)))</f>
        <v/>
      </c>
      <c r="L840" s="18">
        <f>IF(AND(ISNUMBER(D840),ISNUMBER(H840)),D840-H840,NA())</f>
        <v/>
      </c>
      <c r="M840" s="18">
        <f>IF(AND(ISNUMBER(E840),ISNUMBER(K840)),E840-K840,NA())</f>
        <v/>
      </c>
      <c r="N840" s="18">
        <f>IF(NOT(ISNUMBER($A840)),NA(),IF(COUNT(OFFSET(G840,1,0,Settings!$B$12,1))&lt;Settings!$B$12,NA(),STDEV(OFFSET(G840,1,0,Settings!$B$12,1))*SQRT(Settings!$B$13)))</f>
        <v/>
      </c>
      <c r="O840" s="18">
        <f>IF(AND(ISNUMBER(E840),ISNUMBER(N840)),E840-N840,NA())</f>
        <v/>
      </c>
      <c r="P840" s="17">
        <f>IF(NOT(ISNUMBER($A840)),NA(),IF(OR($A840&lt;MIN(KW_TP!$A$2:$A$2501),$A840&gt;MAX(KW_TP!$A$2:$A$2501)),NA(),INDEX(KW_TP!$C$2:$C$2501,MATCH($A840,KW_TP!$A$2:$A$2501,1))))</f>
        <v/>
      </c>
    </row>
    <row r="841">
      <c r="A841" s="15">
        <f>IF(ISNUMBER(BBG_Data!A841),BBG_Data!A841,"")</f>
        <v/>
      </c>
      <c r="B841" s="16">
        <f>IF(AND(ISNUMBER($A841),ISNUMBER(BBG_Data!B841)),BBG_Data!B841,NA())</f>
        <v/>
      </c>
      <c r="C841" s="16">
        <f>IF(AND(ISNUMBER($A841),ISNUMBER(BBG_Data!C841)),BBG_Data!C841,NA())</f>
        <v/>
      </c>
      <c r="D841" s="17">
        <f>IF(AND(ISNUMBER($A841),ISNUMBER(BBG_Data!D841)),BBG_Data!D841,NA())</f>
        <v/>
      </c>
      <c r="E841" s="17">
        <f>IF(AND(ISNUMBER($A841),ISNUMBER(BBG_Data!E841)),BBG_Data!E841,NA())</f>
        <v/>
      </c>
      <c r="F841" s="18">
        <f>IF(AND(ISNUMBER(B841),ISNUMBER(B840)),(B841-B840)*100,"")</f>
        <v/>
      </c>
      <c r="G841" s="18">
        <f>IF(AND(ISNUMBER(C841),ISNUMBER(C840)),(C841-C840)*100,"")</f>
        <v/>
      </c>
      <c r="H841" s="18">
        <f>IF(OR(NOT(ISNUMBER($A841)),ROW()-2&lt;Settings!$B$11),NA(),IF(COUNT(OFFSET(F841,1-Settings!$B$11,0,Settings!$B$11,1))&lt;Settings!$B$11,NA(),STDEV(OFFSET(F841,1-Settings!$B$11,0,Settings!$B$11,1))*SQRT(Settings!$B$13)))</f>
        <v/>
      </c>
      <c r="I841" s="18">
        <f>IF(OR(NOT(ISNUMBER($A841)),ROW()-2&lt;Settings!$B$12),NA(),IF(COUNT(OFFSET(F841,1-Settings!$B$12,0,Settings!$B$12,1))&lt;Settings!$B$12,NA(),STDEV(OFFSET(F841,1-Settings!$B$12,0,Settings!$B$12,1))*SQRT(Settings!$B$13)))</f>
        <v/>
      </c>
      <c r="J841" s="18">
        <f>IF(OR(NOT(ISNUMBER($A841)),ROW()-2&lt;Settings!$B$11),NA(),IF(COUNT(OFFSET(G841,1-Settings!$B$11,0,Settings!$B$11,1))&lt;Settings!$B$11,NA(),STDEV(OFFSET(G841,1-Settings!$B$11,0,Settings!$B$11,1))*SQRT(Settings!$B$13)))</f>
        <v/>
      </c>
      <c r="K841" s="18">
        <f>IF(OR(NOT(ISNUMBER($A841)),ROW()-2&lt;Settings!$B$12),NA(),IF(COUNT(OFFSET(G841,1-Settings!$B$12,0,Settings!$B$12,1))&lt;Settings!$B$12,NA(),STDEV(OFFSET(G841,1-Settings!$B$12,0,Settings!$B$12,1))*SQRT(Settings!$B$13)))</f>
        <v/>
      </c>
      <c r="L841" s="18">
        <f>IF(AND(ISNUMBER(D841),ISNUMBER(H841)),D841-H841,NA())</f>
        <v/>
      </c>
      <c r="M841" s="18">
        <f>IF(AND(ISNUMBER(E841),ISNUMBER(K841)),E841-K841,NA())</f>
        <v/>
      </c>
      <c r="N841" s="18">
        <f>IF(NOT(ISNUMBER($A841)),NA(),IF(COUNT(OFFSET(G841,1,0,Settings!$B$12,1))&lt;Settings!$B$12,NA(),STDEV(OFFSET(G841,1,0,Settings!$B$12,1))*SQRT(Settings!$B$13)))</f>
        <v/>
      </c>
      <c r="O841" s="18">
        <f>IF(AND(ISNUMBER(E841),ISNUMBER(N841)),E841-N841,NA())</f>
        <v/>
      </c>
      <c r="P841" s="17">
        <f>IF(NOT(ISNUMBER($A841)),NA(),IF(OR($A841&lt;MIN(KW_TP!$A$2:$A$2501),$A841&gt;MAX(KW_TP!$A$2:$A$2501)),NA(),INDEX(KW_TP!$C$2:$C$2501,MATCH($A841,KW_TP!$A$2:$A$2501,1))))</f>
        <v/>
      </c>
    </row>
    <row r="842">
      <c r="A842" s="15">
        <f>IF(ISNUMBER(BBG_Data!A842),BBG_Data!A842,"")</f>
        <v/>
      </c>
      <c r="B842" s="16">
        <f>IF(AND(ISNUMBER($A842),ISNUMBER(BBG_Data!B842)),BBG_Data!B842,NA())</f>
        <v/>
      </c>
      <c r="C842" s="16">
        <f>IF(AND(ISNUMBER($A842),ISNUMBER(BBG_Data!C842)),BBG_Data!C842,NA())</f>
        <v/>
      </c>
      <c r="D842" s="17">
        <f>IF(AND(ISNUMBER($A842),ISNUMBER(BBG_Data!D842)),BBG_Data!D842,NA())</f>
        <v/>
      </c>
      <c r="E842" s="17">
        <f>IF(AND(ISNUMBER($A842),ISNUMBER(BBG_Data!E842)),BBG_Data!E842,NA())</f>
        <v/>
      </c>
      <c r="F842" s="18">
        <f>IF(AND(ISNUMBER(B842),ISNUMBER(B841)),(B842-B841)*100,"")</f>
        <v/>
      </c>
      <c r="G842" s="18">
        <f>IF(AND(ISNUMBER(C842),ISNUMBER(C841)),(C842-C841)*100,"")</f>
        <v/>
      </c>
      <c r="H842" s="18">
        <f>IF(OR(NOT(ISNUMBER($A842)),ROW()-2&lt;Settings!$B$11),NA(),IF(COUNT(OFFSET(F842,1-Settings!$B$11,0,Settings!$B$11,1))&lt;Settings!$B$11,NA(),STDEV(OFFSET(F842,1-Settings!$B$11,0,Settings!$B$11,1))*SQRT(Settings!$B$13)))</f>
        <v/>
      </c>
      <c r="I842" s="18">
        <f>IF(OR(NOT(ISNUMBER($A842)),ROW()-2&lt;Settings!$B$12),NA(),IF(COUNT(OFFSET(F842,1-Settings!$B$12,0,Settings!$B$12,1))&lt;Settings!$B$12,NA(),STDEV(OFFSET(F842,1-Settings!$B$12,0,Settings!$B$12,1))*SQRT(Settings!$B$13)))</f>
        <v/>
      </c>
      <c r="J842" s="18">
        <f>IF(OR(NOT(ISNUMBER($A842)),ROW()-2&lt;Settings!$B$11),NA(),IF(COUNT(OFFSET(G842,1-Settings!$B$11,0,Settings!$B$11,1))&lt;Settings!$B$11,NA(),STDEV(OFFSET(G842,1-Settings!$B$11,0,Settings!$B$11,1))*SQRT(Settings!$B$13)))</f>
        <v/>
      </c>
      <c r="K842" s="18">
        <f>IF(OR(NOT(ISNUMBER($A842)),ROW()-2&lt;Settings!$B$12),NA(),IF(COUNT(OFFSET(G842,1-Settings!$B$12,0,Settings!$B$12,1))&lt;Settings!$B$12,NA(),STDEV(OFFSET(G842,1-Settings!$B$12,0,Settings!$B$12,1))*SQRT(Settings!$B$13)))</f>
        <v/>
      </c>
      <c r="L842" s="18">
        <f>IF(AND(ISNUMBER(D842),ISNUMBER(H842)),D842-H842,NA())</f>
        <v/>
      </c>
      <c r="M842" s="18">
        <f>IF(AND(ISNUMBER(E842),ISNUMBER(K842)),E842-K842,NA())</f>
        <v/>
      </c>
      <c r="N842" s="18">
        <f>IF(NOT(ISNUMBER($A842)),NA(),IF(COUNT(OFFSET(G842,1,0,Settings!$B$12,1))&lt;Settings!$B$12,NA(),STDEV(OFFSET(G842,1,0,Settings!$B$12,1))*SQRT(Settings!$B$13)))</f>
        <v/>
      </c>
      <c r="O842" s="18">
        <f>IF(AND(ISNUMBER(E842),ISNUMBER(N842)),E842-N842,NA())</f>
        <v/>
      </c>
      <c r="P842" s="17">
        <f>IF(NOT(ISNUMBER($A842)),NA(),IF(OR($A842&lt;MIN(KW_TP!$A$2:$A$2501),$A842&gt;MAX(KW_TP!$A$2:$A$2501)),NA(),INDEX(KW_TP!$C$2:$C$2501,MATCH($A842,KW_TP!$A$2:$A$2501,1))))</f>
        <v/>
      </c>
    </row>
    <row r="843">
      <c r="A843" s="15">
        <f>IF(ISNUMBER(BBG_Data!A843),BBG_Data!A843,"")</f>
        <v/>
      </c>
      <c r="B843" s="16">
        <f>IF(AND(ISNUMBER($A843),ISNUMBER(BBG_Data!B843)),BBG_Data!B843,NA())</f>
        <v/>
      </c>
      <c r="C843" s="16">
        <f>IF(AND(ISNUMBER($A843),ISNUMBER(BBG_Data!C843)),BBG_Data!C843,NA())</f>
        <v/>
      </c>
      <c r="D843" s="17">
        <f>IF(AND(ISNUMBER($A843),ISNUMBER(BBG_Data!D843)),BBG_Data!D843,NA())</f>
        <v/>
      </c>
      <c r="E843" s="17">
        <f>IF(AND(ISNUMBER($A843),ISNUMBER(BBG_Data!E843)),BBG_Data!E843,NA())</f>
        <v/>
      </c>
      <c r="F843" s="18">
        <f>IF(AND(ISNUMBER(B843),ISNUMBER(B842)),(B843-B842)*100,"")</f>
        <v/>
      </c>
      <c r="G843" s="18">
        <f>IF(AND(ISNUMBER(C843),ISNUMBER(C842)),(C843-C842)*100,"")</f>
        <v/>
      </c>
      <c r="H843" s="18">
        <f>IF(OR(NOT(ISNUMBER($A843)),ROW()-2&lt;Settings!$B$11),NA(),IF(COUNT(OFFSET(F843,1-Settings!$B$11,0,Settings!$B$11,1))&lt;Settings!$B$11,NA(),STDEV(OFFSET(F843,1-Settings!$B$11,0,Settings!$B$11,1))*SQRT(Settings!$B$13)))</f>
        <v/>
      </c>
      <c r="I843" s="18">
        <f>IF(OR(NOT(ISNUMBER($A843)),ROW()-2&lt;Settings!$B$12),NA(),IF(COUNT(OFFSET(F843,1-Settings!$B$12,0,Settings!$B$12,1))&lt;Settings!$B$12,NA(),STDEV(OFFSET(F843,1-Settings!$B$12,0,Settings!$B$12,1))*SQRT(Settings!$B$13)))</f>
        <v/>
      </c>
      <c r="J843" s="18">
        <f>IF(OR(NOT(ISNUMBER($A843)),ROW()-2&lt;Settings!$B$11),NA(),IF(COUNT(OFFSET(G843,1-Settings!$B$11,0,Settings!$B$11,1))&lt;Settings!$B$11,NA(),STDEV(OFFSET(G843,1-Settings!$B$11,0,Settings!$B$11,1))*SQRT(Settings!$B$13)))</f>
        <v/>
      </c>
      <c r="K843" s="18">
        <f>IF(OR(NOT(ISNUMBER($A843)),ROW()-2&lt;Settings!$B$12),NA(),IF(COUNT(OFFSET(G843,1-Settings!$B$12,0,Settings!$B$12,1))&lt;Settings!$B$12,NA(),STDEV(OFFSET(G843,1-Settings!$B$12,0,Settings!$B$12,1))*SQRT(Settings!$B$13)))</f>
        <v/>
      </c>
      <c r="L843" s="18">
        <f>IF(AND(ISNUMBER(D843),ISNUMBER(H843)),D843-H843,NA())</f>
        <v/>
      </c>
      <c r="M843" s="18">
        <f>IF(AND(ISNUMBER(E843),ISNUMBER(K843)),E843-K843,NA())</f>
        <v/>
      </c>
      <c r="N843" s="18">
        <f>IF(NOT(ISNUMBER($A843)),NA(),IF(COUNT(OFFSET(G843,1,0,Settings!$B$12,1))&lt;Settings!$B$12,NA(),STDEV(OFFSET(G843,1,0,Settings!$B$12,1))*SQRT(Settings!$B$13)))</f>
        <v/>
      </c>
      <c r="O843" s="18">
        <f>IF(AND(ISNUMBER(E843),ISNUMBER(N843)),E843-N843,NA())</f>
        <v/>
      </c>
      <c r="P843" s="17">
        <f>IF(NOT(ISNUMBER($A843)),NA(),IF(OR($A843&lt;MIN(KW_TP!$A$2:$A$2501),$A843&gt;MAX(KW_TP!$A$2:$A$2501)),NA(),INDEX(KW_TP!$C$2:$C$2501,MATCH($A843,KW_TP!$A$2:$A$2501,1))))</f>
        <v/>
      </c>
    </row>
    <row r="844">
      <c r="A844" s="15">
        <f>IF(ISNUMBER(BBG_Data!A844),BBG_Data!A844,"")</f>
        <v/>
      </c>
      <c r="B844" s="16">
        <f>IF(AND(ISNUMBER($A844),ISNUMBER(BBG_Data!B844)),BBG_Data!B844,NA())</f>
        <v/>
      </c>
      <c r="C844" s="16">
        <f>IF(AND(ISNUMBER($A844),ISNUMBER(BBG_Data!C844)),BBG_Data!C844,NA())</f>
        <v/>
      </c>
      <c r="D844" s="17">
        <f>IF(AND(ISNUMBER($A844),ISNUMBER(BBG_Data!D844)),BBG_Data!D844,NA())</f>
        <v/>
      </c>
      <c r="E844" s="17">
        <f>IF(AND(ISNUMBER($A844),ISNUMBER(BBG_Data!E844)),BBG_Data!E844,NA())</f>
        <v/>
      </c>
      <c r="F844" s="18">
        <f>IF(AND(ISNUMBER(B844),ISNUMBER(B843)),(B844-B843)*100,"")</f>
        <v/>
      </c>
      <c r="G844" s="18">
        <f>IF(AND(ISNUMBER(C844),ISNUMBER(C843)),(C844-C843)*100,"")</f>
        <v/>
      </c>
      <c r="H844" s="18">
        <f>IF(OR(NOT(ISNUMBER($A844)),ROW()-2&lt;Settings!$B$11),NA(),IF(COUNT(OFFSET(F844,1-Settings!$B$11,0,Settings!$B$11,1))&lt;Settings!$B$11,NA(),STDEV(OFFSET(F844,1-Settings!$B$11,0,Settings!$B$11,1))*SQRT(Settings!$B$13)))</f>
        <v/>
      </c>
      <c r="I844" s="18">
        <f>IF(OR(NOT(ISNUMBER($A844)),ROW()-2&lt;Settings!$B$12),NA(),IF(COUNT(OFFSET(F844,1-Settings!$B$12,0,Settings!$B$12,1))&lt;Settings!$B$12,NA(),STDEV(OFFSET(F844,1-Settings!$B$12,0,Settings!$B$12,1))*SQRT(Settings!$B$13)))</f>
        <v/>
      </c>
      <c r="J844" s="18">
        <f>IF(OR(NOT(ISNUMBER($A844)),ROW()-2&lt;Settings!$B$11),NA(),IF(COUNT(OFFSET(G844,1-Settings!$B$11,0,Settings!$B$11,1))&lt;Settings!$B$11,NA(),STDEV(OFFSET(G844,1-Settings!$B$11,0,Settings!$B$11,1))*SQRT(Settings!$B$13)))</f>
        <v/>
      </c>
      <c r="K844" s="18">
        <f>IF(OR(NOT(ISNUMBER($A844)),ROW()-2&lt;Settings!$B$12),NA(),IF(COUNT(OFFSET(G844,1-Settings!$B$12,0,Settings!$B$12,1))&lt;Settings!$B$12,NA(),STDEV(OFFSET(G844,1-Settings!$B$12,0,Settings!$B$12,1))*SQRT(Settings!$B$13)))</f>
        <v/>
      </c>
      <c r="L844" s="18">
        <f>IF(AND(ISNUMBER(D844),ISNUMBER(H844)),D844-H844,NA())</f>
        <v/>
      </c>
      <c r="M844" s="18">
        <f>IF(AND(ISNUMBER(E844),ISNUMBER(K844)),E844-K844,NA())</f>
        <v/>
      </c>
      <c r="N844" s="18">
        <f>IF(NOT(ISNUMBER($A844)),NA(),IF(COUNT(OFFSET(G844,1,0,Settings!$B$12,1))&lt;Settings!$B$12,NA(),STDEV(OFFSET(G844,1,0,Settings!$B$12,1))*SQRT(Settings!$B$13)))</f>
        <v/>
      </c>
      <c r="O844" s="18">
        <f>IF(AND(ISNUMBER(E844),ISNUMBER(N844)),E844-N844,NA())</f>
        <v/>
      </c>
      <c r="P844" s="17">
        <f>IF(NOT(ISNUMBER($A844)),NA(),IF(OR($A844&lt;MIN(KW_TP!$A$2:$A$2501),$A844&gt;MAX(KW_TP!$A$2:$A$2501)),NA(),INDEX(KW_TP!$C$2:$C$2501,MATCH($A844,KW_TP!$A$2:$A$2501,1))))</f>
        <v/>
      </c>
    </row>
    <row r="845">
      <c r="A845" s="15">
        <f>IF(ISNUMBER(BBG_Data!A845),BBG_Data!A845,"")</f>
        <v/>
      </c>
      <c r="B845" s="16">
        <f>IF(AND(ISNUMBER($A845),ISNUMBER(BBG_Data!B845)),BBG_Data!B845,NA())</f>
        <v/>
      </c>
      <c r="C845" s="16">
        <f>IF(AND(ISNUMBER($A845),ISNUMBER(BBG_Data!C845)),BBG_Data!C845,NA())</f>
        <v/>
      </c>
      <c r="D845" s="17">
        <f>IF(AND(ISNUMBER($A845),ISNUMBER(BBG_Data!D845)),BBG_Data!D845,NA())</f>
        <v/>
      </c>
      <c r="E845" s="17">
        <f>IF(AND(ISNUMBER($A845),ISNUMBER(BBG_Data!E845)),BBG_Data!E845,NA())</f>
        <v/>
      </c>
      <c r="F845" s="18">
        <f>IF(AND(ISNUMBER(B845),ISNUMBER(B844)),(B845-B844)*100,"")</f>
        <v/>
      </c>
      <c r="G845" s="18">
        <f>IF(AND(ISNUMBER(C845),ISNUMBER(C844)),(C845-C844)*100,"")</f>
        <v/>
      </c>
      <c r="H845" s="18">
        <f>IF(OR(NOT(ISNUMBER($A845)),ROW()-2&lt;Settings!$B$11),NA(),IF(COUNT(OFFSET(F845,1-Settings!$B$11,0,Settings!$B$11,1))&lt;Settings!$B$11,NA(),STDEV(OFFSET(F845,1-Settings!$B$11,0,Settings!$B$11,1))*SQRT(Settings!$B$13)))</f>
        <v/>
      </c>
      <c r="I845" s="18">
        <f>IF(OR(NOT(ISNUMBER($A845)),ROW()-2&lt;Settings!$B$12),NA(),IF(COUNT(OFFSET(F845,1-Settings!$B$12,0,Settings!$B$12,1))&lt;Settings!$B$12,NA(),STDEV(OFFSET(F845,1-Settings!$B$12,0,Settings!$B$12,1))*SQRT(Settings!$B$13)))</f>
        <v/>
      </c>
      <c r="J845" s="18">
        <f>IF(OR(NOT(ISNUMBER($A845)),ROW()-2&lt;Settings!$B$11),NA(),IF(COUNT(OFFSET(G845,1-Settings!$B$11,0,Settings!$B$11,1))&lt;Settings!$B$11,NA(),STDEV(OFFSET(G845,1-Settings!$B$11,0,Settings!$B$11,1))*SQRT(Settings!$B$13)))</f>
        <v/>
      </c>
      <c r="K845" s="18">
        <f>IF(OR(NOT(ISNUMBER($A845)),ROW()-2&lt;Settings!$B$12),NA(),IF(COUNT(OFFSET(G845,1-Settings!$B$12,0,Settings!$B$12,1))&lt;Settings!$B$12,NA(),STDEV(OFFSET(G845,1-Settings!$B$12,0,Settings!$B$12,1))*SQRT(Settings!$B$13)))</f>
        <v/>
      </c>
      <c r="L845" s="18">
        <f>IF(AND(ISNUMBER(D845),ISNUMBER(H845)),D845-H845,NA())</f>
        <v/>
      </c>
      <c r="M845" s="18">
        <f>IF(AND(ISNUMBER(E845),ISNUMBER(K845)),E845-K845,NA())</f>
        <v/>
      </c>
      <c r="N845" s="18">
        <f>IF(NOT(ISNUMBER($A845)),NA(),IF(COUNT(OFFSET(G845,1,0,Settings!$B$12,1))&lt;Settings!$B$12,NA(),STDEV(OFFSET(G845,1,0,Settings!$B$12,1))*SQRT(Settings!$B$13)))</f>
        <v/>
      </c>
      <c r="O845" s="18">
        <f>IF(AND(ISNUMBER(E845),ISNUMBER(N845)),E845-N845,NA())</f>
        <v/>
      </c>
      <c r="P845" s="17">
        <f>IF(NOT(ISNUMBER($A845)),NA(),IF(OR($A845&lt;MIN(KW_TP!$A$2:$A$2501),$A845&gt;MAX(KW_TP!$A$2:$A$2501)),NA(),INDEX(KW_TP!$C$2:$C$2501,MATCH($A845,KW_TP!$A$2:$A$2501,1))))</f>
        <v/>
      </c>
    </row>
    <row r="846">
      <c r="A846" s="15">
        <f>IF(ISNUMBER(BBG_Data!A846),BBG_Data!A846,"")</f>
        <v/>
      </c>
      <c r="B846" s="16">
        <f>IF(AND(ISNUMBER($A846),ISNUMBER(BBG_Data!B846)),BBG_Data!B846,NA())</f>
        <v/>
      </c>
      <c r="C846" s="16">
        <f>IF(AND(ISNUMBER($A846),ISNUMBER(BBG_Data!C846)),BBG_Data!C846,NA())</f>
        <v/>
      </c>
      <c r="D846" s="17">
        <f>IF(AND(ISNUMBER($A846),ISNUMBER(BBG_Data!D846)),BBG_Data!D846,NA())</f>
        <v/>
      </c>
      <c r="E846" s="17">
        <f>IF(AND(ISNUMBER($A846),ISNUMBER(BBG_Data!E846)),BBG_Data!E846,NA())</f>
        <v/>
      </c>
      <c r="F846" s="18">
        <f>IF(AND(ISNUMBER(B846),ISNUMBER(B845)),(B846-B845)*100,"")</f>
        <v/>
      </c>
      <c r="G846" s="18">
        <f>IF(AND(ISNUMBER(C846),ISNUMBER(C845)),(C846-C845)*100,"")</f>
        <v/>
      </c>
      <c r="H846" s="18">
        <f>IF(OR(NOT(ISNUMBER($A846)),ROW()-2&lt;Settings!$B$11),NA(),IF(COUNT(OFFSET(F846,1-Settings!$B$11,0,Settings!$B$11,1))&lt;Settings!$B$11,NA(),STDEV(OFFSET(F846,1-Settings!$B$11,0,Settings!$B$11,1))*SQRT(Settings!$B$13)))</f>
        <v/>
      </c>
      <c r="I846" s="18">
        <f>IF(OR(NOT(ISNUMBER($A846)),ROW()-2&lt;Settings!$B$12),NA(),IF(COUNT(OFFSET(F846,1-Settings!$B$12,0,Settings!$B$12,1))&lt;Settings!$B$12,NA(),STDEV(OFFSET(F846,1-Settings!$B$12,0,Settings!$B$12,1))*SQRT(Settings!$B$13)))</f>
        <v/>
      </c>
      <c r="J846" s="18">
        <f>IF(OR(NOT(ISNUMBER($A846)),ROW()-2&lt;Settings!$B$11),NA(),IF(COUNT(OFFSET(G846,1-Settings!$B$11,0,Settings!$B$11,1))&lt;Settings!$B$11,NA(),STDEV(OFFSET(G846,1-Settings!$B$11,0,Settings!$B$11,1))*SQRT(Settings!$B$13)))</f>
        <v/>
      </c>
      <c r="K846" s="18">
        <f>IF(OR(NOT(ISNUMBER($A846)),ROW()-2&lt;Settings!$B$12),NA(),IF(COUNT(OFFSET(G846,1-Settings!$B$12,0,Settings!$B$12,1))&lt;Settings!$B$12,NA(),STDEV(OFFSET(G846,1-Settings!$B$12,0,Settings!$B$12,1))*SQRT(Settings!$B$13)))</f>
        <v/>
      </c>
      <c r="L846" s="18">
        <f>IF(AND(ISNUMBER(D846),ISNUMBER(H846)),D846-H846,NA())</f>
        <v/>
      </c>
      <c r="M846" s="18">
        <f>IF(AND(ISNUMBER(E846),ISNUMBER(K846)),E846-K846,NA())</f>
        <v/>
      </c>
      <c r="N846" s="18">
        <f>IF(NOT(ISNUMBER($A846)),NA(),IF(COUNT(OFFSET(G846,1,0,Settings!$B$12,1))&lt;Settings!$B$12,NA(),STDEV(OFFSET(G846,1,0,Settings!$B$12,1))*SQRT(Settings!$B$13)))</f>
        <v/>
      </c>
      <c r="O846" s="18">
        <f>IF(AND(ISNUMBER(E846),ISNUMBER(N846)),E846-N846,NA())</f>
        <v/>
      </c>
      <c r="P846" s="17">
        <f>IF(NOT(ISNUMBER($A846)),NA(),IF(OR($A846&lt;MIN(KW_TP!$A$2:$A$2501),$A846&gt;MAX(KW_TP!$A$2:$A$2501)),NA(),INDEX(KW_TP!$C$2:$C$2501,MATCH($A846,KW_TP!$A$2:$A$2501,1))))</f>
        <v/>
      </c>
    </row>
    <row r="847">
      <c r="A847" s="15">
        <f>IF(ISNUMBER(BBG_Data!A847),BBG_Data!A847,"")</f>
        <v/>
      </c>
      <c r="B847" s="16">
        <f>IF(AND(ISNUMBER($A847),ISNUMBER(BBG_Data!B847)),BBG_Data!B847,NA())</f>
        <v/>
      </c>
      <c r="C847" s="16">
        <f>IF(AND(ISNUMBER($A847),ISNUMBER(BBG_Data!C847)),BBG_Data!C847,NA())</f>
        <v/>
      </c>
      <c r="D847" s="17">
        <f>IF(AND(ISNUMBER($A847),ISNUMBER(BBG_Data!D847)),BBG_Data!D847,NA())</f>
        <v/>
      </c>
      <c r="E847" s="17">
        <f>IF(AND(ISNUMBER($A847),ISNUMBER(BBG_Data!E847)),BBG_Data!E847,NA())</f>
        <v/>
      </c>
      <c r="F847" s="18">
        <f>IF(AND(ISNUMBER(B847),ISNUMBER(B846)),(B847-B846)*100,"")</f>
        <v/>
      </c>
      <c r="G847" s="18">
        <f>IF(AND(ISNUMBER(C847),ISNUMBER(C846)),(C847-C846)*100,"")</f>
        <v/>
      </c>
      <c r="H847" s="18">
        <f>IF(OR(NOT(ISNUMBER($A847)),ROW()-2&lt;Settings!$B$11),NA(),IF(COUNT(OFFSET(F847,1-Settings!$B$11,0,Settings!$B$11,1))&lt;Settings!$B$11,NA(),STDEV(OFFSET(F847,1-Settings!$B$11,0,Settings!$B$11,1))*SQRT(Settings!$B$13)))</f>
        <v/>
      </c>
      <c r="I847" s="18">
        <f>IF(OR(NOT(ISNUMBER($A847)),ROW()-2&lt;Settings!$B$12),NA(),IF(COUNT(OFFSET(F847,1-Settings!$B$12,0,Settings!$B$12,1))&lt;Settings!$B$12,NA(),STDEV(OFFSET(F847,1-Settings!$B$12,0,Settings!$B$12,1))*SQRT(Settings!$B$13)))</f>
        <v/>
      </c>
      <c r="J847" s="18">
        <f>IF(OR(NOT(ISNUMBER($A847)),ROW()-2&lt;Settings!$B$11),NA(),IF(COUNT(OFFSET(G847,1-Settings!$B$11,0,Settings!$B$11,1))&lt;Settings!$B$11,NA(),STDEV(OFFSET(G847,1-Settings!$B$11,0,Settings!$B$11,1))*SQRT(Settings!$B$13)))</f>
        <v/>
      </c>
      <c r="K847" s="18">
        <f>IF(OR(NOT(ISNUMBER($A847)),ROW()-2&lt;Settings!$B$12),NA(),IF(COUNT(OFFSET(G847,1-Settings!$B$12,0,Settings!$B$12,1))&lt;Settings!$B$12,NA(),STDEV(OFFSET(G847,1-Settings!$B$12,0,Settings!$B$12,1))*SQRT(Settings!$B$13)))</f>
        <v/>
      </c>
      <c r="L847" s="18">
        <f>IF(AND(ISNUMBER(D847),ISNUMBER(H847)),D847-H847,NA())</f>
        <v/>
      </c>
      <c r="M847" s="18">
        <f>IF(AND(ISNUMBER(E847),ISNUMBER(K847)),E847-K847,NA())</f>
        <v/>
      </c>
      <c r="N847" s="18">
        <f>IF(NOT(ISNUMBER($A847)),NA(),IF(COUNT(OFFSET(G847,1,0,Settings!$B$12,1))&lt;Settings!$B$12,NA(),STDEV(OFFSET(G847,1,0,Settings!$B$12,1))*SQRT(Settings!$B$13)))</f>
        <v/>
      </c>
      <c r="O847" s="18">
        <f>IF(AND(ISNUMBER(E847),ISNUMBER(N847)),E847-N847,NA())</f>
        <v/>
      </c>
      <c r="P847" s="17">
        <f>IF(NOT(ISNUMBER($A847)),NA(),IF(OR($A847&lt;MIN(KW_TP!$A$2:$A$2501),$A847&gt;MAX(KW_TP!$A$2:$A$2501)),NA(),INDEX(KW_TP!$C$2:$C$2501,MATCH($A847,KW_TP!$A$2:$A$2501,1))))</f>
        <v/>
      </c>
    </row>
    <row r="848">
      <c r="A848" s="15">
        <f>IF(ISNUMBER(BBG_Data!A848),BBG_Data!A848,"")</f>
        <v/>
      </c>
      <c r="B848" s="16">
        <f>IF(AND(ISNUMBER($A848),ISNUMBER(BBG_Data!B848)),BBG_Data!B848,NA())</f>
        <v/>
      </c>
      <c r="C848" s="16">
        <f>IF(AND(ISNUMBER($A848),ISNUMBER(BBG_Data!C848)),BBG_Data!C848,NA())</f>
        <v/>
      </c>
      <c r="D848" s="17">
        <f>IF(AND(ISNUMBER($A848),ISNUMBER(BBG_Data!D848)),BBG_Data!D848,NA())</f>
        <v/>
      </c>
      <c r="E848" s="17">
        <f>IF(AND(ISNUMBER($A848),ISNUMBER(BBG_Data!E848)),BBG_Data!E848,NA())</f>
        <v/>
      </c>
      <c r="F848" s="18">
        <f>IF(AND(ISNUMBER(B848),ISNUMBER(B847)),(B848-B847)*100,"")</f>
        <v/>
      </c>
      <c r="G848" s="18">
        <f>IF(AND(ISNUMBER(C848),ISNUMBER(C847)),(C848-C847)*100,"")</f>
        <v/>
      </c>
      <c r="H848" s="18">
        <f>IF(OR(NOT(ISNUMBER($A848)),ROW()-2&lt;Settings!$B$11),NA(),IF(COUNT(OFFSET(F848,1-Settings!$B$11,0,Settings!$B$11,1))&lt;Settings!$B$11,NA(),STDEV(OFFSET(F848,1-Settings!$B$11,0,Settings!$B$11,1))*SQRT(Settings!$B$13)))</f>
        <v/>
      </c>
      <c r="I848" s="18">
        <f>IF(OR(NOT(ISNUMBER($A848)),ROW()-2&lt;Settings!$B$12),NA(),IF(COUNT(OFFSET(F848,1-Settings!$B$12,0,Settings!$B$12,1))&lt;Settings!$B$12,NA(),STDEV(OFFSET(F848,1-Settings!$B$12,0,Settings!$B$12,1))*SQRT(Settings!$B$13)))</f>
        <v/>
      </c>
      <c r="J848" s="18">
        <f>IF(OR(NOT(ISNUMBER($A848)),ROW()-2&lt;Settings!$B$11),NA(),IF(COUNT(OFFSET(G848,1-Settings!$B$11,0,Settings!$B$11,1))&lt;Settings!$B$11,NA(),STDEV(OFFSET(G848,1-Settings!$B$11,0,Settings!$B$11,1))*SQRT(Settings!$B$13)))</f>
        <v/>
      </c>
      <c r="K848" s="18">
        <f>IF(OR(NOT(ISNUMBER($A848)),ROW()-2&lt;Settings!$B$12),NA(),IF(COUNT(OFFSET(G848,1-Settings!$B$12,0,Settings!$B$12,1))&lt;Settings!$B$12,NA(),STDEV(OFFSET(G848,1-Settings!$B$12,0,Settings!$B$12,1))*SQRT(Settings!$B$13)))</f>
        <v/>
      </c>
      <c r="L848" s="18">
        <f>IF(AND(ISNUMBER(D848),ISNUMBER(H848)),D848-H848,NA())</f>
        <v/>
      </c>
      <c r="M848" s="18">
        <f>IF(AND(ISNUMBER(E848),ISNUMBER(K848)),E848-K848,NA())</f>
        <v/>
      </c>
      <c r="N848" s="18">
        <f>IF(NOT(ISNUMBER($A848)),NA(),IF(COUNT(OFFSET(G848,1,0,Settings!$B$12,1))&lt;Settings!$B$12,NA(),STDEV(OFFSET(G848,1,0,Settings!$B$12,1))*SQRT(Settings!$B$13)))</f>
        <v/>
      </c>
      <c r="O848" s="18">
        <f>IF(AND(ISNUMBER(E848),ISNUMBER(N848)),E848-N848,NA())</f>
        <v/>
      </c>
      <c r="P848" s="17">
        <f>IF(NOT(ISNUMBER($A848)),NA(),IF(OR($A848&lt;MIN(KW_TP!$A$2:$A$2501),$A848&gt;MAX(KW_TP!$A$2:$A$2501)),NA(),INDEX(KW_TP!$C$2:$C$2501,MATCH($A848,KW_TP!$A$2:$A$2501,1))))</f>
        <v/>
      </c>
    </row>
    <row r="849">
      <c r="A849" s="15">
        <f>IF(ISNUMBER(BBG_Data!A849),BBG_Data!A849,"")</f>
        <v/>
      </c>
      <c r="B849" s="16">
        <f>IF(AND(ISNUMBER($A849),ISNUMBER(BBG_Data!B849)),BBG_Data!B849,NA())</f>
        <v/>
      </c>
      <c r="C849" s="16">
        <f>IF(AND(ISNUMBER($A849),ISNUMBER(BBG_Data!C849)),BBG_Data!C849,NA())</f>
        <v/>
      </c>
      <c r="D849" s="17">
        <f>IF(AND(ISNUMBER($A849),ISNUMBER(BBG_Data!D849)),BBG_Data!D849,NA())</f>
        <v/>
      </c>
      <c r="E849" s="17">
        <f>IF(AND(ISNUMBER($A849),ISNUMBER(BBG_Data!E849)),BBG_Data!E849,NA())</f>
        <v/>
      </c>
      <c r="F849" s="18">
        <f>IF(AND(ISNUMBER(B849),ISNUMBER(B848)),(B849-B848)*100,"")</f>
        <v/>
      </c>
      <c r="G849" s="18">
        <f>IF(AND(ISNUMBER(C849),ISNUMBER(C848)),(C849-C848)*100,"")</f>
        <v/>
      </c>
      <c r="H849" s="18">
        <f>IF(OR(NOT(ISNUMBER($A849)),ROW()-2&lt;Settings!$B$11),NA(),IF(COUNT(OFFSET(F849,1-Settings!$B$11,0,Settings!$B$11,1))&lt;Settings!$B$11,NA(),STDEV(OFFSET(F849,1-Settings!$B$11,0,Settings!$B$11,1))*SQRT(Settings!$B$13)))</f>
        <v/>
      </c>
      <c r="I849" s="18">
        <f>IF(OR(NOT(ISNUMBER($A849)),ROW()-2&lt;Settings!$B$12),NA(),IF(COUNT(OFFSET(F849,1-Settings!$B$12,0,Settings!$B$12,1))&lt;Settings!$B$12,NA(),STDEV(OFFSET(F849,1-Settings!$B$12,0,Settings!$B$12,1))*SQRT(Settings!$B$13)))</f>
        <v/>
      </c>
      <c r="J849" s="18">
        <f>IF(OR(NOT(ISNUMBER($A849)),ROW()-2&lt;Settings!$B$11),NA(),IF(COUNT(OFFSET(G849,1-Settings!$B$11,0,Settings!$B$11,1))&lt;Settings!$B$11,NA(),STDEV(OFFSET(G849,1-Settings!$B$11,0,Settings!$B$11,1))*SQRT(Settings!$B$13)))</f>
        <v/>
      </c>
      <c r="K849" s="18">
        <f>IF(OR(NOT(ISNUMBER($A849)),ROW()-2&lt;Settings!$B$12),NA(),IF(COUNT(OFFSET(G849,1-Settings!$B$12,0,Settings!$B$12,1))&lt;Settings!$B$12,NA(),STDEV(OFFSET(G849,1-Settings!$B$12,0,Settings!$B$12,1))*SQRT(Settings!$B$13)))</f>
        <v/>
      </c>
      <c r="L849" s="18">
        <f>IF(AND(ISNUMBER(D849),ISNUMBER(H849)),D849-H849,NA())</f>
        <v/>
      </c>
      <c r="M849" s="18">
        <f>IF(AND(ISNUMBER(E849),ISNUMBER(K849)),E849-K849,NA())</f>
        <v/>
      </c>
      <c r="N849" s="18">
        <f>IF(NOT(ISNUMBER($A849)),NA(),IF(COUNT(OFFSET(G849,1,0,Settings!$B$12,1))&lt;Settings!$B$12,NA(),STDEV(OFFSET(G849,1,0,Settings!$B$12,1))*SQRT(Settings!$B$13)))</f>
        <v/>
      </c>
      <c r="O849" s="18">
        <f>IF(AND(ISNUMBER(E849),ISNUMBER(N849)),E849-N849,NA())</f>
        <v/>
      </c>
      <c r="P849" s="17">
        <f>IF(NOT(ISNUMBER($A849)),NA(),IF(OR($A849&lt;MIN(KW_TP!$A$2:$A$2501),$A849&gt;MAX(KW_TP!$A$2:$A$2501)),NA(),INDEX(KW_TP!$C$2:$C$2501,MATCH($A849,KW_TP!$A$2:$A$2501,1))))</f>
        <v/>
      </c>
    </row>
    <row r="850">
      <c r="A850" s="15">
        <f>IF(ISNUMBER(BBG_Data!A850),BBG_Data!A850,"")</f>
        <v/>
      </c>
      <c r="B850" s="16">
        <f>IF(AND(ISNUMBER($A850),ISNUMBER(BBG_Data!B850)),BBG_Data!B850,NA())</f>
        <v/>
      </c>
      <c r="C850" s="16">
        <f>IF(AND(ISNUMBER($A850),ISNUMBER(BBG_Data!C850)),BBG_Data!C850,NA())</f>
        <v/>
      </c>
      <c r="D850" s="17">
        <f>IF(AND(ISNUMBER($A850),ISNUMBER(BBG_Data!D850)),BBG_Data!D850,NA())</f>
        <v/>
      </c>
      <c r="E850" s="17">
        <f>IF(AND(ISNUMBER($A850),ISNUMBER(BBG_Data!E850)),BBG_Data!E850,NA())</f>
        <v/>
      </c>
      <c r="F850" s="18">
        <f>IF(AND(ISNUMBER(B850),ISNUMBER(B849)),(B850-B849)*100,"")</f>
        <v/>
      </c>
      <c r="G850" s="18">
        <f>IF(AND(ISNUMBER(C850),ISNUMBER(C849)),(C850-C849)*100,"")</f>
        <v/>
      </c>
      <c r="H850" s="18">
        <f>IF(OR(NOT(ISNUMBER($A850)),ROW()-2&lt;Settings!$B$11),NA(),IF(COUNT(OFFSET(F850,1-Settings!$B$11,0,Settings!$B$11,1))&lt;Settings!$B$11,NA(),STDEV(OFFSET(F850,1-Settings!$B$11,0,Settings!$B$11,1))*SQRT(Settings!$B$13)))</f>
        <v/>
      </c>
      <c r="I850" s="18">
        <f>IF(OR(NOT(ISNUMBER($A850)),ROW()-2&lt;Settings!$B$12),NA(),IF(COUNT(OFFSET(F850,1-Settings!$B$12,0,Settings!$B$12,1))&lt;Settings!$B$12,NA(),STDEV(OFFSET(F850,1-Settings!$B$12,0,Settings!$B$12,1))*SQRT(Settings!$B$13)))</f>
        <v/>
      </c>
      <c r="J850" s="18">
        <f>IF(OR(NOT(ISNUMBER($A850)),ROW()-2&lt;Settings!$B$11),NA(),IF(COUNT(OFFSET(G850,1-Settings!$B$11,0,Settings!$B$11,1))&lt;Settings!$B$11,NA(),STDEV(OFFSET(G850,1-Settings!$B$11,0,Settings!$B$11,1))*SQRT(Settings!$B$13)))</f>
        <v/>
      </c>
      <c r="K850" s="18">
        <f>IF(OR(NOT(ISNUMBER($A850)),ROW()-2&lt;Settings!$B$12),NA(),IF(COUNT(OFFSET(G850,1-Settings!$B$12,0,Settings!$B$12,1))&lt;Settings!$B$12,NA(),STDEV(OFFSET(G850,1-Settings!$B$12,0,Settings!$B$12,1))*SQRT(Settings!$B$13)))</f>
        <v/>
      </c>
      <c r="L850" s="18">
        <f>IF(AND(ISNUMBER(D850),ISNUMBER(H850)),D850-H850,NA())</f>
        <v/>
      </c>
      <c r="M850" s="18">
        <f>IF(AND(ISNUMBER(E850),ISNUMBER(K850)),E850-K850,NA())</f>
        <v/>
      </c>
      <c r="N850" s="18">
        <f>IF(NOT(ISNUMBER($A850)),NA(),IF(COUNT(OFFSET(G850,1,0,Settings!$B$12,1))&lt;Settings!$B$12,NA(),STDEV(OFFSET(G850,1,0,Settings!$B$12,1))*SQRT(Settings!$B$13)))</f>
        <v/>
      </c>
      <c r="O850" s="18">
        <f>IF(AND(ISNUMBER(E850),ISNUMBER(N850)),E850-N850,NA())</f>
        <v/>
      </c>
      <c r="P850" s="17">
        <f>IF(NOT(ISNUMBER($A850)),NA(),IF(OR($A850&lt;MIN(KW_TP!$A$2:$A$2501),$A850&gt;MAX(KW_TP!$A$2:$A$2501)),NA(),INDEX(KW_TP!$C$2:$C$2501,MATCH($A850,KW_TP!$A$2:$A$2501,1))))</f>
        <v/>
      </c>
    </row>
    <row r="851">
      <c r="A851" s="15">
        <f>IF(ISNUMBER(BBG_Data!A851),BBG_Data!A851,"")</f>
        <v/>
      </c>
      <c r="B851" s="16">
        <f>IF(AND(ISNUMBER($A851),ISNUMBER(BBG_Data!B851)),BBG_Data!B851,NA())</f>
        <v/>
      </c>
      <c r="C851" s="16">
        <f>IF(AND(ISNUMBER($A851),ISNUMBER(BBG_Data!C851)),BBG_Data!C851,NA())</f>
        <v/>
      </c>
      <c r="D851" s="17">
        <f>IF(AND(ISNUMBER($A851),ISNUMBER(BBG_Data!D851)),BBG_Data!D851,NA())</f>
        <v/>
      </c>
      <c r="E851" s="17">
        <f>IF(AND(ISNUMBER($A851),ISNUMBER(BBG_Data!E851)),BBG_Data!E851,NA())</f>
        <v/>
      </c>
      <c r="F851" s="18">
        <f>IF(AND(ISNUMBER(B851),ISNUMBER(B850)),(B851-B850)*100,"")</f>
        <v/>
      </c>
      <c r="G851" s="18">
        <f>IF(AND(ISNUMBER(C851),ISNUMBER(C850)),(C851-C850)*100,"")</f>
        <v/>
      </c>
      <c r="H851" s="18">
        <f>IF(OR(NOT(ISNUMBER($A851)),ROW()-2&lt;Settings!$B$11),NA(),IF(COUNT(OFFSET(F851,1-Settings!$B$11,0,Settings!$B$11,1))&lt;Settings!$B$11,NA(),STDEV(OFFSET(F851,1-Settings!$B$11,0,Settings!$B$11,1))*SQRT(Settings!$B$13)))</f>
        <v/>
      </c>
      <c r="I851" s="18">
        <f>IF(OR(NOT(ISNUMBER($A851)),ROW()-2&lt;Settings!$B$12),NA(),IF(COUNT(OFFSET(F851,1-Settings!$B$12,0,Settings!$B$12,1))&lt;Settings!$B$12,NA(),STDEV(OFFSET(F851,1-Settings!$B$12,0,Settings!$B$12,1))*SQRT(Settings!$B$13)))</f>
        <v/>
      </c>
      <c r="J851" s="18">
        <f>IF(OR(NOT(ISNUMBER($A851)),ROW()-2&lt;Settings!$B$11),NA(),IF(COUNT(OFFSET(G851,1-Settings!$B$11,0,Settings!$B$11,1))&lt;Settings!$B$11,NA(),STDEV(OFFSET(G851,1-Settings!$B$11,0,Settings!$B$11,1))*SQRT(Settings!$B$13)))</f>
        <v/>
      </c>
      <c r="K851" s="18">
        <f>IF(OR(NOT(ISNUMBER($A851)),ROW()-2&lt;Settings!$B$12),NA(),IF(COUNT(OFFSET(G851,1-Settings!$B$12,0,Settings!$B$12,1))&lt;Settings!$B$12,NA(),STDEV(OFFSET(G851,1-Settings!$B$12,0,Settings!$B$12,1))*SQRT(Settings!$B$13)))</f>
        <v/>
      </c>
      <c r="L851" s="18">
        <f>IF(AND(ISNUMBER(D851),ISNUMBER(H851)),D851-H851,NA())</f>
        <v/>
      </c>
      <c r="M851" s="18">
        <f>IF(AND(ISNUMBER(E851),ISNUMBER(K851)),E851-K851,NA())</f>
        <v/>
      </c>
      <c r="N851" s="18">
        <f>IF(NOT(ISNUMBER($A851)),NA(),IF(COUNT(OFFSET(G851,1,0,Settings!$B$12,1))&lt;Settings!$B$12,NA(),STDEV(OFFSET(G851,1,0,Settings!$B$12,1))*SQRT(Settings!$B$13)))</f>
        <v/>
      </c>
      <c r="O851" s="18">
        <f>IF(AND(ISNUMBER(E851),ISNUMBER(N851)),E851-N851,NA())</f>
        <v/>
      </c>
      <c r="P851" s="17">
        <f>IF(NOT(ISNUMBER($A851)),NA(),IF(OR($A851&lt;MIN(KW_TP!$A$2:$A$2501),$A851&gt;MAX(KW_TP!$A$2:$A$2501)),NA(),INDEX(KW_TP!$C$2:$C$2501,MATCH($A851,KW_TP!$A$2:$A$2501,1))))</f>
        <v/>
      </c>
    </row>
    <row r="852">
      <c r="A852" s="15">
        <f>IF(ISNUMBER(BBG_Data!A852),BBG_Data!A852,"")</f>
        <v/>
      </c>
      <c r="B852" s="16">
        <f>IF(AND(ISNUMBER($A852),ISNUMBER(BBG_Data!B852)),BBG_Data!B852,NA())</f>
        <v/>
      </c>
      <c r="C852" s="16">
        <f>IF(AND(ISNUMBER($A852),ISNUMBER(BBG_Data!C852)),BBG_Data!C852,NA())</f>
        <v/>
      </c>
      <c r="D852" s="17">
        <f>IF(AND(ISNUMBER($A852),ISNUMBER(BBG_Data!D852)),BBG_Data!D852,NA())</f>
        <v/>
      </c>
      <c r="E852" s="17">
        <f>IF(AND(ISNUMBER($A852),ISNUMBER(BBG_Data!E852)),BBG_Data!E852,NA())</f>
        <v/>
      </c>
      <c r="F852" s="18">
        <f>IF(AND(ISNUMBER(B852),ISNUMBER(B851)),(B852-B851)*100,"")</f>
        <v/>
      </c>
      <c r="G852" s="18">
        <f>IF(AND(ISNUMBER(C852),ISNUMBER(C851)),(C852-C851)*100,"")</f>
        <v/>
      </c>
      <c r="H852" s="18">
        <f>IF(OR(NOT(ISNUMBER($A852)),ROW()-2&lt;Settings!$B$11),NA(),IF(COUNT(OFFSET(F852,1-Settings!$B$11,0,Settings!$B$11,1))&lt;Settings!$B$11,NA(),STDEV(OFFSET(F852,1-Settings!$B$11,0,Settings!$B$11,1))*SQRT(Settings!$B$13)))</f>
        <v/>
      </c>
      <c r="I852" s="18">
        <f>IF(OR(NOT(ISNUMBER($A852)),ROW()-2&lt;Settings!$B$12),NA(),IF(COUNT(OFFSET(F852,1-Settings!$B$12,0,Settings!$B$12,1))&lt;Settings!$B$12,NA(),STDEV(OFFSET(F852,1-Settings!$B$12,0,Settings!$B$12,1))*SQRT(Settings!$B$13)))</f>
        <v/>
      </c>
      <c r="J852" s="18">
        <f>IF(OR(NOT(ISNUMBER($A852)),ROW()-2&lt;Settings!$B$11),NA(),IF(COUNT(OFFSET(G852,1-Settings!$B$11,0,Settings!$B$11,1))&lt;Settings!$B$11,NA(),STDEV(OFFSET(G852,1-Settings!$B$11,0,Settings!$B$11,1))*SQRT(Settings!$B$13)))</f>
        <v/>
      </c>
      <c r="K852" s="18">
        <f>IF(OR(NOT(ISNUMBER($A852)),ROW()-2&lt;Settings!$B$12),NA(),IF(COUNT(OFFSET(G852,1-Settings!$B$12,0,Settings!$B$12,1))&lt;Settings!$B$12,NA(),STDEV(OFFSET(G852,1-Settings!$B$12,0,Settings!$B$12,1))*SQRT(Settings!$B$13)))</f>
        <v/>
      </c>
      <c r="L852" s="18">
        <f>IF(AND(ISNUMBER(D852),ISNUMBER(H852)),D852-H852,NA())</f>
        <v/>
      </c>
      <c r="M852" s="18">
        <f>IF(AND(ISNUMBER(E852),ISNUMBER(K852)),E852-K852,NA())</f>
        <v/>
      </c>
      <c r="N852" s="18">
        <f>IF(NOT(ISNUMBER($A852)),NA(),IF(COUNT(OFFSET(G852,1,0,Settings!$B$12,1))&lt;Settings!$B$12,NA(),STDEV(OFFSET(G852,1,0,Settings!$B$12,1))*SQRT(Settings!$B$13)))</f>
        <v/>
      </c>
      <c r="O852" s="18">
        <f>IF(AND(ISNUMBER(E852),ISNUMBER(N852)),E852-N852,NA())</f>
        <v/>
      </c>
      <c r="P852" s="17">
        <f>IF(NOT(ISNUMBER($A852)),NA(),IF(OR($A852&lt;MIN(KW_TP!$A$2:$A$2501),$A852&gt;MAX(KW_TP!$A$2:$A$2501)),NA(),INDEX(KW_TP!$C$2:$C$2501,MATCH($A852,KW_TP!$A$2:$A$2501,1))))</f>
        <v/>
      </c>
    </row>
    <row r="853">
      <c r="A853" s="15">
        <f>IF(ISNUMBER(BBG_Data!A853),BBG_Data!A853,"")</f>
        <v/>
      </c>
      <c r="B853" s="16">
        <f>IF(AND(ISNUMBER($A853),ISNUMBER(BBG_Data!B853)),BBG_Data!B853,NA())</f>
        <v/>
      </c>
      <c r="C853" s="16">
        <f>IF(AND(ISNUMBER($A853),ISNUMBER(BBG_Data!C853)),BBG_Data!C853,NA())</f>
        <v/>
      </c>
      <c r="D853" s="17">
        <f>IF(AND(ISNUMBER($A853),ISNUMBER(BBG_Data!D853)),BBG_Data!D853,NA())</f>
        <v/>
      </c>
      <c r="E853" s="17">
        <f>IF(AND(ISNUMBER($A853),ISNUMBER(BBG_Data!E853)),BBG_Data!E853,NA())</f>
        <v/>
      </c>
      <c r="F853" s="18">
        <f>IF(AND(ISNUMBER(B853),ISNUMBER(B852)),(B853-B852)*100,"")</f>
        <v/>
      </c>
      <c r="G853" s="18">
        <f>IF(AND(ISNUMBER(C853),ISNUMBER(C852)),(C853-C852)*100,"")</f>
        <v/>
      </c>
      <c r="H853" s="18">
        <f>IF(OR(NOT(ISNUMBER($A853)),ROW()-2&lt;Settings!$B$11),NA(),IF(COUNT(OFFSET(F853,1-Settings!$B$11,0,Settings!$B$11,1))&lt;Settings!$B$11,NA(),STDEV(OFFSET(F853,1-Settings!$B$11,0,Settings!$B$11,1))*SQRT(Settings!$B$13)))</f>
        <v/>
      </c>
      <c r="I853" s="18">
        <f>IF(OR(NOT(ISNUMBER($A853)),ROW()-2&lt;Settings!$B$12),NA(),IF(COUNT(OFFSET(F853,1-Settings!$B$12,0,Settings!$B$12,1))&lt;Settings!$B$12,NA(),STDEV(OFFSET(F853,1-Settings!$B$12,0,Settings!$B$12,1))*SQRT(Settings!$B$13)))</f>
        <v/>
      </c>
      <c r="J853" s="18">
        <f>IF(OR(NOT(ISNUMBER($A853)),ROW()-2&lt;Settings!$B$11),NA(),IF(COUNT(OFFSET(G853,1-Settings!$B$11,0,Settings!$B$11,1))&lt;Settings!$B$11,NA(),STDEV(OFFSET(G853,1-Settings!$B$11,0,Settings!$B$11,1))*SQRT(Settings!$B$13)))</f>
        <v/>
      </c>
      <c r="K853" s="18">
        <f>IF(OR(NOT(ISNUMBER($A853)),ROW()-2&lt;Settings!$B$12),NA(),IF(COUNT(OFFSET(G853,1-Settings!$B$12,0,Settings!$B$12,1))&lt;Settings!$B$12,NA(),STDEV(OFFSET(G853,1-Settings!$B$12,0,Settings!$B$12,1))*SQRT(Settings!$B$13)))</f>
        <v/>
      </c>
      <c r="L853" s="18">
        <f>IF(AND(ISNUMBER(D853),ISNUMBER(H853)),D853-H853,NA())</f>
        <v/>
      </c>
      <c r="M853" s="18">
        <f>IF(AND(ISNUMBER(E853),ISNUMBER(K853)),E853-K853,NA())</f>
        <v/>
      </c>
      <c r="N853" s="18">
        <f>IF(NOT(ISNUMBER($A853)),NA(),IF(COUNT(OFFSET(G853,1,0,Settings!$B$12,1))&lt;Settings!$B$12,NA(),STDEV(OFFSET(G853,1,0,Settings!$B$12,1))*SQRT(Settings!$B$13)))</f>
        <v/>
      </c>
      <c r="O853" s="18">
        <f>IF(AND(ISNUMBER(E853),ISNUMBER(N853)),E853-N853,NA())</f>
        <v/>
      </c>
      <c r="P853" s="17">
        <f>IF(NOT(ISNUMBER($A853)),NA(),IF(OR($A853&lt;MIN(KW_TP!$A$2:$A$2501),$A853&gt;MAX(KW_TP!$A$2:$A$2501)),NA(),INDEX(KW_TP!$C$2:$C$2501,MATCH($A853,KW_TP!$A$2:$A$2501,1))))</f>
        <v/>
      </c>
    </row>
    <row r="854">
      <c r="A854" s="15">
        <f>IF(ISNUMBER(BBG_Data!A854),BBG_Data!A854,"")</f>
        <v/>
      </c>
      <c r="B854" s="16">
        <f>IF(AND(ISNUMBER($A854),ISNUMBER(BBG_Data!B854)),BBG_Data!B854,NA())</f>
        <v/>
      </c>
      <c r="C854" s="16">
        <f>IF(AND(ISNUMBER($A854),ISNUMBER(BBG_Data!C854)),BBG_Data!C854,NA())</f>
        <v/>
      </c>
      <c r="D854" s="17">
        <f>IF(AND(ISNUMBER($A854),ISNUMBER(BBG_Data!D854)),BBG_Data!D854,NA())</f>
        <v/>
      </c>
      <c r="E854" s="17">
        <f>IF(AND(ISNUMBER($A854),ISNUMBER(BBG_Data!E854)),BBG_Data!E854,NA())</f>
        <v/>
      </c>
      <c r="F854" s="18">
        <f>IF(AND(ISNUMBER(B854),ISNUMBER(B853)),(B854-B853)*100,"")</f>
        <v/>
      </c>
      <c r="G854" s="18">
        <f>IF(AND(ISNUMBER(C854),ISNUMBER(C853)),(C854-C853)*100,"")</f>
        <v/>
      </c>
      <c r="H854" s="18">
        <f>IF(OR(NOT(ISNUMBER($A854)),ROW()-2&lt;Settings!$B$11),NA(),IF(COUNT(OFFSET(F854,1-Settings!$B$11,0,Settings!$B$11,1))&lt;Settings!$B$11,NA(),STDEV(OFFSET(F854,1-Settings!$B$11,0,Settings!$B$11,1))*SQRT(Settings!$B$13)))</f>
        <v/>
      </c>
      <c r="I854" s="18">
        <f>IF(OR(NOT(ISNUMBER($A854)),ROW()-2&lt;Settings!$B$12),NA(),IF(COUNT(OFFSET(F854,1-Settings!$B$12,0,Settings!$B$12,1))&lt;Settings!$B$12,NA(),STDEV(OFFSET(F854,1-Settings!$B$12,0,Settings!$B$12,1))*SQRT(Settings!$B$13)))</f>
        <v/>
      </c>
      <c r="J854" s="18">
        <f>IF(OR(NOT(ISNUMBER($A854)),ROW()-2&lt;Settings!$B$11),NA(),IF(COUNT(OFFSET(G854,1-Settings!$B$11,0,Settings!$B$11,1))&lt;Settings!$B$11,NA(),STDEV(OFFSET(G854,1-Settings!$B$11,0,Settings!$B$11,1))*SQRT(Settings!$B$13)))</f>
        <v/>
      </c>
      <c r="K854" s="18">
        <f>IF(OR(NOT(ISNUMBER($A854)),ROW()-2&lt;Settings!$B$12),NA(),IF(COUNT(OFFSET(G854,1-Settings!$B$12,0,Settings!$B$12,1))&lt;Settings!$B$12,NA(),STDEV(OFFSET(G854,1-Settings!$B$12,0,Settings!$B$12,1))*SQRT(Settings!$B$13)))</f>
        <v/>
      </c>
      <c r="L854" s="18">
        <f>IF(AND(ISNUMBER(D854),ISNUMBER(H854)),D854-H854,NA())</f>
        <v/>
      </c>
      <c r="M854" s="18">
        <f>IF(AND(ISNUMBER(E854),ISNUMBER(K854)),E854-K854,NA())</f>
        <v/>
      </c>
      <c r="N854" s="18">
        <f>IF(NOT(ISNUMBER($A854)),NA(),IF(COUNT(OFFSET(G854,1,0,Settings!$B$12,1))&lt;Settings!$B$12,NA(),STDEV(OFFSET(G854,1,0,Settings!$B$12,1))*SQRT(Settings!$B$13)))</f>
        <v/>
      </c>
      <c r="O854" s="18">
        <f>IF(AND(ISNUMBER(E854),ISNUMBER(N854)),E854-N854,NA())</f>
        <v/>
      </c>
      <c r="P854" s="17">
        <f>IF(NOT(ISNUMBER($A854)),NA(),IF(OR($A854&lt;MIN(KW_TP!$A$2:$A$2501),$A854&gt;MAX(KW_TP!$A$2:$A$2501)),NA(),INDEX(KW_TP!$C$2:$C$2501,MATCH($A854,KW_TP!$A$2:$A$2501,1))))</f>
        <v/>
      </c>
    </row>
    <row r="855">
      <c r="A855" s="15">
        <f>IF(ISNUMBER(BBG_Data!A855),BBG_Data!A855,"")</f>
        <v/>
      </c>
      <c r="B855" s="16">
        <f>IF(AND(ISNUMBER($A855),ISNUMBER(BBG_Data!B855)),BBG_Data!B855,NA())</f>
        <v/>
      </c>
      <c r="C855" s="16">
        <f>IF(AND(ISNUMBER($A855),ISNUMBER(BBG_Data!C855)),BBG_Data!C855,NA())</f>
        <v/>
      </c>
      <c r="D855" s="17">
        <f>IF(AND(ISNUMBER($A855),ISNUMBER(BBG_Data!D855)),BBG_Data!D855,NA())</f>
        <v/>
      </c>
      <c r="E855" s="17">
        <f>IF(AND(ISNUMBER($A855),ISNUMBER(BBG_Data!E855)),BBG_Data!E855,NA())</f>
        <v/>
      </c>
      <c r="F855" s="18">
        <f>IF(AND(ISNUMBER(B855),ISNUMBER(B854)),(B855-B854)*100,"")</f>
        <v/>
      </c>
      <c r="G855" s="18">
        <f>IF(AND(ISNUMBER(C855),ISNUMBER(C854)),(C855-C854)*100,"")</f>
        <v/>
      </c>
      <c r="H855" s="18">
        <f>IF(OR(NOT(ISNUMBER($A855)),ROW()-2&lt;Settings!$B$11),NA(),IF(COUNT(OFFSET(F855,1-Settings!$B$11,0,Settings!$B$11,1))&lt;Settings!$B$11,NA(),STDEV(OFFSET(F855,1-Settings!$B$11,0,Settings!$B$11,1))*SQRT(Settings!$B$13)))</f>
        <v/>
      </c>
      <c r="I855" s="18">
        <f>IF(OR(NOT(ISNUMBER($A855)),ROW()-2&lt;Settings!$B$12),NA(),IF(COUNT(OFFSET(F855,1-Settings!$B$12,0,Settings!$B$12,1))&lt;Settings!$B$12,NA(),STDEV(OFFSET(F855,1-Settings!$B$12,0,Settings!$B$12,1))*SQRT(Settings!$B$13)))</f>
        <v/>
      </c>
      <c r="J855" s="18">
        <f>IF(OR(NOT(ISNUMBER($A855)),ROW()-2&lt;Settings!$B$11),NA(),IF(COUNT(OFFSET(G855,1-Settings!$B$11,0,Settings!$B$11,1))&lt;Settings!$B$11,NA(),STDEV(OFFSET(G855,1-Settings!$B$11,0,Settings!$B$11,1))*SQRT(Settings!$B$13)))</f>
        <v/>
      </c>
      <c r="K855" s="18">
        <f>IF(OR(NOT(ISNUMBER($A855)),ROW()-2&lt;Settings!$B$12),NA(),IF(COUNT(OFFSET(G855,1-Settings!$B$12,0,Settings!$B$12,1))&lt;Settings!$B$12,NA(),STDEV(OFFSET(G855,1-Settings!$B$12,0,Settings!$B$12,1))*SQRT(Settings!$B$13)))</f>
        <v/>
      </c>
      <c r="L855" s="18">
        <f>IF(AND(ISNUMBER(D855),ISNUMBER(H855)),D855-H855,NA())</f>
        <v/>
      </c>
      <c r="M855" s="18">
        <f>IF(AND(ISNUMBER(E855),ISNUMBER(K855)),E855-K855,NA())</f>
        <v/>
      </c>
      <c r="N855" s="18">
        <f>IF(NOT(ISNUMBER($A855)),NA(),IF(COUNT(OFFSET(G855,1,0,Settings!$B$12,1))&lt;Settings!$B$12,NA(),STDEV(OFFSET(G855,1,0,Settings!$B$12,1))*SQRT(Settings!$B$13)))</f>
        <v/>
      </c>
      <c r="O855" s="18">
        <f>IF(AND(ISNUMBER(E855),ISNUMBER(N855)),E855-N855,NA())</f>
        <v/>
      </c>
      <c r="P855" s="17">
        <f>IF(NOT(ISNUMBER($A855)),NA(),IF(OR($A855&lt;MIN(KW_TP!$A$2:$A$2501),$A855&gt;MAX(KW_TP!$A$2:$A$2501)),NA(),INDEX(KW_TP!$C$2:$C$2501,MATCH($A855,KW_TP!$A$2:$A$2501,1))))</f>
        <v/>
      </c>
    </row>
    <row r="856">
      <c r="A856" s="15">
        <f>IF(ISNUMBER(BBG_Data!A856),BBG_Data!A856,"")</f>
        <v/>
      </c>
      <c r="B856" s="16">
        <f>IF(AND(ISNUMBER($A856),ISNUMBER(BBG_Data!B856)),BBG_Data!B856,NA())</f>
        <v/>
      </c>
      <c r="C856" s="16">
        <f>IF(AND(ISNUMBER($A856),ISNUMBER(BBG_Data!C856)),BBG_Data!C856,NA())</f>
        <v/>
      </c>
      <c r="D856" s="17">
        <f>IF(AND(ISNUMBER($A856),ISNUMBER(BBG_Data!D856)),BBG_Data!D856,NA())</f>
        <v/>
      </c>
      <c r="E856" s="17">
        <f>IF(AND(ISNUMBER($A856),ISNUMBER(BBG_Data!E856)),BBG_Data!E856,NA())</f>
        <v/>
      </c>
      <c r="F856" s="18">
        <f>IF(AND(ISNUMBER(B856),ISNUMBER(B855)),(B856-B855)*100,"")</f>
        <v/>
      </c>
      <c r="G856" s="18">
        <f>IF(AND(ISNUMBER(C856),ISNUMBER(C855)),(C856-C855)*100,"")</f>
        <v/>
      </c>
      <c r="H856" s="18">
        <f>IF(OR(NOT(ISNUMBER($A856)),ROW()-2&lt;Settings!$B$11),NA(),IF(COUNT(OFFSET(F856,1-Settings!$B$11,0,Settings!$B$11,1))&lt;Settings!$B$11,NA(),STDEV(OFFSET(F856,1-Settings!$B$11,0,Settings!$B$11,1))*SQRT(Settings!$B$13)))</f>
        <v/>
      </c>
      <c r="I856" s="18">
        <f>IF(OR(NOT(ISNUMBER($A856)),ROW()-2&lt;Settings!$B$12),NA(),IF(COUNT(OFFSET(F856,1-Settings!$B$12,0,Settings!$B$12,1))&lt;Settings!$B$12,NA(),STDEV(OFFSET(F856,1-Settings!$B$12,0,Settings!$B$12,1))*SQRT(Settings!$B$13)))</f>
        <v/>
      </c>
      <c r="J856" s="18">
        <f>IF(OR(NOT(ISNUMBER($A856)),ROW()-2&lt;Settings!$B$11),NA(),IF(COUNT(OFFSET(G856,1-Settings!$B$11,0,Settings!$B$11,1))&lt;Settings!$B$11,NA(),STDEV(OFFSET(G856,1-Settings!$B$11,0,Settings!$B$11,1))*SQRT(Settings!$B$13)))</f>
        <v/>
      </c>
      <c r="K856" s="18">
        <f>IF(OR(NOT(ISNUMBER($A856)),ROW()-2&lt;Settings!$B$12),NA(),IF(COUNT(OFFSET(G856,1-Settings!$B$12,0,Settings!$B$12,1))&lt;Settings!$B$12,NA(),STDEV(OFFSET(G856,1-Settings!$B$12,0,Settings!$B$12,1))*SQRT(Settings!$B$13)))</f>
        <v/>
      </c>
      <c r="L856" s="18">
        <f>IF(AND(ISNUMBER(D856),ISNUMBER(H856)),D856-H856,NA())</f>
        <v/>
      </c>
      <c r="M856" s="18">
        <f>IF(AND(ISNUMBER(E856),ISNUMBER(K856)),E856-K856,NA())</f>
        <v/>
      </c>
      <c r="N856" s="18">
        <f>IF(NOT(ISNUMBER($A856)),NA(),IF(COUNT(OFFSET(G856,1,0,Settings!$B$12,1))&lt;Settings!$B$12,NA(),STDEV(OFFSET(G856,1,0,Settings!$B$12,1))*SQRT(Settings!$B$13)))</f>
        <v/>
      </c>
      <c r="O856" s="18">
        <f>IF(AND(ISNUMBER(E856),ISNUMBER(N856)),E856-N856,NA())</f>
        <v/>
      </c>
      <c r="P856" s="17">
        <f>IF(NOT(ISNUMBER($A856)),NA(),IF(OR($A856&lt;MIN(KW_TP!$A$2:$A$2501),$A856&gt;MAX(KW_TP!$A$2:$A$2501)),NA(),INDEX(KW_TP!$C$2:$C$2501,MATCH($A856,KW_TP!$A$2:$A$2501,1))))</f>
        <v/>
      </c>
    </row>
    <row r="857">
      <c r="A857" s="15">
        <f>IF(ISNUMBER(BBG_Data!A857),BBG_Data!A857,"")</f>
        <v/>
      </c>
      <c r="B857" s="16">
        <f>IF(AND(ISNUMBER($A857),ISNUMBER(BBG_Data!B857)),BBG_Data!B857,NA())</f>
        <v/>
      </c>
      <c r="C857" s="16">
        <f>IF(AND(ISNUMBER($A857),ISNUMBER(BBG_Data!C857)),BBG_Data!C857,NA())</f>
        <v/>
      </c>
      <c r="D857" s="17">
        <f>IF(AND(ISNUMBER($A857),ISNUMBER(BBG_Data!D857)),BBG_Data!D857,NA())</f>
        <v/>
      </c>
      <c r="E857" s="17">
        <f>IF(AND(ISNUMBER($A857),ISNUMBER(BBG_Data!E857)),BBG_Data!E857,NA())</f>
        <v/>
      </c>
      <c r="F857" s="18">
        <f>IF(AND(ISNUMBER(B857),ISNUMBER(B856)),(B857-B856)*100,"")</f>
        <v/>
      </c>
      <c r="G857" s="18">
        <f>IF(AND(ISNUMBER(C857),ISNUMBER(C856)),(C857-C856)*100,"")</f>
        <v/>
      </c>
      <c r="H857" s="18">
        <f>IF(OR(NOT(ISNUMBER($A857)),ROW()-2&lt;Settings!$B$11),NA(),IF(COUNT(OFFSET(F857,1-Settings!$B$11,0,Settings!$B$11,1))&lt;Settings!$B$11,NA(),STDEV(OFFSET(F857,1-Settings!$B$11,0,Settings!$B$11,1))*SQRT(Settings!$B$13)))</f>
        <v/>
      </c>
      <c r="I857" s="18">
        <f>IF(OR(NOT(ISNUMBER($A857)),ROW()-2&lt;Settings!$B$12),NA(),IF(COUNT(OFFSET(F857,1-Settings!$B$12,0,Settings!$B$12,1))&lt;Settings!$B$12,NA(),STDEV(OFFSET(F857,1-Settings!$B$12,0,Settings!$B$12,1))*SQRT(Settings!$B$13)))</f>
        <v/>
      </c>
      <c r="J857" s="18">
        <f>IF(OR(NOT(ISNUMBER($A857)),ROW()-2&lt;Settings!$B$11),NA(),IF(COUNT(OFFSET(G857,1-Settings!$B$11,0,Settings!$B$11,1))&lt;Settings!$B$11,NA(),STDEV(OFFSET(G857,1-Settings!$B$11,0,Settings!$B$11,1))*SQRT(Settings!$B$13)))</f>
        <v/>
      </c>
      <c r="K857" s="18">
        <f>IF(OR(NOT(ISNUMBER($A857)),ROW()-2&lt;Settings!$B$12),NA(),IF(COUNT(OFFSET(G857,1-Settings!$B$12,0,Settings!$B$12,1))&lt;Settings!$B$12,NA(),STDEV(OFFSET(G857,1-Settings!$B$12,0,Settings!$B$12,1))*SQRT(Settings!$B$13)))</f>
        <v/>
      </c>
      <c r="L857" s="18">
        <f>IF(AND(ISNUMBER(D857),ISNUMBER(H857)),D857-H857,NA())</f>
        <v/>
      </c>
      <c r="M857" s="18">
        <f>IF(AND(ISNUMBER(E857),ISNUMBER(K857)),E857-K857,NA())</f>
        <v/>
      </c>
      <c r="N857" s="18">
        <f>IF(NOT(ISNUMBER($A857)),NA(),IF(COUNT(OFFSET(G857,1,0,Settings!$B$12,1))&lt;Settings!$B$12,NA(),STDEV(OFFSET(G857,1,0,Settings!$B$12,1))*SQRT(Settings!$B$13)))</f>
        <v/>
      </c>
      <c r="O857" s="18">
        <f>IF(AND(ISNUMBER(E857),ISNUMBER(N857)),E857-N857,NA())</f>
        <v/>
      </c>
      <c r="P857" s="17">
        <f>IF(NOT(ISNUMBER($A857)),NA(),IF(OR($A857&lt;MIN(KW_TP!$A$2:$A$2501),$A857&gt;MAX(KW_TP!$A$2:$A$2501)),NA(),INDEX(KW_TP!$C$2:$C$2501,MATCH($A857,KW_TP!$A$2:$A$2501,1))))</f>
        <v/>
      </c>
    </row>
    <row r="858">
      <c r="A858" s="15">
        <f>IF(ISNUMBER(BBG_Data!A858),BBG_Data!A858,"")</f>
        <v/>
      </c>
      <c r="B858" s="16">
        <f>IF(AND(ISNUMBER($A858),ISNUMBER(BBG_Data!B858)),BBG_Data!B858,NA())</f>
        <v/>
      </c>
      <c r="C858" s="16">
        <f>IF(AND(ISNUMBER($A858),ISNUMBER(BBG_Data!C858)),BBG_Data!C858,NA())</f>
        <v/>
      </c>
      <c r="D858" s="17">
        <f>IF(AND(ISNUMBER($A858),ISNUMBER(BBG_Data!D858)),BBG_Data!D858,NA())</f>
        <v/>
      </c>
      <c r="E858" s="17">
        <f>IF(AND(ISNUMBER($A858),ISNUMBER(BBG_Data!E858)),BBG_Data!E858,NA())</f>
        <v/>
      </c>
      <c r="F858" s="18">
        <f>IF(AND(ISNUMBER(B858),ISNUMBER(B857)),(B858-B857)*100,"")</f>
        <v/>
      </c>
      <c r="G858" s="18">
        <f>IF(AND(ISNUMBER(C858),ISNUMBER(C857)),(C858-C857)*100,"")</f>
        <v/>
      </c>
      <c r="H858" s="18">
        <f>IF(OR(NOT(ISNUMBER($A858)),ROW()-2&lt;Settings!$B$11),NA(),IF(COUNT(OFFSET(F858,1-Settings!$B$11,0,Settings!$B$11,1))&lt;Settings!$B$11,NA(),STDEV(OFFSET(F858,1-Settings!$B$11,0,Settings!$B$11,1))*SQRT(Settings!$B$13)))</f>
        <v/>
      </c>
      <c r="I858" s="18">
        <f>IF(OR(NOT(ISNUMBER($A858)),ROW()-2&lt;Settings!$B$12),NA(),IF(COUNT(OFFSET(F858,1-Settings!$B$12,0,Settings!$B$12,1))&lt;Settings!$B$12,NA(),STDEV(OFFSET(F858,1-Settings!$B$12,0,Settings!$B$12,1))*SQRT(Settings!$B$13)))</f>
        <v/>
      </c>
      <c r="J858" s="18">
        <f>IF(OR(NOT(ISNUMBER($A858)),ROW()-2&lt;Settings!$B$11),NA(),IF(COUNT(OFFSET(G858,1-Settings!$B$11,0,Settings!$B$11,1))&lt;Settings!$B$11,NA(),STDEV(OFFSET(G858,1-Settings!$B$11,0,Settings!$B$11,1))*SQRT(Settings!$B$13)))</f>
        <v/>
      </c>
      <c r="K858" s="18">
        <f>IF(OR(NOT(ISNUMBER($A858)),ROW()-2&lt;Settings!$B$12),NA(),IF(COUNT(OFFSET(G858,1-Settings!$B$12,0,Settings!$B$12,1))&lt;Settings!$B$12,NA(),STDEV(OFFSET(G858,1-Settings!$B$12,0,Settings!$B$12,1))*SQRT(Settings!$B$13)))</f>
        <v/>
      </c>
      <c r="L858" s="18">
        <f>IF(AND(ISNUMBER(D858),ISNUMBER(H858)),D858-H858,NA())</f>
        <v/>
      </c>
      <c r="M858" s="18">
        <f>IF(AND(ISNUMBER(E858),ISNUMBER(K858)),E858-K858,NA())</f>
        <v/>
      </c>
      <c r="N858" s="18">
        <f>IF(NOT(ISNUMBER($A858)),NA(),IF(COUNT(OFFSET(G858,1,0,Settings!$B$12,1))&lt;Settings!$B$12,NA(),STDEV(OFFSET(G858,1,0,Settings!$B$12,1))*SQRT(Settings!$B$13)))</f>
        <v/>
      </c>
      <c r="O858" s="18">
        <f>IF(AND(ISNUMBER(E858),ISNUMBER(N858)),E858-N858,NA())</f>
        <v/>
      </c>
      <c r="P858" s="17">
        <f>IF(NOT(ISNUMBER($A858)),NA(),IF(OR($A858&lt;MIN(KW_TP!$A$2:$A$2501),$A858&gt;MAX(KW_TP!$A$2:$A$2501)),NA(),INDEX(KW_TP!$C$2:$C$2501,MATCH($A858,KW_TP!$A$2:$A$2501,1))))</f>
        <v/>
      </c>
    </row>
    <row r="859">
      <c r="A859" s="15">
        <f>IF(ISNUMBER(BBG_Data!A859),BBG_Data!A859,"")</f>
        <v/>
      </c>
      <c r="B859" s="16">
        <f>IF(AND(ISNUMBER($A859),ISNUMBER(BBG_Data!B859)),BBG_Data!B859,NA())</f>
        <v/>
      </c>
      <c r="C859" s="16">
        <f>IF(AND(ISNUMBER($A859),ISNUMBER(BBG_Data!C859)),BBG_Data!C859,NA())</f>
        <v/>
      </c>
      <c r="D859" s="17">
        <f>IF(AND(ISNUMBER($A859),ISNUMBER(BBG_Data!D859)),BBG_Data!D859,NA())</f>
        <v/>
      </c>
      <c r="E859" s="17">
        <f>IF(AND(ISNUMBER($A859),ISNUMBER(BBG_Data!E859)),BBG_Data!E859,NA())</f>
        <v/>
      </c>
      <c r="F859" s="18">
        <f>IF(AND(ISNUMBER(B859),ISNUMBER(B858)),(B859-B858)*100,"")</f>
        <v/>
      </c>
      <c r="G859" s="18">
        <f>IF(AND(ISNUMBER(C859),ISNUMBER(C858)),(C859-C858)*100,"")</f>
        <v/>
      </c>
      <c r="H859" s="18">
        <f>IF(OR(NOT(ISNUMBER($A859)),ROW()-2&lt;Settings!$B$11),NA(),IF(COUNT(OFFSET(F859,1-Settings!$B$11,0,Settings!$B$11,1))&lt;Settings!$B$11,NA(),STDEV(OFFSET(F859,1-Settings!$B$11,0,Settings!$B$11,1))*SQRT(Settings!$B$13)))</f>
        <v/>
      </c>
      <c r="I859" s="18">
        <f>IF(OR(NOT(ISNUMBER($A859)),ROW()-2&lt;Settings!$B$12),NA(),IF(COUNT(OFFSET(F859,1-Settings!$B$12,0,Settings!$B$12,1))&lt;Settings!$B$12,NA(),STDEV(OFFSET(F859,1-Settings!$B$12,0,Settings!$B$12,1))*SQRT(Settings!$B$13)))</f>
        <v/>
      </c>
      <c r="J859" s="18">
        <f>IF(OR(NOT(ISNUMBER($A859)),ROW()-2&lt;Settings!$B$11),NA(),IF(COUNT(OFFSET(G859,1-Settings!$B$11,0,Settings!$B$11,1))&lt;Settings!$B$11,NA(),STDEV(OFFSET(G859,1-Settings!$B$11,0,Settings!$B$11,1))*SQRT(Settings!$B$13)))</f>
        <v/>
      </c>
      <c r="K859" s="18">
        <f>IF(OR(NOT(ISNUMBER($A859)),ROW()-2&lt;Settings!$B$12),NA(),IF(COUNT(OFFSET(G859,1-Settings!$B$12,0,Settings!$B$12,1))&lt;Settings!$B$12,NA(),STDEV(OFFSET(G859,1-Settings!$B$12,0,Settings!$B$12,1))*SQRT(Settings!$B$13)))</f>
        <v/>
      </c>
      <c r="L859" s="18">
        <f>IF(AND(ISNUMBER(D859),ISNUMBER(H859)),D859-H859,NA())</f>
        <v/>
      </c>
      <c r="M859" s="18">
        <f>IF(AND(ISNUMBER(E859),ISNUMBER(K859)),E859-K859,NA())</f>
        <v/>
      </c>
      <c r="N859" s="18">
        <f>IF(NOT(ISNUMBER($A859)),NA(),IF(COUNT(OFFSET(G859,1,0,Settings!$B$12,1))&lt;Settings!$B$12,NA(),STDEV(OFFSET(G859,1,0,Settings!$B$12,1))*SQRT(Settings!$B$13)))</f>
        <v/>
      </c>
      <c r="O859" s="18">
        <f>IF(AND(ISNUMBER(E859),ISNUMBER(N859)),E859-N859,NA())</f>
        <v/>
      </c>
      <c r="P859" s="17">
        <f>IF(NOT(ISNUMBER($A859)),NA(),IF(OR($A859&lt;MIN(KW_TP!$A$2:$A$2501),$A859&gt;MAX(KW_TP!$A$2:$A$2501)),NA(),INDEX(KW_TP!$C$2:$C$2501,MATCH($A859,KW_TP!$A$2:$A$2501,1))))</f>
        <v/>
      </c>
    </row>
    <row r="860">
      <c r="A860" s="15">
        <f>IF(ISNUMBER(BBG_Data!A860),BBG_Data!A860,"")</f>
        <v/>
      </c>
      <c r="B860" s="16">
        <f>IF(AND(ISNUMBER($A860),ISNUMBER(BBG_Data!B860)),BBG_Data!B860,NA())</f>
        <v/>
      </c>
      <c r="C860" s="16">
        <f>IF(AND(ISNUMBER($A860),ISNUMBER(BBG_Data!C860)),BBG_Data!C860,NA())</f>
        <v/>
      </c>
      <c r="D860" s="17">
        <f>IF(AND(ISNUMBER($A860),ISNUMBER(BBG_Data!D860)),BBG_Data!D860,NA())</f>
        <v/>
      </c>
      <c r="E860" s="17">
        <f>IF(AND(ISNUMBER($A860),ISNUMBER(BBG_Data!E860)),BBG_Data!E860,NA())</f>
        <v/>
      </c>
      <c r="F860" s="18">
        <f>IF(AND(ISNUMBER(B860),ISNUMBER(B859)),(B860-B859)*100,"")</f>
        <v/>
      </c>
      <c r="G860" s="18">
        <f>IF(AND(ISNUMBER(C860),ISNUMBER(C859)),(C860-C859)*100,"")</f>
        <v/>
      </c>
      <c r="H860" s="18">
        <f>IF(OR(NOT(ISNUMBER($A860)),ROW()-2&lt;Settings!$B$11),NA(),IF(COUNT(OFFSET(F860,1-Settings!$B$11,0,Settings!$B$11,1))&lt;Settings!$B$11,NA(),STDEV(OFFSET(F860,1-Settings!$B$11,0,Settings!$B$11,1))*SQRT(Settings!$B$13)))</f>
        <v/>
      </c>
      <c r="I860" s="18">
        <f>IF(OR(NOT(ISNUMBER($A860)),ROW()-2&lt;Settings!$B$12),NA(),IF(COUNT(OFFSET(F860,1-Settings!$B$12,0,Settings!$B$12,1))&lt;Settings!$B$12,NA(),STDEV(OFFSET(F860,1-Settings!$B$12,0,Settings!$B$12,1))*SQRT(Settings!$B$13)))</f>
        <v/>
      </c>
      <c r="J860" s="18">
        <f>IF(OR(NOT(ISNUMBER($A860)),ROW()-2&lt;Settings!$B$11),NA(),IF(COUNT(OFFSET(G860,1-Settings!$B$11,0,Settings!$B$11,1))&lt;Settings!$B$11,NA(),STDEV(OFFSET(G860,1-Settings!$B$11,0,Settings!$B$11,1))*SQRT(Settings!$B$13)))</f>
        <v/>
      </c>
      <c r="K860" s="18">
        <f>IF(OR(NOT(ISNUMBER($A860)),ROW()-2&lt;Settings!$B$12),NA(),IF(COUNT(OFFSET(G860,1-Settings!$B$12,0,Settings!$B$12,1))&lt;Settings!$B$12,NA(),STDEV(OFFSET(G860,1-Settings!$B$12,0,Settings!$B$12,1))*SQRT(Settings!$B$13)))</f>
        <v/>
      </c>
      <c r="L860" s="18">
        <f>IF(AND(ISNUMBER(D860),ISNUMBER(H860)),D860-H860,NA())</f>
        <v/>
      </c>
      <c r="M860" s="18">
        <f>IF(AND(ISNUMBER(E860),ISNUMBER(K860)),E860-K860,NA())</f>
        <v/>
      </c>
      <c r="N860" s="18">
        <f>IF(NOT(ISNUMBER($A860)),NA(),IF(COUNT(OFFSET(G860,1,0,Settings!$B$12,1))&lt;Settings!$B$12,NA(),STDEV(OFFSET(G860,1,0,Settings!$B$12,1))*SQRT(Settings!$B$13)))</f>
        <v/>
      </c>
      <c r="O860" s="18">
        <f>IF(AND(ISNUMBER(E860),ISNUMBER(N860)),E860-N860,NA())</f>
        <v/>
      </c>
      <c r="P860" s="17">
        <f>IF(NOT(ISNUMBER($A860)),NA(),IF(OR($A860&lt;MIN(KW_TP!$A$2:$A$2501),$A860&gt;MAX(KW_TP!$A$2:$A$2501)),NA(),INDEX(KW_TP!$C$2:$C$2501,MATCH($A860,KW_TP!$A$2:$A$2501,1))))</f>
        <v/>
      </c>
    </row>
    <row r="861">
      <c r="A861" s="15">
        <f>IF(ISNUMBER(BBG_Data!A861),BBG_Data!A861,"")</f>
        <v/>
      </c>
      <c r="B861" s="16">
        <f>IF(AND(ISNUMBER($A861),ISNUMBER(BBG_Data!B861)),BBG_Data!B861,NA())</f>
        <v/>
      </c>
      <c r="C861" s="16">
        <f>IF(AND(ISNUMBER($A861),ISNUMBER(BBG_Data!C861)),BBG_Data!C861,NA())</f>
        <v/>
      </c>
      <c r="D861" s="17">
        <f>IF(AND(ISNUMBER($A861),ISNUMBER(BBG_Data!D861)),BBG_Data!D861,NA())</f>
        <v/>
      </c>
      <c r="E861" s="17">
        <f>IF(AND(ISNUMBER($A861),ISNUMBER(BBG_Data!E861)),BBG_Data!E861,NA())</f>
        <v/>
      </c>
      <c r="F861" s="18">
        <f>IF(AND(ISNUMBER(B861),ISNUMBER(B860)),(B861-B860)*100,"")</f>
        <v/>
      </c>
      <c r="G861" s="18">
        <f>IF(AND(ISNUMBER(C861),ISNUMBER(C860)),(C861-C860)*100,"")</f>
        <v/>
      </c>
      <c r="H861" s="18">
        <f>IF(OR(NOT(ISNUMBER($A861)),ROW()-2&lt;Settings!$B$11),NA(),IF(COUNT(OFFSET(F861,1-Settings!$B$11,0,Settings!$B$11,1))&lt;Settings!$B$11,NA(),STDEV(OFFSET(F861,1-Settings!$B$11,0,Settings!$B$11,1))*SQRT(Settings!$B$13)))</f>
        <v/>
      </c>
      <c r="I861" s="18">
        <f>IF(OR(NOT(ISNUMBER($A861)),ROW()-2&lt;Settings!$B$12),NA(),IF(COUNT(OFFSET(F861,1-Settings!$B$12,0,Settings!$B$12,1))&lt;Settings!$B$12,NA(),STDEV(OFFSET(F861,1-Settings!$B$12,0,Settings!$B$12,1))*SQRT(Settings!$B$13)))</f>
        <v/>
      </c>
      <c r="J861" s="18">
        <f>IF(OR(NOT(ISNUMBER($A861)),ROW()-2&lt;Settings!$B$11),NA(),IF(COUNT(OFFSET(G861,1-Settings!$B$11,0,Settings!$B$11,1))&lt;Settings!$B$11,NA(),STDEV(OFFSET(G861,1-Settings!$B$11,0,Settings!$B$11,1))*SQRT(Settings!$B$13)))</f>
        <v/>
      </c>
      <c r="K861" s="18">
        <f>IF(OR(NOT(ISNUMBER($A861)),ROW()-2&lt;Settings!$B$12),NA(),IF(COUNT(OFFSET(G861,1-Settings!$B$12,0,Settings!$B$12,1))&lt;Settings!$B$12,NA(),STDEV(OFFSET(G861,1-Settings!$B$12,0,Settings!$B$12,1))*SQRT(Settings!$B$13)))</f>
        <v/>
      </c>
      <c r="L861" s="18">
        <f>IF(AND(ISNUMBER(D861),ISNUMBER(H861)),D861-H861,NA())</f>
        <v/>
      </c>
      <c r="M861" s="18">
        <f>IF(AND(ISNUMBER(E861),ISNUMBER(K861)),E861-K861,NA())</f>
        <v/>
      </c>
      <c r="N861" s="18">
        <f>IF(NOT(ISNUMBER($A861)),NA(),IF(COUNT(OFFSET(G861,1,0,Settings!$B$12,1))&lt;Settings!$B$12,NA(),STDEV(OFFSET(G861,1,0,Settings!$B$12,1))*SQRT(Settings!$B$13)))</f>
        <v/>
      </c>
      <c r="O861" s="18">
        <f>IF(AND(ISNUMBER(E861),ISNUMBER(N861)),E861-N861,NA())</f>
        <v/>
      </c>
      <c r="P861" s="17">
        <f>IF(NOT(ISNUMBER($A861)),NA(),IF(OR($A861&lt;MIN(KW_TP!$A$2:$A$2501),$A861&gt;MAX(KW_TP!$A$2:$A$2501)),NA(),INDEX(KW_TP!$C$2:$C$2501,MATCH($A861,KW_TP!$A$2:$A$2501,1))))</f>
        <v/>
      </c>
    </row>
    <row r="862">
      <c r="A862" s="15">
        <f>IF(ISNUMBER(BBG_Data!A862),BBG_Data!A862,"")</f>
        <v/>
      </c>
      <c r="B862" s="16">
        <f>IF(AND(ISNUMBER($A862),ISNUMBER(BBG_Data!B862)),BBG_Data!B862,NA())</f>
        <v/>
      </c>
      <c r="C862" s="16">
        <f>IF(AND(ISNUMBER($A862),ISNUMBER(BBG_Data!C862)),BBG_Data!C862,NA())</f>
        <v/>
      </c>
      <c r="D862" s="17">
        <f>IF(AND(ISNUMBER($A862),ISNUMBER(BBG_Data!D862)),BBG_Data!D862,NA())</f>
        <v/>
      </c>
      <c r="E862" s="17">
        <f>IF(AND(ISNUMBER($A862),ISNUMBER(BBG_Data!E862)),BBG_Data!E862,NA())</f>
        <v/>
      </c>
      <c r="F862" s="18">
        <f>IF(AND(ISNUMBER(B862),ISNUMBER(B861)),(B862-B861)*100,"")</f>
        <v/>
      </c>
      <c r="G862" s="18">
        <f>IF(AND(ISNUMBER(C862),ISNUMBER(C861)),(C862-C861)*100,"")</f>
        <v/>
      </c>
      <c r="H862" s="18">
        <f>IF(OR(NOT(ISNUMBER($A862)),ROW()-2&lt;Settings!$B$11),NA(),IF(COUNT(OFFSET(F862,1-Settings!$B$11,0,Settings!$B$11,1))&lt;Settings!$B$11,NA(),STDEV(OFFSET(F862,1-Settings!$B$11,0,Settings!$B$11,1))*SQRT(Settings!$B$13)))</f>
        <v/>
      </c>
      <c r="I862" s="18">
        <f>IF(OR(NOT(ISNUMBER($A862)),ROW()-2&lt;Settings!$B$12),NA(),IF(COUNT(OFFSET(F862,1-Settings!$B$12,0,Settings!$B$12,1))&lt;Settings!$B$12,NA(),STDEV(OFFSET(F862,1-Settings!$B$12,0,Settings!$B$12,1))*SQRT(Settings!$B$13)))</f>
        <v/>
      </c>
      <c r="J862" s="18">
        <f>IF(OR(NOT(ISNUMBER($A862)),ROW()-2&lt;Settings!$B$11),NA(),IF(COUNT(OFFSET(G862,1-Settings!$B$11,0,Settings!$B$11,1))&lt;Settings!$B$11,NA(),STDEV(OFFSET(G862,1-Settings!$B$11,0,Settings!$B$11,1))*SQRT(Settings!$B$13)))</f>
        <v/>
      </c>
      <c r="K862" s="18">
        <f>IF(OR(NOT(ISNUMBER($A862)),ROW()-2&lt;Settings!$B$12),NA(),IF(COUNT(OFFSET(G862,1-Settings!$B$12,0,Settings!$B$12,1))&lt;Settings!$B$12,NA(),STDEV(OFFSET(G862,1-Settings!$B$12,0,Settings!$B$12,1))*SQRT(Settings!$B$13)))</f>
        <v/>
      </c>
      <c r="L862" s="18">
        <f>IF(AND(ISNUMBER(D862),ISNUMBER(H862)),D862-H862,NA())</f>
        <v/>
      </c>
      <c r="M862" s="18">
        <f>IF(AND(ISNUMBER(E862),ISNUMBER(K862)),E862-K862,NA())</f>
        <v/>
      </c>
      <c r="N862" s="18">
        <f>IF(NOT(ISNUMBER($A862)),NA(),IF(COUNT(OFFSET(G862,1,0,Settings!$B$12,1))&lt;Settings!$B$12,NA(),STDEV(OFFSET(G862,1,0,Settings!$B$12,1))*SQRT(Settings!$B$13)))</f>
        <v/>
      </c>
      <c r="O862" s="18">
        <f>IF(AND(ISNUMBER(E862),ISNUMBER(N862)),E862-N862,NA())</f>
        <v/>
      </c>
      <c r="P862" s="17">
        <f>IF(NOT(ISNUMBER($A862)),NA(),IF(OR($A862&lt;MIN(KW_TP!$A$2:$A$2501),$A862&gt;MAX(KW_TP!$A$2:$A$2501)),NA(),INDEX(KW_TP!$C$2:$C$2501,MATCH($A862,KW_TP!$A$2:$A$2501,1))))</f>
        <v/>
      </c>
    </row>
    <row r="863">
      <c r="A863" s="15">
        <f>IF(ISNUMBER(BBG_Data!A863),BBG_Data!A863,"")</f>
        <v/>
      </c>
      <c r="B863" s="16">
        <f>IF(AND(ISNUMBER($A863),ISNUMBER(BBG_Data!B863)),BBG_Data!B863,NA())</f>
        <v/>
      </c>
      <c r="C863" s="16">
        <f>IF(AND(ISNUMBER($A863),ISNUMBER(BBG_Data!C863)),BBG_Data!C863,NA())</f>
        <v/>
      </c>
      <c r="D863" s="17">
        <f>IF(AND(ISNUMBER($A863),ISNUMBER(BBG_Data!D863)),BBG_Data!D863,NA())</f>
        <v/>
      </c>
      <c r="E863" s="17">
        <f>IF(AND(ISNUMBER($A863),ISNUMBER(BBG_Data!E863)),BBG_Data!E863,NA())</f>
        <v/>
      </c>
      <c r="F863" s="18">
        <f>IF(AND(ISNUMBER(B863),ISNUMBER(B862)),(B863-B862)*100,"")</f>
        <v/>
      </c>
      <c r="G863" s="18">
        <f>IF(AND(ISNUMBER(C863),ISNUMBER(C862)),(C863-C862)*100,"")</f>
        <v/>
      </c>
      <c r="H863" s="18">
        <f>IF(OR(NOT(ISNUMBER($A863)),ROW()-2&lt;Settings!$B$11),NA(),IF(COUNT(OFFSET(F863,1-Settings!$B$11,0,Settings!$B$11,1))&lt;Settings!$B$11,NA(),STDEV(OFFSET(F863,1-Settings!$B$11,0,Settings!$B$11,1))*SQRT(Settings!$B$13)))</f>
        <v/>
      </c>
      <c r="I863" s="18">
        <f>IF(OR(NOT(ISNUMBER($A863)),ROW()-2&lt;Settings!$B$12),NA(),IF(COUNT(OFFSET(F863,1-Settings!$B$12,0,Settings!$B$12,1))&lt;Settings!$B$12,NA(),STDEV(OFFSET(F863,1-Settings!$B$12,0,Settings!$B$12,1))*SQRT(Settings!$B$13)))</f>
        <v/>
      </c>
      <c r="J863" s="18">
        <f>IF(OR(NOT(ISNUMBER($A863)),ROW()-2&lt;Settings!$B$11),NA(),IF(COUNT(OFFSET(G863,1-Settings!$B$11,0,Settings!$B$11,1))&lt;Settings!$B$11,NA(),STDEV(OFFSET(G863,1-Settings!$B$11,0,Settings!$B$11,1))*SQRT(Settings!$B$13)))</f>
        <v/>
      </c>
      <c r="K863" s="18">
        <f>IF(OR(NOT(ISNUMBER($A863)),ROW()-2&lt;Settings!$B$12),NA(),IF(COUNT(OFFSET(G863,1-Settings!$B$12,0,Settings!$B$12,1))&lt;Settings!$B$12,NA(),STDEV(OFFSET(G863,1-Settings!$B$12,0,Settings!$B$12,1))*SQRT(Settings!$B$13)))</f>
        <v/>
      </c>
      <c r="L863" s="18">
        <f>IF(AND(ISNUMBER(D863),ISNUMBER(H863)),D863-H863,NA())</f>
        <v/>
      </c>
      <c r="M863" s="18">
        <f>IF(AND(ISNUMBER(E863),ISNUMBER(K863)),E863-K863,NA())</f>
        <v/>
      </c>
      <c r="N863" s="18">
        <f>IF(NOT(ISNUMBER($A863)),NA(),IF(COUNT(OFFSET(G863,1,0,Settings!$B$12,1))&lt;Settings!$B$12,NA(),STDEV(OFFSET(G863,1,0,Settings!$B$12,1))*SQRT(Settings!$B$13)))</f>
        <v/>
      </c>
      <c r="O863" s="18">
        <f>IF(AND(ISNUMBER(E863),ISNUMBER(N863)),E863-N863,NA())</f>
        <v/>
      </c>
      <c r="P863" s="17">
        <f>IF(NOT(ISNUMBER($A863)),NA(),IF(OR($A863&lt;MIN(KW_TP!$A$2:$A$2501),$A863&gt;MAX(KW_TP!$A$2:$A$2501)),NA(),INDEX(KW_TP!$C$2:$C$2501,MATCH($A863,KW_TP!$A$2:$A$2501,1))))</f>
        <v/>
      </c>
    </row>
    <row r="864">
      <c r="A864" s="15">
        <f>IF(ISNUMBER(BBG_Data!A864),BBG_Data!A864,"")</f>
        <v/>
      </c>
      <c r="B864" s="16">
        <f>IF(AND(ISNUMBER($A864),ISNUMBER(BBG_Data!B864)),BBG_Data!B864,NA())</f>
        <v/>
      </c>
      <c r="C864" s="16">
        <f>IF(AND(ISNUMBER($A864),ISNUMBER(BBG_Data!C864)),BBG_Data!C864,NA())</f>
        <v/>
      </c>
      <c r="D864" s="17">
        <f>IF(AND(ISNUMBER($A864),ISNUMBER(BBG_Data!D864)),BBG_Data!D864,NA())</f>
        <v/>
      </c>
      <c r="E864" s="17">
        <f>IF(AND(ISNUMBER($A864),ISNUMBER(BBG_Data!E864)),BBG_Data!E864,NA())</f>
        <v/>
      </c>
      <c r="F864" s="18">
        <f>IF(AND(ISNUMBER(B864),ISNUMBER(B863)),(B864-B863)*100,"")</f>
        <v/>
      </c>
      <c r="G864" s="18">
        <f>IF(AND(ISNUMBER(C864),ISNUMBER(C863)),(C864-C863)*100,"")</f>
        <v/>
      </c>
      <c r="H864" s="18">
        <f>IF(OR(NOT(ISNUMBER($A864)),ROW()-2&lt;Settings!$B$11),NA(),IF(COUNT(OFFSET(F864,1-Settings!$B$11,0,Settings!$B$11,1))&lt;Settings!$B$11,NA(),STDEV(OFFSET(F864,1-Settings!$B$11,0,Settings!$B$11,1))*SQRT(Settings!$B$13)))</f>
        <v/>
      </c>
      <c r="I864" s="18">
        <f>IF(OR(NOT(ISNUMBER($A864)),ROW()-2&lt;Settings!$B$12),NA(),IF(COUNT(OFFSET(F864,1-Settings!$B$12,0,Settings!$B$12,1))&lt;Settings!$B$12,NA(),STDEV(OFFSET(F864,1-Settings!$B$12,0,Settings!$B$12,1))*SQRT(Settings!$B$13)))</f>
        <v/>
      </c>
      <c r="J864" s="18">
        <f>IF(OR(NOT(ISNUMBER($A864)),ROW()-2&lt;Settings!$B$11),NA(),IF(COUNT(OFFSET(G864,1-Settings!$B$11,0,Settings!$B$11,1))&lt;Settings!$B$11,NA(),STDEV(OFFSET(G864,1-Settings!$B$11,0,Settings!$B$11,1))*SQRT(Settings!$B$13)))</f>
        <v/>
      </c>
      <c r="K864" s="18">
        <f>IF(OR(NOT(ISNUMBER($A864)),ROW()-2&lt;Settings!$B$12),NA(),IF(COUNT(OFFSET(G864,1-Settings!$B$12,0,Settings!$B$12,1))&lt;Settings!$B$12,NA(),STDEV(OFFSET(G864,1-Settings!$B$12,0,Settings!$B$12,1))*SQRT(Settings!$B$13)))</f>
        <v/>
      </c>
      <c r="L864" s="18">
        <f>IF(AND(ISNUMBER(D864),ISNUMBER(H864)),D864-H864,NA())</f>
        <v/>
      </c>
      <c r="M864" s="18">
        <f>IF(AND(ISNUMBER(E864),ISNUMBER(K864)),E864-K864,NA())</f>
        <v/>
      </c>
      <c r="N864" s="18">
        <f>IF(NOT(ISNUMBER($A864)),NA(),IF(COUNT(OFFSET(G864,1,0,Settings!$B$12,1))&lt;Settings!$B$12,NA(),STDEV(OFFSET(G864,1,0,Settings!$B$12,1))*SQRT(Settings!$B$13)))</f>
        <v/>
      </c>
      <c r="O864" s="18">
        <f>IF(AND(ISNUMBER(E864),ISNUMBER(N864)),E864-N864,NA())</f>
        <v/>
      </c>
      <c r="P864" s="17">
        <f>IF(NOT(ISNUMBER($A864)),NA(),IF(OR($A864&lt;MIN(KW_TP!$A$2:$A$2501),$A864&gt;MAX(KW_TP!$A$2:$A$2501)),NA(),INDEX(KW_TP!$C$2:$C$2501,MATCH($A864,KW_TP!$A$2:$A$2501,1))))</f>
        <v/>
      </c>
    </row>
    <row r="865">
      <c r="A865" s="15">
        <f>IF(ISNUMBER(BBG_Data!A865),BBG_Data!A865,"")</f>
        <v/>
      </c>
      <c r="B865" s="16">
        <f>IF(AND(ISNUMBER($A865),ISNUMBER(BBG_Data!B865)),BBG_Data!B865,NA())</f>
        <v/>
      </c>
      <c r="C865" s="16">
        <f>IF(AND(ISNUMBER($A865),ISNUMBER(BBG_Data!C865)),BBG_Data!C865,NA())</f>
        <v/>
      </c>
      <c r="D865" s="17">
        <f>IF(AND(ISNUMBER($A865),ISNUMBER(BBG_Data!D865)),BBG_Data!D865,NA())</f>
        <v/>
      </c>
      <c r="E865" s="17">
        <f>IF(AND(ISNUMBER($A865),ISNUMBER(BBG_Data!E865)),BBG_Data!E865,NA())</f>
        <v/>
      </c>
      <c r="F865" s="18">
        <f>IF(AND(ISNUMBER(B865),ISNUMBER(B864)),(B865-B864)*100,"")</f>
        <v/>
      </c>
      <c r="G865" s="18">
        <f>IF(AND(ISNUMBER(C865),ISNUMBER(C864)),(C865-C864)*100,"")</f>
        <v/>
      </c>
      <c r="H865" s="18">
        <f>IF(OR(NOT(ISNUMBER($A865)),ROW()-2&lt;Settings!$B$11),NA(),IF(COUNT(OFFSET(F865,1-Settings!$B$11,0,Settings!$B$11,1))&lt;Settings!$B$11,NA(),STDEV(OFFSET(F865,1-Settings!$B$11,0,Settings!$B$11,1))*SQRT(Settings!$B$13)))</f>
        <v/>
      </c>
      <c r="I865" s="18">
        <f>IF(OR(NOT(ISNUMBER($A865)),ROW()-2&lt;Settings!$B$12),NA(),IF(COUNT(OFFSET(F865,1-Settings!$B$12,0,Settings!$B$12,1))&lt;Settings!$B$12,NA(),STDEV(OFFSET(F865,1-Settings!$B$12,0,Settings!$B$12,1))*SQRT(Settings!$B$13)))</f>
        <v/>
      </c>
      <c r="J865" s="18">
        <f>IF(OR(NOT(ISNUMBER($A865)),ROW()-2&lt;Settings!$B$11),NA(),IF(COUNT(OFFSET(G865,1-Settings!$B$11,0,Settings!$B$11,1))&lt;Settings!$B$11,NA(),STDEV(OFFSET(G865,1-Settings!$B$11,0,Settings!$B$11,1))*SQRT(Settings!$B$13)))</f>
        <v/>
      </c>
      <c r="K865" s="18">
        <f>IF(OR(NOT(ISNUMBER($A865)),ROW()-2&lt;Settings!$B$12),NA(),IF(COUNT(OFFSET(G865,1-Settings!$B$12,0,Settings!$B$12,1))&lt;Settings!$B$12,NA(),STDEV(OFFSET(G865,1-Settings!$B$12,0,Settings!$B$12,1))*SQRT(Settings!$B$13)))</f>
        <v/>
      </c>
      <c r="L865" s="18">
        <f>IF(AND(ISNUMBER(D865),ISNUMBER(H865)),D865-H865,NA())</f>
        <v/>
      </c>
      <c r="M865" s="18">
        <f>IF(AND(ISNUMBER(E865),ISNUMBER(K865)),E865-K865,NA())</f>
        <v/>
      </c>
      <c r="N865" s="18">
        <f>IF(NOT(ISNUMBER($A865)),NA(),IF(COUNT(OFFSET(G865,1,0,Settings!$B$12,1))&lt;Settings!$B$12,NA(),STDEV(OFFSET(G865,1,0,Settings!$B$12,1))*SQRT(Settings!$B$13)))</f>
        <v/>
      </c>
      <c r="O865" s="18">
        <f>IF(AND(ISNUMBER(E865),ISNUMBER(N865)),E865-N865,NA())</f>
        <v/>
      </c>
      <c r="P865" s="17">
        <f>IF(NOT(ISNUMBER($A865)),NA(),IF(OR($A865&lt;MIN(KW_TP!$A$2:$A$2501),$A865&gt;MAX(KW_TP!$A$2:$A$2501)),NA(),INDEX(KW_TP!$C$2:$C$2501,MATCH($A865,KW_TP!$A$2:$A$2501,1))))</f>
        <v/>
      </c>
    </row>
    <row r="866">
      <c r="A866" s="15">
        <f>IF(ISNUMBER(BBG_Data!A866),BBG_Data!A866,"")</f>
        <v/>
      </c>
      <c r="B866" s="16">
        <f>IF(AND(ISNUMBER($A866),ISNUMBER(BBG_Data!B866)),BBG_Data!B866,NA())</f>
        <v/>
      </c>
      <c r="C866" s="16">
        <f>IF(AND(ISNUMBER($A866),ISNUMBER(BBG_Data!C866)),BBG_Data!C866,NA())</f>
        <v/>
      </c>
      <c r="D866" s="17">
        <f>IF(AND(ISNUMBER($A866),ISNUMBER(BBG_Data!D866)),BBG_Data!D866,NA())</f>
        <v/>
      </c>
      <c r="E866" s="17">
        <f>IF(AND(ISNUMBER($A866),ISNUMBER(BBG_Data!E866)),BBG_Data!E866,NA())</f>
        <v/>
      </c>
      <c r="F866" s="18">
        <f>IF(AND(ISNUMBER(B866),ISNUMBER(B865)),(B866-B865)*100,"")</f>
        <v/>
      </c>
      <c r="G866" s="18">
        <f>IF(AND(ISNUMBER(C866),ISNUMBER(C865)),(C866-C865)*100,"")</f>
        <v/>
      </c>
      <c r="H866" s="18">
        <f>IF(OR(NOT(ISNUMBER($A866)),ROW()-2&lt;Settings!$B$11),NA(),IF(COUNT(OFFSET(F866,1-Settings!$B$11,0,Settings!$B$11,1))&lt;Settings!$B$11,NA(),STDEV(OFFSET(F866,1-Settings!$B$11,0,Settings!$B$11,1))*SQRT(Settings!$B$13)))</f>
        <v/>
      </c>
      <c r="I866" s="18">
        <f>IF(OR(NOT(ISNUMBER($A866)),ROW()-2&lt;Settings!$B$12),NA(),IF(COUNT(OFFSET(F866,1-Settings!$B$12,0,Settings!$B$12,1))&lt;Settings!$B$12,NA(),STDEV(OFFSET(F866,1-Settings!$B$12,0,Settings!$B$12,1))*SQRT(Settings!$B$13)))</f>
        <v/>
      </c>
      <c r="J866" s="18">
        <f>IF(OR(NOT(ISNUMBER($A866)),ROW()-2&lt;Settings!$B$11),NA(),IF(COUNT(OFFSET(G866,1-Settings!$B$11,0,Settings!$B$11,1))&lt;Settings!$B$11,NA(),STDEV(OFFSET(G866,1-Settings!$B$11,0,Settings!$B$11,1))*SQRT(Settings!$B$13)))</f>
        <v/>
      </c>
      <c r="K866" s="18">
        <f>IF(OR(NOT(ISNUMBER($A866)),ROW()-2&lt;Settings!$B$12),NA(),IF(COUNT(OFFSET(G866,1-Settings!$B$12,0,Settings!$B$12,1))&lt;Settings!$B$12,NA(),STDEV(OFFSET(G866,1-Settings!$B$12,0,Settings!$B$12,1))*SQRT(Settings!$B$13)))</f>
        <v/>
      </c>
      <c r="L866" s="18">
        <f>IF(AND(ISNUMBER(D866),ISNUMBER(H866)),D866-H866,NA())</f>
        <v/>
      </c>
      <c r="M866" s="18">
        <f>IF(AND(ISNUMBER(E866),ISNUMBER(K866)),E866-K866,NA())</f>
        <v/>
      </c>
      <c r="N866" s="18">
        <f>IF(NOT(ISNUMBER($A866)),NA(),IF(COUNT(OFFSET(G866,1,0,Settings!$B$12,1))&lt;Settings!$B$12,NA(),STDEV(OFFSET(G866,1,0,Settings!$B$12,1))*SQRT(Settings!$B$13)))</f>
        <v/>
      </c>
      <c r="O866" s="18">
        <f>IF(AND(ISNUMBER(E866),ISNUMBER(N866)),E866-N866,NA())</f>
        <v/>
      </c>
      <c r="P866" s="17">
        <f>IF(NOT(ISNUMBER($A866)),NA(),IF(OR($A866&lt;MIN(KW_TP!$A$2:$A$2501),$A866&gt;MAX(KW_TP!$A$2:$A$2501)),NA(),INDEX(KW_TP!$C$2:$C$2501,MATCH($A866,KW_TP!$A$2:$A$2501,1))))</f>
        <v/>
      </c>
    </row>
    <row r="867">
      <c r="A867" s="15">
        <f>IF(ISNUMBER(BBG_Data!A867),BBG_Data!A867,"")</f>
        <v/>
      </c>
      <c r="B867" s="16">
        <f>IF(AND(ISNUMBER($A867),ISNUMBER(BBG_Data!B867)),BBG_Data!B867,NA())</f>
        <v/>
      </c>
      <c r="C867" s="16">
        <f>IF(AND(ISNUMBER($A867),ISNUMBER(BBG_Data!C867)),BBG_Data!C867,NA())</f>
        <v/>
      </c>
      <c r="D867" s="17">
        <f>IF(AND(ISNUMBER($A867),ISNUMBER(BBG_Data!D867)),BBG_Data!D867,NA())</f>
        <v/>
      </c>
      <c r="E867" s="17">
        <f>IF(AND(ISNUMBER($A867),ISNUMBER(BBG_Data!E867)),BBG_Data!E867,NA())</f>
        <v/>
      </c>
      <c r="F867" s="18">
        <f>IF(AND(ISNUMBER(B867),ISNUMBER(B866)),(B867-B866)*100,"")</f>
        <v/>
      </c>
      <c r="G867" s="18">
        <f>IF(AND(ISNUMBER(C867),ISNUMBER(C866)),(C867-C866)*100,"")</f>
        <v/>
      </c>
      <c r="H867" s="18">
        <f>IF(OR(NOT(ISNUMBER($A867)),ROW()-2&lt;Settings!$B$11),NA(),IF(COUNT(OFFSET(F867,1-Settings!$B$11,0,Settings!$B$11,1))&lt;Settings!$B$11,NA(),STDEV(OFFSET(F867,1-Settings!$B$11,0,Settings!$B$11,1))*SQRT(Settings!$B$13)))</f>
        <v/>
      </c>
      <c r="I867" s="18">
        <f>IF(OR(NOT(ISNUMBER($A867)),ROW()-2&lt;Settings!$B$12),NA(),IF(COUNT(OFFSET(F867,1-Settings!$B$12,0,Settings!$B$12,1))&lt;Settings!$B$12,NA(),STDEV(OFFSET(F867,1-Settings!$B$12,0,Settings!$B$12,1))*SQRT(Settings!$B$13)))</f>
        <v/>
      </c>
      <c r="J867" s="18">
        <f>IF(OR(NOT(ISNUMBER($A867)),ROW()-2&lt;Settings!$B$11),NA(),IF(COUNT(OFFSET(G867,1-Settings!$B$11,0,Settings!$B$11,1))&lt;Settings!$B$11,NA(),STDEV(OFFSET(G867,1-Settings!$B$11,0,Settings!$B$11,1))*SQRT(Settings!$B$13)))</f>
        <v/>
      </c>
      <c r="K867" s="18">
        <f>IF(OR(NOT(ISNUMBER($A867)),ROW()-2&lt;Settings!$B$12),NA(),IF(COUNT(OFFSET(G867,1-Settings!$B$12,0,Settings!$B$12,1))&lt;Settings!$B$12,NA(),STDEV(OFFSET(G867,1-Settings!$B$12,0,Settings!$B$12,1))*SQRT(Settings!$B$13)))</f>
        <v/>
      </c>
      <c r="L867" s="18">
        <f>IF(AND(ISNUMBER(D867),ISNUMBER(H867)),D867-H867,NA())</f>
        <v/>
      </c>
      <c r="M867" s="18">
        <f>IF(AND(ISNUMBER(E867),ISNUMBER(K867)),E867-K867,NA())</f>
        <v/>
      </c>
      <c r="N867" s="18">
        <f>IF(NOT(ISNUMBER($A867)),NA(),IF(COUNT(OFFSET(G867,1,0,Settings!$B$12,1))&lt;Settings!$B$12,NA(),STDEV(OFFSET(G867,1,0,Settings!$B$12,1))*SQRT(Settings!$B$13)))</f>
        <v/>
      </c>
      <c r="O867" s="18">
        <f>IF(AND(ISNUMBER(E867),ISNUMBER(N867)),E867-N867,NA())</f>
        <v/>
      </c>
      <c r="P867" s="17">
        <f>IF(NOT(ISNUMBER($A867)),NA(),IF(OR($A867&lt;MIN(KW_TP!$A$2:$A$2501),$A867&gt;MAX(KW_TP!$A$2:$A$2501)),NA(),INDEX(KW_TP!$C$2:$C$2501,MATCH($A867,KW_TP!$A$2:$A$2501,1))))</f>
        <v/>
      </c>
    </row>
    <row r="868">
      <c r="A868" s="15">
        <f>IF(ISNUMBER(BBG_Data!A868),BBG_Data!A868,"")</f>
        <v/>
      </c>
      <c r="B868" s="16">
        <f>IF(AND(ISNUMBER($A868),ISNUMBER(BBG_Data!B868)),BBG_Data!B868,NA())</f>
        <v/>
      </c>
      <c r="C868" s="16">
        <f>IF(AND(ISNUMBER($A868),ISNUMBER(BBG_Data!C868)),BBG_Data!C868,NA())</f>
        <v/>
      </c>
      <c r="D868" s="17">
        <f>IF(AND(ISNUMBER($A868),ISNUMBER(BBG_Data!D868)),BBG_Data!D868,NA())</f>
        <v/>
      </c>
      <c r="E868" s="17">
        <f>IF(AND(ISNUMBER($A868),ISNUMBER(BBG_Data!E868)),BBG_Data!E868,NA())</f>
        <v/>
      </c>
      <c r="F868" s="18">
        <f>IF(AND(ISNUMBER(B868),ISNUMBER(B867)),(B868-B867)*100,"")</f>
        <v/>
      </c>
      <c r="G868" s="18">
        <f>IF(AND(ISNUMBER(C868),ISNUMBER(C867)),(C868-C867)*100,"")</f>
        <v/>
      </c>
      <c r="H868" s="18">
        <f>IF(OR(NOT(ISNUMBER($A868)),ROW()-2&lt;Settings!$B$11),NA(),IF(COUNT(OFFSET(F868,1-Settings!$B$11,0,Settings!$B$11,1))&lt;Settings!$B$11,NA(),STDEV(OFFSET(F868,1-Settings!$B$11,0,Settings!$B$11,1))*SQRT(Settings!$B$13)))</f>
        <v/>
      </c>
      <c r="I868" s="18">
        <f>IF(OR(NOT(ISNUMBER($A868)),ROW()-2&lt;Settings!$B$12),NA(),IF(COUNT(OFFSET(F868,1-Settings!$B$12,0,Settings!$B$12,1))&lt;Settings!$B$12,NA(),STDEV(OFFSET(F868,1-Settings!$B$12,0,Settings!$B$12,1))*SQRT(Settings!$B$13)))</f>
        <v/>
      </c>
      <c r="J868" s="18">
        <f>IF(OR(NOT(ISNUMBER($A868)),ROW()-2&lt;Settings!$B$11),NA(),IF(COUNT(OFFSET(G868,1-Settings!$B$11,0,Settings!$B$11,1))&lt;Settings!$B$11,NA(),STDEV(OFFSET(G868,1-Settings!$B$11,0,Settings!$B$11,1))*SQRT(Settings!$B$13)))</f>
        <v/>
      </c>
      <c r="K868" s="18">
        <f>IF(OR(NOT(ISNUMBER($A868)),ROW()-2&lt;Settings!$B$12),NA(),IF(COUNT(OFFSET(G868,1-Settings!$B$12,0,Settings!$B$12,1))&lt;Settings!$B$12,NA(),STDEV(OFFSET(G868,1-Settings!$B$12,0,Settings!$B$12,1))*SQRT(Settings!$B$13)))</f>
        <v/>
      </c>
      <c r="L868" s="18">
        <f>IF(AND(ISNUMBER(D868),ISNUMBER(H868)),D868-H868,NA())</f>
        <v/>
      </c>
      <c r="M868" s="18">
        <f>IF(AND(ISNUMBER(E868),ISNUMBER(K868)),E868-K868,NA())</f>
        <v/>
      </c>
      <c r="N868" s="18">
        <f>IF(NOT(ISNUMBER($A868)),NA(),IF(COUNT(OFFSET(G868,1,0,Settings!$B$12,1))&lt;Settings!$B$12,NA(),STDEV(OFFSET(G868,1,0,Settings!$B$12,1))*SQRT(Settings!$B$13)))</f>
        <v/>
      </c>
      <c r="O868" s="18">
        <f>IF(AND(ISNUMBER(E868),ISNUMBER(N868)),E868-N868,NA())</f>
        <v/>
      </c>
      <c r="P868" s="17">
        <f>IF(NOT(ISNUMBER($A868)),NA(),IF(OR($A868&lt;MIN(KW_TP!$A$2:$A$2501),$A868&gt;MAX(KW_TP!$A$2:$A$2501)),NA(),INDEX(KW_TP!$C$2:$C$2501,MATCH($A868,KW_TP!$A$2:$A$2501,1))))</f>
        <v/>
      </c>
    </row>
    <row r="869">
      <c r="A869" s="15">
        <f>IF(ISNUMBER(BBG_Data!A869),BBG_Data!A869,"")</f>
        <v/>
      </c>
      <c r="B869" s="16">
        <f>IF(AND(ISNUMBER($A869),ISNUMBER(BBG_Data!B869)),BBG_Data!B869,NA())</f>
        <v/>
      </c>
      <c r="C869" s="16">
        <f>IF(AND(ISNUMBER($A869),ISNUMBER(BBG_Data!C869)),BBG_Data!C869,NA())</f>
        <v/>
      </c>
      <c r="D869" s="17">
        <f>IF(AND(ISNUMBER($A869),ISNUMBER(BBG_Data!D869)),BBG_Data!D869,NA())</f>
        <v/>
      </c>
      <c r="E869" s="17">
        <f>IF(AND(ISNUMBER($A869),ISNUMBER(BBG_Data!E869)),BBG_Data!E869,NA())</f>
        <v/>
      </c>
      <c r="F869" s="18">
        <f>IF(AND(ISNUMBER(B869),ISNUMBER(B868)),(B869-B868)*100,"")</f>
        <v/>
      </c>
      <c r="G869" s="18">
        <f>IF(AND(ISNUMBER(C869),ISNUMBER(C868)),(C869-C868)*100,"")</f>
        <v/>
      </c>
      <c r="H869" s="18">
        <f>IF(OR(NOT(ISNUMBER($A869)),ROW()-2&lt;Settings!$B$11),NA(),IF(COUNT(OFFSET(F869,1-Settings!$B$11,0,Settings!$B$11,1))&lt;Settings!$B$11,NA(),STDEV(OFFSET(F869,1-Settings!$B$11,0,Settings!$B$11,1))*SQRT(Settings!$B$13)))</f>
        <v/>
      </c>
      <c r="I869" s="18">
        <f>IF(OR(NOT(ISNUMBER($A869)),ROW()-2&lt;Settings!$B$12),NA(),IF(COUNT(OFFSET(F869,1-Settings!$B$12,0,Settings!$B$12,1))&lt;Settings!$B$12,NA(),STDEV(OFFSET(F869,1-Settings!$B$12,0,Settings!$B$12,1))*SQRT(Settings!$B$13)))</f>
        <v/>
      </c>
      <c r="J869" s="18">
        <f>IF(OR(NOT(ISNUMBER($A869)),ROW()-2&lt;Settings!$B$11),NA(),IF(COUNT(OFFSET(G869,1-Settings!$B$11,0,Settings!$B$11,1))&lt;Settings!$B$11,NA(),STDEV(OFFSET(G869,1-Settings!$B$11,0,Settings!$B$11,1))*SQRT(Settings!$B$13)))</f>
        <v/>
      </c>
      <c r="K869" s="18">
        <f>IF(OR(NOT(ISNUMBER($A869)),ROW()-2&lt;Settings!$B$12),NA(),IF(COUNT(OFFSET(G869,1-Settings!$B$12,0,Settings!$B$12,1))&lt;Settings!$B$12,NA(),STDEV(OFFSET(G869,1-Settings!$B$12,0,Settings!$B$12,1))*SQRT(Settings!$B$13)))</f>
        <v/>
      </c>
      <c r="L869" s="18">
        <f>IF(AND(ISNUMBER(D869),ISNUMBER(H869)),D869-H869,NA())</f>
        <v/>
      </c>
      <c r="M869" s="18">
        <f>IF(AND(ISNUMBER(E869),ISNUMBER(K869)),E869-K869,NA())</f>
        <v/>
      </c>
      <c r="N869" s="18">
        <f>IF(NOT(ISNUMBER($A869)),NA(),IF(COUNT(OFFSET(G869,1,0,Settings!$B$12,1))&lt;Settings!$B$12,NA(),STDEV(OFFSET(G869,1,0,Settings!$B$12,1))*SQRT(Settings!$B$13)))</f>
        <v/>
      </c>
      <c r="O869" s="18">
        <f>IF(AND(ISNUMBER(E869),ISNUMBER(N869)),E869-N869,NA())</f>
        <v/>
      </c>
      <c r="P869" s="17">
        <f>IF(NOT(ISNUMBER($A869)),NA(),IF(OR($A869&lt;MIN(KW_TP!$A$2:$A$2501),$A869&gt;MAX(KW_TP!$A$2:$A$2501)),NA(),INDEX(KW_TP!$C$2:$C$2501,MATCH($A869,KW_TP!$A$2:$A$2501,1))))</f>
        <v/>
      </c>
    </row>
    <row r="870">
      <c r="A870" s="15">
        <f>IF(ISNUMBER(BBG_Data!A870),BBG_Data!A870,"")</f>
        <v/>
      </c>
      <c r="B870" s="16">
        <f>IF(AND(ISNUMBER($A870),ISNUMBER(BBG_Data!B870)),BBG_Data!B870,NA())</f>
        <v/>
      </c>
      <c r="C870" s="16">
        <f>IF(AND(ISNUMBER($A870),ISNUMBER(BBG_Data!C870)),BBG_Data!C870,NA())</f>
        <v/>
      </c>
      <c r="D870" s="17">
        <f>IF(AND(ISNUMBER($A870),ISNUMBER(BBG_Data!D870)),BBG_Data!D870,NA())</f>
        <v/>
      </c>
      <c r="E870" s="17">
        <f>IF(AND(ISNUMBER($A870),ISNUMBER(BBG_Data!E870)),BBG_Data!E870,NA())</f>
        <v/>
      </c>
      <c r="F870" s="18">
        <f>IF(AND(ISNUMBER(B870),ISNUMBER(B869)),(B870-B869)*100,"")</f>
        <v/>
      </c>
      <c r="G870" s="18">
        <f>IF(AND(ISNUMBER(C870),ISNUMBER(C869)),(C870-C869)*100,"")</f>
        <v/>
      </c>
      <c r="H870" s="18">
        <f>IF(OR(NOT(ISNUMBER($A870)),ROW()-2&lt;Settings!$B$11),NA(),IF(COUNT(OFFSET(F870,1-Settings!$B$11,0,Settings!$B$11,1))&lt;Settings!$B$11,NA(),STDEV(OFFSET(F870,1-Settings!$B$11,0,Settings!$B$11,1))*SQRT(Settings!$B$13)))</f>
        <v/>
      </c>
      <c r="I870" s="18">
        <f>IF(OR(NOT(ISNUMBER($A870)),ROW()-2&lt;Settings!$B$12),NA(),IF(COUNT(OFFSET(F870,1-Settings!$B$12,0,Settings!$B$12,1))&lt;Settings!$B$12,NA(),STDEV(OFFSET(F870,1-Settings!$B$12,0,Settings!$B$12,1))*SQRT(Settings!$B$13)))</f>
        <v/>
      </c>
      <c r="J870" s="18">
        <f>IF(OR(NOT(ISNUMBER($A870)),ROW()-2&lt;Settings!$B$11),NA(),IF(COUNT(OFFSET(G870,1-Settings!$B$11,0,Settings!$B$11,1))&lt;Settings!$B$11,NA(),STDEV(OFFSET(G870,1-Settings!$B$11,0,Settings!$B$11,1))*SQRT(Settings!$B$13)))</f>
        <v/>
      </c>
      <c r="K870" s="18">
        <f>IF(OR(NOT(ISNUMBER($A870)),ROW()-2&lt;Settings!$B$12),NA(),IF(COUNT(OFFSET(G870,1-Settings!$B$12,0,Settings!$B$12,1))&lt;Settings!$B$12,NA(),STDEV(OFFSET(G870,1-Settings!$B$12,0,Settings!$B$12,1))*SQRT(Settings!$B$13)))</f>
        <v/>
      </c>
      <c r="L870" s="18">
        <f>IF(AND(ISNUMBER(D870),ISNUMBER(H870)),D870-H870,NA())</f>
        <v/>
      </c>
      <c r="M870" s="18">
        <f>IF(AND(ISNUMBER(E870),ISNUMBER(K870)),E870-K870,NA())</f>
        <v/>
      </c>
      <c r="N870" s="18">
        <f>IF(NOT(ISNUMBER($A870)),NA(),IF(COUNT(OFFSET(G870,1,0,Settings!$B$12,1))&lt;Settings!$B$12,NA(),STDEV(OFFSET(G870,1,0,Settings!$B$12,1))*SQRT(Settings!$B$13)))</f>
        <v/>
      </c>
      <c r="O870" s="18">
        <f>IF(AND(ISNUMBER(E870),ISNUMBER(N870)),E870-N870,NA())</f>
        <v/>
      </c>
      <c r="P870" s="17">
        <f>IF(NOT(ISNUMBER($A870)),NA(),IF(OR($A870&lt;MIN(KW_TP!$A$2:$A$2501),$A870&gt;MAX(KW_TP!$A$2:$A$2501)),NA(),INDEX(KW_TP!$C$2:$C$2501,MATCH($A870,KW_TP!$A$2:$A$2501,1))))</f>
        <v/>
      </c>
    </row>
    <row r="871">
      <c r="A871" s="15">
        <f>IF(ISNUMBER(BBG_Data!A871),BBG_Data!A871,"")</f>
        <v/>
      </c>
      <c r="B871" s="16">
        <f>IF(AND(ISNUMBER($A871),ISNUMBER(BBG_Data!B871)),BBG_Data!B871,NA())</f>
        <v/>
      </c>
      <c r="C871" s="16">
        <f>IF(AND(ISNUMBER($A871),ISNUMBER(BBG_Data!C871)),BBG_Data!C871,NA())</f>
        <v/>
      </c>
      <c r="D871" s="17">
        <f>IF(AND(ISNUMBER($A871),ISNUMBER(BBG_Data!D871)),BBG_Data!D871,NA())</f>
        <v/>
      </c>
      <c r="E871" s="17">
        <f>IF(AND(ISNUMBER($A871),ISNUMBER(BBG_Data!E871)),BBG_Data!E871,NA())</f>
        <v/>
      </c>
      <c r="F871" s="18">
        <f>IF(AND(ISNUMBER(B871),ISNUMBER(B870)),(B871-B870)*100,"")</f>
        <v/>
      </c>
      <c r="G871" s="18">
        <f>IF(AND(ISNUMBER(C871),ISNUMBER(C870)),(C871-C870)*100,"")</f>
        <v/>
      </c>
      <c r="H871" s="18">
        <f>IF(OR(NOT(ISNUMBER($A871)),ROW()-2&lt;Settings!$B$11),NA(),IF(COUNT(OFFSET(F871,1-Settings!$B$11,0,Settings!$B$11,1))&lt;Settings!$B$11,NA(),STDEV(OFFSET(F871,1-Settings!$B$11,0,Settings!$B$11,1))*SQRT(Settings!$B$13)))</f>
        <v/>
      </c>
      <c r="I871" s="18">
        <f>IF(OR(NOT(ISNUMBER($A871)),ROW()-2&lt;Settings!$B$12),NA(),IF(COUNT(OFFSET(F871,1-Settings!$B$12,0,Settings!$B$12,1))&lt;Settings!$B$12,NA(),STDEV(OFFSET(F871,1-Settings!$B$12,0,Settings!$B$12,1))*SQRT(Settings!$B$13)))</f>
        <v/>
      </c>
      <c r="J871" s="18">
        <f>IF(OR(NOT(ISNUMBER($A871)),ROW()-2&lt;Settings!$B$11),NA(),IF(COUNT(OFFSET(G871,1-Settings!$B$11,0,Settings!$B$11,1))&lt;Settings!$B$11,NA(),STDEV(OFFSET(G871,1-Settings!$B$11,0,Settings!$B$11,1))*SQRT(Settings!$B$13)))</f>
        <v/>
      </c>
      <c r="K871" s="18">
        <f>IF(OR(NOT(ISNUMBER($A871)),ROW()-2&lt;Settings!$B$12),NA(),IF(COUNT(OFFSET(G871,1-Settings!$B$12,0,Settings!$B$12,1))&lt;Settings!$B$12,NA(),STDEV(OFFSET(G871,1-Settings!$B$12,0,Settings!$B$12,1))*SQRT(Settings!$B$13)))</f>
        <v/>
      </c>
      <c r="L871" s="18">
        <f>IF(AND(ISNUMBER(D871),ISNUMBER(H871)),D871-H871,NA())</f>
        <v/>
      </c>
      <c r="M871" s="18">
        <f>IF(AND(ISNUMBER(E871),ISNUMBER(K871)),E871-K871,NA())</f>
        <v/>
      </c>
      <c r="N871" s="18">
        <f>IF(NOT(ISNUMBER($A871)),NA(),IF(COUNT(OFFSET(G871,1,0,Settings!$B$12,1))&lt;Settings!$B$12,NA(),STDEV(OFFSET(G871,1,0,Settings!$B$12,1))*SQRT(Settings!$B$13)))</f>
        <v/>
      </c>
      <c r="O871" s="18">
        <f>IF(AND(ISNUMBER(E871),ISNUMBER(N871)),E871-N871,NA())</f>
        <v/>
      </c>
      <c r="P871" s="17">
        <f>IF(NOT(ISNUMBER($A871)),NA(),IF(OR($A871&lt;MIN(KW_TP!$A$2:$A$2501),$A871&gt;MAX(KW_TP!$A$2:$A$2501)),NA(),INDEX(KW_TP!$C$2:$C$2501,MATCH($A871,KW_TP!$A$2:$A$2501,1))))</f>
        <v/>
      </c>
    </row>
    <row r="872">
      <c r="A872" s="15">
        <f>IF(ISNUMBER(BBG_Data!A872),BBG_Data!A872,"")</f>
        <v/>
      </c>
      <c r="B872" s="16">
        <f>IF(AND(ISNUMBER($A872),ISNUMBER(BBG_Data!B872)),BBG_Data!B872,NA())</f>
        <v/>
      </c>
      <c r="C872" s="16">
        <f>IF(AND(ISNUMBER($A872),ISNUMBER(BBG_Data!C872)),BBG_Data!C872,NA())</f>
        <v/>
      </c>
      <c r="D872" s="17">
        <f>IF(AND(ISNUMBER($A872),ISNUMBER(BBG_Data!D872)),BBG_Data!D872,NA())</f>
        <v/>
      </c>
      <c r="E872" s="17">
        <f>IF(AND(ISNUMBER($A872),ISNUMBER(BBG_Data!E872)),BBG_Data!E872,NA())</f>
        <v/>
      </c>
      <c r="F872" s="18">
        <f>IF(AND(ISNUMBER(B872),ISNUMBER(B871)),(B872-B871)*100,"")</f>
        <v/>
      </c>
      <c r="G872" s="18">
        <f>IF(AND(ISNUMBER(C872),ISNUMBER(C871)),(C872-C871)*100,"")</f>
        <v/>
      </c>
      <c r="H872" s="18">
        <f>IF(OR(NOT(ISNUMBER($A872)),ROW()-2&lt;Settings!$B$11),NA(),IF(COUNT(OFFSET(F872,1-Settings!$B$11,0,Settings!$B$11,1))&lt;Settings!$B$11,NA(),STDEV(OFFSET(F872,1-Settings!$B$11,0,Settings!$B$11,1))*SQRT(Settings!$B$13)))</f>
        <v/>
      </c>
      <c r="I872" s="18">
        <f>IF(OR(NOT(ISNUMBER($A872)),ROW()-2&lt;Settings!$B$12),NA(),IF(COUNT(OFFSET(F872,1-Settings!$B$12,0,Settings!$B$12,1))&lt;Settings!$B$12,NA(),STDEV(OFFSET(F872,1-Settings!$B$12,0,Settings!$B$12,1))*SQRT(Settings!$B$13)))</f>
        <v/>
      </c>
      <c r="J872" s="18">
        <f>IF(OR(NOT(ISNUMBER($A872)),ROW()-2&lt;Settings!$B$11),NA(),IF(COUNT(OFFSET(G872,1-Settings!$B$11,0,Settings!$B$11,1))&lt;Settings!$B$11,NA(),STDEV(OFFSET(G872,1-Settings!$B$11,0,Settings!$B$11,1))*SQRT(Settings!$B$13)))</f>
        <v/>
      </c>
      <c r="K872" s="18">
        <f>IF(OR(NOT(ISNUMBER($A872)),ROW()-2&lt;Settings!$B$12),NA(),IF(COUNT(OFFSET(G872,1-Settings!$B$12,0,Settings!$B$12,1))&lt;Settings!$B$12,NA(),STDEV(OFFSET(G872,1-Settings!$B$12,0,Settings!$B$12,1))*SQRT(Settings!$B$13)))</f>
        <v/>
      </c>
      <c r="L872" s="18">
        <f>IF(AND(ISNUMBER(D872),ISNUMBER(H872)),D872-H872,NA())</f>
        <v/>
      </c>
      <c r="M872" s="18">
        <f>IF(AND(ISNUMBER(E872),ISNUMBER(K872)),E872-K872,NA())</f>
        <v/>
      </c>
      <c r="N872" s="18">
        <f>IF(NOT(ISNUMBER($A872)),NA(),IF(COUNT(OFFSET(G872,1,0,Settings!$B$12,1))&lt;Settings!$B$12,NA(),STDEV(OFFSET(G872,1,0,Settings!$B$12,1))*SQRT(Settings!$B$13)))</f>
        <v/>
      </c>
      <c r="O872" s="18">
        <f>IF(AND(ISNUMBER(E872),ISNUMBER(N872)),E872-N872,NA())</f>
        <v/>
      </c>
      <c r="P872" s="17">
        <f>IF(NOT(ISNUMBER($A872)),NA(),IF(OR($A872&lt;MIN(KW_TP!$A$2:$A$2501),$A872&gt;MAX(KW_TP!$A$2:$A$2501)),NA(),INDEX(KW_TP!$C$2:$C$2501,MATCH($A872,KW_TP!$A$2:$A$2501,1))))</f>
        <v/>
      </c>
    </row>
    <row r="873">
      <c r="A873" s="15">
        <f>IF(ISNUMBER(BBG_Data!A873),BBG_Data!A873,"")</f>
        <v/>
      </c>
      <c r="B873" s="16">
        <f>IF(AND(ISNUMBER($A873),ISNUMBER(BBG_Data!B873)),BBG_Data!B873,NA())</f>
        <v/>
      </c>
      <c r="C873" s="16">
        <f>IF(AND(ISNUMBER($A873),ISNUMBER(BBG_Data!C873)),BBG_Data!C873,NA())</f>
        <v/>
      </c>
      <c r="D873" s="17">
        <f>IF(AND(ISNUMBER($A873),ISNUMBER(BBG_Data!D873)),BBG_Data!D873,NA())</f>
        <v/>
      </c>
      <c r="E873" s="17">
        <f>IF(AND(ISNUMBER($A873),ISNUMBER(BBG_Data!E873)),BBG_Data!E873,NA())</f>
        <v/>
      </c>
      <c r="F873" s="18">
        <f>IF(AND(ISNUMBER(B873),ISNUMBER(B872)),(B873-B872)*100,"")</f>
        <v/>
      </c>
      <c r="G873" s="18">
        <f>IF(AND(ISNUMBER(C873),ISNUMBER(C872)),(C873-C872)*100,"")</f>
        <v/>
      </c>
      <c r="H873" s="18">
        <f>IF(OR(NOT(ISNUMBER($A873)),ROW()-2&lt;Settings!$B$11),NA(),IF(COUNT(OFFSET(F873,1-Settings!$B$11,0,Settings!$B$11,1))&lt;Settings!$B$11,NA(),STDEV(OFFSET(F873,1-Settings!$B$11,0,Settings!$B$11,1))*SQRT(Settings!$B$13)))</f>
        <v/>
      </c>
      <c r="I873" s="18">
        <f>IF(OR(NOT(ISNUMBER($A873)),ROW()-2&lt;Settings!$B$12),NA(),IF(COUNT(OFFSET(F873,1-Settings!$B$12,0,Settings!$B$12,1))&lt;Settings!$B$12,NA(),STDEV(OFFSET(F873,1-Settings!$B$12,0,Settings!$B$12,1))*SQRT(Settings!$B$13)))</f>
        <v/>
      </c>
      <c r="J873" s="18">
        <f>IF(OR(NOT(ISNUMBER($A873)),ROW()-2&lt;Settings!$B$11),NA(),IF(COUNT(OFFSET(G873,1-Settings!$B$11,0,Settings!$B$11,1))&lt;Settings!$B$11,NA(),STDEV(OFFSET(G873,1-Settings!$B$11,0,Settings!$B$11,1))*SQRT(Settings!$B$13)))</f>
        <v/>
      </c>
      <c r="K873" s="18">
        <f>IF(OR(NOT(ISNUMBER($A873)),ROW()-2&lt;Settings!$B$12),NA(),IF(COUNT(OFFSET(G873,1-Settings!$B$12,0,Settings!$B$12,1))&lt;Settings!$B$12,NA(),STDEV(OFFSET(G873,1-Settings!$B$12,0,Settings!$B$12,1))*SQRT(Settings!$B$13)))</f>
        <v/>
      </c>
      <c r="L873" s="18">
        <f>IF(AND(ISNUMBER(D873),ISNUMBER(H873)),D873-H873,NA())</f>
        <v/>
      </c>
      <c r="M873" s="18">
        <f>IF(AND(ISNUMBER(E873),ISNUMBER(K873)),E873-K873,NA())</f>
        <v/>
      </c>
      <c r="N873" s="18">
        <f>IF(NOT(ISNUMBER($A873)),NA(),IF(COUNT(OFFSET(G873,1,0,Settings!$B$12,1))&lt;Settings!$B$12,NA(),STDEV(OFFSET(G873,1,0,Settings!$B$12,1))*SQRT(Settings!$B$13)))</f>
        <v/>
      </c>
      <c r="O873" s="18">
        <f>IF(AND(ISNUMBER(E873),ISNUMBER(N873)),E873-N873,NA())</f>
        <v/>
      </c>
      <c r="P873" s="17">
        <f>IF(NOT(ISNUMBER($A873)),NA(),IF(OR($A873&lt;MIN(KW_TP!$A$2:$A$2501),$A873&gt;MAX(KW_TP!$A$2:$A$2501)),NA(),INDEX(KW_TP!$C$2:$C$2501,MATCH($A873,KW_TP!$A$2:$A$2501,1))))</f>
        <v/>
      </c>
    </row>
    <row r="874">
      <c r="A874" s="15">
        <f>IF(ISNUMBER(BBG_Data!A874),BBG_Data!A874,"")</f>
        <v/>
      </c>
      <c r="B874" s="16">
        <f>IF(AND(ISNUMBER($A874),ISNUMBER(BBG_Data!B874)),BBG_Data!B874,NA())</f>
        <v/>
      </c>
      <c r="C874" s="16">
        <f>IF(AND(ISNUMBER($A874),ISNUMBER(BBG_Data!C874)),BBG_Data!C874,NA())</f>
        <v/>
      </c>
      <c r="D874" s="17">
        <f>IF(AND(ISNUMBER($A874),ISNUMBER(BBG_Data!D874)),BBG_Data!D874,NA())</f>
        <v/>
      </c>
      <c r="E874" s="17">
        <f>IF(AND(ISNUMBER($A874),ISNUMBER(BBG_Data!E874)),BBG_Data!E874,NA())</f>
        <v/>
      </c>
      <c r="F874" s="18">
        <f>IF(AND(ISNUMBER(B874),ISNUMBER(B873)),(B874-B873)*100,"")</f>
        <v/>
      </c>
      <c r="G874" s="18">
        <f>IF(AND(ISNUMBER(C874),ISNUMBER(C873)),(C874-C873)*100,"")</f>
        <v/>
      </c>
      <c r="H874" s="18">
        <f>IF(OR(NOT(ISNUMBER($A874)),ROW()-2&lt;Settings!$B$11),NA(),IF(COUNT(OFFSET(F874,1-Settings!$B$11,0,Settings!$B$11,1))&lt;Settings!$B$11,NA(),STDEV(OFFSET(F874,1-Settings!$B$11,0,Settings!$B$11,1))*SQRT(Settings!$B$13)))</f>
        <v/>
      </c>
      <c r="I874" s="18">
        <f>IF(OR(NOT(ISNUMBER($A874)),ROW()-2&lt;Settings!$B$12),NA(),IF(COUNT(OFFSET(F874,1-Settings!$B$12,0,Settings!$B$12,1))&lt;Settings!$B$12,NA(),STDEV(OFFSET(F874,1-Settings!$B$12,0,Settings!$B$12,1))*SQRT(Settings!$B$13)))</f>
        <v/>
      </c>
      <c r="J874" s="18">
        <f>IF(OR(NOT(ISNUMBER($A874)),ROW()-2&lt;Settings!$B$11),NA(),IF(COUNT(OFFSET(G874,1-Settings!$B$11,0,Settings!$B$11,1))&lt;Settings!$B$11,NA(),STDEV(OFFSET(G874,1-Settings!$B$11,0,Settings!$B$11,1))*SQRT(Settings!$B$13)))</f>
        <v/>
      </c>
      <c r="K874" s="18">
        <f>IF(OR(NOT(ISNUMBER($A874)),ROW()-2&lt;Settings!$B$12),NA(),IF(COUNT(OFFSET(G874,1-Settings!$B$12,0,Settings!$B$12,1))&lt;Settings!$B$12,NA(),STDEV(OFFSET(G874,1-Settings!$B$12,0,Settings!$B$12,1))*SQRT(Settings!$B$13)))</f>
        <v/>
      </c>
      <c r="L874" s="18">
        <f>IF(AND(ISNUMBER(D874),ISNUMBER(H874)),D874-H874,NA())</f>
        <v/>
      </c>
      <c r="M874" s="18">
        <f>IF(AND(ISNUMBER(E874),ISNUMBER(K874)),E874-K874,NA())</f>
        <v/>
      </c>
      <c r="N874" s="18">
        <f>IF(NOT(ISNUMBER($A874)),NA(),IF(COUNT(OFFSET(G874,1,0,Settings!$B$12,1))&lt;Settings!$B$12,NA(),STDEV(OFFSET(G874,1,0,Settings!$B$12,1))*SQRT(Settings!$B$13)))</f>
        <v/>
      </c>
      <c r="O874" s="18">
        <f>IF(AND(ISNUMBER(E874),ISNUMBER(N874)),E874-N874,NA())</f>
        <v/>
      </c>
      <c r="P874" s="17">
        <f>IF(NOT(ISNUMBER($A874)),NA(),IF(OR($A874&lt;MIN(KW_TP!$A$2:$A$2501),$A874&gt;MAX(KW_TP!$A$2:$A$2501)),NA(),INDEX(KW_TP!$C$2:$C$2501,MATCH($A874,KW_TP!$A$2:$A$2501,1))))</f>
        <v/>
      </c>
    </row>
    <row r="875">
      <c r="A875" s="15">
        <f>IF(ISNUMBER(BBG_Data!A875),BBG_Data!A875,"")</f>
        <v/>
      </c>
      <c r="B875" s="16">
        <f>IF(AND(ISNUMBER($A875),ISNUMBER(BBG_Data!B875)),BBG_Data!B875,NA())</f>
        <v/>
      </c>
      <c r="C875" s="16">
        <f>IF(AND(ISNUMBER($A875),ISNUMBER(BBG_Data!C875)),BBG_Data!C875,NA())</f>
        <v/>
      </c>
      <c r="D875" s="17">
        <f>IF(AND(ISNUMBER($A875),ISNUMBER(BBG_Data!D875)),BBG_Data!D875,NA())</f>
        <v/>
      </c>
      <c r="E875" s="17">
        <f>IF(AND(ISNUMBER($A875),ISNUMBER(BBG_Data!E875)),BBG_Data!E875,NA())</f>
        <v/>
      </c>
      <c r="F875" s="18">
        <f>IF(AND(ISNUMBER(B875),ISNUMBER(B874)),(B875-B874)*100,"")</f>
        <v/>
      </c>
      <c r="G875" s="18">
        <f>IF(AND(ISNUMBER(C875),ISNUMBER(C874)),(C875-C874)*100,"")</f>
        <v/>
      </c>
      <c r="H875" s="18">
        <f>IF(OR(NOT(ISNUMBER($A875)),ROW()-2&lt;Settings!$B$11),NA(),IF(COUNT(OFFSET(F875,1-Settings!$B$11,0,Settings!$B$11,1))&lt;Settings!$B$11,NA(),STDEV(OFFSET(F875,1-Settings!$B$11,0,Settings!$B$11,1))*SQRT(Settings!$B$13)))</f>
        <v/>
      </c>
      <c r="I875" s="18">
        <f>IF(OR(NOT(ISNUMBER($A875)),ROW()-2&lt;Settings!$B$12),NA(),IF(COUNT(OFFSET(F875,1-Settings!$B$12,0,Settings!$B$12,1))&lt;Settings!$B$12,NA(),STDEV(OFFSET(F875,1-Settings!$B$12,0,Settings!$B$12,1))*SQRT(Settings!$B$13)))</f>
        <v/>
      </c>
      <c r="J875" s="18">
        <f>IF(OR(NOT(ISNUMBER($A875)),ROW()-2&lt;Settings!$B$11),NA(),IF(COUNT(OFFSET(G875,1-Settings!$B$11,0,Settings!$B$11,1))&lt;Settings!$B$11,NA(),STDEV(OFFSET(G875,1-Settings!$B$11,0,Settings!$B$11,1))*SQRT(Settings!$B$13)))</f>
        <v/>
      </c>
      <c r="K875" s="18">
        <f>IF(OR(NOT(ISNUMBER($A875)),ROW()-2&lt;Settings!$B$12),NA(),IF(COUNT(OFFSET(G875,1-Settings!$B$12,0,Settings!$B$12,1))&lt;Settings!$B$12,NA(),STDEV(OFFSET(G875,1-Settings!$B$12,0,Settings!$B$12,1))*SQRT(Settings!$B$13)))</f>
        <v/>
      </c>
      <c r="L875" s="18">
        <f>IF(AND(ISNUMBER(D875),ISNUMBER(H875)),D875-H875,NA())</f>
        <v/>
      </c>
      <c r="M875" s="18">
        <f>IF(AND(ISNUMBER(E875),ISNUMBER(K875)),E875-K875,NA())</f>
        <v/>
      </c>
      <c r="N875" s="18">
        <f>IF(NOT(ISNUMBER($A875)),NA(),IF(COUNT(OFFSET(G875,1,0,Settings!$B$12,1))&lt;Settings!$B$12,NA(),STDEV(OFFSET(G875,1,0,Settings!$B$12,1))*SQRT(Settings!$B$13)))</f>
        <v/>
      </c>
      <c r="O875" s="18">
        <f>IF(AND(ISNUMBER(E875),ISNUMBER(N875)),E875-N875,NA())</f>
        <v/>
      </c>
      <c r="P875" s="17">
        <f>IF(NOT(ISNUMBER($A875)),NA(),IF(OR($A875&lt;MIN(KW_TP!$A$2:$A$2501),$A875&gt;MAX(KW_TP!$A$2:$A$2501)),NA(),INDEX(KW_TP!$C$2:$C$2501,MATCH($A875,KW_TP!$A$2:$A$2501,1))))</f>
        <v/>
      </c>
    </row>
    <row r="876">
      <c r="A876" s="15">
        <f>IF(ISNUMBER(BBG_Data!A876),BBG_Data!A876,"")</f>
        <v/>
      </c>
      <c r="B876" s="16">
        <f>IF(AND(ISNUMBER($A876),ISNUMBER(BBG_Data!B876)),BBG_Data!B876,NA())</f>
        <v/>
      </c>
      <c r="C876" s="16">
        <f>IF(AND(ISNUMBER($A876),ISNUMBER(BBG_Data!C876)),BBG_Data!C876,NA())</f>
        <v/>
      </c>
      <c r="D876" s="17">
        <f>IF(AND(ISNUMBER($A876),ISNUMBER(BBG_Data!D876)),BBG_Data!D876,NA())</f>
        <v/>
      </c>
      <c r="E876" s="17">
        <f>IF(AND(ISNUMBER($A876),ISNUMBER(BBG_Data!E876)),BBG_Data!E876,NA())</f>
        <v/>
      </c>
      <c r="F876" s="18">
        <f>IF(AND(ISNUMBER(B876),ISNUMBER(B875)),(B876-B875)*100,"")</f>
        <v/>
      </c>
      <c r="G876" s="18">
        <f>IF(AND(ISNUMBER(C876),ISNUMBER(C875)),(C876-C875)*100,"")</f>
        <v/>
      </c>
      <c r="H876" s="18">
        <f>IF(OR(NOT(ISNUMBER($A876)),ROW()-2&lt;Settings!$B$11),NA(),IF(COUNT(OFFSET(F876,1-Settings!$B$11,0,Settings!$B$11,1))&lt;Settings!$B$11,NA(),STDEV(OFFSET(F876,1-Settings!$B$11,0,Settings!$B$11,1))*SQRT(Settings!$B$13)))</f>
        <v/>
      </c>
      <c r="I876" s="18">
        <f>IF(OR(NOT(ISNUMBER($A876)),ROW()-2&lt;Settings!$B$12),NA(),IF(COUNT(OFFSET(F876,1-Settings!$B$12,0,Settings!$B$12,1))&lt;Settings!$B$12,NA(),STDEV(OFFSET(F876,1-Settings!$B$12,0,Settings!$B$12,1))*SQRT(Settings!$B$13)))</f>
        <v/>
      </c>
      <c r="J876" s="18">
        <f>IF(OR(NOT(ISNUMBER($A876)),ROW()-2&lt;Settings!$B$11),NA(),IF(COUNT(OFFSET(G876,1-Settings!$B$11,0,Settings!$B$11,1))&lt;Settings!$B$11,NA(),STDEV(OFFSET(G876,1-Settings!$B$11,0,Settings!$B$11,1))*SQRT(Settings!$B$13)))</f>
        <v/>
      </c>
      <c r="K876" s="18">
        <f>IF(OR(NOT(ISNUMBER($A876)),ROW()-2&lt;Settings!$B$12),NA(),IF(COUNT(OFFSET(G876,1-Settings!$B$12,0,Settings!$B$12,1))&lt;Settings!$B$12,NA(),STDEV(OFFSET(G876,1-Settings!$B$12,0,Settings!$B$12,1))*SQRT(Settings!$B$13)))</f>
        <v/>
      </c>
      <c r="L876" s="18">
        <f>IF(AND(ISNUMBER(D876),ISNUMBER(H876)),D876-H876,NA())</f>
        <v/>
      </c>
      <c r="M876" s="18">
        <f>IF(AND(ISNUMBER(E876),ISNUMBER(K876)),E876-K876,NA())</f>
        <v/>
      </c>
      <c r="N876" s="18">
        <f>IF(NOT(ISNUMBER($A876)),NA(),IF(COUNT(OFFSET(G876,1,0,Settings!$B$12,1))&lt;Settings!$B$12,NA(),STDEV(OFFSET(G876,1,0,Settings!$B$12,1))*SQRT(Settings!$B$13)))</f>
        <v/>
      </c>
      <c r="O876" s="18">
        <f>IF(AND(ISNUMBER(E876),ISNUMBER(N876)),E876-N876,NA())</f>
        <v/>
      </c>
      <c r="P876" s="17">
        <f>IF(NOT(ISNUMBER($A876)),NA(),IF(OR($A876&lt;MIN(KW_TP!$A$2:$A$2501),$A876&gt;MAX(KW_TP!$A$2:$A$2501)),NA(),INDEX(KW_TP!$C$2:$C$2501,MATCH($A876,KW_TP!$A$2:$A$2501,1))))</f>
        <v/>
      </c>
    </row>
    <row r="877">
      <c r="A877" s="15">
        <f>IF(ISNUMBER(BBG_Data!A877),BBG_Data!A877,"")</f>
        <v/>
      </c>
      <c r="B877" s="16">
        <f>IF(AND(ISNUMBER($A877),ISNUMBER(BBG_Data!B877)),BBG_Data!B877,NA())</f>
        <v/>
      </c>
      <c r="C877" s="16">
        <f>IF(AND(ISNUMBER($A877),ISNUMBER(BBG_Data!C877)),BBG_Data!C877,NA())</f>
        <v/>
      </c>
      <c r="D877" s="17">
        <f>IF(AND(ISNUMBER($A877),ISNUMBER(BBG_Data!D877)),BBG_Data!D877,NA())</f>
        <v/>
      </c>
      <c r="E877" s="17">
        <f>IF(AND(ISNUMBER($A877),ISNUMBER(BBG_Data!E877)),BBG_Data!E877,NA())</f>
        <v/>
      </c>
      <c r="F877" s="18">
        <f>IF(AND(ISNUMBER(B877),ISNUMBER(B876)),(B877-B876)*100,"")</f>
        <v/>
      </c>
      <c r="G877" s="18">
        <f>IF(AND(ISNUMBER(C877),ISNUMBER(C876)),(C877-C876)*100,"")</f>
        <v/>
      </c>
      <c r="H877" s="18">
        <f>IF(OR(NOT(ISNUMBER($A877)),ROW()-2&lt;Settings!$B$11),NA(),IF(COUNT(OFFSET(F877,1-Settings!$B$11,0,Settings!$B$11,1))&lt;Settings!$B$11,NA(),STDEV(OFFSET(F877,1-Settings!$B$11,0,Settings!$B$11,1))*SQRT(Settings!$B$13)))</f>
        <v/>
      </c>
      <c r="I877" s="18">
        <f>IF(OR(NOT(ISNUMBER($A877)),ROW()-2&lt;Settings!$B$12),NA(),IF(COUNT(OFFSET(F877,1-Settings!$B$12,0,Settings!$B$12,1))&lt;Settings!$B$12,NA(),STDEV(OFFSET(F877,1-Settings!$B$12,0,Settings!$B$12,1))*SQRT(Settings!$B$13)))</f>
        <v/>
      </c>
      <c r="J877" s="18">
        <f>IF(OR(NOT(ISNUMBER($A877)),ROW()-2&lt;Settings!$B$11),NA(),IF(COUNT(OFFSET(G877,1-Settings!$B$11,0,Settings!$B$11,1))&lt;Settings!$B$11,NA(),STDEV(OFFSET(G877,1-Settings!$B$11,0,Settings!$B$11,1))*SQRT(Settings!$B$13)))</f>
        <v/>
      </c>
      <c r="K877" s="18">
        <f>IF(OR(NOT(ISNUMBER($A877)),ROW()-2&lt;Settings!$B$12),NA(),IF(COUNT(OFFSET(G877,1-Settings!$B$12,0,Settings!$B$12,1))&lt;Settings!$B$12,NA(),STDEV(OFFSET(G877,1-Settings!$B$12,0,Settings!$B$12,1))*SQRT(Settings!$B$13)))</f>
        <v/>
      </c>
      <c r="L877" s="18">
        <f>IF(AND(ISNUMBER(D877),ISNUMBER(H877)),D877-H877,NA())</f>
        <v/>
      </c>
      <c r="M877" s="18">
        <f>IF(AND(ISNUMBER(E877),ISNUMBER(K877)),E877-K877,NA())</f>
        <v/>
      </c>
      <c r="N877" s="18">
        <f>IF(NOT(ISNUMBER($A877)),NA(),IF(COUNT(OFFSET(G877,1,0,Settings!$B$12,1))&lt;Settings!$B$12,NA(),STDEV(OFFSET(G877,1,0,Settings!$B$12,1))*SQRT(Settings!$B$13)))</f>
        <v/>
      </c>
      <c r="O877" s="18">
        <f>IF(AND(ISNUMBER(E877),ISNUMBER(N877)),E877-N877,NA())</f>
        <v/>
      </c>
      <c r="P877" s="17">
        <f>IF(NOT(ISNUMBER($A877)),NA(),IF(OR($A877&lt;MIN(KW_TP!$A$2:$A$2501),$A877&gt;MAX(KW_TP!$A$2:$A$2501)),NA(),INDEX(KW_TP!$C$2:$C$2501,MATCH($A877,KW_TP!$A$2:$A$2501,1))))</f>
        <v/>
      </c>
    </row>
    <row r="878">
      <c r="A878" s="15">
        <f>IF(ISNUMBER(BBG_Data!A878),BBG_Data!A878,"")</f>
        <v/>
      </c>
      <c r="B878" s="16">
        <f>IF(AND(ISNUMBER($A878),ISNUMBER(BBG_Data!B878)),BBG_Data!B878,NA())</f>
        <v/>
      </c>
      <c r="C878" s="16">
        <f>IF(AND(ISNUMBER($A878),ISNUMBER(BBG_Data!C878)),BBG_Data!C878,NA())</f>
        <v/>
      </c>
      <c r="D878" s="17">
        <f>IF(AND(ISNUMBER($A878),ISNUMBER(BBG_Data!D878)),BBG_Data!D878,NA())</f>
        <v/>
      </c>
      <c r="E878" s="17">
        <f>IF(AND(ISNUMBER($A878),ISNUMBER(BBG_Data!E878)),BBG_Data!E878,NA())</f>
        <v/>
      </c>
      <c r="F878" s="18">
        <f>IF(AND(ISNUMBER(B878),ISNUMBER(B877)),(B878-B877)*100,"")</f>
        <v/>
      </c>
      <c r="G878" s="18">
        <f>IF(AND(ISNUMBER(C878),ISNUMBER(C877)),(C878-C877)*100,"")</f>
        <v/>
      </c>
      <c r="H878" s="18">
        <f>IF(OR(NOT(ISNUMBER($A878)),ROW()-2&lt;Settings!$B$11),NA(),IF(COUNT(OFFSET(F878,1-Settings!$B$11,0,Settings!$B$11,1))&lt;Settings!$B$11,NA(),STDEV(OFFSET(F878,1-Settings!$B$11,0,Settings!$B$11,1))*SQRT(Settings!$B$13)))</f>
        <v/>
      </c>
      <c r="I878" s="18">
        <f>IF(OR(NOT(ISNUMBER($A878)),ROW()-2&lt;Settings!$B$12),NA(),IF(COUNT(OFFSET(F878,1-Settings!$B$12,0,Settings!$B$12,1))&lt;Settings!$B$12,NA(),STDEV(OFFSET(F878,1-Settings!$B$12,0,Settings!$B$12,1))*SQRT(Settings!$B$13)))</f>
        <v/>
      </c>
      <c r="J878" s="18">
        <f>IF(OR(NOT(ISNUMBER($A878)),ROW()-2&lt;Settings!$B$11),NA(),IF(COUNT(OFFSET(G878,1-Settings!$B$11,0,Settings!$B$11,1))&lt;Settings!$B$11,NA(),STDEV(OFFSET(G878,1-Settings!$B$11,0,Settings!$B$11,1))*SQRT(Settings!$B$13)))</f>
        <v/>
      </c>
      <c r="K878" s="18">
        <f>IF(OR(NOT(ISNUMBER($A878)),ROW()-2&lt;Settings!$B$12),NA(),IF(COUNT(OFFSET(G878,1-Settings!$B$12,0,Settings!$B$12,1))&lt;Settings!$B$12,NA(),STDEV(OFFSET(G878,1-Settings!$B$12,0,Settings!$B$12,1))*SQRT(Settings!$B$13)))</f>
        <v/>
      </c>
      <c r="L878" s="18">
        <f>IF(AND(ISNUMBER(D878),ISNUMBER(H878)),D878-H878,NA())</f>
        <v/>
      </c>
      <c r="M878" s="18">
        <f>IF(AND(ISNUMBER(E878),ISNUMBER(K878)),E878-K878,NA())</f>
        <v/>
      </c>
      <c r="N878" s="18">
        <f>IF(NOT(ISNUMBER($A878)),NA(),IF(COUNT(OFFSET(G878,1,0,Settings!$B$12,1))&lt;Settings!$B$12,NA(),STDEV(OFFSET(G878,1,0,Settings!$B$12,1))*SQRT(Settings!$B$13)))</f>
        <v/>
      </c>
      <c r="O878" s="18">
        <f>IF(AND(ISNUMBER(E878),ISNUMBER(N878)),E878-N878,NA())</f>
        <v/>
      </c>
      <c r="P878" s="17">
        <f>IF(NOT(ISNUMBER($A878)),NA(),IF(OR($A878&lt;MIN(KW_TP!$A$2:$A$2501),$A878&gt;MAX(KW_TP!$A$2:$A$2501)),NA(),INDEX(KW_TP!$C$2:$C$2501,MATCH($A878,KW_TP!$A$2:$A$2501,1))))</f>
        <v/>
      </c>
    </row>
    <row r="879">
      <c r="A879" s="15">
        <f>IF(ISNUMBER(BBG_Data!A879),BBG_Data!A879,"")</f>
        <v/>
      </c>
      <c r="B879" s="16">
        <f>IF(AND(ISNUMBER($A879),ISNUMBER(BBG_Data!B879)),BBG_Data!B879,NA())</f>
        <v/>
      </c>
      <c r="C879" s="16">
        <f>IF(AND(ISNUMBER($A879),ISNUMBER(BBG_Data!C879)),BBG_Data!C879,NA())</f>
        <v/>
      </c>
      <c r="D879" s="17">
        <f>IF(AND(ISNUMBER($A879),ISNUMBER(BBG_Data!D879)),BBG_Data!D879,NA())</f>
        <v/>
      </c>
      <c r="E879" s="17">
        <f>IF(AND(ISNUMBER($A879),ISNUMBER(BBG_Data!E879)),BBG_Data!E879,NA())</f>
        <v/>
      </c>
      <c r="F879" s="18">
        <f>IF(AND(ISNUMBER(B879),ISNUMBER(B878)),(B879-B878)*100,"")</f>
        <v/>
      </c>
      <c r="G879" s="18">
        <f>IF(AND(ISNUMBER(C879),ISNUMBER(C878)),(C879-C878)*100,"")</f>
        <v/>
      </c>
      <c r="H879" s="18">
        <f>IF(OR(NOT(ISNUMBER($A879)),ROW()-2&lt;Settings!$B$11),NA(),IF(COUNT(OFFSET(F879,1-Settings!$B$11,0,Settings!$B$11,1))&lt;Settings!$B$11,NA(),STDEV(OFFSET(F879,1-Settings!$B$11,0,Settings!$B$11,1))*SQRT(Settings!$B$13)))</f>
        <v/>
      </c>
      <c r="I879" s="18">
        <f>IF(OR(NOT(ISNUMBER($A879)),ROW()-2&lt;Settings!$B$12),NA(),IF(COUNT(OFFSET(F879,1-Settings!$B$12,0,Settings!$B$12,1))&lt;Settings!$B$12,NA(),STDEV(OFFSET(F879,1-Settings!$B$12,0,Settings!$B$12,1))*SQRT(Settings!$B$13)))</f>
        <v/>
      </c>
      <c r="J879" s="18">
        <f>IF(OR(NOT(ISNUMBER($A879)),ROW()-2&lt;Settings!$B$11),NA(),IF(COUNT(OFFSET(G879,1-Settings!$B$11,0,Settings!$B$11,1))&lt;Settings!$B$11,NA(),STDEV(OFFSET(G879,1-Settings!$B$11,0,Settings!$B$11,1))*SQRT(Settings!$B$13)))</f>
        <v/>
      </c>
      <c r="K879" s="18">
        <f>IF(OR(NOT(ISNUMBER($A879)),ROW()-2&lt;Settings!$B$12),NA(),IF(COUNT(OFFSET(G879,1-Settings!$B$12,0,Settings!$B$12,1))&lt;Settings!$B$12,NA(),STDEV(OFFSET(G879,1-Settings!$B$12,0,Settings!$B$12,1))*SQRT(Settings!$B$13)))</f>
        <v/>
      </c>
      <c r="L879" s="18">
        <f>IF(AND(ISNUMBER(D879),ISNUMBER(H879)),D879-H879,NA())</f>
        <v/>
      </c>
      <c r="M879" s="18">
        <f>IF(AND(ISNUMBER(E879),ISNUMBER(K879)),E879-K879,NA())</f>
        <v/>
      </c>
      <c r="N879" s="18">
        <f>IF(NOT(ISNUMBER($A879)),NA(),IF(COUNT(OFFSET(G879,1,0,Settings!$B$12,1))&lt;Settings!$B$12,NA(),STDEV(OFFSET(G879,1,0,Settings!$B$12,1))*SQRT(Settings!$B$13)))</f>
        <v/>
      </c>
      <c r="O879" s="18">
        <f>IF(AND(ISNUMBER(E879),ISNUMBER(N879)),E879-N879,NA())</f>
        <v/>
      </c>
      <c r="P879" s="17">
        <f>IF(NOT(ISNUMBER($A879)),NA(),IF(OR($A879&lt;MIN(KW_TP!$A$2:$A$2501),$A879&gt;MAX(KW_TP!$A$2:$A$2501)),NA(),INDEX(KW_TP!$C$2:$C$2501,MATCH($A879,KW_TP!$A$2:$A$2501,1))))</f>
        <v/>
      </c>
    </row>
    <row r="880">
      <c r="A880" s="15">
        <f>IF(ISNUMBER(BBG_Data!A880),BBG_Data!A880,"")</f>
        <v/>
      </c>
      <c r="B880" s="16">
        <f>IF(AND(ISNUMBER($A880),ISNUMBER(BBG_Data!B880)),BBG_Data!B880,NA())</f>
        <v/>
      </c>
      <c r="C880" s="16">
        <f>IF(AND(ISNUMBER($A880),ISNUMBER(BBG_Data!C880)),BBG_Data!C880,NA())</f>
        <v/>
      </c>
      <c r="D880" s="17">
        <f>IF(AND(ISNUMBER($A880),ISNUMBER(BBG_Data!D880)),BBG_Data!D880,NA())</f>
        <v/>
      </c>
      <c r="E880" s="17">
        <f>IF(AND(ISNUMBER($A880),ISNUMBER(BBG_Data!E880)),BBG_Data!E880,NA())</f>
        <v/>
      </c>
      <c r="F880" s="18">
        <f>IF(AND(ISNUMBER(B880),ISNUMBER(B879)),(B880-B879)*100,"")</f>
        <v/>
      </c>
      <c r="G880" s="18">
        <f>IF(AND(ISNUMBER(C880),ISNUMBER(C879)),(C880-C879)*100,"")</f>
        <v/>
      </c>
      <c r="H880" s="18">
        <f>IF(OR(NOT(ISNUMBER($A880)),ROW()-2&lt;Settings!$B$11),NA(),IF(COUNT(OFFSET(F880,1-Settings!$B$11,0,Settings!$B$11,1))&lt;Settings!$B$11,NA(),STDEV(OFFSET(F880,1-Settings!$B$11,0,Settings!$B$11,1))*SQRT(Settings!$B$13)))</f>
        <v/>
      </c>
      <c r="I880" s="18">
        <f>IF(OR(NOT(ISNUMBER($A880)),ROW()-2&lt;Settings!$B$12),NA(),IF(COUNT(OFFSET(F880,1-Settings!$B$12,0,Settings!$B$12,1))&lt;Settings!$B$12,NA(),STDEV(OFFSET(F880,1-Settings!$B$12,0,Settings!$B$12,1))*SQRT(Settings!$B$13)))</f>
        <v/>
      </c>
      <c r="J880" s="18">
        <f>IF(OR(NOT(ISNUMBER($A880)),ROW()-2&lt;Settings!$B$11),NA(),IF(COUNT(OFFSET(G880,1-Settings!$B$11,0,Settings!$B$11,1))&lt;Settings!$B$11,NA(),STDEV(OFFSET(G880,1-Settings!$B$11,0,Settings!$B$11,1))*SQRT(Settings!$B$13)))</f>
        <v/>
      </c>
      <c r="K880" s="18">
        <f>IF(OR(NOT(ISNUMBER($A880)),ROW()-2&lt;Settings!$B$12),NA(),IF(COUNT(OFFSET(G880,1-Settings!$B$12,0,Settings!$B$12,1))&lt;Settings!$B$12,NA(),STDEV(OFFSET(G880,1-Settings!$B$12,0,Settings!$B$12,1))*SQRT(Settings!$B$13)))</f>
        <v/>
      </c>
      <c r="L880" s="18">
        <f>IF(AND(ISNUMBER(D880),ISNUMBER(H880)),D880-H880,NA())</f>
        <v/>
      </c>
      <c r="M880" s="18">
        <f>IF(AND(ISNUMBER(E880),ISNUMBER(K880)),E880-K880,NA())</f>
        <v/>
      </c>
      <c r="N880" s="18">
        <f>IF(NOT(ISNUMBER($A880)),NA(),IF(COUNT(OFFSET(G880,1,0,Settings!$B$12,1))&lt;Settings!$B$12,NA(),STDEV(OFFSET(G880,1,0,Settings!$B$12,1))*SQRT(Settings!$B$13)))</f>
        <v/>
      </c>
      <c r="O880" s="18">
        <f>IF(AND(ISNUMBER(E880),ISNUMBER(N880)),E880-N880,NA())</f>
        <v/>
      </c>
      <c r="P880" s="17">
        <f>IF(NOT(ISNUMBER($A880)),NA(),IF(OR($A880&lt;MIN(KW_TP!$A$2:$A$2501),$A880&gt;MAX(KW_TP!$A$2:$A$2501)),NA(),INDEX(KW_TP!$C$2:$C$2501,MATCH($A880,KW_TP!$A$2:$A$2501,1))))</f>
        <v/>
      </c>
    </row>
    <row r="881">
      <c r="A881" s="15">
        <f>IF(ISNUMBER(BBG_Data!A881),BBG_Data!A881,"")</f>
        <v/>
      </c>
      <c r="B881" s="16">
        <f>IF(AND(ISNUMBER($A881),ISNUMBER(BBG_Data!B881)),BBG_Data!B881,NA())</f>
        <v/>
      </c>
      <c r="C881" s="16">
        <f>IF(AND(ISNUMBER($A881),ISNUMBER(BBG_Data!C881)),BBG_Data!C881,NA())</f>
        <v/>
      </c>
      <c r="D881" s="17">
        <f>IF(AND(ISNUMBER($A881),ISNUMBER(BBG_Data!D881)),BBG_Data!D881,NA())</f>
        <v/>
      </c>
      <c r="E881" s="17">
        <f>IF(AND(ISNUMBER($A881),ISNUMBER(BBG_Data!E881)),BBG_Data!E881,NA())</f>
        <v/>
      </c>
      <c r="F881" s="18">
        <f>IF(AND(ISNUMBER(B881),ISNUMBER(B880)),(B881-B880)*100,"")</f>
        <v/>
      </c>
      <c r="G881" s="18">
        <f>IF(AND(ISNUMBER(C881),ISNUMBER(C880)),(C881-C880)*100,"")</f>
        <v/>
      </c>
      <c r="H881" s="18">
        <f>IF(OR(NOT(ISNUMBER($A881)),ROW()-2&lt;Settings!$B$11),NA(),IF(COUNT(OFFSET(F881,1-Settings!$B$11,0,Settings!$B$11,1))&lt;Settings!$B$11,NA(),STDEV(OFFSET(F881,1-Settings!$B$11,0,Settings!$B$11,1))*SQRT(Settings!$B$13)))</f>
        <v/>
      </c>
      <c r="I881" s="18">
        <f>IF(OR(NOT(ISNUMBER($A881)),ROW()-2&lt;Settings!$B$12),NA(),IF(COUNT(OFFSET(F881,1-Settings!$B$12,0,Settings!$B$12,1))&lt;Settings!$B$12,NA(),STDEV(OFFSET(F881,1-Settings!$B$12,0,Settings!$B$12,1))*SQRT(Settings!$B$13)))</f>
        <v/>
      </c>
      <c r="J881" s="18">
        <f>IF(OR(NOT(ISNUMBER($A881)),ROW()-2&lt;Settings!$B$11),NA(),IF(COUNT(OFFSET(G881,1-Settings!$B$11,0,Settings!$B$11,1))&lt;Settings!$B$11,NA(),STDEV(OFFSET(G881,1-Settings!$B$11,0,Settings!$B$11,1))*SQRT(Settings!$B$13)))</f>
        <v/>
      </c>
      <c r="K881" s="18">
        <f>IF(OR(NOT(ISNUMBER($A881)),ROW()-2&lt;Settings!$B$12),NA(),IF(COUNT(OFFSET(G881,1-Settings!$B$12,0,Settings!$B$12,1))&lt;Settings!$B$12,NA(),STDEV(OFFSET(G881,1-Settings!$B$12,0,Settings!$B$12,1))*SQRT(Settings!$B$13)))</f>
        <v/>
      </c>
      <c r="L881" s="18">
        <f>IF(AND(ISNUMBER(D881),ISNUMBER(H881)),D881-H881,NA())</f>
        <v/>
      </c>
      <c r="M881" s="18">
        <f>IF(AND(ISNUMBER(E881),ISNUMBER(K881)),E881-K881,NA())</f>
        <v/>
      </c>
      <c r="N881" s="18">
        <f>IF(NOT(ISNUMBER($A881)),NA(),IF(COUNT(OFFSET(G881,1,0,Settings!$B$12,1))&lt;Settings!$B$12,NA(),STDEV(OFFSET(G881,1,0,Settings!$B$12,1))*SQRT(Settings!$B$13)))</f>
        <v/>
      </c>
      <c r="O881" s="18">
        <f>IF(AND(ISNUMBER(E881),ISNUMBER(N881)),E881-N881,NA())</f>
        <v/>
      </c>
      <c r="P881" s="17">
        <f>IF(NOT(ISNUMBER($A881)),NA(),IF(OR($A881&lt;MIN(KW_TP!$A$2:$A$2501),$A881&gt;MAX(KW_TP!$A$2:$A$2501)),NA(),INDEX(KW_TP!$C$2:$C$2501,MATCH($A881,KW_TP!$A$2:$A$2501,1))))</f>
        <v/>
      </c>
    </row>
    <row r="882">
      <c r="A882" s="15">
        <f>IF(ISNUMBER(BBG_Data!A882),BBG_Data!A882,"")</f>
        <v/>
      </c>
      <c r="B882" s="16">
        <f>IF(AND(ISNUMBER($A882),ISNUMBER(BBG_Data!B882)),BBG_Data!B882,NA())</f>
        <v/>
      </c>
      <c r="C882" s="16">
        <f>IF(AND(ISNUMBER($A882),ISNUMBER(BBG_Data!C882)),BBG_Data!C882,NA())</f>
        <v/>
      </c>
      <c r="D882" s="17">
        <f>IF(AND(ISNUMBER($A882),ISNUMBER(BBG_Data!D882)),BBG_Data!D882,NA())</f>
        <v/>
      </c>
      <c r="E882" s="17">
        <f>IF(AND(ISNUMBER($A882),ISNUMBER(BBG_Data!E882)),BBG_Data!E882,NA())</f>
        <v/>
      </c>
      <c r="F882" s="18">
        <f>IF(AND(ISNUMBER(B882),ISNUMBER(B881)),(B882-B881)*100,"")</f>
        <v/>
      </c>
      <c r="G882" s="18">
        <f>IF(AND(ISNUMBER(C882),ISNUMBER(C881)),(C882-C881)*100,"")</f>
        <v/>
      </c>
      <c r="H882" s="18">
        <f>IF(OR(NOT(ISNUMBER($A882)),ROW()-2&lt;Settings!$B$11),NA(),IF(COUNT(OFFSET(F882,1-Settings!$B$11,0,Settings!$B$11,1))&lt;Settings!$B$11,NA(),STDEV(OFFSET(F882,1-Settings!$B$11,0,Settings!$B$11,1))*SQRT(Settings!$B$13)))</f>
        <v/>
      </c>
      <c r="I882" s="18">
        <f>IF(OR(NOT(ISNUMBER($A882)),ROW()-2&lt;Settings!$B$12),NA(),IF(COUNT(OFFSET(F882,1-Settings!$B$12,0,Settings!$B$12,1))&lt;Settings!$B$12,NA(),STDEV(OFFSET(F882,1-Settings!$B$12,0,Settings!$B$12,1))*SQRT(Settings!$B$13)))</f>
        <v/>
      </c>
      <c r="J882" s="18">
        <f>IF(OR(NOT(ISNUMBER($A882)),ROW()-2&lt;Settings!$B$11),NA(),IF(COUNT(OFFSET(G882,1-Settings!$B$11,0,Settings!$B$11,1))&lt;Settings!$B$11,NA(),STDEV(OFFSET(G882,1-Settings!$B$11,0,Settings!$B$11,1))*SQRT(Settings!$B$13)))</f>
        <v/>
      </c>
      <c r="K882" s="18">
        <f>IF(OR(NOT(ISNUMBER($A882)),ROW()-2&lt;Settings!$B$12),NA(),IF(COUNT(OFFSET(G882,1-Settings!$B$12,0,Settings!$B$12,1))&lt;Settings!$B$12,NA(),STDEV(OFFSET(G882,1-Settings!$B$12,0,Settings!$B$12,1))*SQRT(Settings!$B$13)))</f>
        <v/>
      </c>
      <c r="L882" s="18">
        <f>IF(AND(ISNUMBER(D882),ISNUMBER(H882)),D882-H882,NA())</f>
        <v/>
      </c>
      <c r="M882" s="18">
        <f>IF(AND(ISNUMBER(E882),ISNUMBER(K882)),E882-K882,NA())</f>
        <v/>
      </c>
      <c r="N882" s="18">
        <f>IF(NOT(ISNUMBER($A882)),NA(),IF(COUNT(OFFSET(G882,1,0,Settings!$B$12,1))&lt;Settings!$B$12,NA(),STDEV(OFFSET(G882,1,0,Settings!$B$12,1))*SQRT(Settings!$B$13)))</f>
        <v/>
      </c>
      <c r="O882" s="18">
        <f>IF(AND(ISNUMBER(E882),ISNUMBER(N882)),E882-N882,NA())</f>
        <v/>
      </c>
      <c r="P882" s="17">
        <f>IF(NOT(ISNUMBER($A882)),NA(),IF(OR($A882&lt;MIN(KW_TP!$A$2:$A$2501),$A882&gt;MAX(KW_TP!$A$2:$A$2501)),NA(),INDEX(KW_TP!$C$2:$C$2501,MATCH($A882,KW_TP!$A$2:$A$2501,1))))</f>
        <v/>
      </c>
    </row>
    <row r="883">
      <c r="A883" s="15">
        <f>IF(ISNUMBER(BBG_Data!A883),BBG_Data!A883,"")</f>
        <v/>
      </c>
      <c r="B883" s="16">
        <f>IF(AND(ISNUMBER($A883),ISNUMBER(BBG_Data!B883)),BBG_Data!B883,NA())</f>
        <v/>
      </c>
      <c r="C883" s="16">
        <f>IF(AND(ISNUMBER($A883),ISNUMBER(BBG_Data!C883)),BBG_Data!C883,NA())</f>
        <v/>
      </c>
      <c r="D883" s="17">
        <f>IF(AND(ISNUMBER($A883),ISNUMBER(BBG_Data!D883)),BBG_Data!D883,NA())</f>
        <v/>
      </c>
      <c r="E883" s="17">
        <f>IF(AND(ISNUMBER($A883),ISNUMBER(BBG_Data!E883)),BBG_Data!E883,NA())</f>
        <v/>
      </c>
      <c r="F883" s="18">
        <f>IF(AND(ISNUMBER(B883),ISNUMBER(B882)),(B883-B882)*100,"")</f>
        <v/>
      </c>
      <c r="G883" s="18">
        <f>IF(AND(ISNUMBER(C883),ISNUMBER(C882)),(C883-C882)*100,"")</f>
        <v/>
      </c>
      <c r="H883" s="18">
        <f>IF(OR(NOT(ISNUMBER($A883)),ROW()-2&lt;Settings!$B$11),NA(),IF(COUNT(OFFSET(F883,1-Settings!$B$11,0,Settings!$B$11,1))&lt;Settings!$B$11,NA(),STDEV(OFFSET(F883,1-Settings!$B$11,0,Settings!$B$11,1))*SQRT(Settings!$B$13)))</f>
        <v/>
      </c>
      <c r="I883" s="18">
        <f>IF(OR(NOT(ISNUMBER($A883)),ROW()-2&lt;Settings!$B$12),NA(),IF(COUNT(OFFSET(F883,1-Settings!$B$12,0,Settings!$B$12,1))&lt;Settings!$B$12,NA(),STDEV(OFFSET(F883,1-Settings!$B$12,0,Settings!$B$12,1))*SQRT(Settings!$B$13)))</f>
        <v/>
      </c>
      <c r="J883" s="18">
        <f>IF(OR(NOT(ISNUMBER($A883)),ROW()-2&lt;Settings!$B$11),NA(),IF(COUNT(OFFSET(G883,1-Settings!$B$11,0,Settings!$B$11,1))&lt;Settings!$B$11,NA(),STDEV(OFFSET(G883,1-Settings!$B$11,0,Settings!$B$11,1))*SQRT(Settings!$B$13)))</f>
        <v/>
      </c>
      <c r="K883" s="18">
        <f>IF(OR(NOT(ISNUMBER($A883)),ROW()-2&lt;Settings!$B$12),NA(),IF(COUNT(OFFSET(G883,1-Settings!$B$12,0,Settings!$B$12,1))&lt;Settings!$B$12,NA(),STDEV(OFFSET(G883,1-Settings!$B$12,0,Settings!$B$12,1))*SQRT(Settings!$B$13)))</f>
        <v/>
      </c>
      <c r="L883" s="18">
        <f>IF(AND(ISNUMBER(D883),ISNUMBER(H883)),D883-H883,NA())</f>
        <v/>
      </c>
      <c r="M883" s="18">
        <f>IF(AND(ISNUMBER(E883),ISNUMBER(K883)),E883-K883,NA())</f>
        <v/>
      </c>
      <c r="N883" s="18">
        <f>IF(NOT(ISNUMBER($A883)),NA(),IF(COUNT(OFFSET(G883,1,0,Settings!$B$12,1))&lt;Settings!$B$12,NA(),STDEV(OFFSET(G883,1,0,Settings!$B$12,1))*SQRT(Settings!$B$13)))</f>
        <v/>
      </c>
      <c r="O883" s="18">
        <f>IF(AND(ISNUMBER(E883),ISNUMBER(N883)),E883-N883,NA())</f>
        <v/>
      </c>
      <c r="P883" s="17">
        <f>IF(NOT(ISNUMBER($A883)),NA(),IF(OR($A883&lt;MIN(KW_TP!$A$2:$A$2501),$A883&gt;MAX(KW_TP!$A$2:$A$2501)),NA(),INDEX(KW_TP!$C$2:$C$2501,MATCH($A883,KW_TP!$A$2:$A$2501,1))))</f>
        <v/>
      </c>
    </row>
    <row r="884">
      <c r="A884" s="15">
        <f>IF(ISNUMBER(BBG_Data!A884),BBG_Data!A884,"")</f>
        <v/>
      </c>
      <c r="B884" s="16">
        <f>IF(AND(ISNUMBER($A884),ISNUMBER(BBG_Data!B884)),BBG_Data!B884,NA())</f>
        <v/>
      </c>
      <c r="C884" s="16">
        <f>IF(AND(ISNUMBER($A884),ISNUMBER(BBG_Data!C884)),BBG_Data!C884,NA())</f>
        <v/>
      </c>
      <c r="D884" s="17">
        <f>IF(AND(ISNUMBER($A884),ISNUMBER(BBG_Data!D884)),BBG_Data!D884,NA())</f>
        <v/>
      </c>
      <c r="E884" s="17">
        <f>IF(AND(ISNUMBER($A884),ISNUMBER(BBG_Data!E884)),BBG_Data!E884,NA())</f>
        <v/>
      </c>
      <c r="F884" s="18">
        <f>IF(AND(ISNUMBER(B884),ISNUMBER(B883)),(B884-B883)*100,"")</f>
        <v/>
      </c>
      <c r="G884" s="18">
        <f>IF(AND(ISNUMBER(C884),ISNUMBER(C883)),(C884-C883)*100,"")</f>
        <v/>
      </c>
      <c r="H884" s="18">
        <f>IF(OR(NOT(ISNUMBER($A884)),ROW()-2&lt;Settings!$B$11),NA(),IF(COUNT(OFFSET(F884,1-Settings!$B$11,0,Settings!$B$11,1))&lt;Settings!$B$11,NA(),STDEV(OFFSET(F884,1-Settings!$B$11,0,Settings!$B$11,1))*SQRT(Settings!$B$13)))</f>
        <v/>
      </c>
      <c r="I884" s="18">
        <f>IF(OR(NOT(ISNUMBER($A884)),ROW()-2&lt;Settings!$B$12),NA(),IF(COUNT(OFFSET(F884,1-Settings!$B$12,0,Settings!$B$12,1))&lt;Settings!$B$12,NA(),STDEV(OFFSET(F884,1-Settings!$B$12,0,Settings!$B$12,1))*SQRT(Settings!$B$13)))</f>
        <v/>
      </c>
      <c r="J884" s="18">
        <f>IF(OR(NOT(ISNUMBER($A884)),ROW()-2&lt;Settings!$B$11),NA(),IF(COUNT(OFFSET(G884,1-Settings!$B$11,0,Settings!$B$11,1))&lt;Settings!$B$11,NA(),STDEV(OFFSET(G884,1-Settings!$B$11,0,Settings!$B$11,1))*SQRT(Settings!$B$13)))</f>
        <v/>
      </c>
      <c r="K884" s="18">
        <f>IF(OR(NOT(ISNUMBER($A884)),ROW()-2&lt;Settings!$B$12),NA(),IF(COUNT(OFFSET(G884,1-Settings!$B$12,0,Settings!$B$12,1))&lt;Settings!$B$12,NA(),STDEV(OFFSET(G884,1-Settings!$B$12,0,Settings!$B$12,1))*SQRT(Settings!$B$13)))</f>
        <v/>
      </c>
      <c r="L884" s="18">
        <f>IF(AND(ISNUMBER(D884),ISNUMBER(H884)),D884-H884,NA())</f>
        <v/>
      </c>
      <c r="M884" s="18">
        <f>IF(AND(ISNUMBER(E884),ISNUMBER(K884)),E884-K884,NA())</f>
        <v/>
      </c>
      <c r="N884" s="18">
        <f>IF(NOT(ISNUMBER($A884)),NA(),IF(COUNT(OFFSET(G884,1,0,Settings!$B$12,1))&lt;Settings!$B$12,NA(),STDEV(OFFSET(G884,1,0,Settings!$B$12,1))*SQRT(Settings!$B$13)))</f>
        <v/>
      </c>
      <c r="O884" s="18">
        <f>IF(AND(ISNUMBER(E884),ISNUMBER(N884)),E884-N884,NA())</f>
        <v/>
      </c>
      <c r="P884" s="17">
        <f>IF(NOT(ISNUMBER($A884)),NA(),IF(OR($A884&lt;MIN(KW_TP!$A$2:$A$2501),$A884&gt;MAX(KW_TP!$A$2:$A$2501)),NA(),INDEX(KW_TP!$C$2:$C$2501,MATCH($A884,KW_TP!$A$2:$A$2501,1))))</f>
        <v/>
      </c>
    </row>
    <row r="885">
      <c r="A885" s="15">
        <f>IF(ISNUMBER(BBG_Data!A885),BBG_Data!A885,"")</f>
        <v/>
      </c>
      <c r="B885" s="16">
        <f>IF(AND(ISNUMBER($A885),ISNUMBER(BBG_Data!B885)),BBG_Data!B885,NA())</f>
        <v/>
      </c>
      <c r="C885" s="16">
        <f>IF(AND(ISNUMBER($A885),ISNUMBER(BBG_Data!C885)),BBG_Data!C885,NA())</f>
        <v/>
      </c>
      <c r="D885" s="17">
        <f>IF(AND(ISNUMBER($A885),ISNUMBER(BBG_Data!D885)),BBG_Data!D885,NA())</f>
        <v/>
      </c>
      <c r="E885" s="17">
        <f>IF(AND(ISNUMBER($A885),ISNUMBER(BBG_Data!E885)),BBG_Data!E885,NA())</f>
        <v/>
      </c>
      <c r="F885" s="18">
        <f>IF(AND(ISNUMBER(B885),ISNUMBER(B884)),(B885-B884)*100,"")</f>
        <v/>
      </c>
      <c r="G885" s="18">
        <f>IF(AND(ISNUMBER(C885),ISNUMBER(C884)),(C885-C884)*100,"")</f>
        <v/>
      </c>
      <c r="H885" s="18">
        <f>IF(OR(NOT(ISNUMBER($A885)),ROW()-2&lt;Settings!$B$11),NA(),IF(COUNT(OFFSET(F885,1-Settings!$B$11,0,Settings!$B$11,1))&lt;Settings!$B$11,NA(),STDEV(OFFSET(F885,1-Settings!$B$11,0,Settings!$B$11,1))*SQRT(Settings!$B$13)))</f>
        <v/>
      </c>
      <c r="I885" s="18">
        <f>IF(OR(NOT(ISNUMBER($A885)),ROW()-2&lt;Settings!$B$12),NA(),IF(COUNT(OFFSET(F885,1-Settings!$B$12,0,Settings!$B$12,1))&lt;Settings!$B$12,NA(),STDEV(OFFSET(F885,1-Settings!$B$12,0,Settings!$B$12,1))*SQRT(Settings!$B$13)))</f>
        <v/>
      </c>
      <c r="J885" s="18">
        <f>IF(OR(NOT(ISNUMBER($A885)),ROW()-2&lt;Settings!$B$11),NA(),IF(COUNT(OFFSET(G885,1-Settings!$B$11,0,Settings!$B$11,1))&lt;Settings!$B$11,NA(),STDEV(OFFSET(G885,1-Settings!$B$11,0,Settings!$B$11,1))*SQRT(Settings!$B$13)))</f>
        <v/>
      </c>
      <c r="K885" s="18">
        <f>IF(OR(NOT(ISNUMBER($A885)),ROW()-2&lt;Settings!$B$12),NA(),IF(COUNT(OFFSET(G885,1-Settings!$B$12,0,Settings!$B$12,1))&lt;Settings!$B$12,NA(),STDEV(OFFSET(G885,1-Settings!$B$12,0,Settings!$B$12,1))*SQRT(Settings!$B$13)))</f>
        <v/>
      </c>
      <c r="L885" s="18">
        <f>IF(AND(ISNUMBER(D885),ISNUMBER(H885)),D885-H885,NA())</f>
        <v/>
      </c>
      <c r="M885" s="18">
        <f>IF(AND(ISNUMBER(E885),ISNUMBER(K885)),E885-K885,NA())</f>
        <v/>
      </c>
      <c r="N885" s="18">
        <f>IF(NOT(ISNUMBER($A885)),NA(),IF(COUNT(OFFSET(G885,1,0,Settings!$B$12,1))&lt;Settings!$B$12,NA(),STDEV(OFFSET(G885,1,0,Settings!$B$12,1))*SQRT(Settings!$B$13)))</f>
        <v/>
      </c>
      <c r="O885" s="18">
        <f>IF(AND(ISNUMBER(E885),ISNUMBER(N885)),E885-N885,NA())</f>
        <v/>
      </c>
      <c r="P885" s="17">
        <f>IF(NOT(ISNUMBER($A885)),NA(),IF(OR($A885&lt;MIN(KW_TP!$A$2:$A$2501),$A885&gt;MAX(KW_TP!$A$2:$A$2501)),NA(),INDEX(KW_TP!$C$2:$C$2501,MATCH($A885,KW_TP!$A$2:$A$2501,1))))</f>
        <v/>
      </c>
    </row>
    <row r="886">
      <c r="A886" s="15">
        <f>IF(ISNUMBER(BBG_Data!A886),BBG_Data!A886,"")</f>
        <v/>
      </c>
      <c r="B886" s="16">
        <f>IF(AND(ISNUMBER($A886),ISNUMBER(BBG_Data!B886)),BBG_Data!B886,NA())</f>
        <v/>
      </c>
      <c r="C886" s="16">
        <f>IF(AND(ISNUMBER($A886),ISNUMBER(BBG_Data!C886)),BBG_Data!C886,NA())</f>
        <v/>
      </c>
      <c r="D886" s="17">
        <f>IF(AND(ISNUMBER($A886),ISNUMBER(BBG_Data!D886)),BBG_Data!D886,NA())</f>
        <v/>
      </c>
      <c r="E886" s="17">
        <f>IF(AND(ISNUMBER($A886),ISNUMBER(BBG_Data!E886)),BBG_Data!E886,NA())</f>
        <v/>
      </c>
      <c r="F886" s="18">
        <f>IF(AND(ISNUMBER(B886),ISNUMBER(B885)),(B886-B885)*100,"")</f>
        <v/>
      </c>
      <c r="G886" s="18">
        <f>IF(AND(ISNUMBER(C886),ISNUMBER(C885)),(C886-C885)*100,"")</f>
        <v/>
      </c>
      <c r="H886" s="18">
        <f>IF(OR(NOT(ISNUMBER($A886)),ROW()-2&lt;Settings!$B$11),NA(),IF(COUNT(OFFSET(F886,1-Settings!$B$11,0,Settings!$B$11,1))&lt;Settings!$B$11,NA(),STDEV(OFFSET(F886,1-Settings!$B$11,0,Settings!$B$11,1))*SQRT(Settings!$B$13)))</f>
        <v/>
      </c>
      <c r="I886" s="18">
        <f>IF(OR(NOT(ISNUMBER($A886)),ROW()-2&lt;Settings!$B$12),NA(),IF(COUNT(OFFSET(F886,1-Settings!$B$12,0,Settings!$B$12,1))&lt;Settings!$B$12,NA(),STDEV(OFFSET(F886,1-Settings!$B$12,0,Settings!$B$12,1))*SQRT(Settings!$B$13)))</f>
        <v/>
      </c>
      <c r="J886" s="18">
        <f>IF(OR(NOT(ISNUMBER($A886)),ROW()-2&lt;Settings!$B$11),NA(),IF(COUNT(OFFSET(G886,1-Settings!$B$11,0,Settings!$B$11,1))&lt;Settings!$B$11,NA(),STDEV(OFFSET(G886,1-Settings!$B$11,0,Settings!$B$11,1))*SQRT(Settings!$B$13)))</f>
        <v/>
      </c>
      <c r="K886" s="18">
        <f>IF(OR(NOT(ISNUMBER($A886)),ROW()-2&lt;Settings!$B$12),NA(),IF(COUNT(OFFSET(G886,1-Settings!$B$12,0,Settings!$B$12,1))&lt;Settings!$B$12,NA(),STDEV(OFFSET(G886,1-Settings!$B$12,0,Settings!$B$12,1))*SQRT(Settings!$B$13)))</f>
        <v/>
      </c>
      <c r="L886" s="18">
        <f>IF(AND(ISNUMBER(D886),ISNUMBER(H886)),D886-H886,NA())</f>
        <v/>
      </c>
      <c r="M886" s="18">
        <f>IF(AND(ISNUMBER(E886),ISNUMBER(K886)),E886-K886,NA())</f>
        <v/>
      </c>
      <c r="N886" s="18">
        <f>IF(NOT(ISNUMBER($A886)),NA(),IF(COUNT(OFFSET(G886,1,0,Settings!$B$12,1))&lt;Settings!$B$12,NA(),STDEV(OFFSET(G886,1,0,Settings!$B$12,1))*SQRT(Settings!$B$13)))</f>
        <v/>
      </c>
      <c r="O886" s="18">
        <f>IF(AND(ISNUMBER(E886),ISNUMBER(N886)),E886-N886,NA())</f>
        <v/>
      </c>
      <c r="P886" s="17">
        <f>IF(NOT(ISNUMBER($A886)),NA(),IF(OR($A886&lt;MIN(KW_TP!$A$2:$A$2501),$A886&gt;MAX(KW_TP!$A$2:$A$2501)),NA(),INDEX(KW_TP!$C$2:$C$2501,MATCH($A886,KW_TP!$A$2:$A$2501,1))))</f>
        <v/>
      </c>
    </row>
    <row r="887">
      <c r="A887" s="15">
        <f>IF(ISNUMBER(BBG_Data!A887),BBG_Data!A887,"")</f>
        <v/>
      </c>
      <c r="B887" s="16">
        <f>IF(AND(ISNUMBER($A887),ISNUMBER(BBG_Data!B887)),BBG_Data!B887,NA())</f>
        <v/>
      </c>
      <c r="C887" s="16">
        <f>IF(AND(ISNUMBER($A887),ISNUMBER(BBG_Data!C887)),BBG_Data!C887,NA())</f>
        <v/>
      </c>
      <c r="D887" s="17">
        <f>IF(AND(ISNUMBER($A887),ISNUMBER(BBG_Data!D887)),BBG_Data!D887,NA())</f>
        <v/>
      </c>
      <c r="E887" s="17">
        <f>IF(AND(ISNUMBER($A887),ISNUMBER(BBG_Data!E887)),BBG_Data!E887,NA())</f>
        <v/>
      </c>
      <c r="F887" s="18">
        <f>IF(AND(ISNUMBER(B887),ISNUMBER(B886)),(B887-B886)*100,"")</f>
        <v/>
      </c>
      <c r="G887" s="18">
        <f>IF(AND(ISNUMBER(C887),ISNUMBER(C886)),(C887-C886)*100,"")</f>
        <v/>
      </c>
      <c r="H887" s="18">
        <f>IF(OR(NOT(ISNUMBER($A887)),ROW()-2&lt;Settings!$B$11),NA(),IF(COUNT(OFFSET(F887,1-Settings!$B$11,0,Settings!$B$11,1))&lt;Settings!$B$11,NA(),STDEV(OFFSET(F887,1-Settings!$B$11,0,Settings!$B$11,1))*SQRT(Settings!$B$13)))</f>
        <v/>
      </c>
      <c r="I887" s="18">
        <f>IF(OR(NOT(ISNUMBER($A887)),ROW()-2&lt;Settings!$B$12),NA(),IF(COUNT(OFFSET(F887,1-Settings!$B$12,0,Settings!$B$12,1))&lt;Settings!$B$12,NA(),STDEV(OFFSET(F887,1-Settings!$B$12,0,Settings!$B$12,1))*SQRT(Settings!$B$13)))</f>
        <v/>
      </c>
      <c r="J887" s="18">
        <f>IF(OR(NOT(ISNUMBER($A887)),ROW()-2&lt;Settings!$B$11),NA(),IF(COUNT(OFFSET(G887,1-Settings!$B$11,0,Settings!$B$11,1))&lt;Settings!$B$11,NA(),STDEV(OFFSET(G887,1-Settings!$B$11,0,Settings!$B$11,1))*SQRT(Settings!$B$13)))</f>
        <v/>
      </c>
      <c r="K887" s="18">
        <f>IF(OR(NOT(ISNUMBER($A887)),ROW()-2&lt;Settings!$B$12),NA(),IF(COUNT(OFFSET(G887,1-Settings!$B$12,0,Settings!$B$12,1))&lt;Settings!$B$12,NA(),STDEV(OFFSET(G887,1-Settings!$B$12,0,Settings!$B$12,1))*SQRT(Settings!$B$13)))</f>
        <v/>
      </c>
      <c r="L887" s="18">
        <f>IF(AND(ISNUMBER(D887),ISNUMBER(H887)),D887-H887,NA())</f>
        <v/>
      </c>
      <c r="M887" s="18">
        <f>IF(AND(ISNUMBER(E887),ISNUMBER(K887)),E887-K887,NA())</f>
        <v/>
      </c>
      <c r="N887" s="18">
        <f>IF(NOT(ISNUMBER($A887)),NA(),IF(COUNT(OFFSET(G887,1,0,Settings!$B$12,1))&lt;Settings!$B$12,NA(),STDEV(OFFSET(G887,1,0,Settings!$B$12,1))*SQRT(Settings!$B$13)))</f>
        <v/>
      </c>
      <c r="O887" s="18">
        <f>IF(AND(ISNUMBER(E887),ISNUMBER(N887)),E887-N887,NA())</f>
        <v/>
      </c>
      <c r="P887" s="17">
        <f>IF(NOT(ISNUMBER($A887)),NA(),IF(OR($A887&lt;MIN(KW_TP!$A$2:$A$2501),$A887&gt;MAX(KW_TP!$A$2:$A$2501)),NA(),INDEX(KW_TP!$C$2:$C$2501,MATCH($A887,KW_TP!$A$2:$A$2501,1))))</f>
        <v/>
      </c>
    </row>
    <row r="888">
      <c r="A888" s="15">
        <f>IF(ISNUMBER(BBG_Data!A888),BBG_Data!A888,"")</f>
        <v/>
      </c>
      <c r="B888" s="16">
        <f>IF(AND(ISNUMBER($A888),ISNUMBER(BBG_Data!B888)),BBG_Data!B888,NA())</f>
        <v/>
      </c>
      <c r="C888" s="16">
        <f>IF(AND(ISNUMBER($A888),ISNUMBER(BBG_Data!C888)),BBG_Data!C888,NA())</f>
        <v/>
      </c>
      <c r="D888" s="17">
        <f>IF(AND(ISNUMBER($A888),ISNUMBER(BBG_Data!D888)),BBG_Data!D888,NA())</f>
        <v/>
      </c>
      <c r="E888" s="17">
        <f>IF(AND(ISNUMBER($A888),ISNUMBER(BBG_Data!E888)),BBG_Data!E888,NA())</f>
        <v/>
      </c>
      <c r="F888" s="18">
        <f>IF(AND(ISNUMBER(B888),ISNUMBER(B887)),(B888-B887)*100,"")</f>
        <v/>
      </c>
      <c r="G888" s="18">
        <f>IF(AND(ISNUMBER(C888),ISNUMBER(C887)),(C888-C887)*100,"")</f>
        <v/>
      </c>
      <c r="H888" s="18">
        <f>IF(OR(NOT(ISNUMBER($A888)),ROW()-2&lt;Settings!$B$11),NA(),IF(COUNT(OFFSET(F888,1-Settings!$B$11,0,Settings!$B$11,1))&lt;Settings!$B$11,NA(),STDEV(OFFSET(F888,1-Settings!$B$11,0,Settings!$B$11,1))*SQRT(Settings!$B$13)))</f>
        <v/>
      </c>
      <c r="I888" s="18">
        <f>IF(OR(NOT(ISNUMBER($A888)),ROW()-2&lt;Settings!$B$12),NA(),IF(COUNT(OFFSET(F888,1-Settings!$B$12,0,Settings!$B$12,1))&lt;Settings!$B$12,NA(),STDEV(OFFSET(F888,1-Settings!$B$12,0,Settings!$B$12,1))*SQRT(Settings!$B$13)))</f>
        <v/>
      </c>
      <c r="J888" s="18">
        <f>IF(OR(NOT(ISNUMBER($A888)),ROW()-2&lt;Settings!$B$11),NA(),IF(COUNT(OFFSET(G888,1-Settings!$B$11,0,Settings!$B$11,1))&lt;Settings!$B$11,NA(),STDEV(OFFSET(G888,1-Settings!$B$11,0,Settings!$B$11,1))*SQRT(Settings!$B$13)))</f>
        <v/>
      </c>
      <c r="K888" s="18">
        <f>IF(OR(NOT(ISNUMBER($A888)),ROW()-2&lt;Settings!$B$12),NA(),IF(COUNT(OFFSET(G888,1-Settings!$B$12,0,Settings!$B$12,1))&lt;Settings!$B$12,NA(),STDEV(OFFSET(G888,1-Settings!$B$12,0,Settings!$B$12,1))*SQRT(Settings!$B$13)))</f>
        <v/>
      </c>
      <c r="L888" s="18">
        <f>IF(AND(ISNUMBER(D888),ISNUMBER(H888)),D888-H888,NA())</f>
        <v/>
      </c>
      <c r="M888" s="18">
        <f>IF(AND(ISNUMBER(E888),ISNUMBER(K888)),E888-K888,NA())</f>
        <v/>
      </c>
      <c r="N888" s="18">
        <f>IF(NOT(ISNUMBER($A888)),NA(),IF(COUNT(OFFSET(G888,1,0,Settings!$B$12,1))&lt;Settings!$B$12,NA(),STDEV(OFFSET(G888,1,0,Settings!$B$12,1))*SQRT(Settings!$B$13)))</f>
        <v/>
      </c>
      <c r="O888" s="18">
        <f>IF(AND(ISNUMBER(E888),ISNUMBER(N888)),E888-N888,NA())</f>
        <v/>
      </c>
      <c r="P888" s="17">
        <f>IF(NOT(ISNUMBER($A888)),NA(),IF(OR($A888&lt;MIN(KW_TP!$A$2:$A$2501),$A888&gt;MAX(KW_TP!$A$2:$A$2501)),NA(),INDEX(KW_TP!$C$2:$C$2501,MATCH($A888,KW_TP!$A$2:$A$2501,1))))</f>
        <v/>
      </c>
    </row>
    <row r="889">
      <c r="A889" s="15">
        <f>IF(ISNUMBER(BBG_Data!A889),BBG_Data!A889,"")</f>
        <v/>
      </c>
      <c r="B889" s="16">
        <f>IF(AND(ISNUMBER($A889),ISNUMBER(BBG_Data!B889)),BBG_Data!B889,NA())</f>
        <v/>
      </c>
      <c r="C889" s="16">
        <f>IF(AND(ISNUMBER($A889),ISNUMBER(BBG_Data!C889)),BBG_Data!C889,NA())</f>
        <v/>
      </c>
      <c r="D889" s="17">
        <f>IF(AND(ISNUMBER($A889),ISNUMBER(BBG_Data!D889)),BBG_Data!D889,NA())</f>
        <v/>
      </c>
      <c r="E889" s="17">
        <f>IF(AND(ISNUMBER($A889),ISNUMBER(BBG_Data!E889)),BBG_Data!E889,NA())</f>
        <v/>
      </c>
      <c r="F889" s="18">
        <f>IF(AND(ISNUMBER(B889),ISNUMBER(B888)),(B889-B888)*100,"")</f>
        <v/>
      </c>
      <c r="G889" s="18">
        <f>IF(AND(ISNUMBER(C889),ISNUMBER(C888)),(C889-C888)*100,"")</f>
        <v/>
      </c>
      <c r="H889" s="18">
        <f>IF(OR(NOT(ISNUMBER($A889)),ROW()-2&lt;Settings!$B$11),NA(),IF(COUNT(OFFSET(F889,1-Settings!$B$11,0,Settings!$B$11,1))&lt;Settings!$B$11,NA(),STDEV(OFFSET(F889,1-Settings!$B$11,0,Settings!$B$11,1))*SQRT(Settings!$B$13)))</f>
        <v/>
      </c>
      <c r="I889" s="18">
        <f>IF(OR(NOT(ISNUMBER($A889)),ROW()-2&lt;Settings!$B$12),NA(),IF(COUNT(OFFSET(F889,1-Settings!$B$12,0,Settings!$B$12,1))&lt;Settings!$B$12,NA(),STDEV(OFFSET(F889,1-Settings!$B$12,0,Settings!$B$12,1))*SQRT(Settings!$B$13)))</f>
        <v/>
      </c>
      <c r="J889" s="18">
        <f>IF(OR(NOT(ISNUMBER($A889)),ROW()-2&lt;Settings!$B$11),NA(),IF(COUNT(OFFSET(G889,1-Settings!$B$11,0,Settings!$B$11,1))&lt;Settings!$B$11,NA(),STDEV(OFFSET(G889,1-Settings!$B$11,0,Settings!$B$11,1))*SQRT(Settings!$B$13)))</f>
        <v/>
      </c>
      <c r="K889" s="18">
        <f>IF(OR(NOT(ISNUMBER($A889)),ROW()-2&lt;Settings!$B$12),NA(),IF(COUNT(OFFSET(G889,1-Settings!$B$12,0,Settings!$B$12,1))&lt;Settings!$B$12,NA(),STDEV(OFFSET(G889,1-Settings!$B$12,0,Settings!$B$12,1))*SQRT(Settings!$B$13)))</f>
        <v/>
      </c>
      <c r="L889" s="18">
        <f>IF(AND(ISNUMBER(D889),ISNUMBER(H889)),D889-H889,NA())</f>
        <v/>
      </c>
      <c r="M889" s="18">
        <f>IF(AND(ISNUMBER(E889),ISNUMBER(K889)),E889-K889,NA())</f>
        <v/>
      </c>
      <c r="N889" s="18">
        <f>IF(NOT(ISNUMBER($A889)),NA(),IF(COUNT(OFFSET(G889,1,0,Settings!$B$12,1))&lt;Settings!$B$12,NA(),STDEV(OFFSET(G889,1,0,Settings!$B$12,1))*SQRT(Settings!$B$13)))</f>
        <v/>
      </c>
      <c r="O889" s="18">
        <f>IF(AND(ISNUMBER(E889),ISNUMBER(N889)),E889-N889,NA())</f>
        <v/>
      </c>
      <c r="P889" s="17">
        <f>IF(NOT(ISNUMBER($A889)),NA(),IF(OR($A889&lt;MIN(KW_TP!$A$2:$A$2501),$A889&gt;MAX(KW_TP!$A$2:$A$2501)),NA(),INDEX(KW_TP!$C$2:$C$2501,MATCH($A889,KW_TP!$A$2:$A$2501,1))))</f>
        <v/>
      </c>
    </row>
    <row r="890">
      <c r="A890" s="15">
        <f>IF(ISNUMBER(BBG_Data!A890),BBG_Data!A890,"")</f>
        <v/>
      </c>
      <c r="B890" s="16">
        <f>IF(AND(ISNUMBER($A890),ISNUMBER(BBG_Data!B890)),BBG_Data!B890,NA())</f>
        <v/>
      </c>
      <c r="C890" s="16">
        <f>IF(AND(ISNUMBER($A890),ISNUMBER(BBG_Data!C890)),BBG_Data!C890,NA())</f>
        <v/>
      </c>
      <c r="D890" s="17">
        <f>IF(AND(ISNUMBER($A890),ISNUMBER(BBG_Data!D890)),BBG_Data!D890,NA())</f>
        <v/>
      </c>
      <c r="E890" s="17">
        <f>IF(AND(ISNUMBER($A890),ISNUMBER(BBG_Data!E890)),BBG_Data!E890,NA())</f>
        <v/>
      </c>
      <c r="F890" s="18">
        <f>IF(AND(ISNUMBER(B890),ISNUMBER(B889)),(B890-B889)*100,"")</f>
        <v/>
      </c>
      <c r="G890" s="18">
        <f>IF(AND(ISNUMBER(C890),ISNUMBER(C889)),(C890-C889)*100,"")</f>
        <v/>
      </c>
      <c r="H890" s="18">
        <f>IF(OR(NOT(ISNUMBER($A890)),ROW()-2&lt;Settings!$B$11),NA(),IF(COUNT(OFFSET(F890,1-Settings!$B$11,0,Settings!$B$11,1))&lt;Settings!$B$11,NA(),STDEV(OFFSET(F890,1-Settings!$B$11,0,Settings!$B$11,1))*SQRT(Settings!$B$13)))</f>
        <v/>
      </c>
      <c r="I890" s="18">
        <f>IF(OR(NOT(ISNUMBER($A890)),ROW()-2&lt;Settings!$B$12),NA(),IF(COUNT(OFFSET(F890,1-Settings!$B$12,0,Settings!$B$12,1))&lt;Settings!$B$12,NA(),STDEV(OFFSET(F890,1-Settings!$B$12,0,Settings!$B$12,1))*SQRT(Settings!$B$13)))</f>
        <v/>
      </c>
      <c r="J890" s="18">
        <f>IF(OR(NOT(ISNUMBER($A890)),ROW()-2&lt;Settings!$B$11),NA(),IF(COUNT(OFFSET(G890,1-Settings!$B$11,0,Settings!$B$11,1))&lt;Settings!$B$11,NA(),STDEV(OFFSET(G890,1-Settings!$B$11,0,Settings!$B$11,1))*SQRT(Settings!$B$13)))</f>
        <v/>
      </c>
      <c r="K890" s="18">
        <f>IF(OR(NOT(ISNUMBER($A890)),ROW()-2&lt;Settings!$B$12),NA(),IF(COUNT(OFFSET(G890,1-Settings!$B$12,0,Settings!$B$12,1))&lt;Settings!$B$12,NA(),STDEV(OFFSET(G890,1-Settings!$B$12,0,Settings!$B$12,1))*SQRT(Settings!$B$13)))</f>
        <v/>
      </c>
      <c r="L890" s="18">
        <f>IF(AND(ISNUMBER(D890),ISNUMBER(H890)),D890-H890,NA())</f>
        <v/>
      </c>
      <c r="M890" s="18">
        <f>IF(AND(ISNUMBER(E890),ISNUMBER(K890)),E890-K890,NA())</f>
        <v/>
      </c>
      <c r="N890" s="18">
        <f>IF(NOT(ISNUMBER($A890)),NA(),IF(COUNT(OFFSET(G890,1,0,Settings!$B$12,1))&lt;Settings!$B$12,NA(),STDEV(OFFSET(G890,1,0,Settings!$B$12,1))*SQRT(Settings!$B$13)))</f>
        <v/>
      </c>
      <c r="O890" s="18">
        <f>IF(AND(ISNUMBER(E890),ISNUMBER(N890)),E890-N890,NA())</f>
        <v/>
      </c>
      <c r="P890" s="17">
        <f>IF(NOT(ISNUMBER($A890)),NA(),IF(OR($A890&lt;MIN(KW_TP!$A$2:$A$2501),$A890&gt;MAX(KW_TP!$A$2:$A$2501)),NA(),INDEX(KW_TP!$C$2:$C$2501,MATCH($A890,KW_TP!$A$2:$A$2501,1))))</f>
        <v/>
      </c>
    </row>
    <row r="891">
      <c r="A891" s="15">
        <f>IF(ISNUMBER(BBG_Data!A891),BBG_Data!A891,"")</f>
        <v/>
      </c>
      <c r="B891" s="16">
        <f>IF(AND(ISNUMBER($A891),ISNUMBER(BBG_Data!B891)),BBG_Data!B891,NA())</f>
        <v/>
      </c>
      <c r="C891" s="16">
        <f>IF(AND(ISNUMBER($A891),ISNUMBER(BBG_Data!C891)),BBG_Data!C891,NA())</f>
        <v/>
      </c>
      <c r="D891" s="17">
        <f>IF(AND(ISNUMBER($A891),ISNUMBER(BBG_Data!D891)),BBG_Data!D891,NA())</f>
        <v/>
      </c>
      <c r="E891" s="17">
        <f>IF(AND(ISNUMBER($A891),ISNUMBER(BBG_Data!E891)),BBG_Data!E891,NA())</f>
        <v/>
      </c>
      <c r="F891" s="18">
        <f>IF(AND(ISNUMBER(B891),ISNUMBER(B890)),(B891-B890)*100,"")</f>
        <v/>
      </c>
      <c r="G891" s="18">
        <f>IF(AND(ISNUMBER(C891),ISNUMBER(C890)),(C891-C890)*100,"")</f>
        <v/>
      </c>
      <c r="H891" s="18">
        <f>IF(OR(NOT(ISNUMBER($A891)),ROW()-2&lt;Settings!$B$11),NA(),IF(COUNT(OFFSET(F891,1-Settings!$B$11,0,Settings!$B$11,1))&lt;Settings!$B$11,NA(),STDEV(OFFSET(F891,1-Settings!$B$11,0,Settings!$B$11,1))*SQRT(Settings!$B$13)))</f>
        <v/>
      </c>
      <c r="I891" s="18">
        <f>IF(OR(NOT(ISNUMBER($A891)),ROW()-2&lt;Settings!$B$12),NA(),IF(COUNT(OFFSET(F891,1-Settings!$B$12,0,Settings!$B$12,1))&lt;Settings!$B$12,NA(),STDEV(OFFSET(F891,1-Settings!$B$12,0,Settings!$B$12,1))*SQRT(Settings!$B$13)))</f>
        <v/>
      </c>
      <c r="J891" s="18">
        <f>IF(OR(NOT(ISNUMBER($A891)),ROW()-2&lt;Settings!$B$11),NA(),IF(COUNT(OFFSET(G891,1-Settings!$B$11,0,Settings!$B$11,1))&lt;Settings!$B$11,NA(),STDEV(OFFSET(G891,1-Settings!$B$11,0,Settings!$B$11,1))*SQRT(Settings!$B$13)))</f>
        <v/>
      </c>
      <c r="K891" s="18">
        <f>IF(OR(NOT(ISNUMBER($A891)),ROW()-2&lt;Settings!$B$12),NA(),IF(COUNT(OFFSET(G891,1-Settings!$B$12,0,Settings!$B$12,1))&lt;Settings!$B$12,NA(),STDEV(OFFSET(G891,1-Settings!$B$12,0,Settings!$B$12,1))*SQRT(Settings!$B$13)))</f>
        <v/>
      </c>
      <c r="L891" s="18">
        <f>IF(AND(ISNUMBER(D891),ISNUMBER(H891)),D891-H891,NA())</f>
        <v/>
      </c>
      <c r="M891" s="18">
        <f>IF(AND(ISNUMBER(E891),ISNUMBER(K891)),E891-K891,NA())</f>
        <v/>
      </c>
      <c r="N891" s="18">
        <f>IF(NOT(ISNUMBER($A891)),NA(),IF(COUNT(OFFSET(G891,1,0,Settings!$B$12,1))&lt;Settings!$B$12,NA(),STDEV(OFFSET(G891,1,0,Settings!$B$12,1))*SQRT(Settings!$B$13)))</f>
        <v/>
      </c>
      <c r="O891" s="18">
        <f>IF(AND(ISNUMBER(E891),ISNUMBER(N891)),E891-N891,NA())</f>
        <v/>
      </c>
      <c r="P891" s="17">
        <f>IF(NOT(ISNUMBER($A891)),NA(),IF(OR($A891&lt;MIN(KW_TP!$A$2:$A$2501),$A891&gt;MAX(KW_TP!$A$2:$A$2501)),NA(),INDEX(KW_TP!$C$2:$C$2501,MATCH($A891,KW_TP!$A$2:$A$2501,1))))</f>
        <v/>
      </c>
    </row>
    <row r="892">
      <c r="A892" s="15">
        <f>IF(ISNUMBER(BBG_Data!A892),BBG_Data!A892,"")</f>
        <v/>
      </c>
      <c r="B892" s="16">
        <f>IF(AND(ISNUMBER($A892),ISNUMBER(BBG_Data!B892)),BBG_Data!B892,NA())</f>
        <v/>
      </c>
      <c r="C892" s="16">
        <f>IF(AND(ISNUMBER($A892),ISNUMBER(BBG_Data!C892)),BBG_Data!C892,NA())</f>
        <v/>
      </c>
      <c r="D892" s="17">
        <f>IF(AND(ISNUMBER($A892),ISNUMBER(BBG_Data!D892)),BBG_Data!D892,NA())</f>
        <v/>
      </c>
      <c r="E892" s="17">
        <f>IF(AND(ISNUMBER($A892),ISNUMBER(BBG_Data!E892)),BBG_Data!E892,NA())</f>
        <v/>
      </c>
      <c r="F892" s="18">
        <f>IF(AND(ISNUMBER(B892),ISNUMBER(B891)),(B892-B891)*100,"")</f>
        <v/>
      </c>
      <c r="G892" s="18">
        <f>IF(AND(ISNUMBER(C892),ISNUMBER(C891)),(C892-C891)*100,"")</f>
        <v/>
      </c>
      <c r="H892" s="18">
        <f>IF(OR(NOT(ISNUMBER($A892)),ROW()-2&lt;Settings!$B$11),NA(),IF(COUNT(OFFSET(F892,1-Settings!$B$11,0,Settings!$B$11,1))&lt;Settings!$B$11,NA(),STDEV(OFFSET(F892,1-Settings!$B$11,0,Settings!$B$11,1))*SQRT(Settings!$B$13)))</f>
        <v/>
      </c>
      <c r="I892" s="18">
        <f>IF(OR(NOT(ISNUMBER($A892)),ROW()-2&lt;Settings!$B$12),NA(),IF(COUNT(OFFSET(F892,1-Settings!$B$12,0,Settings!$B$12,1))&lt;Settings!$B$12,NA(),STDEV(OFFSET(F892,1-Settings!$B$12,0,Settings!$B$12,1))*SQRT(Settings!$B$13)))</f>
        <v/>
      </c>
      <c r="J892" s="18">
        <f>IF(OR(NOT(ISNUMBER($A892)),ROW()-2&lt;Settings!$B$11),NA(),IF(COUNT(OFFSET(G892,1-Settings!$B$11,0,Settings!$B$11,1))&lt;Settings!$B$11,NA(),STDEV(OFFSET(G892,1-Settings!$B$11,0,Settings!$B$11,1))*SQRT(Settings!$B$13)))</f>
        <v/>
      </c>
      <c r="K892" s="18">
        <f>IF(OR(NOT(ISNUMBER($A892)),ROW()-2&lt;Settings!$B$12),NA(),IF(COUNT(OFFSET(G892,1-Settings!$B$12,0,Settings!$B$12,1))&lt;Settings!$B$12,NA(),STDEV(OFFSET(G892,1-Settings!$B$12,0,Settings!$B$12,1))*SQRT(Settings!$B$13)))</f>
        <v/>
      </c>
      <c r="L892" s="18">
        <f>IF(AND(ISNUMBER(D892),ISNUMBER(H892)),D892-H892,NA())</f>
        <v/>
      </c>
      <c r="M892" s="18">
        <f>IF(AND(ISNUMBER(E892),ISNUMBER(K892)),E892-K892,NA())</f>
        <v/>
      </c>
      <c r="N892" s="18">
        <f>IF(NOT(ISNUMBER($A892)),NA(),IF(COUNT(OFFSET(G892,1,0,Settings!$B$12,1))&lt;Settings!$B$12,NA(),STDEV(OFFSET(G892,1,0,Settings!$B$12,1))*SQRT(Settings!$B$13)))</f>
        <v/>
      </c>
      <c r="O892" s="18">
        <f>IF(AND(ISNUMBER(E892),ISNUMBER(N892)),E892-N892,NA())</f>
        <v/>
      </c>
      <c r="P892" s="17">
        <f>IF(NOT(ISNUMBER($A892)),NA(),IF(OR($A892&lt;MIN(KW_TP!$A$2:$A$2501),$A892&gt;MAX(KW_TP!$A$2:$A$2501)),NA(),INDEX(KW_TP!$C$2:$C$2501,MATCH($A892,KW_TP!$A$2:$A$2501,1))))</f>
        <v/>
      </c>
    </row>
    <row r="893">
      <c r="A893" s="15">
        <f>IF(ISNUMBER(BBG_Data!A893),BBG_Data!A893,"")</f>
        <v/>
      </c>
      <c r="B893" s="16">
        <f>IF(AND(ISNUMBER($A893),ISNUMBER(BBG_Data!B893)),BBG_Data!B893,NA())</f>
        <v/>
      </c>
      <c r="C893" s="16">
        <f>IF(AND(ISNUMBER($A893),ISNUMBER(BBG_Data!C893)),BBG_Data!C893,NA())</f>
        <v/>
      </c>
      <c r="D893" s="17">
        <f>IF(AND(ISNUMBER($A893),ISNUMBER(BBG_Data!D893)),BBG_Data!D893,NA())</f>
        <v/>
      </c>
      <c r="E893" s="17">
        <f>IF(AND(ISNUMBER($A893),ISNUMBER(BBG_Data!E893)),BBG_Data!E893,NA())</f>
        <v/>
      </c>
      <c r="F893" s="18">
        <f>IF(AND(ISNUMBER(B893),ISNUMBER(B892)),(B893-B892)*100,"")</f>
        <v/>
      </c>
      <c r="G893" s="18">
        <f>IF(AND(ISNUMBER(C893),ISNUMBER(C892)),(C893-C892)*100,"")</f>
        <v/>
      </c>
      <c r="H893" s="18">
        <f>IF(OR(NOT(ISNUMBER($A893)),ROW()-2&lt;Settings!$B$11),NA(),IF(COUNT(OFFSET(F893,1-Settings!$B$11,0,Settings!$B$11,1))&lt;Settings!$B$11,NA(),STDEV(OFFSET(F893,1-Settings!$B$11,0,Settings!$B$11,1))*SQRT(Settings!$B$13)))</f>
        <v/>
      </c>
      <c r="I893" s="18">
        <f>IF(OR(NOT(ISNUMBER($A893)),ROW()-2&lt;Settings!$B$12),NA(),IF(COUNT(OFFSET(F893,1-Settings!$B$12,0,Settings!$B$12,1))&lt;Settings!$B$12,NA(),STDEV(OFFSET(F893,1-Settings!$B$12,0,Settings!$B$12,1))*SQRT(Settings!$B$13)))</f>
        <v/>
      </c>
      <c r="J893" s="18">
        <f>IF(OR(NOT(ISNUMBER($A893)),ROW()-2&lt;Settings!$B$11),NA(),IF(COUNT(OFFSET(G893,1-Settings!$B$11,0,Settings!$B$11,1))&lt;Settings!$B$11,NA(),STDEV(OFFSET(G893,1-Settings!$B$11,0,Settings!$B$11,1))*SQRT(Settings!$B$13)))</f>
        <v/>
      </c>
      <c r="K893" s="18">
        <f>IF(OR(NOT(ISNUMBER($A893)),ROW()-2&lt;Settings!$B$12),NA(),IF(COUNT(OFFSET(G893,1-Settings!$B$12,0,Settings!$B$12,1))&lt;Settings!$B$12,NA(),STDEV(OFFSET(G893,1-Settings!$B$12,0,Settings!$B$12,1))*SQRT(Settings!$B$13)))</f>
        <v/>
      </c>
      <c r="L893" s="18">
        <f>IF(AND(ISNUMBER(D893),ISNUMBER(H893)),D893-H893,NA())</f>
        <v/>
      </c>
      <c r="M893" s="18">
        <f>IF(AND(ISNUMBER(E893),ISNUMBER(K893)),E893-K893,NA())</f>
        <v/>
      </c>
      <c r="N893" s="18">
        <f>IF(NOT(ISNUMBER($A893)),NA(),IF(COUNT(OFFSET(G893,1,0,Settings!$B$12,1))&lt;Settings!$B$12,NA(),STDEV(OFFSET(G893,1,0,Settings!$B$12,1))*SQRT(Settings!$B$13)))</f>
        <v/>
      </c>
      <c r="O893" s="18">
        <f>IF(AND(ISNUMBER(E893),ISNUMBER(N893)),E893-N893,NA())</f>
        <v/>
      </c>
      <c r="P893" s="17">
        <f>IF(NOT(ISNUMBER($A893)),NA(),IF(OR($A893&lt;MIN(KW_TP!$A$2:$A$2501),$A893&gt;MAX(KW_TP!$A$2:$A$2501)),NA(),INDEX(KW_TP!$C$2:$C$2501,MATCH($A893,KW_TP!$A$2:$A$2501,1))))</f>
        <v/>
      </c>
    </row>
    <row r="894">
      <c r="A894" s="15">
        <f>IF(ISNUMBER(BBG_Data!A894),BBG_Data!A894,"")</f>
        <v/>
      </c>
      <c r="B894" s="16">
        <f>IF(AND(ISNUMBER($A894),ISNUMBER(BBG_Data!B894)),BBG_Data!B894,NA())</f>
        <v/>
      </c>
      <c r="C894" s="16">
        <f>IF(AND(ISNUMBER($A894),ISNUMBER(BBG_Data!C894)),BBG_Data!C894,NA())</f>
        <v/>
      </c>
      <c r="D894" s="17">
        <f>IF(AND(ISNUMBER($A894),ISNUMBER(BBG_Data!D894)),BBG_Data!D894,NA())</f>
        <v/>
      </c>
      <c r="E894" s="17">
        <f>IF(AND(ISNUMBER($A894),ISNUMBER(BBG_Data!E894)),BBG_Data!E894,NA())</f>
        <v/>
      </c>
      <c r="F894" s="18">
        <f>IF(AND(ISNUMBER(B894),ISNUMBER(B893)),(B894-B893)*100,"")</f>
        <v/>
      </c>
      <c r="G894" s="18">
        <f>IF(AND(ISNUMBER(C894),ISNUMBER(C893)),(C894-C893)*100,"")</f>
        <v/>
      </c>
      <c r="H894" s="18">
        <f>IF(OR(NOT(ISNUMBER($A894)),ROW()-2&lt;Settings!$B$11),NA(),IF(COUNT(OFFSET(F894,1-Settings!$B$11,0,Settings!$B$11,1))&lt;Settings!$B$11,NA(),STDEV(OFFSET(F894,1-Settings!$B$11,0,Settings!$B$11,1))*SQRT(Settings!$B$13)))</f>
        <v/>
      </c>
      <c r="I894" s="18">
        <f>IF(OR(NOT(ISNUMBER($A894)),ROW()-2&lt;Settings!$B$12),NA(),IF(COUNT(OFFSET(F894,1-Settings!$B$12,0,Settings!$B$12,1))&lt;Settings!$B$12,NA(),STDEV(OFFSET(F894,1-Settings!$B$12,0,Settings!$B$12,1))*SQRT(Settings!$B$13)))</f>
        <v/>
      </c>
      <c r="J894" s="18">
        <f>IF(OR(NOT(ISNUMBER($A894)),ROW()-2&lt;Settings!$B$11),NA(),IF(COUNT(OFFSET(G894,1-Settings!$B$11,0,Settings!$B$11,1))&lt;Settings!$B$11,NA(),STDEV(OFFSET(G894,1-Settings!$B$11,0,Settings!$B$11,1))*SQRT(Settings!$B$13)))</f>
        <v/>
      </c>
      <c r="K894" s="18">
        <f>IF(OR(NOT(ISNUMBER($A894)),ROW()-2&lt;Settings!$B$12),NA(),IF(COUNT(OFFSET(G894,1-Settings!$B$12,0,Settings!$B$12,1))&lt;Settings!$B$12,NA(),STDEV(OFFSET(G894,1-Settings!$B$12,0,Settings!$B$12,1))*SQRT(Settings!$B$13)))</f>
        <v/>
      </c>
      <c r="L894" s="18">
        <f>IF(AND(ISNUMBER(D894),ISNUMBER(H894)),D894-H894,NA())</f>
        <v/>
      </c>
      <c r="M894" s="18">
        <f>IF(AND(ISNUMBER(E894),ISNUMBER(K894)),E894-K894,NA())</f>
        <v/>
      </c>
      <c r="N894" s="18">
        <f>IF(NOT(ISNUMBER($A894)),NA(),IF(COUNT(OFFSET(G894,1,0,Settings!$B$12,1))&lt;Settings!$B$12,NA(),STDEV(OFFSET(G894,1,0,Settings!$B$12,1))*SQRT(Settings!$B$13)))</f>
        <v/>
      </c>
      <c r="O894" s="18">
        <f>IF(AND(ISNUMBER(E894),ISNUMBER(N894)),E894-N894,NA())</f>
        <v/>
      </c>
      <c r="P894" s="17">
        <f>IF(NOT(ISNUMBER($A894)),NA(),IF(OR($A894&lt;MIN(KW_TP!$A$2:$A$2501),$A894&gt;MAX(KW_TP!$A$2:$A$2501)),NA(),INDEX(KW_TP!$C$2:$C$2501,MATCH($A894,KW_TP!$A$2:$A$2501,1))))</f>
        <v/>
      </c>
    </row>
    <row r="895">
      <c r="A895" s="15">
        <f>IF(ISNUMBER(BBG_Data!A895),BBG_Data!A895,"")</f>
        <v/>
      </c>
      <c r="B895" s="16">
        <f>IF(AND(ISNUMBER($A895),ISNUMBER(BBG_Data!B895)),BBG_Data!B895,NA())</f>
        <v/>
      </c>
      <c r="C895" s="16">
        <f>IF(AND(ISNUMBER($A895),ISNUMBER(BBG_Data!C895)),BBG_Data!C895,NA())</f>
        <v/>
      </c>
      <c r="D895" s="17">
        <f>IF(AND(ISNUMBER($A895),ISNUMBER(BBG_Data!D895)),BBG_Data!D895,NA())</f>
        <v/>
      </c>
      <c r="E895" s="17">
        <f>IF(AND(ISNUMBER($A895),ISNUMBER(BBG_Data!E895)),BBG_Data!E895,NA())</f>
        <v/>
      </c>
      <c r="F895" s="18">
        <f>IF(AND(ISNUMBER(B895),ISNUMBER(B894)),(B895-B894)*100,"")</f>
        <v/>
      </c>
      <c r="G895" s="18">
        <f>IF(AND(ISNUMBER(C895),ISNUMBER(C894)),(C895-C894)*100,"")</f>
        <v/>
      </c>
      <c r="H895" s="18">
        <f>IF(OR(NOT(ISNUMBER($A895)),ROW()-2&lt;Settings!$B$11),NA(),IF(COUNT(OFFSET(F895,1-Settings!$B$11,0,Settings!$B$11,1))&lt;Settings!$B$11,NA(),STDEV(OFFSET(F895,1-Settings!$B$11,0,Settings!$B$11,1))*SQRT(Settings!$B$13)))</f>
        <v/>
      </c>
      <c r="I895" s="18">
        <f>IF(OR(NOT(ISNUMBER($A895)),ROW()-2&lt;Settings!$B$12),NA(),IF(COUNT(OFFSET(F895,1-Settings!$B$12,0,Settings!$B$12,1))&lt;Settings!$B$12,NA(),STDEV(OFFSET(F895,1-Settings!$B$12,0,Settings!$B$12,1))*SQRT(Settings!$B$13)))</f>
        <v/>
      </c>
      <c r="J895" s="18">
        <f>IF(OR(NOT(ISNUMBER($A895)),ROW()-2&lt;Settings!$B$11),NA(),IF(COUNT(OFFSET(G895,1-Settings!$B$11,0,Settings!$B$11,1))&lt;Settings!$B$11,NA(),STDEV(OFFSET(G895,1-Settings!$B$11,0,Settings!$B$11,1))*SQRT(Settings!$B$13)))</f>
        <v/>
      </c>
      <c r="K895" s="18">
        <f>IF(OR(NOT(ISNUMBER($A895)),ROW()-2&lt;Settings!$B$12),NA(),IF(COUNT(OFFSET(G895,1-Settings!$B$12,0,Settings!$B$12,1))&lt;Settings!$B$12,NA(),STDEV(OFFSET(G895,1-Settings!$B$12,0,Settings!$B$12,1))*SQRT(Settings!$B$13)))</f>
        <v/>
      </c>
      <c r="L895" s="18">
        <f>IF(AND(ISNUMBER(D895),ISNUMBER(H895)),D895-H895,NA())</f>
        <v/>
      </c>
      <c r="M895" s="18">
        <f>IF(AND(ISNUMBER(E895),ISNUMBER(K895)),E895-K895,NA())</f>
        <v/>
      </c>
      <c r="N895" s="18">
        <f>IF(NOT(ISNUMBER($A895)),NA(),IF(COUNT(OFFSET(G895,1,0,Settings!$B$12,1))&lt;Settings!$B$12,NA(),STDEV(OFFSET(G895,1,0,Settings!$B$12,1))*SQRT(Settings!$B$13)))</f>
        <v/>
      </c>
      <c r="O895" s="18">
        <f>IF(AND(ISNUMBER(E895),ISNUMBER(N895)),E895-N895,NA())</f>
        <v/>
      </c>
      <c r="P895" s="17">
        <f>IF(NOT(ISNUMBER($A895)),NA(),IF(OR($A895&lt;MIN(KW_TP!$A$2:$A$2501),$A895&gt;MAX(KW_TP!$A$2:$A$2501)),NA(),INDEX(KW_TP!$C$2:$C$2501,MATCH($A895,KW_TP!$A$2:$A$2501,1))))</f>
        <v/>
      </c>
    </row>
    <row r="896">
      <c r="A896" s="15">
        <f>IF(ISNUMBER(BBG_Data!A896),BBG_Data!A896,"")</f>
        <v/>
      </c>
      <c r="B896" s="16">
        <f>IF(AND(ISNUMBER($A896),ISNUMBER(BBG_Data!B896)),BBG_Data!B896,NA())</f>
        <v/>
      </c>
      <c r="C896" s="16">
        <f>IF(AND(ISNUMBER($A896),ISNUMBER(BBG_Data!C896)),BBG_Data!C896,NA())</f>
        <v/>
      </c>
      <c r="D896" s="17">
        <f>IF(AND(ISNUMBER($A896),ISNUMBER(BBG_Data!D896)),BBG_Data!D896,NA())</f>
        <v/>
      </c>
      <c r="E896" s="17">
        <f>IF(AND(ISNUMBER($A896),ISNUMBER(BBG_Data!E896)),BBG_Data!E896,NA())</f>
        <v/>
      </c>
      <c r="F896" s="18">
        <f>IF(AND(ISNUMBER(B896),ISNUMBER(B895)),(B896-B895)*100,"")</f>
        <v/>
      </c>
      <c r="G896" s="18">
        <f>IF(AND(ISNUMBER(C896),ISNUMBER(C895)),(C896-C895)*100,"")</f>
        <v/>
      </c>
      <c r="H896" s="18">
        <f>IF(OR(NOT(ISNUMBER($A896)),ROW()-2&lt;Settings!$B$11),NA(),IF(COUNT(OFFSET(F896,1-Settings!$B$11,0,Settings!$B$11,1))&lt;Settings!$B$11,NA(),STDEV(OFFSET(F896,1-Settings!$B$11,0,Settings!$B$11,1))*SQRT(Settings!$B$13)))</f>
        <v/>
      </c>
      <c r="I896" s="18">
        <f>IF(OR(NOT(ISNUMBER($A896)),ROW()-2&lt;Settings!$B$12),NA(),IF(COUNT(OFFSET(F896,1-Settings!$B$12,0,Settings!$B$12,1))&lt;Settings!$B$12,NA(),STDEV(OFFSET(F896,1-Settings!$B$12,0,Settings!$B$12,1))*SQRT(Settings!$B$13)))</f>
        <v/>
      </c>
      <c r="J896" s="18">
        <f>IF(OR(NOT(ISNUMBER($A896)),ROW()-2&lt;Settings!$B$11),NA(),IF(COUNT(OFFSET(G896,1-Settings!$B$11,0,Settings!$B$11,1))&lt;Settings!$B$11,NA(),STDEV(OFFSET(G896,1-Settings!$B$11,0,Settings!$B$11,1))*SQRT(Settings!$B$13)))</f>
        <v/>
      </c>
      <c r="K896" s="18">
        <f>IF(OR(NOT(ISNUMBER($A896)),ROW()-2&lt;Settings!$B$12),NA(),IF(COUNT(OFFSET(G896,1-Settings!$B$12,0,Settings!$B$12,1))&lt;Settings!$B$12,NA(),STDEV(OFFSET(G896,1-Settings!$B$12,0,Settings!$B$12,1))*SQRT(Settings!$B$13)))</f>
        <v/>
      </c>
      <c r="L896" s="18">
        <f>IF(AND(ISNUMBER(D896),ISNUMBER(H896)),D896-H896,NA())</f>
        <v/>
      </c>
      <c r="M896" s="18">
        <f>IF(AND(ISNUMBER(E896),ISNUMBER(K896)),E896-K896,NA())</f>
        <v/>
      </c>
      <c r="N896" s="18">
        <f>IF(NOT(ISNUMBER($A896)),NA(),IF(COUNT(OFFSET(G896,1,0,Settings!$B$12,1))&lt;Settings!$B$12,NA(),STDEV(OFFSET(G896,1,0,Settings!$B$12,1))*SQRT(Settings!$B$13)))</f>
        <v/>
      </c>
      <c r="O896" s="18">
        <f>IF(AND(ISNUMBER(E896),ISNUMBER(N896)),E896-N896,NA())</f>
        <v/>
      </c>
      <c r="P896" s="17">
        <f>IF(NOT(ISNUMBER($A896)),NA(),IF(OR($A896&lt;MIN(KW_TP!$A$2:$A$2501),$A896&gt;MAX(KW_TP!$A$2:$A$2501)),NA(),INDEX(KW_TP!$C$2:$C$2501,MATCH($A896,KW_TP!$A$2:$A$2501,1))))</f>
        <v/>
      </c>
    </row>
    <row r="897">
      <c r="A897" s="15">
        <f>IF(ISNUMBER(BBG_Data!A897),BBG_Data!A897,"")</f>
        <v/>
      </c>
      <c r="B897" s="16">
        <f>IF(AND(ISNUMBER($A897),ISNUMBER(BBG_Data!B897)),BBG_Data!B897,NA())</f>
        <v/>
      </c>
      <c r="C897" s="16">
        <f>IF(AND(ISNUMBER($A897),ISNUMBER(BBG_Data!C897)),BBG_Data!C897,NA())</f>
        <v/>
      </c>
      <c r="D897" s="17">
        <f>IF(AND(ISNUMBER($A897),ISNUMBER(BBG_Data!D897)),BBG_Data!D897,NA())</f>
        <v/>
      </c>
      <c r="E897" s="17">
        <f>IF(AND(ISNUMBER($A897),ISNUMBER(BBG_Data!E897)),BBG_Data!E897,NA())</f>
        <v/>
      </c>
      <c r="F897" s="18">
        <f>IF(AND(ISNUMBER(B897),ISNUMBER(B896)),(B897-B896)*100,"")</f>
        <v/>
      </c>
      <c r="G897" s="18">
        <f>IF(AND(ISNUMBER(C897),ISNUMBER(C896)),(C897-C896)*100,"")</f>
        <v/>
      </c>
      <c r="H897" s="18">
        <f>IF(OR(NOT(ISNUMBER($A897)),ROW()-2&lt;Settings!$B$11),NA(),IF(COUNT(OFFSET(F897,1-Settings!$B$11,0,Settings!$B$11,1))&lt;Settings!$B$11,NA(),STDEV(OFFSET(F897,1-Settings!$B$11,0,Settings!$B$11,1))*SQRT(Settings!$B$13)))</f>
        <v/>
      </c>
      <c r="I897" s="18">
        <f>IF(OR(NOT(ISNUMBER($A897)),ROW()-2&lt;Settings!$B$12),NA(),IF(COUNT(OFFSET(F897,1-Settings!$B$12,0,Settings!$B$12,1))&lt;Settings!$B$12,NA(),STDEV(OFFSET(F897,1-Settings!$B$12,0,Settings!$B$12,1))*SQRT(Settings!$B$13)))</f>
        <v/>
      </c>
      <c r="J897" s="18">
        <f>IF(OR(NOT(ISNUMBER($A897)),ROW()-2&lt;Settings!$B$11),NA(),IF(COUNT(OFFSET(G897,1-Settings!$B$11,0,Settings!$B$11,1))&lt;Settings!$B$11,NA(),STDEV(OFFSET(G897,1-Settings!$B$11,0,Settings!$B$11,1))*SQRT(Settings!$B$13)))</f>
        <v/>
      </c>
      <c r="K897" s="18">
        <f>IF(OR(NOT(ISNUMBER($A897)),ROW()-2&lt;Settings!$B$12),NA(),IF(COUNT(OFFSET(G897,1-Settings!$B$12,0,Settings!$B$12,1))&lt;Settings!$B$12,NA(),STDEV(OFFSET(G897,1-Settings!$B$12,0,Settings!$B$12,1))*SQRT(Settings!$B$13)))</f>
        <v/>
      </c>
      <c r="L897" s="18">
        <f>IF(AND(ISNUMBER(D897),ISNUMBER(H897)),D897-H897,NA())</f>
        <v/>
      </c>
      <c r="M897" s="18">
        <f>IF(AND(ISNUMBER(E897),ISNUMBER(K897)),E897-K897,NA())</f>
        <v/>
      </c>
      <c r="N897" s="18">
        <f>IF(NOT(ISNUMBER($A897)),NA(),IF(COUNT(OFFSET(G897,1,0,Settings!$B$12,1))&lt;Settings!$B$12,NA(),STDEV(OFFSET(G897,1,0,Settings!$B$12,1))*SQRT(Settings!$B$13)))</f>
        <v/>
      </c>
      <c r="O897" s="18">
        <f>IF(AND(ISNUMBER(E897),ISNUMBER(N897)),E897-N897,NA())</f>
        <v/>
      </c>
      <c r="P897" s="17">
        <f>IF(NOT(ISNUMBER($A897)),NA(),IF(OR($A897&lt;MIN(KW_TP!$A$2:$A$2501),$A897&gt;MAX(KW_TP!$A$2:$A$2501)),NA(),INDEX(KW_TP!$C$2:$C$2501,MATCH($A897,KW_TP!$A$2:$A$2501,1))))</f>
        <v/>
      </c>
    </row>
    <row r="898">
      <c r="A898" s="15">
        <f>IF(ISNUMBER(BBG_Data!A898),BBG_Data!A898,"")</f>
        <v/>
      </c>
      <c r="B898" s="16">
        <f>IF(AND(ISNUMBER($A898),ISNUMBER(BBG_Data!B898)),BBG_Data!B898,NA())</f>
        <v/>
      </c>
      <c r="C898" s="16">
        <f>IF(AND(ISNUMBER($A898),ISNUMBER(BBG_Data!C898)),BBG_Data!C898,NA())</f>
        <v/>
      </c>
      <c r="D898" s="17">
        <f>IF(AND(ISNUMBER($A898),ISNUMBER(BBG_Data!D898)),BBG_Data!D898,NA())</f>
        <v/>
      </c>
      <c r="E898" s="17">
        <f>IF(AND(ISNUMBER($A898),ISNUMBER(BBG_Data!E898)),BBG_Data!E898,NA())</f>
        <v/>
      </c>
      <c r="F898" s="18">
        <f>IF(AND(ISNUMBER(B898),ISNUMBER(B897)),(B898-B897)*100,"")</f>
        <v/>
      </c>
      <c r="G898" s="18">
        <f>IF(AND(ISNUMBER(C898),ISNUMBER(C897)),(C898-C897)*100,"")</f>
        <v/>
      </c>
      <c r="H898" s="18">
        <f>IF(OR(NOT(ISNUMBER($A898)),ROW()-2&lt;Settings!$B$11),NA(),IF(COUNT(OFFSET(F898,1-Settings!$B$11,0,Settings!$B$11,1))&lt;Settings!$B$11,NA(),STDEV(OFFSET(F898,1-Settings!$B$11,0,Settings!$B$11,1))*SQRT(Settings!$B$13)))</f>
        <v/>
      </c>
      <c r="I898" s="18">
        <f>IF(OR(NOT(ISNUMBER($A898)),ROW()-2&lt;Settings!$B$12),NA(),IF(COUNT(OFFSET(F898,1-Settings!$B$12,0,Settings!$B$12,1))&lt;Settings!$B$12,NA(),STDEV(OFFSET(F898,1-Settings!$B$12,0,Settings!$B$12,1))*SQRT(Settings!$B$13)))</f>
        <v/>
      </c>
      <c r="J898" s="18">
        <f>IF(OR(NOT(ISNUMBER($A898)),ROW()-2&lt;Settings!$B$11),NA(),IF(COUNT(OFFSET(G898,1-Settings!$B$11,0,Settings!$B$11,1))&lt;Settings!$B$11,NA(),STDEV(OFFSET(G898,1-Settings!$B$11,0,Settings!$B$11,1))*SQRT(Settings!$B$13)))</f>
        <v/>
      </c>
      <c r="K898" s="18">
        <f>IF(OR(NOT(ISNUMBER($A898)),ROW()-2&lt;Settings!$B$12),NA(),IF(COUNT(OFFSET(G898,1-Settings!$B$12,0,Settings!$B$12,1))&lt;Settings!$B$12,NA(),STDEV(OFFSET(G898,1-Settings!$B$12,0,Settings!$B$12,1))*SQRT(Settings!$B$13)))</f>
        <v/>
      </c>
      <c r="L898" s="18">
        <f>IF(AND(ISNUMBER(D898),ISNUMBER(H898)),D898-H898,NA())</f>
        <v/>
      </c>
      <c r="M898" s="18">
        <f>IF(AND(ISNUMBER(E898),ISNUMBER(K898)),E898-K898,NA())</f>
        <v/>
      </c>
      <c r="N898" s="18">
        <f>IF(NOT(ISNUMBER($A898)),NA(),IF(COUNT(OFFSET(G898,1,0,Settings!$B$12,1))&lt;Settings!$B$12,NA(),STDEV(OFFSET(G898,1,0,Settings!$B$12,1))*SQRT(Settings!$B$13)))</f>
        <v/>
      </c>
      <c r="O898" s="18">
        <f>IF(AND(ISNUMBER(E898),ISNUMBER(N898)),E898-N898,NA())</f>
        <v/>
      </c>
      <c r="P898" s="17">
        <f>IF(NOT(ISNUMBER($A898)),NA(),IF(OR($A898&lt;MIN(KW_TP!$A$2:$A$2501),$A898&gt;MAX(KW_TP!$A$2:$A$2501)),NA(),INDEX(KW_TP!$C$2:$C$2501,MATCH($A898,KW_TP!$A$2:$A$2501,1))))</f>
        <v/>
      </c>
    </row>
    <row r="899">
      <c r="A899" s="15">
        <f>IF(ISNUMBER(BBG_Data!A899),BBG_Data!A899,"")</f>
        <v/>
      </c>
      <c r="B899" s="16">
        <f>IF(AND(ISNUMBER($A899),ISNUMBER(BBG_Data!B899)),BBG_Data!B899,NA())</f>
        <v/>
      </c>
      <c r="C899" s="16">
        <f>IF(AND(ISNUMBER($A899),ISNUMBER(BBG_Data!C899)),BBG_Data!C899,NA())</f>
        <v/>
      </c>
      <c r="D899" s="17">
        <f>IF(AND(ISNUMBER($A899),ISNUMBER(BBG_Data!D899)),BBG_Data!D899,NA())</f>
        <v/>
      </c>
      <c r="E899" s="17">
        <f>IF(AND(ISNUMBER($A899),ISNUMBER(BBG_Data!E899)),BBG_Data!E899,NA())</f>
        <v/>
      </c>
      <c r="F899" s="18">
        <f>IF(AND(ISNUMBER(B899),ISNUMBER(B898)),(B899-B898)*100,"")</f>
        <v/>
      </c>
      <c r="G899" s="18">
        <f>IF(AND(ISNUMBER(C899),ISNUMBER(C898)),(C899-C898)*100,"")</f>
        <v/>
      </c>
      <c r="H899" s="18">
        <f>IF(OR(NOT(ISNUMBER($A899)),ROW()-2&lt;Settings!$B$11),NA(),IF(COUNT(OFFSET(F899,1-Settings!$B$11,0,Settings!$B$11,1))&lt;Settings!$B$11,NA(),STDEV(OFFSET(F899,1-Settings!$B$11,0,Settings!$B$11,1))*SQRT(Settings!$B$13)))</f>
        <v/>
      </c>
      <c r="I899" s="18">
        <f>IF(OR(NOT(ISNUMBER($A899)),ROW()-2&lt;Settings!$B$12),NA(),IF(COUNT(OFFSET(F899,1-Settings!$B$12,0,Settings!$B$12,1))&lt;Settings!$B$12,NA(),STDEV(OFFSET(F899,1-Settings!$B$12,0,Settings!$B$12,1))*SQRT(Settings!$B$13)))</f>
        <v/>
      </c>
      <c r="J899" s="18">
        <f>IF(OR(NOT(ISNUMBER($A899)),ROW()-2&lt;Settings!$B$11),NA(),IF(COUNT(OFFSET(G899,1-Settings!$B$11,0,Settings!$B$11,1))&lt;Settings!$B$11,NA(),STDEV(OFFSET(G899,1-Settings!$B$11,0,Settings!$B$11,1))*SQRT(Settings!$B$13)))</f>
        <v/>
      </c>
      <c r="K899" s="18">
        <f>IF(OR(NOT(ISNUMBER($A899)),ROW()-2&lt;Settings!$B$12),NA(),IF(COUNT(OFFSET(G899,1-Settings!$B$12,0,Settings!$B$12,1))&lt;Settings!$B$12,NA(),STDEV(OFFSET(G899,1-Settings!$B$12,0,Settings!$B$12,1))*SQRT(Settings!$B$13)))</f>
        <v/>
      </c>
      <c r="L899" s="18">
        <f>IF(AND(ISNUMBER(D899),ISNUMBER(H899)),D899-H899,NA())</f>
        <v/>
      </c>
      <c r="M899" s="18">
        <f>IF(AND(ISNUMBER(E899),ISNUMBER(K899)),E899-K899,NA())</f>
        <v/>
      </c>
      <c r="N899" s="18">
        <f>IF(NOT(ISNUMBER($A899)),NA(),IF(COUNT(OFFSET(G899,1,0,Settings!$B$12,1))&lt;Settings!$B$12,NA(),STDEV(OFFSET(G899,1,0,Settings!$B$12,1))*SQRT(Settings!$B$13)))</f>
        <v/>
      </c>
      <c r="O899" s="18">
        <f>IF(AND(ISNUMBER(E899),ISNUMBER(N899)),E899-N899,NA())</f>
        <v/>
      </c>
      <c r="P899" s="17">
        <f>IF(NOT(ISNUMBER($A899)),NA(),IF(OR($A899&lt;MIN(KW_TP!$A$2:$A$2501),$A899&gt;MAX(KW_TP!$A$2:$A$2501)),NA(),INDEX(KW_TP!$C$2:$C$2501,MATCH($A899,KW_TP!$A$2:$A$2501,1))))</f>
        <v/>
      </c>
    </row>
    <row r="900">
      <c r="A900" s="15">
        <f>IF(ISNUMBER(BBG_Data!A900),BBG_Data!A900,"")</f>
        <v/>
      </c>
      <c r="B900" s="16">
        <f>IF(AND(ISNUMBER($A900),ISNUMBER(BBG_Data!B900)),BBG_Data!B900,NA())</f>
        <v/>
      </c>
      <c r="C900" s="16">
        <f>IF(AND(ISNUMBER($A900),ISNUMBER(BBG_Data!C900)),BBG_Data!C900,NA())</f>
        <v/>
      </c>
      <c r="D900" s="17">
        <f>IF(AND(ISNUMBER($A900),ISNUMBER(BBG_Data!D900)),BBG_Data!D900,NA())</f>
        <v/>
      </c>
      <c r="E900" s="17">
        <f>IF(AND(ISNUMBER($A900),ISNUMBER(BBG_Data!E900)),BBG_Data!E900,NA())</f>
        <v/>
      </c>
      <c r="F900" s="18">
        <f>IF(AND(ISNUMBER(B900),ISNUMBER(B899)),(B900-B899)*100,"")</f>
        <v/>
      </c>
      <c r="G900" s="18">
        <f>IF(AND(ISNUMBER(C900),ISNUMBER(C899)),(C900-C899)*100,"")</f>
        <v/>
      </c>
      <c r="H900" s="18">
        <f>IF(OR(NOT(ISNUMBER($A900)),ROW()-2&lt;Settings!$B$11),NA(),IF(COUNT(OFFSET(F900,1-Settings!$B$11,0,Settings!$B$11,1))&lt;Settings!$B$11,NA(),STDEV(OFFSET(F900,1-Settings!$B$11,0,Settings!$B$11,1))*SQRT(Settings!$B$13)))</f>
        <v/>
      </c>
      <c r="I900" s="18">
        <f>IF(OR(NOT(ISNUMBER($A900)),ROW()-2&lt;Settings!$B$12),NA(),IF(COUNT(OFFSET(F900,1-Settings!$B$12,0,Settings!$B$12,1))&lt;Settings!$B$12,NA(),STDEV(OFFSET(F900,1-Settings!$B$12,0,Settings!$B$12,1))*SQRT(Settings!$B$13)))</f>
        <v/>
      </c>
      <c r="J900" s="18">
        <f>IF(OR(NOT(ISNUMBER($A900)),ROW()-2&lt;Settings!$B$11),NA(),IF(COUNT(OFFSET(G900,1-Settings!$B$11,0,Settings!$B$11,1))&lt;Settings!$B$11,NA(),STDEV(OFFSET(G900,1-Settings!$B$11,0,Settings!$B$11,1))*SQRT(Settings!$B$13)))</f>
        <v/>
      </c>
      <c r="K900" s="18">
        <f>IF(OR(NOT(ISNUMBER($A900)),ROW()-2&lt;Settings!$B$12),NA(),IF(COUNT(OFFSET(G900,1-Settings!$B$12,0,Settings!$B$12,1))&lt;Settings!$B$12,NA(),STDEV(OFFSET(G900,1-Settings!$B$12,0,Settings!$B$12,1))*SQRT(Settings!$B$13)))</f>
        <v/>
      </c>
      <c r="L900" s="18">
        <f>IF(AND(ISNUMBER(D900),ISNUMBER(H900)),D900-H900,NA())</f>
        <v/>
      </c>
      <c r="M900" s="18">
        <f>IF(AND(ISNUMBER(E900),ISNUMBER(K900)),E900-K900,NA())</f>
        <v/>
      </c>
      <c r="N900" s="18">
        <f>IF(NOT(ISNUMBER($A900)),NA(),IF(COUNT(OFFSET(G900,1,0,Settings!$B$12,1))&lt;Settings!$B$12,NA(),STDEV(OFFSET(G900,1,0,Settings!$B$12,1))*SQRT(Settings!$B$13)))</f>
        <v/>
      </c>
      <c r="O900" s="18">
        <f>IF(AND(ISNUMBER(E900),ISNUMBER(N900)),E900-N900,NA())</f>
        <v/>
      </c>
      <c r="P900" s="17">
        <f>IF(NOT(ISNUMBER($A900)),NA(),IF(OR($A900&lt;MIN(KW_TP!$A$2:$A$2501),$A900&gt;MAX(KW_TP!$A$2:$A$2501)),NA(),INDEX(KW_TP!$C$2:$C$2501,MATCH($A900,KW_TP!$A$2:$A$2501,1))))</f>
        <v/>
      </c>
    </row>
    <row r="901">
      <c r="A901" s="15">
        <f>IF(ISNUMBER(BBG_Data!A901),BBG_Data!A901,"")</f>
        <v/>
      </c>
      <c r="B901" s="16">
        <f>IF(AND(ISNUMBER($A901),ISNUMBER(BBG_Data!B901)),BBG_Data!B901,NA())</f>
        <v/>
      </c>
      <c r="C901" s="16">
        <f>IF(AND(ISNUMBER($A901),ISNUMBER(BBG_Data!C901)),BBG_Data!C901,NA())</f>
        <v/>
      </c>
      <c r="D901" s="17">
        <f>IF(AND(ISNUMBER($A901),ISNUMBER(BBG_Data!D901)),BBG_Data!D901,NA())</f>
        <v/>
      </c>
      <c r="E901" s="17">
        <f>IF(AND(ISNUMBER($A901),ISNUMBER(BBG_Data!E901)),BBG_Data!E901,NA())</f>
        <v/>
      </c>
      <c r="F901" s="18">
        <f>IF(AND(ISNUMBER(B901),ISNUMBER(B900)),(B901-B900)*100,"")</f>
        <v/>
      </c>
      <c r="G901" s="18">
        <f>IF(AND(ISNUMBER(C901),ISNUMBER(C900)),(C901-C900)*100,"")</f>
        <v/>
      </c>
      <c r="H901" s="18">
        <f>IF(OR(NOT(ISNUMBER($A901)),ROW()-2&lt;Settings!$B$11),NA(),IF(COUNT(OFFSET(F901,1-Settings!$B$11,0,Settings!$B$11,1))&lt;Settings!$B$11,NA(),STDEV(OFFSET(F901,1-Settings!$B$11,0,Settings!$B$11,1))*SQRT(Settings!$B$13)))</f>
        <v/>
      </c>
      <c r="I901" s="18">
        <f>IF(OR(NOT(ISNUMBER($A901)),ROW()-2&lt;Settings!$B$12),NA(),IF(COUNT(OFFSET(F901,1-Settings!$B$12,0,Settings!$B$12,1))&lt;Settings!$B$12,NA(),STDEV(OFFSET(F901,1-Settings!$B$12,0,Settings!$B$12,1))*SQRT(Settings!$B$13)))</f>
        <v/>
      </c>
      <c r="J901" s="18">
        <f>IF(OR(NOT(ISNUMBER($A901)),ROW()-2&lt;Settings!$B$11),NA(),IF(COUNT(OFFSET(G901,1-Settings!$B$11,0,Settings!$B$11,1))&lt;Settings!$B$11,NA(),STDEV(OFFSET(G901,1-Settings!$B$11,0,Settings!$B$11,1))*SQRT(Settings!$B$13)))</f>
        <v/>
      </c>
      <c r="K901" s="18">
        <f>IF(OR(NOT(ISNUMBER($A901)),ROW()-2&lt;Settings!$B$12),NA(),IF(COUNT(OFFSET(G901,1-Settings!$B$12,0,Settings!$B$12,1))&lt;Settings!$B$12,NA(),STDEV(OFFSET(G901,1-Settings!$B$12,0,Settings!$B$12,1))*SQRT(Settings!$B$13)))</f>
        <v/>
      </c>
      <c r="L901" s="18">
        <f>IF(AND(ISNUMBER(D901),ISNUMBER(H901)),D901-H901,NA())</f>
        <v/>
      </c>
      <c r="M901" s="18">
        <f>IF(AND(ISNUMBER(E901),ISNUMBER(K901)),E901-K901,NA())</f>
        <v/>
      </c>
      <c r="N901" s="18">
        <f>IF(NOT(ISNUMBER($A901)),NA(),IF(COUNT(OFFSET(G901,1,0,Settings!$B$12,1))&lt;Settings!$B$12,NA(),STDEV(OFFSET(G901,1,0,Settings!$B$12,1))*SQRT(Settings!$B$13)))</f>
        <v/>
      </c>
      <c r="O901" s="18">
        <f>IF(AND(ISNUMBER(E901),ISNUMBER(N901)),E901-N901,NA())</f>
        <v/>
      </c>
      <c r="P901" s="17">
        <f>IF(NOT(ISNUMBER($A901)),NA(),IF(OR($A901&lt;MIN(KW_TP!$A$2:$A$2501),$A901&gt;MAX(KW_TP!$A$2:$A$2501)),NA(),INDEX(KW_TP!$C$2:$C$2501,MATCH($A901,KW_TP!$A$2:$A$2501,1))))</f>
        <v/>
      </c>
    </row>
    <row r="902">
      <c r="A902" s="15">
        <f>IF(ISNUMBER(BBG_Data!A902),BBG_Data!A902,"")</f>
        <v/>
      </c>
      <c r="B902" s="16">
        <f>IF(AND(ISNUMBER($A902),ISNUMBER(BBG_Data!B902)),BBG_Data!B902,NA())</f>
        <v/>
      </c>
      <c r="C902" s="16">
        <f>IF(AND(ISNUMBER($A902),ISNUMBER(BBG_Data!C902)),BBG_Data!C902,NA())</f>
        <v/>
      </c>
      <c r="D902" s="17">
        <f>IF(AND(ISNUMBER($A902),ISNUMBER(BBG_Data!D902)),BBG_Data!D902,NA())</f>
        <v/>
      </c>
      <c r="E902" s="17">
        <f>IF(AND(ISNUMBER($A902),ISNUMBER(BBG_Data!E902)),BBG_Data!E902,NA())</f>
        <v/>
      </c>
      <c r="F902" s="18">
        <f>IF(AND(ISNUMBER(B902),ISNUMBER(B901)),(B902-B901)*100,"")</f>
        <v/>
      </c>
      <c r="G902" s="18">
        <f>IF(AND(ISNUMBER(C902),ISNUMBER(C901)),(C902-C901)*100,"")</f>
        <v/>
      </c>
      <c r="H902" s="18">
        <f>IF(OR(NOT(ISNUMBER($A902)),ROW()-2&lt;Settings!$B$11),NA(),IF(COUNT(OFFSET(F902,1-Settings!$B$11,0,Settings!$B$11,1))&lt;Settings!$B$11,NA(),STDEV(OFFSET(F902,1-Settings!$B$11,0,Settings!$B$11,1))*SQRT(Settings!$B$13)))</f>
        <v/>
      </c>
      <c r="I902" s="18">
        <f>IF(OR(NOT(ISNUMBER($A902)),ROW()-2&lt;Settings!$B$12),NA(),IF(COUNT(OFFSET(F902,1-Settings!$B$12,0,Settings!$B$12,1))&lt;Settings!$B$12,NA(),STDEV(OFFSET(F902,1-Settings!$B$12,0,Settings!$B$12,1))*SQRT(Settings!$B$13)))</f>
        <v/>
      </c>
      <c r="J902" s="18">
        <f>IF(OR(NOT(ISNUMBER($A902)),ROW()-2&lt;Settings!$B$11),NA(),IF(COUNT(OFFSET(G902,1-Settings!$B$11,0,Settings!$B$11,1))&lt;Settings!$B$11,NA(),STDEV(OFFSET(G902,1-Settings!$B$11,0,Settings!$B$11,1))*SQRT(Settings!$B$13)))</f>
        <v/>
      </c>
      <c r="K902" s="18">
        <f>IF(OR(NOT(ISNUMBER($A902)),ROW()-2&lt;Settings!$B$12),NA(),IF(COUNT(OFFSET(G902,1-Settings!$B$12,0,Settings!$B$12,1))&lt;Settings!$B$12,NA(),STDEV(OFFSET(G902,1-Settings!$B$12,0,Settings!$B$12,1))*SQRT(Settings!$B$13)))</f>
        <v/>
      </c>
      <c r="L902" s="18">
        <f>IF(AND(ISNUMBER(D902),ISNUMBER(H902)),D902-H902,NA())</f>
        <v/>
      </c>
      <c r="M902" s="18">
        <f>IF(AND(ISNUMBER(E902),ISNUMBER(K902)),E902-K902,NA())</f>
        <v/>
      </c>
      <c r="N902" s="18">
        <f>IF(NOT(ISNUMBER($A902)),NA(),IF(COUNT(OFFSET(G902,1,0,Settings!$B$12,1))&lt;Settings!$B$12,NA(),STDEV(OFFSET(G902,1,0,Settings!$B$12,1))*SQRT(Settings!$B$13)))</f>
        <v/>
      </c>
      <c r="O902" s="18">
        <f>IF(AND(ISNUMBER(E902),ISNUMBER(N902)),E902-N902,NA())</f>
        <v/>
      </c>
      <c r="P902" s="17">
        <f>IF(NOT(ISNUMBER($A902)),NA(),IF(OR($A902&lt;MIN(KW_TP!$A$2:$A$2501),$A902&gt;MAX(KW_TP!$A$2:$A$2501)),NA(),INDEX(KW_TP!$C$2:$C$2501,MATCH($A902,KW_TP!$A$2:$A$2501,1))))</f>
        <v/>
      </c>
    </row>
    <row r="903">
      <c r="A903" s="15">
        <f>IF(ISNUMBER(BBG_Data!A903),BBG_Data!A903,"")</f>
        <v/>
      </c>
      <c r="B903" s="16">
        <f>IF(AND(ISNUMBER($A903),ISNUMBER(BBG_Data!B903)),BBG_Data!B903,NA())</f>
        <v/>
      </c>
      <c r="C903" s="16">
        <f>IF(AND(ISNUMBER($A903),ISNUMBER(BBG_Data!C903)),BBG_Data!C903,NA())</f>
        <v/>
      </c>
      <c r="D903" s="17">
        <f>IF(AND(ISNUMBER($A903),ISNUMBER(BBG_Data!D903)),BBG_Data!D903,NA())</f>
        <v/>
      </c>
      <c r="E903" s="17">
        <f>IF(AND(ISNUMBER($A903),ISNUMBER(BBG_Data!E903)),BBG_Data!E903,NA())</f>
        <v/>
      </c>
      <c r="F903" s="18">
        <f>IF(AND(ISNUMBER(B903),ISNUMBER(B902)),(B903-B902)*100,"")</f>
        <v/>
      </c>
      <c r="G903" s="18">
        <f>IF(AND(ISNUMBER(C903),ISNUMBER(C902)),(C903-C902)*100,"")</f>
        <v/>
      </c>
      <c r="H903" s="18">
        <f>IF(OR(NOT(ISNUMBER($A903)),ROW()-2&lt;Settings!$B$11),NA(),IF(COUNT(OFFSET(F903,1-Settings!$B$11,0,Settings!$B$11,1))&lt;Settings!$B$11,NA(),STDEV(OFFSET(F903,1-Settings!$B$11,0,Settings!$B$11,1))*SQRT(Settings!$B$13)))</f>
        <v/>
      </c>
      <c r="I903" s="18">
        <f>IF(OR(NOT(ISNUMBER($A903)),ROW()-2&lt;Settings!$B$12),NA(),IF(COUNT(OFFSET(F903,1-Settings!$B$12,0,Settings!$B$12,1))&lt;Settings!$B$12,NA(),STDEV(OFFSET(F903,1-Settings!$B$12,0,Settings!$B$12,1))*SQRT(Settings!$B$13)))</f>
        <v/>
      </c>
      <c r="J903" s="18">
        <f>IF(OR(NOT(ISNUMBER($A903)),ROW()-2&lt;Settings!$B$11),NA(),IF(COUNT(OFFSET(G903,1-Settings!$B$11,0,Settings!$B$11,1))&lt;Settings!$B$11,NA(),STDEV(OFFSET(G903,1-Settings!$B$11,0,Settings!$B$11,1))*SQRT(Settings!$B$13)))</f>
        <v/>
      </c>
      <c r="K903" s="18">
        <f>IF(OR(NOT(ISNUMBER($A903)),ROW()-2&lt;Settings!$B$12),NA(),IF(COUNT(OFFSET(G903,1-Settings!$B$12,0,Settings!$B$12,1))&lt;Settings!$B$12,NA(),STDEV(OFFSET(G903,1-Settings!$B$12,0,Settings!$B$12,1))*SQRT(Settings!$B$13)))</f>
        <v/>
      </c>
      <c r="L903" s="18">
        <f>IF(AND(ISNUMBER(D903),ISNUMBER(H903)),D903-H903,NA())</f>
        <v/>
      </c>
      <c r="M903" s="18">
        <f>IF(AND(ISNUMBER(E903),ISNUMBER(K903)),E903-K903,NA())</f>
        <v/>
      </c>
      <c r="N903" s="18">
        <f>IF(NOT(ISNUMBER($A903)),NA(),IF(COUNT(OFFSET(G903,1,0,Settings!$B$12,1))&lt;Settings!$B$12,NA(),STDEV(OFFSET(G903,1,0,Settings!$B$12,1))*SQRT(Settings!$B$13)))</f>
        <v/>
      </c>
      <c r="O903" s="18">
        <f>IF(AND(ISNUMBER(E903),ISNUMBER(N903)),E903-N903,NA())</f>
        <v/>
      </c>
      <c r="P903" s="17">
        <f>IF(NOT(ISNUMBER($A903)),NA(),IF(OR($A903&lt;MIN(KW_TP!$A$2:$A$2501),$A903&gt;MAX(KW_TP!$A$2:$A$2501)),NA(),INDEX(KW_TP!$C$2:$C$2501,MATCH($A903,KW_TP!$A$2:$A$2501,1))))</f>
        <v/>
      </c>
    </row>
    <row r="904">
      <c r="A904" s="15">
        <f>IF(ISNUMBER(BBG_Data!A904),BBG_Data!A904,"")</f>
        <v/>
      </c>
      <c r="B904" s="16">
        <f>IF(AND(ISNUMBER($A904),ISNUMBER(BBG_Data!B904)),BBG_Data!B904,NA())</f>
        <v/>
      </c>
      <c r="C904" s="16">
        <f>IF(AND(ISNUMBER($A904),ISNUMBER(BBG_Data!C904)),BBG_Data!C904,NA())</f>
        <v/>
      </c>
      <c r="D904" s="17">
        <f>IF(AND(ISNUMBER($A904),ISNUMBER(BBG_Data!D904)),BBG_Data!D904,NA())</f>
        <v/>
      </c>
      <c r="E904" s="17">
        <f>IF(AND(ISNUMBER($A904),ISNUMBER(BBG_Data!E904)),BBG_Data!E904,NA())</f>
        <v/>
      </c>
      <c r="F904" s="18">
        <f>IF(AND(ISNUMBER(B904),ISNUMBER(B903)),(B904-B903)*100,"")</f>
        <v/>
      </c>
      <c r="G904" s="18">
        <f>IF(AND(ISNUMBER(C904),ISNUMBER(C903)),(C904-C903)*100,"")</f>
        <v/>
      </c>
      <c r="H904" s="18">
        <f>IF(OR(NOT(ISNUMBER($A904)),ROW()-2&lt;Settings!$B$11),NA(),IF(COUNT(OFFSET(F904,1-Settings!$B$11,0,Settings!$B$11,1))&lt;Settings!$B$11,NA(),STDEV(OFFSET(F904,1-Settings!$B$11,0,Settings!$B$11,1))*SQRT(Settings!$B$13)))</f>
        <v/>
      </c>
      <c r="I904" s="18">
        <f>IF(OR(NOT(ISNUMBER($A904)),ROW()-2&lt;Settings!$B$12),NA(),IF(COUNT(OFFSET(F904,1-Settings!$B$12,0,Settings!$B$12,1))&lt;Settings!$B$12,NA(),STDEV(OFFSET(F904,1-Settings!$B$12,0,Settings!$B$12,1))*SQRT(Settings!$B$13)))</f>
        <v/>
      </c>
      <c r="J904" s="18">
        <f>IF(OR(NOT(ISNUMBER($A904)),ROW()-2&lt;Settings!$B$11),NA(),IF(COUNT(OFFSET(G904,1-Settings!$B$11,0,Settings!$B$11,1))&lt;Settings!$B$11,NA(),STDEV(OFFSET(G904,1-Settings!$B$11,0,Settings!$B$11,1))*SQRT(Settings!$B$13)))</f>
        <v/>
      </c>
      <c r="K904" s="18">
        <f>IF(OR(NOT(ISNUMBER($A904)),ROW()-2&lt;Settings!$B$12),NA(),IF(COUNT(OFFSET(G904,1-Settings!$B$12,0,Settings!$B$12,1))&lt;Settings!$B$12,NA(),STDEV(OFFSET(G904,1-Settings!$B$12,0,Settings!$B$12,1))*SQRT(Settings!$B$13)))</f>
        <v/>
      </c>
      <c r="L904" s="18">
        <f>IF(AND(ISNUMBER(D904),ISNUMBER(H904)),D904-H904,NA())</f>
        <v/>
      </c>
      <c r="M904" s="18">
        <f>IF(AND(ISNUMBER(E904),ISNUMBER(K904)),E904-K904,NA())</f>
        <v/>
      </c>
      <c r="N904" s="18">
        <f>IF(NOT(ISNUMBER($A904)),NA(),IF(COUNT(OFFSET(G904,1,0,Settings!$B$12,1))&lt;Settings!$B$12,NA(),STDEV(OFFSET(G904,1,0,Settings!$B$12,1))*SQRT(Settings!$B$13)))</f>
        <v/>
      </c>
      <c r="O904" s="18">
        <f>IF(AND(ISNUMBER(E904),ISNUMBER(N904)),E904-N904,NA())</f>
        <v/>
      </c>
      <c r="P904" s="17">
        <f>IF(NOT(ISNUMBER($A904)),NA(),IF(OR($A904&lt;MIN(KW_TP!$A$2:$A$2501),$A904&gt;MAX(KW_TP!$A$2:$A$2501)),NA(),INDEX(KW_TP!$C$2:$C$2501,MATCH($A904,KW_TP!$A$2:$A$2501,1))))</f>
        <v/>
      </c>
    </row>
    <row r="905">
      <c r="A905" s="15">
        <f>IF(ISNUMBER(BBG_Data!A905),BBG_Data!A905,"")</f>
        <v/>
      </c>
      <c r="B905" s="16">
        <f>IF(AND(ISNUMBER($A905),ISNUMBER(BBG_Data!B905)),BBG_Data!B905,NA())</f>
        <v/>
      </c>
      <c r="C905" s="16">
        <f>IF(AND(ISNUMBER($A905),ISNUMBER(BBG_Data!C905)),BBG_Data!C905,NA())</f>
        <v/>
      </c>
      <c r="D905" s="17">
        <f>IF(AND(ISNUMBER($A905),ISNUMBER(BBG_Data!D905)),BBG_Data!D905,NA())</f>
        <v/>
      </c>
      <c r="E905" s="17">
        <f>IF(AND(ISNUMBER($A905),ISNUMBER(BBG_Data!E905)),BBG_Data!E905,NA())</f>
        <v/>
      </c>
      <c r="F905" s="18">
        <f>IF(AND(ISNUMBER(B905),ISNUMBER(B904)),(B905-B904)*100,"")</f>
        <v/>
      </c>
      <c r="G905" s="18">
        <f>IF(AND(ISNUMBER(C905),ISNUMBER(C904)),(C905-C904)*100,"")</f>
        <v/>
      </c>
      <c r="H905" s="18">
        <f>IF(OR(NOT(ISNUMBER($A905)),ROW()-2&lt;Settings!$B$11),NA(),IF(COUNT(OFFSET(F905,1-Settings!$B$11,0,Settings!$B$11,1))&lt;Settings!$B$11,NA(),STDEV(OFFSET(F905,1-Settings!$B$11,0,Settings!$B$11,1))*SQRT(Settings!$B$13)))</f>
        <v/>
      </c>
      <c r="I905" s="18">
        <f>IF(OR(NOT(ISNUMBER($A905)),ROW()-2&lt;Settings!$B$12),NA(),IF(COUNT(OFFSET(F905,1-Settings!$B$12,0,Settings!$B$12,1))&lt;Settings!$B$12,NA(),STDEV(OFFSET(F905,1-Settings!$B$12,0,Settings!$B$12,1))*SQRT(Settings!$B$13)))</f>
        <v/>
      </c>
      <c r="J905" s="18">
        <f>IF(OR(NOT(ISNUMBER($A905)),ROW()-2&lt;Settings!$B$11),NA(),IF(COUNT(OFFSET(G905,1-Settings!$B$11,0,Settings!$B$11,1))&lt;Settings!$B$11,NA(),STDEV(OFFSET(G905,1-Settings!$B$11,0,Settings!$B$11,1))*SQRT(Settings!$B$13)))</f>
        <v/>
      </c>
      <c r="K905" s="18">
        <f>IF(OR(NOT(ISNUMBER($A905)),ROW()-2&lt;Settings!$B$12),NA(),IF(COUNT(OFFSET(G905,1-Settings!$B$12,0,Settings!$B$12,1))&lt;Settings!$B$12,NA(),STDEV(OFFSET(G905,1-Settings!$B$12,0,Settings!$B$12,1))*SQRT(Settings!$B$13)))</f>
        <v/>
      </c>
      <c r="L905" s="18">
        <f>IF(AND(ISNUMBER(D905),ISNUMBER(H905)),D905-H905,NA())</f>
        <v/>
      </c>
      <c r="M905" s="18">
        <f>IF(AND(ISNUMBER(E905),ISNUMBER(K905)),E905-K905,NA())</f>
        <v/>
      </c>
      <c r="N905" s="18">
        <f>IF(NOT(ISNUMBER($A905)),NA(),IF(COUNT(OFFSET(G905,1,0,Settings!$B$12,1))&lt;Settings!$B$12,NA(),STDEV(OFFSET(G905,1,0,Settings!$B$12,1))*SQRT(Settings!$B$13)))</f>
        <v/>
      </c>
      <c r="O905" s="18">
        <f>IF(AND(ISNUMBER(E905),ISNUMBER(N905)),E905-N905,NA())</f>
        <v/>
      </c>
      <c r="P905" s="17">
        <f>IF(NOT(ISNUMBER($A905)),NA(),IF(OR($A905&lt;MIN(KW_TP!$A$2:$A$2501),$A905&gt;MAX(KW_TP!$A$2:$A$2501)),NA(),INDEX(KW_TP!$C$2:$C$2501,MATCH($A905,KW_TP!$A$2:$A$2501,1))))</f>
        <v/>
      </c>
    </row>
    <row r="906">
      <c r="A906" s="15">
        <f>IF(ISNUMBER(BBG_Data!A906),BBG_Data!A906,"")</f>
        <v/>
      </c>
      <c r="B906" s="16">
        <f>IF(AND(ISNUMBER($A906),ISNUMBER(BBG_Data!B906)),BBG_Data!B906,NA())</f>
        <v/>
      </c>
      <c r="C906" s="16">
        <f>IF(AND(ISNUMBER($A906),ISNUMBER(BBG_Data!C906)),BBG_Data!C906,NA())</f>
        <v/>
      </c>
      <c r="D906" s="17">
        <f>IF(AND(ISNUMBER($A906),ISNUMBER(BBG_Data!D906)),BBG_Data!D906,NA())</f>
        <v/>
      </c>
      <c r="E906" s="17">
        <f>IF(AND(ISNUMBER($A906),ISNUMBER(BBG_Data!E906)),BBG_Data!E906,NA())</f>
        <v/>
      </c>
      <c r="F906" s="18">
        <f>IF(AND(ISNUMBER(B906),ISNUMBER(B905)),(B906-B905)*100,"")</f>
        <v/>
      </c>
      <c r="G906" s="18">
        <f>IF(AND(ISNUMBER(C906),ISNUMBER(C905)),(C906-C905)*100,"")</f>
        <v/>
      </c>
      <c r="H906" s="18">
        <f>IF(OR(NOT(ISNUMBER($A906)),ROW()-2&lt;Settings!$B$11),NA(),IF(COUNT(OFFSET(F906,1-Settings!$B$11,0,Settings!$B$11,1))&lt;Settings!$B$11,NA(),STDEV(OFFSET(F906,1-Settings!$B$11,0,Settings!$B$11,1))*SQRT(Settings!$B$13)))</f>
        <v/>
      </c>
      <c r="I906" s="18">
        <f>IF(OR(NOT(ISNUMBER($A906)),ROW()-2&lt;Settings!$B$12),NA(),IF(COUNT(OFFSET(F906,1-Settings!$B$12,0,Settings!$B$12,1))&lt;Settings!$B$12,NA(),STDEV(OFFSET(F906,1-Settings!$B$12,0,Settings!$B$12,1))*SQRT(Settings!$B$13)))</f>
        <v/>
      </c>
      <c r="J906" s="18">
        <f>IF(OR(NOT(ISNUMBER($A906)),ROW()-2&lt;Settings!$B$11),NA(),IF(COUNT(OFFSET(G906,1-Settings!$B$11,0,Settings!$B$11,1))&lt;Settings!$B$11,NA(),STDEV(OFFSET(G906,1-Settings!$B$11,0,Settings!$B$11,1))*SQRT(Settings!$B$13)))</f>
        <v/>
      </c>
      <c r="K906" s="18">
        <f>IF(OR(NOT(ISNUMBER($A906)),ROW()-2&lt;Settings!$B$12),NA(),IF(COUNT(OFFSET(G906,1-Settings!$B$12,0,Settings!$B$12,1))&lt;Settings!$B$12,NA(),STDEV(OFFSET(G906,1-Settings!$B$12,0,Settings!$B$12,1))*SQRT(Settings!$B$13)))</f>
        <v/>
      </c>
      <c r="L906" s="18">
        <f>IF(AND(ISNUMBER(D906),ISNUMBER(H906)),D906-H906,NA())</f>
        <v/>
      </c>
      <c r="M906" s="18">
        <f>IF(AND(ISNUMBER(E906),ISNUMBER(K906)),E906-K906,NA())</f>
        <v/>
      </c>
      <c r="N906" s="18">
        <f>IF(NOT(ISNUMBER($A906)),NA(),IF(COUNT(OFFSET(G906,1,0,Settings!$B$12,1))&lt;Settings!$B$12,NA(),STDEV(OFFSET(G906,1,0,Settings!$B$12,1))*SQRT(Settings!$B$13)))</f>
        <v/>
      </c>
      <c r="O906" s="18">
        <f>IF(AND(ISNUMBER(E906),ISNUMBER(N906)),E906-N906,NA())</f>
        <v/>
      </c>
      <c r="P906" s="17">
        <f>IF(NOT(ISNUMBER($A906)),NA(),IF(OR($A906&lt;MIN(KW_TP!$A$2:$A$2501),$A906&gt;MAX(KW_TP!$A$2:$A$2501)),NA(),INDEX(KW_TP!$C$2:$C$2501,MATCH($A906,KW_TP!$A$2:$A$2501,1))))</f>
        <v/>
      </c>
    </row>
    <row r="907">
      <c r="A907" s="15">
        <f>IF(ISNUMBER(BBG_Data!A907),BBG_Data!A907,"")</f>
        <v/>
      </c>
      <c r="B907" s="16">
        <f>IF(AND(ISNUMBER($A907),ISNUMBER(BBG_Data!B907)),BBG_Data!B907,NA())</f>
        <v/>
      </c>
      <c r="C907" s="16">
        <f>IF(AND(ISNUMBER($A907),ISNUMBER(BBG_Data!C907)),BBG_Data!C907,NA())</f>
        <v/>
      </c>
      <c r="D907" s="17">
        <f>IF(AND(ISNUMBER($A907),ISNUMBER(BBG_Data!D907)),BBG_Data!D907,NA())</f>
        <v/>
      </c>
      <c r="E907" s="17">
        <f>IF(AND(ISNUMBER($A907),ISNUMBER(BBG_Data!E907)),BBG_Data!E907,NA())</f>
        <v/>
      </c>
      <c r="F907" s="18">
        <f>IF(AND(ISNUMBER(B907),ISNUMBER(B906)),(B907-B906)*100,"")</f>
        <v/>
      </c>
      <c r="G907" s="18">
        <f>IF(AND(ISNUMBER(C907),ISNUMBER(C906)),(C907-C906)*100,"")</f>
        <v/>
      </c>
      <c r="H907" s="18">
        <f>IF(OR(NOT(ISNUMBER($A907)),ROW()-2&lt;Settings!$B$11),NA(),IF(COUNT(OFFSET(F907,1-Settings!$B$11,0,Settings!$B$11,1))&lt;Settings!$B$11,NA(),STDEV(OFFSET(F907,1-Settings!$B$11,0,Settings!$B$11,1))*SQRT(Settings!$B$13)))</f>
        <v/>
      </c>
      <c r="I907" s="18">
        <f>IF(OR(NOT(ISNUMBER($A907)),ROW()-2&lt;Settings!$B$12),NA(),IF(COUNT(OFFSET(F907,1-Settings!$B$12,0,Settings!$B$12,1))&lt;Settings!$B$12,NA(),STDEV(OFFSET(F907,1-Settings!$B$12,0,Settings!$B$12,1))*SQRT(Settings!$B$13)))</f>
        <v/>
      </c>
      <c r="J907" s="18">
        <f>IF(OR(NOT(ISNUMBER($A907)),ROW()-2&lt;Settings!$B$11),NA(),IF(COUNT(OFFSET(G907,1-Settings!$B$11,0,Settings!$B$11,1))&lt;Settings!$B$11,NA(),STDEV(OFFSET(G907,1-Settings!$B$11,0,Settings!$B$11,1))*SQRT(Settings!$B$13)))</f>
        <v/>
      </c>
      <c r="K907" s="18">
        <f>IF(OR(NOT(ISNUMBER($A907)),ROW()-2&lt;Settings!$B$12),NA(),IF(COUNT(OFFSET(G907,1-Settings!$B$12,0,Settings!$B$12,1))&lt;Settings!$B$12,NA(),STDEV(OFFSET(G907,1-Settings!$B$12,0,Settings!$B$12,1))*SQRT(Settings!$B$13)))</f>
        <v/>
      </c>
      <c r="L907" s="18">
        <f>IF(AND(ISNUMBER(D907),ISNUMBER(H907)),D907-H907,NA())</f>
        <v/>
      </c>
      <c r="M907" s="18">
        <f>IF(AND(ISNUMBER(E907),ISNUMBER(K907)),E907-K907,NA())</f>
        <v/>
      </c>
      <c r="N907" s="18">
        <f>IF(NOT(ISNUMBER($A907)),NA(),IF(COUNT(OFFSET(G907,1,0,Settings!$B$12,1))&lt;Settings!$B$12,NA(),STDEV(OFFSET(G907,1,0,Settings!$B$12,1))*SQRT(Settings!$B$13)))</f>
        <v/>
      </c>
      <c r="O907" s="18">
        <f>IF(AND(ISNUMBER(E907),ISNUMBER(N907)),E907-N907,NA())</f>
        <v/>
      </c>
      <c r="P907" s="17">
        <f>IF(NOT(ISNUMBER($A907)),NA(),IF(OR($A907&lt;MIN(KW_TP!$A$2:$A$2501),$A907&gt;MAX(KW_TP!$A$2:$A$2501)),NA(),INDEX(KW_TP!$C$2:$C$2501,MATCH($A907,KW_TP!$A$2:$A$2501,1))))</f>
        <v/>
      </c>
    </row>
    <row r="908">
      <c r="A908" s="15">
        <f>IF(ISNUMBER(BBG_Data!A908),BBG_Data!A908,"")</f>
        <v/>
      </c>
      <c r="B908" s="16">
        <f>IF(AND(ISNUMBER($A908),ISNUMBER(BBG_Data!B908)),BBG_Data!B908,NA())</f>
        <v/>
      </c>
      <c r="C908" s="16">
        <f>IF(AND(ISNUMBER($A908),ISNUMBER(BBG_Data!C908)),BBG_Data!C908,NA())</f>
        <v/>
      </c>
      <c r="D908" s="17">
        <f>IF(AND(ISNUMBER($A908),ISNUMBER(BBG_Data!D908)),BBG_Data!D908,NA())</f>
        <v/>
      </c>
      <c r="E908" s="17">
        <f>IF(AND(ISNUMBER($A908),ISNUMBER(BBG_Data!E908)),BBG_Data!E908,NA())</f>
        <v/>
      </c>
      <c r="F908" s="18">
        <f>IF(AND(ISNUMBER(B908),ISNUMBER(B907)),(B908-B907)*100,"")</f>
        <v/>
      </c>
      <c r="G908" s="18">
        <f>IF(AND(ISNUMBER(C908),ISNUMBER(C907)),(C908-C907)*100,"")</f>
        <v/>
      </c>
      <c r="H908" s="18">
        <f>IF(OR(NOT(ISNUMBER($A908)),ROW()-2&lt;Settings!$B$11),NA(),IF(COUNT(OFFSET(F908,1-Settings!$B$11,0,Settings!$B$11,1))&lt;Settings!$B$11,NA(),STDEV(OFFSET(F908,1-Settings!$B$11,0,Settings!$B$11,1))*SQRT(Settings!$B$13)))</f>
        <v/>
      </c>
      <c r="I908" s="18">
        <f>IF(OR(NOT(ISNUMBER($A908)),ROW()-2&lt;Settings!$B$12),NA(),IF(COUNT(OFFSET(F908,1-Settings!$B$12,0,Settings!$B$12,1))&lt;Settings!$B$12,NA(),STDEV(OFFSET(F908,1-Settings!$B$12,0,Settings!$B$12,1))*SQRT(Settings!$B$13)))</f>
        <v/>
      </c>
      <c r="J908" s="18">
        <f>IF(OR(NOT(ISNUMBER($A908)),ROW()-2&lt;Settings!$B$11),NA(),IF(COUNT(OFFSET(G908,1-Settings!$B$11,0,Settings!$B$11,1))&lt;Settings!$B$11,NA(),STDEV(OFFSET(G908,1-Settings!$B$11,0,Settings!$B$11,1))*SQRT(Settings!$B$13)))</f>
        <v/>
      </c>
      <c r="K908" s="18">
        <f>IF(OR(NOT(ISNUMBER($A908)),ROW()-2&lt;Settings!$B$12),NA(),IF(COUNT(OFFSET(G908,1-Settings!$B$12,0,Settings!$B$12,1))&lt;Settings!$B$12,NA(),STDEV(OFFSET(G908,1-Settings!$B$12,0,Settings!$B$12,1))*SQRT(Settings!$B$13)))</f>
        <v/>
      </c>
      <c r="L908" s="18">
        <f>IF(AND(ISNUMBER(D908),ISNUMBER(H908)),D908-H908,NA())</f>
        <v/>
      </c>
      <c r="M908" s="18">
        <f>IF(AND(ISNUMBER(E908),ISNUMBER(K908)),E908-K908,NA())</f>
        <v/>
      </c>
      <c r="N908" s="18">
        <f>IF(NOT(ISNUMBER($A908)),NA(),IF(COUNT(OFFSET(G908,1,0,Settings!$B$12,1))&lt;Settings!$B$12,NA(),STDEV(OFFSET(G908,1,0,Settings!$B$12,1))*SQRT(Settings!$B$13)))</f>
        <v/>
      </c>
      <c r="O908" s="18">
        <f>IF(AND(ISNUMBER(E908),ISNUMBER(N908)),E908-N908,NA())</f>
        <v/>
      </c>
      <c r="P908" s="17">
        <f>IF(NOT(ISNUMBER($A908)),NA(),IF(OR($A908&lt;MIN(KW_TP!$A$2:$A$2501),$A908&gt;MAX(KW_TP!$A$2:$A$2501)),NA(),INDEX(KW_TP!$C$2:$C$2501,MATCH($A908,KW_TP!$A$2:$A$2501,1))))</f>
        <v/>
      </c>
    </row>
    <row r="909">
      <c r="A909" s="15">
        <f>IF(ISNUMBER(BBG_Data!A909),BBG_Data!A909,"")</f>
        <v/>
      </c>
      <c r="B909" s="16">
        <f>IF(AND(ISNUMBER($A909),ISNUMBER(BBG_Data!B909)),BBG_Data!B909,NA())</f>
        <v/>
      </c>
      <c r="C909" s="16">
        <f>IF(AND(ISNUMBER($A909),ISNUMBER(BBG_Data!C909)),BBG_Data!C909,NA())</f>
        <v/>
      </c>
      <c r="D909" s="17">
        <f>IF(AND(ISNUMBER($A909),ISNUMBER(BBG_Data!D909)),BBG_Data!D909,NA())</f>
        <v/>
      </c>
      <c r="E909" s="17">
        <f>IF(AND(ISNUMBER($A909),ISNUMBER(BBG_Data!E909)),BBG_Data!E909,NA())</f>
        <v/>
      </c>
      <c r="F909" s="18">
        <f>IF(AND(ISNUMBER(B909),ISNUMBER(B908)),(B909-B908)*100,"")</f>
        <v/>
      </c>
      <c r="G909" s="18">
        <f>IF(AND(ISNUMBER(C909),ISNUMBER(C908)),(C909-C908)*100,"")</f>
        <v/>
      </c>
      <c r="H909" s="18">
        <f>IF(OR(NOT(ISNUMBER($A909)),ROW()-2&lt;Settings!$B$11),NA(),IF(COUNT(OFFSET(F909,1-Settings!$B$11,0,Settings!$B$11,1))&lt;Settings!$B$11,NA(),STDEV(OFFSET(F909,1-Settings!$B$11,0,Settings!$B$11,1))*SQRT(Settings!$B$13)))</f>
        <v/>
      </c>
      <c r="I909" s="18">
        <f>IF(OR(NOT(ISNUMBER($A909)),ROW()-2&lt;Settings!$B$12),NA(),IF(COUNT(OFFSET(F909,1-Settings!$B$12,0,Settings!$B$12,1))&lt;Settings!$B$12,NA(),STDEV(OFFSET(F909,1-Settings!$B$12,0,Settings!$B$12,1))*SQRT(Settings!$B$13)))</f>
        <v/>
      </c>
      <c r="J909" s="18">
        <f>IF(OR(NOT(ISNUMBER($A909)),ROW()-2&lt;Settings!$B$11),NA(),IF(COUNT(OFFSET(G909,1-Settings!$B$11,0,Settings!$B$11,1))&lt;Settings!$B$11,NA(),STDEV(OFFSET(G909,1-Settings!$B$11,0,Settings!$B$11,1))*SQRT(Settings!$B$13)))</f>
        <v/>
      </c>
      <c r="K909" s="18">
        <f>IF(OR(NOT(ISNUMBER($A909)),ROW()-2&lt;Settings!$B$12),NA(),IF(COUNT(OFFSET(G909,1-Settings!$B$12,0,Settings!$B$12,1))&lt;Settings!$B$12,NA(),STDEV(OFFSET(G909,1-Settings!$B$12,0,Settings!$B$12,1))*SQRT(Settings!$B$13)))</f>
        <v/>
      </c>
      <c r="L909" s="18">
        <f>IF(AND(ISNUMBER(D909),ISNUMBER(H909)),D909-H909,NA())</f>
        <v/>
      </c>
      <c r="M909" s="18">
        <f>IF(AND(ISNUMBER(E909),ISNUMBER(K909)),E909-K909,NA())</f>
        <v/>
      </c>
      <c r="N909" s="18">
        <f>IF(NOT(ISNUMBER($A909)),NA(),IF(COUNT(OFFSET(G909,1,0,Settings!$B$12,1))&lt;Settings!$B$12,NA(),STDEV(OFFSET(G909,1,0,Settings!$B$12,1))*SQRT(Settings!$B$13)))</f>
        <v/>
      </c>
      <c r="O909" s="18">
        <f>IF(AND(ISNUMBER(E909),ISNUMBER(N909)),E909-N909,NA())</f>
        <v/>
      </c>
      <c r="P909" s="17">
        <f>IF(NOT(ISNUMBER($A909)),NA(),IF(OR($A909&lt;MIN(KW_TP!$A$2:$A$2501),$A909&gt;MAX(KW_TP!$A$2:$A$2501)),NA(),INDEX(KW_TP!$C$2:$C$2501,MATCH($A909,KW_TP!$A$2:$A$2501,1))))</f>
        <v/>
      </c>
    </row>
    <row r="910">
      <c r="A910" s="15">
        <f>IF(ISNUMBER(BBG_Data!A910),BBG_Data!A910,"")</f>
        <v/>
      </c>
      <c r="B910" s="16">
        <f>IF(AND(ISNUMBER($A910),ISNUMBER(BBG_Data!B910)),BBG_Data!B910,NA())</f>
        <v/>
      </c>
      <c r="C910" s="16">
        <f>IF(AND(ISNUMBER($A910),ISNUMBER(BBG_Data!C910)),BBG_Data!C910,NA())</f>
        <v/>
      </c>
      <c r="D910" s="17">
        <f>IF(AND(ISNUMBER($A910),ISNUMBER(BBG_Data!D910)),BBG_Data!D910,NA())</f>
        <v/>
      </c>
      <c r="E910" s="17">
        <f>IF(AND(ISNUMBER($A910),ISNUMBER(BBG_Data!E910)),BBG_Data!E910,NA())</f>
        <v/>
      </c>
      <c r="F910" s="18">
        <f>IF(AND(ISNUMBER(B910),ISNUMBER(B909)),(B910-B909)*100,"")</f>
        <v/>
      </c>
      <c r="G910" s="18">
        <f>IF(AND(ISNUMBER(C910),ISNUMBER(C909)),(C910-C909)*100,"")</f>
        <v/>
      </c>
      <c r="H910" s="18">
        <f>IF(OR(NOT(ISNUMBER($A910)),ROW()-2&lt;Settings!$B$11),NA(),IF(COUNT(OFFSET(F910,1-Settings!$B$11,0,Settings!$B$11,1))&lt;Settings!$B$11,NA(),STDEV(OFFSET(F910,1-Settings!$B$11,0,Settings!$B$11,1))*SQRT(Settings!$B$13)))</f>
        <v/>
      </c>
      <c r="I910" s="18">
        <f>IF(OR(NOT(ISNUMBER($A910)),ROW()-2&lt;Settings!$B$12),NA(),IF(COUNT(OFFSET(F910,1-Settings!$B$12,0,Settings!$B$12,1))&lt;Settings!$B$12,NA(),STDEV(OFFSET(F910,1-Settings!$B$12,0,Settings!$B$12,1))*SQRT(Settings!$B$13)))</f>
        <v/>
      </c>
      <c r="J910" s="18">
        <f>IF(OR(NOT(ISNUMBER($A910)),ROW()-2&lt;Settings!$B$11),NA(),IF(COUNT(OFFSET(G910,1-Settings!$B$11,0,Settings!$B$11,1))&lt;Settings!$B$11,NA(),STDEV(OFFSET(G910,1-Settings!$B$11,0,Settings!$B$11,1))*SQRT(Settings!$B$13)))</f>
        <v/>
      </c>
      <c r="K910" s="18">
        <f>IF(OR(NOT(ISNUMBER($A910)),ROW()-2&lt;Settings!$B$12),NA(),IF(COUNT(OFFSET(G910,1-Settings!$B$12,0,Settings!$B$12,1))&lt;Settings!$B$12,NA(),STDEV(OFFSET(G910,1-Settings!$B$12,0,Settings!$B$12,1))*SQRT(Settings!$B$13)))</f>
        <v/>
      </c>
      <c r="L910" s="18">
        <f>IF(AND(ISNUMBER(D910),ISNUMBER(H910)),D910-H910,NA())</f>
        <v/>
      </c>
      <c r="M910" s="18">
        <f>IF(AND(ISNUMBER(E910),ISNUMBER(K910)),E910-K910,NA())</f>
        <v/>
      </c>
      <c r="N910" s="18">
        <f>IF(NOT(ISNUMBER($A910)),NA(),IF(COUNT(OFFSET(G910,1,0,Settings!$B$12,1))&lt;Settings!$B$12,NA(),STDEV(OFFSET(G910,1,0,Settings!$B$12,1))*SQRT(Settings!$B$13)))</f>
        <v/>
      </c>
      <c r="O910" s="18">
        <f>IF(AND(ISNUMBER(E910),ISNUMBER(N910)),E910-N910,NA())</f>
        <v/>
      </c>
      <c r="P910" s="17">
        <f>IF(NOT(ISNUMBER($A910)),NA(),IF(OR($A910&lt;MIN(KW_TP!$A$2:$A$2501),$A910&gt;MAX(KW_TP!$A$2:$A$2501)),NA(),INDEX(KW_TP!$C$2:$C$2501,MATCH($A910,KW_TP!$A$2:$A$2501,1))))</f>
        <v/>
      </c>
    </row>
    <row r="911">
      <c r="A911" s="15">
        <f>IF(ISNUMBER(BBG_Data!A911),BBG_Data!A911,"")</f>
        <v/>
      </c>
      <c r="B911" s="16">
        <f>IF(AND(ISNUMBER($A911),ISNUMBER(BBG_Data!B911)),BBG_Data!B911,NA())</f>
        <v/>
      </c>
      <c r="C911" s="16">
        <f>IF(AND(ISNUMBER($A911),ISNUMBER(BBG_Data!C911)),BBG_Data!C911,NA())</f>
        <v/>
      </c>
      <c r="D911" s="17">
        <f>IF(AND(ISNUMBER($A911),ISNUMBER(BBG_Data!D911)),BBG_Data!D911,NA())</f>
        <v/>
      </c>
      <c r="E911" s="17">
        <f>IF(AND(ISNUMBER($A911),ISNUMBER(BBG_Data!E911)),BBG_Data!E911,NA())</f>
        <v/>
      </c>
      <c r="F911" s="18">
        <f>IF(AND(ISNUMBER(B911),ISNUMBER(B910)),(B911-B910)*100,"")</f>
        <v/>
      </c>
      <c r="G911" s="18">
        <f>IF(AND(ISNUMBER(C911),ISNUMBER(C910)),(C911-C910)*100,"")</f>
        <v/>
      </c>
      <c r="H911" s="18">
        <f>IF(OR(NOT(ISNUMBER($A911)),ROW()-2&lt;Settings!$B$11),NA(),IF(COUNT(OFFSET(F911,1-Settings!$B$11,0,Settings!$B$11,1))&lt;Settings!$B$11,NA(),STDEV(OFFSET(F911,1-Settings!$B$11,0,Settings!$B$11,1))*SQRT(Settings!$B$13)))</f>
        <v/>
      </c>
      <c r="I911" s="18">
        <f>IF(OR(NOT(ISNUMBER($A911)),ROW()-2&lt;Settings!$B$12),NA(),IF(COUNT(OFFSET(F911,1-Settings!$B$12,0,Settings!$B$12,1))&lt;Settings!$B$12,NA(),STDEV(OFFSET(F911,1-Settings!$B$12,0,Settings!$B$12,1))*SQRT(Settings!$B$13)))</f>
        <v/>
      </c>
      <c r="J911" s="18">
        <f>IF(OR(NOT(ISNUMBER($A911)),ROW()-2&lt;Settings!$B$11),NA(),IF(COUNT(OFFSET(G911,1-Settings!$B$11,0,Settings!$B$11,1))&lt;Settings!$B$11,NA(),STDEV(OFFSET(G911,1-Settings!$B$11,0,Settings!$B$11,1))*SQRT(Settings!$B$13)))</f>
        <v/>
      </c>
      <c r="K911" s="18">
        <f>IF(OR(NOT(ISNUMBER($A911)),ROW()-2&lt;Settings!$B$12),NA(),IF(COUNT(OFFSET(G911,1-Settings!$B$12,0,Settings!$B$12,1))&lt;Settings!$B$12,NA(),STDEV(OFFSET(G911,1-Settings!$B$12,0,Settings!$B$12,1))*SQRT(Settings!$B$13)))</f>
        <v/>
      </c>
      <c r="L911" s="18">
        <f>IF(AND(ISNUMBER(D911),ISNUMBER(H911)),D911-H911,NA())</f>
        <v/>
      </c>
      <c r="M911" s="18">
        <f>IF(AND(ISNUMBER(E911),ISNUMBER(K911)),E911-K911,NA())</f>
        <v/>
      </c>
      <c r="N911" s="18">
        <f>IF(NOT(ISNUMBER($A911)),NA(),IF(COUNT(OFFSET(G911,1,0,Settings!$B$12,1))&lt;Settings!$B$12,NA(),STDEV(OFFSET(G911,1,0,Settings!$B$12,1))*SQRT(Settings!$B$13)))</f>
        <v/>
      </c>
      <c r="O911" s="18">
        <f>IF(AND(ISNUMBER(E911),ISNUMBER(N911)),E911-N911,NA())</f>
        <v/>
      </c>
      <c r="P911" s="17">
        <f>IF(NOT(ISNUMBER($A911)),NA(),IF(OR($A911&lt;MIN(KW_TP!$A$2:$A$2501),$A911&gt;MAX(KW_TP!$A$2:$A$2501)),NA(),INDEX(KW_TP!$C$2:$C$2501,MATCH($A911,KW_TP!$A$2:$A$2501,1))))</f>
        <v/>
      </c>
    </row>
    <row r="912">
      <c r="A912" s="15">
        <f>IF(ISNUMBER(BBG_Data!A912),BBG_Data!A912,"")</f>
        <v/>
      </c>
      <c r="B912" s="16">
        <f>IF(AND(ISNUMBER($A912),ISNUMBER(BBG_Data!B912)),BBG_Data!B912,NA())</f>
        <v/>
      </c>
      <c r="C912" s="16">
        <f>IF(AND(ISNUMBER($A912),ISNUMBER(BBG_Data!C912)),BBG_Data!C912,NA())</f>
        <v/>
      </c>
      <c r="D912" s="17">
        <f>IF(AND(ISNUMBER($A912),ISNUMBER(BBG_Data!D912)),BBG_Data!D912,NA())</f>
        <v/>
      </c>
      <c r="E912" s="17">
        <f>IF(AND(ISNUMBER($A912),ISNUMBER(BBG_Data!E912)),BBG_Data!E912,NA())</f>
        <v/>
      </c>
      <c r="F912" s="18">
        <f>IF(AND(ISNUMBER(B912),ISNUMBER(B911)),(B912-B911)*100,"")</f>
        <v/>
      </c>
      <c r="G912" s="18">
        <f>IF(AND(ISNUMBER(C912),ISNUMBER(C911)),(C912-C911)*100,"")</f>
        <v/>
      </c>
      <c r="H912" s="18">
        <f>IF(OR(NOT(ISNUMBER($A912)),ROW()-2&lt;Settings!$B$11),NA(),IF(COUNT(OFFSET(F912,1-Settings!$B$11,0,Settings!$B$11,1))&lt;Settings!$B$11,NA(),STDEV(OFFSET(F912,1-Settings!$B$11,0,Settings!$B$11,1))*SQRT(Settings!$B$13)))</f>
        <v/>
      </c>
      <c r="I912" s="18">
        <f>IF(OR(NOT(ISNUMBER($A912)),ROW()-2&lt;Settings!$B$12),NA(),IF(COUNT(OFFSET(F912,1-Settings!$B$12,0,Settings!$B$12,1))&lt;Settings!$B$12,NA(),STDEV(OFFSET(F912,1-Settings!$B$12,0,Settings!$B$12,1))*SQRT(Settings!$B$13)))</f>
        <v/>
      </c>
      <c r="J912" s="18">
        <f>IF(OR(NOT(ISNUMBER($A912)),ROW()-2&lt;Settings!$B$11),NA(),IF(COUNT(OFFSET(G912,1-Settings!$B$11,0,Settings!$B$11,1))&lt;Settings!$B$11,NA(),STDEV(OFFSET(G912,1-Settings!$B$11,0,Settings!$B$11,1))*SQRT(Settings!$B$13)))</f>
        <v/>
      </c>
      <c r="K912" s="18">
        <f>IF(OR(NOT(ISNUMBER($A912)),ROW()-2&lt;Settings!$B$12),NA(),IF(COUNT(OFFSET(G912,1-Settings!$B$12,0,Settings!$B$12,1))&lt;Settings!$B$12,NA(),STDEV(OFFSET(G912,1-Settings!$B$12,0,Settings!$B$12,1))*SQRT(Settings!$B$13)))</f>
        <v/>
      </c>
      <c r="L912" s="18">
        <f>IF(AND(ISNUMBER(D912),ISNUMBER(H912)),D912-H912,NA())</f>
        <v/>
      </c>
      <c r="M912" s="18">
        <f>IF(AND(ISNUMBER(E912),ISNUMBER(K912)),E912-K912,NA())</f>
        <v/>
      </c>
      <c r="N912" s="18">
        <f>IF(NOT(ISNUMBER($A912)),NA(),IF(COUNT(OFFSET(G912,1,0,Settings!$B$12,1))&lt;Settings!$B$12,NA(),STDEV(OFFSET(G912,1,0,Settings!$B$12,1))*SQRT(Settings!$B$13)))</f>
        <v/>
      </c>
      <c r="O912" s="18">
        <f>IF(AND(ISNUMBER(E912),ISNUMBER(N912)),E912-N912,NA())</f>
        <v/>
      </c>
      <c r="P912" s="17">
        <f>IF(NOT(ISNUMBER($A912)),NA(),IF(OR($A912&lt;MIN(KW_TP!$A$2:$A$2501),$A912&gt;MAX(KW_TP!$A$2:$A$2501)),NA(),INDEX(KW_TP!$C$2:$C$2501,MATCH($A912,KW_TP!$A$2:$A$2501,1))))</f>
        <v/>
      </c>
    </row>
    <row r="913">
      <c r="A913" s="15">
        <f>IF(ISNUMBER(BBG_Data!A913),BBG_Data!A913,"")</f>
        <v/>
      </c>
      <c r="B913" s="16">
        <f>IF(AND(ISNUMBER($A913),ISNUMBER(BBG_Data!B913)),BBG_Data!B913,NA())</f>
        <v/>
      </c>
      <c r="C913" s="16">
        <f>IF(AND(ISNUMBER($A913),ISNUMBER(BBG_Data!C913)),BBG_Data!C913,NA())</f>
        <v/>
      </c>
      <c r="D913" s="17">
        <f>IF(AND(ISNUMBER($A913),ISNUMBER(BBG_Data!D913)),BBG_Data!D913,NA())</f>
        <v/>
      </c>
      <c r="E913" s="17">
        <f>IF(AND(ISNUMBER($A913),ISNUMBER(BBG_Data!E913)),BBG_Data!E913,NA())</f>
        <v/>
      </c>
      <c r="F913" s="18">
        <f>IF(AND(ISNUMBER(B913),ISNUMBER(B912)),(B913-B912)*100,"")</f>
        <v/>
      </c>
      <c r="G913" s="18">
        <f>IF(AND(ISNUMBER(C913),ISNUMBER(C912)),(C913-C912)*100,"")</f>
        <v/>
      </c>
      <c r="H913" s="18">
        <f>IF(OR(NOT(ISNUMBER($A913)),ROW()-2&lt;Settings!$B$11),NA(),IF(COUNT(OFFSET(F913,1-Settings!$B$11,0,Settings!$B$11,1))&lt;Settings!$B$11,NA(),STDEV(OFFSET(F913,1-Settings!$B$11,0,Settings!$B$11,1))*SQRT(Settings!$B$13)))</f>
        <v/>
      </c>
      <c r="I913" s="18">
        <f>IF(OR(NOT(ISNUMBER($A913)),ROW()-2&lt;Settings!$B$12),NA(),IF(COUNT(OFFSET(F913,1-Settings!$B$12,0,Settings!$B$12,1))&lt;Settings!$B$12,NA(),STDEV(OFFSET(F913,1-Settings!$B$12,0,Settings!$B$12,1))*SQRT(Settings!$B$13)))</f>
        <v/>
      </c>
      <c r="J913" s="18">
        <f>IF(OR(NOT(ISNUMBER($A913)),ROW()-2&lt;Settings!$B$11),NA(),IF(COUNT(OFFSET(G913,1-Settings!$B$11,0,Settings!$B$11,1))&lt;Settings!$B$11,NA(),STDEV(OFFSET(G913,1-Settings!$B$11,0,Settings!$B$11,1))*SQRT(Settings!$B$13)))</f>
        <v/>
      </c>
      <c r="K913" s="18">
        <f>IF(OR(NOT(ISNUMBER($A913)),ROW()-2&lt;Settings!$B$12),NA(),IF(COUNT(OFFSET(G913,1-Settings!$B$12,0,Settings!$B$12,1))&lt;Settings!$B$12,NA(),STDEV(OFFSET(G913,1-Settings!$B$12,0,Settings!$B$12,1))*SQRT(Settings!$B$13)))</f>
        <v/>
      </c>
      <c r="L913" s="18">
        <f>IF(AND(ISNUMBER(D913),ISNUMBER(H913)),D913-H913,NA())</f>
        <v/>
      </c>
      <c r="M913" s="18">
        <f>IF(AND(ISNUMBER(E913),ISNUMBER(K913)),E913-K913,NA())</f>
        <v/>
      </c>
      <c r="N913" s="18">
        <f>IF(NOT(ISNUMBER($A913)),NA(),IF(COUNT(OFFSET(G913,1,0,Settings!$B$12,1))&lt;Settings!$B$12,NA(),STDEV(OFFSET(G913,1,0,Settings!$B$12,1))*SQRT(Settings!$B$13)))</f>
        <v/>
      </c>
      <c r="O913" s="18">
        <f>IF(AND(ISNUMBER(E913),ISNUMBER(N913)),E913-N913,NA())</f>
        <v/>
      </c>
      <c r="P913" s="17">
        <f>IF(NOT(ISNUMBER($A913)),NA(),IF(OR($A913&lt;MIN(KW_TP!$A$2:$A$2501),$A913&gt;MAX(KW_TP!$A$2:$A$2501)),NA(),INDEX(KW_TP!$C$2:$C$2501,MATCH($A913,KW_TP!$A$2:$A$2501,1))))</f>
        <v/>
      </c>
    </row>
    <row r="914">
      <c r="A914" s="15">
        <f>IF(ISNUMBER(BBG_Data!A914),BBG_Data!A914,"")</f>
        <v/>
      </c>
      <c r="B914" s="16">
        <f>IF(AND(ISNUMBER($A914),ISNUMBER(BBG_Data!B914)),BBG_Data!B914,NA())</f>
        <v/>
      </c>
      <c r="C914" s="16">
        <f>IF(AND(ISNUMBER($A914),ISNUMBER(BBG_Data!C914)),BBG_Data!C914,NA())</f>
        <v/>
      </c>
      <c r="D914" s="17">
        <f>IF(AND(ISNUMBER($A914),ISNUMBER(BBG_Data!D914)),BBG_Data!D914,NA())</f>
        <v/>
      </c>
      <c r="E914" s="17">
        <f>IF(AND(ISNUMBER($A914),ISNUMBER(BBG_Data!E914)),BBG_Data!E914,NA())</f>
        <v/>
      </c>
      <c r="F914" s="18">
        <f>IF(AND(ISNUMBER(B914),ISNUMBER(B913)),(B914-B913)*100,"")</f>
        <v/>
      </c>
      <c r="G914" s="18">
        <f>IF(AND(ISNUMBER(C914),ISNUMBER(C913)),(C914-C913)*100,"")</f>
        <v/>
      </c>
      <c r="H914" s="18">
        <f>IF(OR(NOT(ISNUMBER($A914)),ROW()-2&lt;Settings!$B$11),NA(),IF(COUNT(OFFSET(F914,1-Settings!$B$11,0,Settings!$B$11,1))&lt;Settings!$B$11,NA(),STDEV(OFFSET(F914,1-Settings!$B$11,0,Settings!$B$11,1))*SQRT(Settings!$B$13)))</f>
        <v/>
      </c>
      <c r="I914" s="18">
        <f>IF(OR(NOT(ISNUMBER($A914)),ROW()-2&lt;Settings!$B$12),NA(),IF(COUNT(OFFSET(F914,1-Settings!$B$12,0,Settings!$B$12,1))&lt;Settings!$B$12,NA(),STDEV(OFFSET(F914,1-Settings!$B$12,0,Settings!$B$12,1))*SQRT(Settings!$B$13)))</f>
        <v/>
      </c>
      <c r="J914" s="18">
        <f>IF(OR(NOT(ISNUMBER($A914)),ROW()-2&lt;Settings!$B$11),NA(),IF(COUNT(OFFSET(G914,1-Settings!$B$11,0,Settings!$B$11,1))&lt;Settings!$B$11,NA(),STDEV(OFFSET(G914,1-Settings!$B$11,0,Settings!$B$11,1))*SQRT(Settings!$B$13)))</f>
        <v/>
      </c>
      <c r="K914" s="18">
        <f>IF(OR(NOT(ISNUMBER($A914)),ROW()-2&lt;Settings!$B$12),NA(),IF(COUNT(OFFSET(G914,1-Settings!$B$12,0,Settings!$B$12,1))&lt;Settings!$B$12,NA(),STDEV(OFFSET(G914,1-Settings!$B$12,0,Settings!$B$12,1))*SQRT(Settings!$B$13)))</f>
        <v/>
      </c>
      <c r="L914" s="18">
        <f>IF(AND(ISNUMBER(D914),ISNUMBER(H914)),D914-H914,NA())</f>
        <v/>
      </c>
      <c r="M914" s="18">
        <f>IF(AND(ISNUMBER(E914),ISNUMBER(K914)),E914-K914,NA())</f>
        <v/>
      </c>
      <c r="N914" s="18">
        <f>IF(NOT(ISNUMBER($A914)),NA(),IF(COUNT(OFFSET(G914,1,0,Settings!$B$12,1))&lt;Settings!$B$12,NA(),STDEV(OFFSET(G914,1,0,Settings!$B$12,1))*SQRT(Settings!$B$13)))</f>
        <v/>
      </c>
      <c r="O914" s="18">
        <f>IF(AND(ISNUMBER(E914),ISNUMBER(N914)),E914-N914,NA())</f>
        <v/>
      </c>
      <c r="P914" s="17">
        <f>IF(NOT(ISNUMBER($A914)),NA(),IF(OR($A914&lt;MIN(KW_TP!$A$2:$A$2501),$A914&gt;MAX(KW_TP!$A$2:$A$2501)),NA(),INDEX(KW_TP!$C$2:$C$2501,MATCH($A914,KW_TP!$A$2:$A$2501,1))))</f>
        <v/>
      </c>
    </row>
    <row r="915">
      <c r="A915" s="15">
        <f>IF(ISNUMBER(BBG_Data!A915),BBG_Data!A915,"")</f>
        <v/>
      </c>
      <c r="B915" s="16">
        <f>IF(AND(ISNUMBER($A915),ISNUMBER(BBG_Data!B915)),BBG_Data!B915,NA())</f>
        <v/>
      </c>
      <c r="C915" s="16">
        <f>IF(AND(ISNUMBER($A915),ISNUMBER(BBG_Data!C915)),BBG_Data!C915,NA())</f>
        <v/>
      </c>
      <c r="D915" s="17">
        <f>IF(AND(ISNUMBER($A915),ISNUMBER(BBG_Data!D915)),BBG_Data!D915,NA())</f>
        <v/>
      </c>
      <c r="E915" s="17">
        <f>IF(AND(ISNUMBER($A915),ISNUMBER(BBG_Data!E915)),BBG_Data!E915,NA())</f>
        <v/>
      </c>
      <c r="F915" s="18">
        <f>IF(AND(ISNUMBER(B915),ISNUMBER(B914)),(B915-B914)*100,"")</f>
        <v/>
      </c>
      <c r="G915" s="18">
        <f>IF(AND(ISNUMBER(C915),ISNUMBER(C914)),(C915-C914)*100,"")</f>
        <v/>
      </c>
      <c r="H915" s="18">
        <f>IF(OR(NOT(ISNUMBER($A915)),ROW()-2&lt;Settings!$B$11),NA(),IF(COUNT(OFFSET(F915,1-Settings!$B$11,0,Settings!$B$11,1))&lt;Settings!$B$11,NA(),STDEV(OFFSET(F915,1-Settings!$B$11,0,Settings!$B$11,1))*SQRT(Settings!$B$13)))</f>
        <v/>
      </c>
      <c r="I915" s="18">
        <f>IF(OR(NOT(ISNUMBER($A915)),ROW()-2&lt;Settings!$B$12),NA(),IF(COUNT(OFFSET(F915,1-Settings!$B$12,0,Settings!$B$12,1))&lt;Settings!$B$12,NA(),STDEV(OFFSET(F915,1-Settings!$B$12,0,Settings!$B$12,1))*SQRT(Settings!$B$13)))</f>
        <v/>
      </c>
      <c r="J915" s="18">
        <f>IF(OR(NOT(ISNUMBER($A915)),ROW()-2&lt;Settings!$B$11),NA(),IF(COUNT(OFFSET(G915,1-Settings!$B$11,0,Settings!$B$11,1))&lt;Settings!$B$11,NA(),STDEV(OFFSET(G915,1-Settings!$B$11,0,Settings!$B$11,1))*SQRT(Settings!$B$13)))</f>
        <v/>
      </c>
      <c r="K915" s="18">
        <f>IF(OR(NOT(ISNUMBER($A915)),ROW()-2&lt;Settings!$B$12),NA(),IF(COUNT(OFFSET(G915,1-Settings!$B$12,0,Settings!$B$12,1))&lt;Settings!$B$12,NA(),STDEV(OFFSET(G915,1-Settings!$B$12,0,Settings!$B$12,1))*SQRT(Settings!$B$13)))</f>
        <v/>
      </c>
      <c r="L915" s="18">
        <f>IF(AND(ISNUMBER(D915),ISNUMBER(H915)),D915-H915,NA())</f>
        <v/>
      </c>
      <c r="M915" s="18">
        <f>IF(AND(ISNUMBER(E915),ISNUMBER(K915)),E915-K915,NA())</f>
        <v/>
      </c>
      <c r="N915" s="18">
        <f>IF(NOT(ISNUMBER($A915)),NA(),IF(COUNT(OFFSET(G915,1,0,Settings!$B$12,1))&lt;Settings!$B$12,NA(),STDEV(OFFSET(G915,1,0,Settings!$B$12,1))*SQRT(Settings!$B$13)))</f>
        <v/>
      </c>
      <c r="O915" s="18">
        <f>IF(AND(ISNUMBER(E915),ISNUMBER(N915)),E915-N915,NA())</f>
        <v/>
      </c>
      <c r="P915" s="17">
        <f>IF(NOT(ISNUMBER($A915)),NA(),IF(OR($A915&lt;MIN(KW_TP!$A$2:$A$2501),$A915&gt;MAX(KW_TP!$A$2:$A$2501)),NA(),INDEX(KW_TP!$C$2:$C$2501,MATCH($A915,KW_TP!$A$2:$A$2501,1))))</f>
        <v/>
      </c>
    </row>
    <row r="916">
      <c r="A916" s="15">
        <f>IF(ISNUMBER(BBG_Data!A916),BBG_Data!A916,"")</f>
        <v/>
      </c>
      <c r="B916" s="16">
        <f>IF(AND(ISNUMBER($A916),ISNUMBER(BBG_Data!B916)),BBG_Data!B916,NA())</f>
        <v/>
      </c>
      <c r="C916" s="16">
        <f>IF(AND(ISNUMBER($A916),ISNUMBER(BBG_Data!C916)),BBG_Data!C916,NA())</f>
        <v/>
      </c>
      <c r="D916" s="17">
        <f>IF(AND(ISNUMBER($A916),ISNUMBER(BBG_Data!D916)),BBG_Data!D916,NA())</f>
        <v/>
      </c>
      <c r="E916" s="17">
        <f>IF(AND(ISNUMBER($A916),ISNUMBER(BBG_Data!E916)),BBG_Data!E916,NA())</f>
        <v/>
      </c>
      <c r="F916" s="18">
        <f>IF(AND(ISNUMBER(B916),ISNUMBER(B915)),(B916-B915)*100,"")</f>
        <v/>
      </c>
      <c r="G916" s="18">
        <f>IF(AND(ISNUMBER(C916),ISNUMBER(C915)),(C916-C915)*100,"")</f>
        <v/>
      </c>
      <c r="H916" s="18">
        <f>IF(OR(NOT(ISNUMBER($A916)),ROW()-2&lt;Settings!$B$11),NA(),IF(COUNT(OFFSET(F916,1-Settings!$B$11,0,Settings!$B$11,1))&lt;Settings!$B$11,NA(),STDEV(OFFSET(F916,1-Settings!$B$11,0,Settings!$B$11,1))*SQRT(Settings!$B$13)))</f>
        <v/>
      </c>
      <c r="I916" s="18">
        <f>IF(OR(NOT(ISNUMBER($A916)),ROW()-2&lt;Settings!$B$12),NA(),IF(COUNT(OFFSET(F916,1-Settings!$B$12,0,Settings!$B$12,1))&lt;Settings!$B$12,NA(),STDEV(OFFSET(F916,1-Settings!$B$12,0,Settings!$B$12,1))*SQRT(Settings!$B$13)))</f>
        <v/>
      </c>
      <c r="J916" s="18">
        <f>IF(OR(NOT(ISNUMBER($A916)),ROW()-2&lt;Settings!$B$11),NA(),IF(COUNT(OFFSET(G916,1-Settings!$B$11,0,Settings!$B$11,1))&lt;Settings!$B$11,NA(),STDEV(OFFSET(G916,1-Settings!$B$11,0,Settings!$B$11,1))*SQRT(Settings!$B$13)))</f>
        <v/>
      </c>
      <c r="K916" s="18">
        <f>IF(OR(NOT(ISNUMBER($A916)),ROW()-2&lt;Settings!$B$12),NA(),IF(COUNT(OFFSET(G916,1-Settings!$B$12,0,Settings!$B$12,1))&lt;Settings!$B$12,NA(),STDEV(OFFSET(G916,1-Settings!$B$12,0,Settings!$B$12,1))*SQRT(Settings!$B$13)))</f>
        <v/>
      </c>
      <c r="L916" s="18">
        <f>IF(AND(ISNUMBER(D916),ISNUMBER(H916)),D916-H916,NA())</f>
        <v/>
      </c>
      <c r="M916" s="18">
        <f>IF(AND(ISNUMBER(E916),ISNUMBER(K916)),E916-K916,NA())</f>
        <v/>
      </c>
      <c r="N916" s="18">
        <f>IF(NOT(ISNUMBER($A916)),NA(),IF(COUNT(OFFSET(G916,1,0,Settings!$B$12,1))&lt;Settings!$B$12,NA(),STDEV(OFFSET(G916,1,0,Settings!$B$12,1))*SQRT(Settings!$B$13)))</f>
        <v/>
      </c>
      <c r="O916" s="18">
        <f>IF(AND(ISNUMBER(E916),ISNUMBER(N916)),E916-N916,NA())</f>
        <v/>
      </c>
      <c r="P916" s="17">
        <f>IF(NOT(ISNUMBER($A916)),NA(),IF(OR($A916&lt;MIN(KW_TP!$A$2:$A$2501),$A916&gt;MAX(KW_TP!$A$2:$A$2501)),NA(),INDEX(KW_TP!$C$2:$C$2501,MATCH($A916,KW_TP!$A$2:$A$2501,1))))</f>
        <v/>
      </c>
    </row>
    <row r="917">
      <c r="A917" s="15">
        <f>IF(ISNUMBER(BBG_Data!A917),BBG_Data!A917,"")</f>
        <v/>
      </c>
      <c r="B917" s="16">
        <f>IF(AND(ISNUMBER($A917),ISNUMBER(BBG_Data!B917)),BBG_Data!B917,NA())</f>
        <v/>
      </c>
      <c r="C917" s="16">
        <f>IF(AND(ISNUMBER($A917),ISNUMBER(BBG_Data!C917)),BBG_Data!C917,NA())</f>
        <v/>
      </c>
      <c r="D917" s="17">
        <f>IF(AND(ISNUMBER($A917),ISNUMBER(BBG_Data!D917)),BBG_Data!D917,NA())</f>
        <v/>
      </c>
      <c r="E917" s="17">
        <f>IF(AND(ISNUMBER($A917),ISNUMBER(BBG_Data!E917)),BBG_Data!E917,NA())</f>
        <v/>
      </c>
      <c r="F917" s="18">
        <f>IF(AND(ISNUMBER(B917),ISNUMBER(B916)),(B917-B916)*100,"")</f>
        <v/>
      </c>
      <c r="G917" s="18">
        <f>IF(AND(ISNUMBER(C917),ISNUMBER(C916)),(C917-C916)*100,"")</f>
        <v/>
      </c>
      <c r="H917" s="18">
        <f>IF(OR(NOT(ISNUMBER($A917)),ROW()-2&lt;Settings!$B$11),NA(),IF(COUNT(OFFSET(F917,1-Settings!$B$11,0,Settings!$B$11,1))&lt;Settings!$B$11,NA(),STDEV(OFFSET(F917,1-Settings!$B$11,0,Settings!$B$11,1))*SQRT(Settings!$B$13)))</f>
        <v/>
      </c>
      <c r="I917" s="18">
        <f>IF(OR(NOT(ISNUMBER($A917)),ROW()-2&lt;Settings!$B$12),NA(),IF(COUNT(OFFSET(F917,1-Settings!$B$12,0,Settings!$B$12,1))&lt;Settings!$B$12,NA(),STDEV(OFFSET(F917,1-Settings!$B$12,0,Settings!$B$12,1))*SQRT(Settings!$B$13)))</f>
        <v/>
      </c>
      <c r="J917" s="18">
        <f>IF(OR(NOT(ISNUMBER($A917)),ROW()-2&lt;Settings!$B$11),NA(),IF(COUNT(OFFSET(G917,1-Settings!$B$11,0,Settings!$B$11,1))&lt;Settings!$B$11,NA(),STDEV(OFFSET(G917,1-Settings!$B$11,0,Settings!$B$11,1))*SQRT(Settings!$B$13)))</f>
        <v/>
      </c>
      <c r="K917" s="18">
        <f>IF(OR(NOT(ISNUMBER($A917)),ROW()-2&lt;Settings!$B$12),NA(),IF(COUNT(OFFSET(G917,1-Settings!$B$12,0,Settings!$B$12,1))&lt;Settings!$B$12,NA(),STDEV(OFFSET(G917,1-Settings!$B$12,0,Settings!$B$12,1))*SQRT(Settings!$B$13)))</f>
        <v/>
      </c>
      <c r="L917" s="18">
        <f>IF(AND(ISNUMBER(D917),ISNUMBER(H917)),D917-H917,NA())</f>
        <v/>
      </c>
      <c r="M917" s="18">
        <f>IF(AND(ISNUMBER(E917),ISNUMBER(K917)),E917-K917,NA())</f>
        <v/>
      </c>
      <c r="N917" s="18">
        <f>IF(NOT(ISNUMBER($A917)),NA(),IF(COUNT(OFFSET(G917,1,0,Settings!$B$12,1))&lt;Settings!$B$12,NA(),STDEV(OFFSET(G917,1,0,Settings!$B$12,1))*SQRT(Settings!$B$13)))</f>
        <v/>
      </c>
      <c r="O917" s="18">
        <f>IF(AND(ISNUMBER(E917),ISNUMBER(N917)),E917-N917,NA())</f>
        <v/>
      </c>
      <c r="P917" s="17">
        <f>IF(NOT(ISNUMBER($A917)),NA(),IF(OR($A917&lt;MIN(KW_TP!$A$2:$A$2501),$A917&gt;MAX(KW_TP!$A$2:$A$2501)),NA(),INDEX(KW_TP!$C$2:$C$2501,MATCH($A917,KW_TP!$A$2:$A$2501,1))))</f>
        <v/>
      </c>
    </row>
    <row r="918">
      <c r="A918" s="15">
        <f>IF(ISNUMBER(BBG_Data!A918),BBG_Data!A918,"")</f>
        <v/>
      </c>
      <c r="B918" s="16">
        <f>IF(AND(ISNUMBER($A918),ISNUMBER(BBG_Data!B918)),BBG_Data!B918,NA())</f>
        <v/>
      </c>
      <c r="C918" s="16">
        <f>IF(AND(ISNUMBER($A918),ISNUMBER(BBG_Data!C918)),BBG_Data!C918,NA())</f>
        <v/>
      </c>
      <c r="D918" s="17">
        <f>IF(AND(ISNUMBER($A918),ISNUMBER(BBG_Data!D918)),BBG_Data!D918,NA())</f>
        <v/>
      </c>
      <c r="E918" s="17">
        <f>IF(AND(ISNUMBER($A918),ISNUMBER(BBG_Data!E918)),BBG_Data!E918,NA())</f>
        <v/>
      </c>
      <c r="F918" s="18">
        <f>IF(AND(ISNUMBER(B918),ISNUMBER(B917)),(B918-B917)*100,"")</f>
        <v/>
      </c>
      <c r="G918" s="18">
        <f>IF(AND(ISNUMBER(C918),ISNUMBER(C917)),(C918-C917)*100,"")</f>
        <v/>
      </c>
      <c r="H918" s="18">
        <f>IF(OR(NOT(ISNUMBER($A918)),ROW()-2&lt;Settings!$B$11),NA(),IF(COUNT(OFFSET(F918,1-Settings!$B$11,0,Settings!$B$11,1))&lt;Settings!$B$11,NA(),STDEV(OFFSET(F918,1-Settings!$B$11,0,Settings!$B$11,1))*SQRT(Settings!$B$13)))</f>
        <v/>
      </c>
      <c r="I918" s="18">
        <f>IF(OR(NOT(ISNUMBER($A918)),ROW()-2&lt;Settings!$B$12),NA(),IF(COUNT(OFFSET(F918,1-Settings!$B$12,0,Settings!$B$12,1))&lt;Settings!$B$12,NA(),STDEV(OFFSET(F918,1-Settings!$B$12,0,Settings!$B$12,1))*SQRT(Settings!$B$13)))</f>
        <v/>
      </c>
      <c r="J918" s="18">
        <f>IF(OR(NOT(ISNUMBER($A918)),ROW()-2&lt;Settings!$B$11),NA(),IF(COUNT(OFFSET(G918,1-Settings!$B$11,0,Settings!$B$11,1))&lt;Settings!$B$11,NA(),STDEV(OFFSET(G918,1-Settings!$B$11,0,Settings!$B$11,1))*SQRT(Settings!$B$13)))</f>
        <v/>
      </c>
      <c r="K918" s="18">
        <f>IF(OR(NOT(ISNUMBER($A918)),ROW()-2&lt;Settings!$B$12),NA(),IF(COUNT(OFFSET(G918,1-Settings!$B$12,0,Settings!$B$12,1))&lt;Settings!$B$12,NA(),STDEV(OFFSET(G918,1-Settings!$B$12,0,Settings!$B$12,1))*SQRT(Settings!$B$13)))</f>
        <v/>
      </c>
      <c r="L918" s="18">
        <f>IF(AND(ISNUMBER(D918),ISNUMBER(H918)),D918-H918,NA())</f>
        <v/>
      </c>
      <c r="M918" s="18">
        <f>IF(AND(ISNUMBER(E918),ISNUMBER(K918)),E918-K918,NA())</f>
        <v/>
      </c>
      <c r="N918" s="18">
        <f>IF(NOT(ISNUMBER($A918)),NA(),IF(COUNT(OFFSET(G918,1,0,Settings!$B$12,1))&lt;Settings!$B$12,NA(),STDEV(OFFSET(G918,1,0,Settings!$B$12,1))*SQRT(Settings!$B$13)))</f>
        <v/>
      </c>
      <c r="O918" s="18">
        <f>IF(AND(ISNUMBER(E918),ISNUMBER(N918)),E918-N918,NA())</f>
        <v/>
      </c>
      <c r="P918" s="17">
        <f>IF(NOT(ISNUMBER($A918)),NA(),IF(OR($A918&lt;MIN(KW_TP!$A$2:$A$2501),$A918&gt;MAX(KW_TP!$A$2:$A$2501)),NA(),INDEX(KW_TP!$C$2:$C$2501,MATCH($A918,KW_TP!$A$2:$A$2501,1))))</f>
        <v/>
      </c>
    </row>
    <row r="919">
      <c r="A919" s="15">
        <f>IF(ISNUMBER(BBG_Data!A919),BBG_Data!A919,"")</f>
        <v/>
      </c>
      <c r="B919" s="16">
        <f>IF(AND(ISNUMBER($A919),ISNUMBER(BBG_Data!B919)),BBG_Data!B919,NA())</f>
        <v/>
      </c>
      <c r="C919" s="16">
        <f>IF(AND(ISNUMBER($A919),ISNUMBER(BBG_Data!C919)),BBG_Data!C919,NA())</f>
        <v/>
      </c>
      <c r="D919" s="17">
        <f>IF(AND(ISNUMBER($A919),ISNUMBER(BBG_Data!D919)),BBG_Data!D919,NA())</f>
        <v/>
      </c>
      <c r="E919" s="17">
        <f>IF(AND(ISNUMBER($A919),ISNUMBER(BBG_Data!E919)),BBG_Data!E919,NA())</f>
        <v/>
      </c>
      <c r="F919" s="18">
        <f>IF(AND(ISNUMBER(B919),ISNUMBER(B918)),(B919-B918)*100,"")</f>
        <v/>
      </c>
      <c r="G919" s="18">
        <f>IF(AND(ISNUMBER(C919),ISNUMBER(C918)),(C919-C918)*100,"")</f>
        <v/>
      </c>
      <c r="H919" s="18">
        <f>IF(OR(NOT(ISNUMBER($A919)),ROW()-2&lt;Settings!$B$11),NA(),IF(COUNT(OFFSET(F919,1-Settings!$B$11,0,Settings!$B$11,1))&lt;Settings!$B$11,NA(),STDEV(OFFSET(F919,1-Settings!$B$11,0,Settings!$B$11,1))*SQRT(Settings!$B$13)))</f>
        <v/>
      </c>
      <c r="I919" s="18">
        <f>IF(OR(NOT(ISNUMBER($A919)),ROW()-2&lt;Settings!$B$12),NA(),IF(COUNT(OFFSET(F919,1-Settings!$B$12,0,Settings!$B$12,1))&lt;Settings!$B$12,NA(),STDEV(OFFSET(F919,1-Settings!$B$12,0,Settings!$B$12,1))*SQRT(Settings!$B$13)))</f>
        <v/>
      </c>
      <c r="J919" s="18">
        <f>IF(OR(NOT(ISNUMBER($A919)),ROW()-2&lt;Settings!$B$11),NA(),IF(COUNT(OFFSET(G919,1-Settings!$B$11,0,Settings!$B$11,1))&lt;Settings!$B$11,NA(),STDEV(OFFSET(G919,1-Settings!$B$11,0,Settings!$B$11,1))*SQRT(Settings!$B$13)))</f>
        <v/>
      </c>
      <c r="K919" s="18">
        <f>IF(OR(NOT(ISNUMBER($A919)),ROW()-2&lt;Settings!$B$12),NA(),IF(COUNT(OFFSET(G919,1-Settings!$B$12,0,Settings!$B$12,1))&lt;Settings!$B$12,NA(),STDEV(OFFSET(G919,1-Settings!$B$12,0,Settings!$B$12,1))*SQRT(Settings!$B$13)))</f>
        <v/>
      </c>
      <c r="L919" s="18">
        <f>IF(AND(ISNUMBER(D919),ISNUMBER(H919)),D919-H919,NA())</f>
        <v/>
      </c>
      <c r="M919" s="18">
        <f>IF(AND(ISNUMBER(E919),ISNUMBER(K919)),E919-K919,NA())</f>
        <v/>
      </c>
      <c r="N919" s="18">
        <f>IF(NOT(ISNUMBER($A919)),NA(),IF(COUNT(OFFSET(G919,1,0,Settings!$B$12,1))&lt;Settings!$B$12,NA(),STDEV(OFFSET(G919,1,0,Settings!$B$12,1))*SQRT(Settings!$B$13)))</f>
        <v/>
      </c>
      <c r="O919" s="18">
        <f>IF(AND(ISNUMBER(E919),ISNUMBER(N919)),E919-N919,NA())</f>
        <v/>
      </c>
      <c r="P919" s="17">
        <f>IF(NOT(ISNUMBER($A919)),NA(),IF(OR($A919&lt;MIN(KW_TP!$A$2:$A$2501),$A919&gt;MAX(KW_TP!$A$2:$A$2501)),NA(),INDEX(KW_TP!$C$2:$C$2501,MATCH($A919,KW_TP!$A$2:$A$2501,1))))</f>
        <v/>
      </c>
    </row>
    <row r="920">
      <c r="A920" s="15">
        <f>IF(ISNUMBER(BBG_Data!A920),BBG_Data!A920,"")</f>
        <v/>
      </c>
      <c r="B920" s="16">
        <f>IF(AND(ISNUMBER($A920),ISNUMBER(BBG_Data!B920)),BBG_Data!B920,NA())</f>
        <v/>
      </c>
      <c r="C920" s="16">
        <f>IF(AND(ISNUMBER($A920),ISNUMBER(BBG_Data!C920)),BBG_Data!C920,NA())</f>
        <v/>
      </c>
      <c r="D920" s="17">
        <f>IF(AND(ISNUMBER($A920),ISNUMBER(BBG_Data!D920)),BBG_Data!D920,NA())</f>
        <v/>
      </c>
      <c r="E920" s="17">
        <f>IF(AND(ISNUMBER($A920),ISNUMBER(BBG_Data!E920)),BBG_Data!E920,NA())</f>
        <v/>
      </c>
      <c r="F920" s="18">
        <f>IF(AND(ISNUMBER(B920),ISNUMBER(B919)),(B920-B919)*100,"")</f>
        <v/>
      </c>
      <c r="G920" s="18">
        <f>IF(AND(ISNUMBER(C920),ISNUMBER(C919)),(C920-C919)*100,"")</f>
        <v/>
      </c>
      <c r="H920" s="18">
        <f>IF(OR(NOT(ISNUMBER($A920)),ROW()-2&lt;Settings!$B$11),NA(),IF(COUNT(OFFSET(F920,1-Settings!$B$11,0,Settings!$B$11,1))&lt;Settings!$B$11,NA(),STDEV(OFFSET(F920,1-Settings!$B$11,0,Settings!$B$11,1))*SQRT(Settings!$B$13)))</f>
        <v/>
      </c>
      <c r="I920" s="18">
        <f>IF(OR(NOT(ISNUMBER($A920)),ROW()-2&lt;Settings!$B$12),NA(),IF(COUNT(OFFSET(F920,1-Settings!$B$12,0,Settings!$B$12,1))&lt;Settings!$B$12,NA(),STDEV(OFFSET(F920,1-Settings!$B$12,0,Settings!$B$12,1))*SQRT(Settings!$B$13)))</f>
        <v/>
      </c>
      <c r="J920" s="18">
        <f>IF(OR(NOT(ISNUMBER($A920)),ROW()-2&lt;Settings!$B$11),NA(),IF(COUNT(OFFSET(G920,1-Settings!$B$11,0,Settings!$B$11,1))&lt;Settings!$B$11,NA(),STDEV(OFFSET(G920,1-Settings!$B$11,0,Settings!$B$11,1))*SQRT(Settings!$B$13)))</f>
        <v/>
      </c>
      <c r="K920" s="18">
        <f>IF(OR(NOT(ISNUMBER($A920)),ROW()-2&lt;Settings!$B$12),NA(),IF(COUNT(OFFSET(G920,1-Settings!$B$12,0,Settings!$B$12,1))&lt;Settings!$B$12,NA(),STDEV(OFFSET(G920,1-Settings!$B$12,0,Settings!$B$12,1))*SQRT(Settings!$B$13)))</f>
        <v/>
      </c>
      <c r="L920" s="18">
        <f>IF(AND(ISNUMBER(D920),ISNUMBER(H920)),D920-H920,NA())</f>
        <v/>
      </c>
      <c r="M920" s="18">
        <f>IF(AND(ISNUMBER(E920),ISNUMBER(K920)),E920-K920,NA())</f>
        <v/>
      </c>
      <c r="N920" s="18">
        <f>IF(NOT(ISNUMBER($A920)),NA(),IF(COUNT(OFFSET(G920,1,0,Settings!$B$12,1))&lt;Settings!$B$12,NA(),STDEV(OFFSET(G920,1,0,Settings!$B$12,1))*SQRT(Settings!$B$13)))</f>
        <v/>
      </c>
      <c r="O920" s="18">
        <f>IF(AND(ISNUMBER(E920),ISNUMBER(N920)),E920-N920,NA())</f>
        <v/>
      </c>
      <c r="P920" s="17">
        <f>IF(NOT(ISNUMBER($A920)),NA(),IF(OR($A920&lt;MIN(KW_TP!$A$2:$A$2501),$A920&gt;MAX(KW_TP!$A$2:$A$2501)),NA(),INDEX(KW_TP!$C$2:$C$2501,MATCH($A920,KW_TP!$A$2:$A$2501,1))))</f>
        <v/>
      </c>
    </row>
    <row r="921">
      <c r="A921" s="15">
        <f>IF(ISNUMBER(BBG_Data!A921),BBG_Data!A921,"")</f>
        <v/>
      </c>
      <c r="B921" s="16">
        <f>IF(AND(ISNUMBER($A921),ISNUMBER(BBG_Data!B921)),BBG_Data!B921,NA())</f>
        <v/>
      </c>
      <c r="C921" s="16">
        <f>IF(AND(ISNUMBER($A921),ISNUMBER(BBG_Data!C921)),BBG_Data!C921,NA())</f>
        <v/>
      </c>
      <c r="D921" s="17">
        <f>IF(AND(ISNUMBER($A921),ISNUMBER(BBG_Data!D921)),BBG_Data!D921,NA())</f>
        <v/>
      </c>
      <c r="E921" s="17">
        <f>IF(AND(ISNUMBER($A921),ISNUMBER(BBG_Data!E921)),BBG_Data!E921,NA())</f>
        <v/>
      </c>
      <c r="F921" s="18">
        <f>IF(AND(ISNUMBER(B921),ISNUMBER(B920)),(B921-B920)*100,"")</f>
        <v/>
      </c>
      <c r="G921" s="18">
        <f>IF(AND(ISNUMBER(C921),ISNUMBER(C920)),(C921-C920)*100,"")</f>
        <v/>
      </c>
      <c r="H921" s="18">
        <f>IF(OR(NOT(ISNUMBER($A921)),ROW()-2&lt;Settings!$B$11),NA(),IF(COUNT(OFFSET(F921,1-Settings!$B$11,0,Settings!$B$11,1))&lt;Settings!$B$11,NA(),STDEV(OFFSET(F921,1-Settings!$B$11,0,Settings!$B$11,1))*SQRT(Settings!$B$13)))</f>
        <v/>
      </c>
      <c r="I921" s="18">
        <f>IF(OR(NOT(ISNUMBER($A921)),ROW()-2&lt;Settings!$B$12),NA(),IF(COUNT(OFFSET(F921,1-Settings!$B$12,0,Settings!$B$12,1))&lt;Settings!$B$12,NA(),STDEV(OFFSET(F921,1-Settings!$B$12,0,Settings!$B$12,1))*SQRT(Settings!$B$13)))</f>
        <v/>
      </c>
      <c r="J921" s="18">
        <f>IF(OR(NOT(ISNUMBER($A921)),ROW()-2&lt;Settings!$B$11),NA(),IF(COUNT(OFFSET(G921,1-Settings!$B$11,0,Settings!$B$11,1))&lt;Settings!$B$11,NA(),STDEV(OFFSET(G921,1-Settings!$B$11,0,Settings!$B$11,1))*SQRT(Settings!$B$13)))</f>
        <v/>
      </c>
      <c r="K921" s="18">
        <f>IF(OR(NOT(ISNUMBER($A921)),ROW()-2&lt;Settings!$B$12),NA(),IF(COUNT(OFFSET(G921,1-Settings!$B$12,0,Settings!$B$12,1))&lt;Settings!$B$12,NA(),STDEV(OFFSET(G921,1-Settings!$B$12,0,Settings!$B$12,1))*SQRT(Settings!$B$13)))</f>
        <v/>
      </c>
      <c r="L921" s="18">
        <f>IF(AND(ISNUMBER(D921),ISNUMBER(H921)),D921-H921,NA())</f>
        <v/>
      </c>
      <c r="M921" s="18">
        <f>IF(AND(ISNUMBER(E921),ISNUMBER(K921)),E921-K921,NA())</f>
        <v/>
      </c>
      <c r="N921" s="18">
        <f>IF(NOT(ISNUMBER($A921)),NA(),IF(COUNT(OFFSET(G921,1,0,Settings!$B$12,1))&lt;Settings!$B$12,NA(),STDEV(OFFSET(G921,1,0,Settings!$B$12,1))*SQRT(Settings!$B$13)))</f>
        <v/>
      </c>
      <c r="O921" s="18">
        <f>IF(AND(ISNUMBER(E921),ISNUMBER(N921)),E921-N921,NA())</f>
        <v/>
      </c>
      <c r="P921" s="17">
        <f>IF(NOT(ISNUMBER($A921)),NA(),IF(OR($A921&lt;MIN(KW_TP!$A$2:$A$2501),$A921&gt;MAX(KW_TP!$A$2:$A$2501)),NA(),INDEX(KW_TP!$C$2:$C$2501,MATCH($A921,KW_TP!$A$2:$A$2501,1))))</f>
        <v/>
      </c>
    </row>
    <row r="922">
      <c r="A922" s="15">
        <f>IF(ISNUMBER(BBG_Data!A922),BBG_Data!A922,"")</f>
        <v/>
      </c>
      <c r="B922" s="16">
        <f>IF(AND(ISNUMBER($A922),ISNUMBER(BBG_Data!B922)),BBG_Data!B922,NA())</f>
        <v/>
      </c>
      <c r="C922" s="16">
        <f>IF(AND(ISNUMBER($A922),ISNUMBER(BBG_Data!C922)),BBG_Data!C922,NA())</f>
        <v/>
      </c>
      <c r="D922" s="17">
        <f>IF(AND(ISNUMBER($A922),ISNUMBER(BBG_Data!D922)),BBG_Data!D922,NA())</f>
        <v/>
      </c>
      <c r="E922" s="17">
        <f>IF(AND(ISNUMBER($A922),ISNUMBER(BBG_Data!E922)),BBG_Data!E922,NA())</f>
        <v/>
      </c>
      <c r="F922" s="18">
        <f>IF(AND(ISNUMBER(B922),ISNUMBER(B921)),(B922-B921)*100,"")</f>
        <v/>
      </c>
      <c r="G922" s="18">
        <f>IF(AND(ISNUMBER(C922),ISNUMBER(C921)),(C922-C921)*100,"")</f>
        <v/>
      </c>
      <c r="H922" s="18">
        <f>IF(OR(NOT(ISNUMBER($A922)),ROW()-2&lt;Settings!$B$11),NA(),IF(COUNT(OFFSET(F922,1-Settings!$B$11,0,Settings!$B$11,1))&lt;Settings!$B$11,NA(),STDEV(OFFSET(F922,1-Settings!$B$11,0,Settings!$B$11,1))*SQRT(Settings!$B$13)))</f>
        <v/>
      </c>
      <c r="I922" s="18">
        <f>IF(OR(NOT(ISNUMBER($A922)),ROW()-2&lt;Settings!$B$12),NA(),IF(COUNT(OFFSET(F922,1-Settings!$B$12,0,Settings!$B$12,1))&lt;Settings!$B$12,NA(),STDEV(OFFSET(F922,1-Settings!$B$12,0,Settings!$B$12,1))*SQRT(Settings!$B$13)))</f>
        <v/>
      </c>
      <c r="J922" s="18">
        <f>IF(OR(NOT(ISNUMBER($A922)),ROW()-2&lt;Settings!$B$11),NA(),IF(COUNT(OFFSET(G922,1-Settings!$B$11,0,Settings!$B$11,1))&lt;Settings!$B$11,NA(),STDEV(OFFSET(G922,1-Settings!$B$11,0,Settings!$B$11,1))*SQRT(Settings!$B$13)))</f>
        <v/>
      </c>
      <c r="K922" s="18">
        <f>IF(OR(NOT(ISNUMBER($A922)),ROW()-2&lt;Settings!$B$12),NA(),IF(COUNT(OFFSET(G922,1-Settings!$B$12,0,Settings!$B$12,1))&lt;Settings!$B$12,NA(),STDEV(OFFSET(G922,1-Settings!$B$12,0,Settings!$B$12,1))*SQRT(Settings!$B$13)))</f>
        <v/>
      </c>
      <c r="L922" s="18">
        <f>IF(AND(ISNUMBER(D922),ISNUMBER(H922)),D922-H922,NA())</f>
        <v/>
      </c>
      <c r="M922" s="18">
        <f>IF(AND(ISNUMBER(E922),ISNUMBER(K922)),E922-K922,NA())</f>
        <v/>
      </c>
      <c r="N922" s="18">
        <f>IF(NOT(ISNUMBER($A922)),NA(),IF(COUNT(OFFSET(G922,1,0,Settings!$B$12,1))&lt;Settings!$B$12,NA(),STDEV(OFFSET(G922,1,0,Settings!$B$12,1))*SQRT(Settings!$B$13)))</f>
        <v/>
      </c>
      <c r="O922" s="18">
        <f>IF(AND(ISNUMBER(E922),ISNUMBER(N922)),E922-N922,NA())</f>
        <v/>
      </c>
      <c r="P922" s="17">
        <f>IF(NOT(ISNUMBER($A922)),NA(),IF(OR($A922&lt;MIN(KW_TP!$A$2:$A$2501),$A922&gt;MAX(KW_TP!$A$2:$A$2501)),NA(),INDEX(KW_TP!$C$2:$C$2501,MATCH($A922,KW_TP!$A$2:$A$2501,1))))</f>
        <v/>
      </c>
    </row>
    <row r="923">
      <c r="A923" s="15">
        <f>IF(ISNUMBER(BBG_Data!A923),BBG_Data!A923,"")</f>
        <v/>
      </c>
      <c r="B923" s="16">
        <f>IF(AND(ISNUMBER($A923),ISNUMBER(BBG_Data!B923)),BBG_Data!B923,NA())</f>
        <v/>
      </c>
      <c r="C923" s="16">
        <f>IF(AND(ISNUMBER($A923),ISNUMBER(BBG_Data!C923)),BBG_Data!C923,NA())</f>
        <v/>
      </c>
      <c r="D923" s="17">
        <f>IF(AND(ISNUMBER($A923),ISNUMBER(BBG_Data!D923)),BBG_Data!D923,NA())</f>
        <v/>
      </c>
      <c r="E923" s="17">
        <f>IF(AND(ISNUMBER($A923),ISNUMBER(BBG_Data!E923)),BBG_Data!E923,NA())</f>
        <v/>
      </c>
      <c r="F923" s="18">
        <f>IF(AND(ISNUMBER(B923),ISNUMBER(B922)),(B923-B922)*100,"")</f>
        <v/>
      </c>
      <c r="G923" s="18">
        <f>IF(AND(ISNUMBER(C923),ISNUMBER(C922)),(C923-C922)*100,"")</f>
        <v/>
      </c>
      <c r="H923" s="18">
        <f>IF(OR(NOT(ISNUMBER($A923)),ROW()-2&lt;Settings!$B$11),NA(),IF(COUNT(OFFSET(F923,1-Settings!$B$11,0,Settings!$B$11,1))&lt;Settings!$B$11,NA(),STDEV(OFFSET(F923,1-Settings!$B$11,0,Settings!$B$11,1))*SQRT(Settings!$B$13)))</f>
        <v/>
      </c>
      <c r="I923" s="18">
        <f>IF(OR(NOT(ISNUMBER($A923)),ROW()-2&lt;Settings!$B$12),NA(),IF(COUNT(OFFSET(F923,1-Settings!$B$12,0,Settings!$B$12,1))&lt;Settings!$B$12,NA(),STDEV(OFFSET(F923,1-Settings!$B$12,0,Settings!$B$12,1))*SQRT(Settings!$B$13)))</f>
        <v/>
      </c>
      <c r="J923" s="18">
        <f>IF(OR(NOT(ISNUMBER($A923)),ROW()-2&lt;Settings!$B$11),NA(),IF(COUNT(OFFSET(G923,1-Settings!$B$11,0,Settings!$B$11,1))&lt;Settings!$B$11,NA(),STDEV(OFFSET(G923,1-Settings!$B$11,0,Settings!$B$11,1))*SQRT(Settings!$B$13)))</f>
        <v/>
      </c>
      <c r="K923" s="18">
        <f>IF(OR(NOT(ISNUMBER($A923)),ROW()-2&lt;Settings!$B$12),NA(),IF(COUNT(OFFSET(G923,1-Settings!$B$12,0,Settings!$B$12,1))&lt;Settings!$B$12,NA(),STDEV(OFFSET(G923,1-Settings!$B$12,0,Settings!$B$12,1))*SQRT(Settings!$B$13)))</f>
        <v/>
      </c>
      <c r="L923" s="18">
        <f>IF(AND(ISNUMBER(D923),ISNUMBER(H923)),D923-H923,NA())</f>
        <v/>
      </c>
      <c r="M923" s="18">
        <f>IF(AND(ISNUMBER(E923),ISNUMBER(K923)),E923-K923,NA())</f>
        <v/>
      </c>
      <c r="N923" s="18">
        <f>IF(NOT(ISNUMBER($A923)),NA(),IF(COUNT(OFFSET(G923,1,0,Settings!$B$12,1))&lt;Settings!$B$12,NA(),STDEV(OFFSET(G923,1,0,Settings!$B$12,1))*SQRT(Settings!$B$13)))</f>
        <v/>
      </c>
      <c r="O923" s="18">
        <f>IF(AND(ISNUMBER(E923),ISNUMBER(N923)),E923-N923,NA())</f>
        <v/>
      </c>
      <c r="P923" s="17">
        <f>IF(NOT(ISNUMBER($A923)),NA(),IF(OR($A923&lt;MIN(KW_TP!$A$2:$A$2501),$A923&gt;MAX(KW_TP!$A$2:$A$2501)),NA(),INDEX(KW_TP!$C$2:$C$2501,MATCH($A923,KW_TP!$A$2:$A$2501,1))))</f>
        <v/>
      </c>
    </row>
    <row r="924">
      <c r="A924" s="15">
        <f>IF(ISNUMBER(BBG_Data!A924),BBG_Data!A924,"")</f>
        <v/>
      </c>
      <c r="B924" s="16">
        <f>IF(AND(ISNUMBER($A924),ISNUMBER(BBG_Data!B924)),BBG_Data!B924,NA())</f>
        <v/>
      </c>
      <c r="C924" s="16">
        <f>IF(AND(ISNUMBER($A924),ISNUMBER(BBG_Data!C924)),BBG_Data!C924,NA())</f>
        <v/>
      </c>
      <c r="D924" s="17">
        <f>IF(AND(ISNUMBER($A924),ISNUMBER(BBG_Data!D924)),BBG_Data!D924,NA())</f>
        <v/>
      </c>
      <c r="E924" s="17">
        <f>IF(AND(ISNUMBER($A924),ISNUMBER(BBG_Data!E924)),BBG_Data!E924,NA())</f>
        <v/>
      </c>
      <c r="F924" s="18">
        <f>IF(AND(ISNUMBER(B924),ISNUMBER(B923)),(B924-B923)*100,"")</f>
        <v/>
      </c>
      <c r="G924" s="18">
        <f>IF(AND(ISNUMBER(C924),ISNUMBER(C923)),(C924-C923)*100,"")</f>
        <v/>
      </c>
      <c r="H924" s="18">
        <f>IF(OR(NOT(ISNUMBER($A924)),ROW()-2&lt;Settings!$B$11),NA(),IF(COUNT(OFFSET(F924,1-Settings!$B$11,0,Settings!$B$11,1))&lt;Settings!$B$11,NA(),STDEV(OFFSET(F924,1-Settings!$B$11,0,Settings!$B$11,1))*SQRT(Settings!$B$13)))</f>
        <v/>
      </c>
      <c r="I924" s="18">
        <f>IF(OR(NOT(ISNUMBER($A924)),ROW()-2&lt;Settings!$B$12),NA(),IF(COUNT(OFFSET(F924,1-Settings!$B$12,0,Settings!$B$12,1))&lt;Settings!$B$12,NA(),STDEV(OFFSET(F924,1-Settings!$B$12,0,Settings!$B$12,1))*SQRT(Settings!$B$13)))</f>
        <v/>
      </c>
      <c r="J924" s="18">
        <f>IF(OR(NOT(ISNUMBER($A924)),ROW()-2&lt;Settings!$B$11),NA(),IF(COUNT(OFFSET(G924,1-Settings!$B$11,0,Settings!$B$11,1))&lt;Settings!$B$11,NA(),STDEV(OFFSET(G924,1-Settings!$B$11,0,Settings!$B$11,1))*SQRT(Settings!$B$13)))</f>
        <v/>
      </c>
      <c r="K924" s="18">
        <f>IF(OR(NOT(ISNUMBER($A924)),ROW()-2&lt;Settings!$B$12),NA(),IF(COUNT(OFFSET(G924,1-Settings!$B$12,0,Settings!$B$12,1))&lt;Settings!$B$12,NA(),STDEV(OFFSET(G924,1-Settings!$B$12,0,Settings!$B$12,1))*SQRT(Settings!$B$13)))</f>
        <v/>
      </c>
      <c r="L924" s="18">
        <f>IF(AND(ISNUMBER(D924),ISNUMBER(H924)),D924-H924,NA())</f>
        <v/>
      </c>
      <c r="M924" s="18">
        <f>IF(AND(ISNUMBER(E924),ISNUMBER(K924)),E924-K924,NA())</f>
        <v/>
      </c>
      <c r="N924" s="18">
        <f>IF(NOT(ISNUMBER($A924)),NA(),IF(COUNT(OFFSET(G924,1,0,Settings!$B$12,1))&lt;Settings!$B$12,NA(),STDEV(OFFSET(G924,1,0,Settings!$B$12,1))*SQRT(Settings!$B$13)))</f>
        <v/>
      </c>
      <c r="O924" s="18">
        <f>IF(AND(ISNUMBER(E924),ISNUMBER(N924)),E924-N924,NA())</f>
        <v/>
      </c>
      <c r="P924" s="17">
        <f>IF(NOT(ISNUMBER($A924)),NA(),IF(OR($A924&lt;MIN(KW_TP!$A$2:$A$2501),$A924&gt;MAX(KW_TP!$A$2:$A$2501)),NA(),INDEX(KW_TP!$C$2:$C$2501,MATCH($A924,KW_TP!$A$2:$A$2501,1))))</f>
        <v/>
      </c>
    </row>
    <row r="925">
      <c r="A925" s="15">
        <f>IF(ISNUMBER(BBG_Data!A925),BBG_Data!A925,"")</f>
        <v/>
      </c>
      <c r="B925" s="16">
        <f>IF(AND(ISNUMBER($A925),ISNUMBER(BBG_Data!B925)),BBG_Data!B925,NA())</f>
        <v/>
      </c>
      <c r="C925" s="16">
        <f>IF(AND(ISNUMBER($A925),ISNUMBER(BBG_Data!C925)),BBG_Data!C925,NA())</f>
        <v/>
      </c>
      <c r="D925" s="17">
        <f>IF(AND(ISNUMBER($A925),ISNUMBER(BBG_Data!D925)),BBG_Data!D925,NA())</f>
        <v/>
      </c>
      <c r="E925" s="17">
        <f>IF(AND(ISNUMBER($A925),ISNUMBER(BBG_Data!E925)),BBG_Data!E925,NA())</f>
        <v/>
      </c>
      <c r="F925" s="18">
        <f>IF(AND(ISNUMBER(B925),ISNUMBER(B924)),(B925-B924)*100,"")</f>
        <v/>
      </c>
      <c r="G925" s="18">
        <f>IF(AND(ISNUMBER(C925),ISNUMBER(C924)),(C925-C924)*100,"")</f>
        <v/>
      </c>
      <c r="H925" s="18">
        <f>IF(OR(NOT(ISNUMBER($A925)),ROW()-2&lt;Settings!$B$11),NA(),IF(COUNT(OFFSET(F925,1-Settings!$B$11,0,Settings!$B$11,1))&lt;Settings!$B$11,NA(),STDEV(OFFSET(F925,1-Settings!$B$11,0,Settings!$B$11,1))*SQRT(Settings!$B$13)))</f>
        <v/>
      </c>
      <c r="I925" s="18">
        <f>IF(OR(NOT(ISNUMBER($A925)),ROW()-2&lt;Settings!$B$12),NA(),IF(COUNT(OFFSET(F925,1-Settings!$B$12,0,Settings!$B$12,1))&lt;Settings!$B$12,NA(),STDEV(OFFSET(F925,1-Settings!$B$12,0,Settings!$B$12,1))*SQRT(Settings!$B$13)))</f>
        <v/>
      </c>
      <c r="J925" s="18">
        <f>IF(OR(NOT(ISNUMBER($A925)),ROW()-2&lt;Settings!$B$11),NA(),IF(COUNT(OFFSET(G925,1-Settings!$B$11,0,Settings!$B$11,1))&lt;Settings!$B$11,NA(),STDEV(OFFSET(G925,1-Settings!$B$11,0,Settings!$B$11,1))*SQRT(Settings!$B$13)))</f>
        <v/>
      </c>
      <c r="K925" s="18">
        <f>IF(OR(NOT(ISNUMBER($A925)),ROW()-2&lt;Settings!$B$12),NA(),IF(COUNT(OFFSET(G925,1-Settings!$B$12,0,Settings!$B$12,1))&lt;Settings!$B$12,NA(),STDEV(OFFSET(G925,1-Settings!$B$12,0,Settings!$B$12,1))*SQRT(Settings!$B$13)))</f>
        <v/>
      </c>
      <c r="L925" s="18">
        <f>IF(AND(ISNUMBER(D925),ISNUMBER(H925)),D925-H925,NA())</f>
        <v/>
      </c>
      <c r="M925" s="18">
        <f>IF(AND(ISNUMBER(E925),ISNUMBER(K925)),E925-K925,NA())</f>
        <v/>
      </c>
      <c r="N925" s="18">
        <f>IF(NOT(ISNUMBER($A925)),NA(),IF(COUNT(OFFSET(G925,1,0,Settings!$B$12,1))&lt;Settings!$B$12,NA(),STDEV(OFFSET(G925,1,0,Settings!$B$12,1))*SQRT(Settings!$B$13)))</f>
        <v/>
      </c>
      <c r="O925" s="18">
        <f>IF(AND(ISNUMBER(E925),ISNUMBER(N925)),E925-N925,NA())</f>
        <v/>
      </c>
      <c r="P925" s="17">
        <f>IF(NOT(ISNUMBER($A925)),NA(),IF(OR($A925&lt;MIN(KW_TP!$A$2:$A$2501),$A925&gt;MAX(KW_TP!$A$2:$A$2501)),NA(),INDEX(KW_TP!$C$2:$C$2501,MATCH($A925,KW_TP!$A$2:$A$2501,1))))</f>
        <v/>
      </c>
    </row>
    <row r="926">
      <c r="A926" s="15">
        <f>IF(ISNUMBER(BBG_Data!A926),BBG_Data!A926,"")</f>
        <v/>
      </c>
      <c r="B926" s="16">
        <f>IF(AND(ISNUMBER($A926),ISNUMBER(BBG_Data!B926)),BBG_Data!B926,NA())</f>
        <v/>
      </c>
      <c r="C926" s="16">
        <f>IF(AND(ISNUMBER($A926),ISNUMBER(BBG_Data!C926)),BBG_Data!C926,NA())</f>
        <v/>
      </c>
      <c r="D926" s="17">
        <f>IF(AND(ISNUMBER($A926),ISNUMBER(BBG_Data!D926)),BBG_Data!D926,NA())</f>
        <v/>
      </c>
      <c r="E926" s="17">
        <f>IF(AND(ISNUMBER($A926),ISNUMBER(BBG_Data!E926)),BBG_Data!E926,NA())</f>
        <v/>
      </c>
      <c r="F926" s="18">
        <f>IF(AND(ISNUMBER(B926),ISNUMBER(B925)),(B926-B925)*100,"")</f>
        <v/>
      </c>
      <c r="G926" s="18">
        <f>IF(AND(ISNUMBER(C926),ISNUMBER(C925)),(C926-C925)*100,"")</f>
        <v/>
      </c>
      <c r="H926" s="18">
        <f>IF(OR(NOT(ISNUMBER($A926)),ROW()-2&lt;Settings!$B$11),NA(),IF(COUNT(OFFSET(F926,1-Settings!$B$11,0,Settings!$B$11,1))&lt;Settings!$B$11,NA(),STDEV(OFFSET(F926,1-Settings!$B$11,0,Settings!$B$11,1))*SQRT(Settings!$B$13)))</f>
        <v/>
      </c>
      <c r="I926" s="18">
        <f>IF(OR(NOT(ISNUMBER($A926)),ROW()-2&lt;Settings!$B$12),NA(),IF(COUNT(OFFSET(F926,1-Settings!$B$12,0,Settings!$B$12,1))&lt;Settings!$B$12,NA(),STDEV(OFFSET(F926,1-Settings!$B$12,0,Settings!$B$12,1))*SQRT(Settings!$B$13)))</f>
        <v/>
      </c>
      <c r="J926" s="18">
        <f>IF(OR(NOT(ISNUMBER($A926)),ROW()-2&lt;Settings!$B$11),NA(),IF(COUNT(OFFSET(G926,1-Settings!$B$11,0,Settings!$B$11,1))&lt;Settings!$B$11,NA(),STDEV(OFFSET(G926,1-Settings!$B$11,0,Settings!$B$11,1))*SQRT(Settings!$B$13)))</f>
        <v/>
      </c>
      <c r="K926" s="18">
        <f>IF(OR(NOT(ISNUMBER($A926)),ROW()-2&lt;Settings!$B$12),NA(),IF(COUNT(OFFSET(G926,1-Settings!$B$12,0,Settings!$B$12,1))&lt;Settings!$B$12,NA(),STDEV(OFFSET(G926,1-Settings!$B$12,0,Settings!$B$12,1))*SQRT(Settings!$B$13)))</f>
        <v/>
      </c>
      <c r="L926" s="18">
        <f>IF(AND(ISNUMBER(D926),ISNUMBER(H926)),D926-H926,NA())</f>
        <v/>
      </c>
      <c r="M926" s="18">
        <f>IF(AND(ISNUMBER(E926),ISNUMBER(K926)),E926-K926,NA())</f>
        <v/>
      </c>
      <c r="N926" s="18">
        <f>IF(NOT(ISNUMBER($A926)),NA(),IF(COUNT(OFFSET(G926,1,0,Settings!$B$12,1))&lt;Settings!$B$12,NA(),STDEV(OFFSET(G926,1,0,Settings!$B$12,1))*SQRT(Settings!$B$13)))</f>
        <v/>
      </c>
      <c r="O926" s="18">
        <f>IF(AND(ISNUMBER(E926),ISNUMBER(N926)),E926-N926,NA())</f>
        <v/>
      </c>
      <c r="P926" s="17">
        <f>IF(NOT(ISNUMBER($A926)),NA(),IF(OR($A926&lt;MIN(KW_TP!$A$2:$A$2501),$A926&gt;MAX(KW_TP!$A$2:$A$2501)),NA(),INDEX(KW_TP!$C$2:$C$2501,MATCH($A926,KW_TP!$A$2:$A$2501,1))))</f>
        <v/>
      </c>
    </row>
    <row r="927">
      <c r="A927" s="15">
        <f>IF(ISNUMBER(BBG_Data!A927),BBG_Data!A927,"")</f>
        <v/>
      </c>
      <c r="B927" s="16">
        <f>IF(AND(ISNUMBER($A927),ISNUMBER(BBG_Data!B927)),BBG_Data!B927,NA())</f>
        <v/>
      </c>
      <c r="C927" s="16">
        <f>IF(AND(ISNUMBER($A927),ISNUMBER(BBG_Data!C927)),BBG_Data!C927,NA())</f>
        <v/>
      </c>
      <c r="D927" s="17">
        <f>IF(AND(ISNUMBER($A927),ISNUMBER(BBG_Data!D927)),BBG_Data!D927,NA())</f>
        <v/>
      </c>
      <c r="E927" s="17">
        <f>IF(AND(ISNUMBER($A927),ISNUMBER(BBG_Data!E927)),BBG_Data!E927,NA())</f>
        <v/>
      </c>
      <c r="F927" s="18">
        <f>IF(AND(ISNUMBER(B927),ISNUMBER(B926)),(B927-B926)*100,"")</f>
        <v/>
      </c>
      <c r="G927" s="18">
        <f>IF(AND(ISNUMBER(C927),ISNUMBER(C926)),(C927-C926)*100,"")</f>
        <v/>
      </c>
      <c r="H927" s="18">
        <f>IF(OR(NOT(ISNUMBER($A927)),ROW()-2&lt;Settings!$B$11),NA(),IF(COUNT(OFFSET(F927,1-Settings!$B$11,0,Settings!$B$11,1))&lt;Settings!$B$11,NA(),STDEV(OFFSET(F927,1-Settings!$B$11,0,Settings!$B$11,1))*SQRT(Settings!$B$13)))</f>
        <v/>
      </c>
      <c r="I927" s="18">
        <f>IF(OR(NOT(ISNUMBER($A927)),ROW()-2&lt;Settings!$B$12),NA(),IF(COUNT(OFFSET(F927,1-Settings!$B$12,0,Settings!$B$12,1))&lt;Settings!$B$12,NA(),STDEV(OFFSET(F927,1-Settings!$B$12,0,Settings!$B$12,1))*SQRT(Settings!$B$13)))</f>
        <v/>
      </c>
      <c r="J927" s="18">
        <f>IF(OR(NOT(ISNUMBER($A927)),ROW()-2&lt;Settings!$B$11),NA(),IF(COUNT(OFFSET(G927,1-Settings!$B$11,0,Settings!$B$11,1))&lt;Settings!$B$11,NA(),STDEV(OFFSET(G927,1-Settings!$B$11,0,Settings!$B$11,1))*SQRT(Settings!$B$13)))</f>
        <v/>
      </c>
      <c r="K927" s="18">
        <f>IF(OR(NOT(ISNUMBER($A927)),ROW()-2&lt;Settings!$B$12),NA(),IF(COUNT(OFFSET(G927,1-Settings!$B$12,0,Settings!$B$12,1))&lt;Settings!$B$12,NA(),STDEV(OFFSET(G927,1-Settings!$B$12,0,Settings!$B$12,1))*SQRT(Settings!$B$13)))</f>
        <v/>
      </c>
      <c r="L927" s="18">
        <f>IF(AND(ISNUMBER(D927),ISNUMBER(H927)),D927-H927,NA())</f>
        <v/>
      </c>
      <c r="M927" s="18">
        <f>IF(AND(ISNUMBER(E927),ISNUMBER(K927)),E927-K927,NA())</f>
        <v/>
      </c>
      <c r="N927" s="18">
        <f>IF(NOT(ISNUMBER($A927)),NA(),IF(COUNT(OFFSET(G927,1,0,Settings!$B$12,1))&lt;Settings!$B$12,NA(),STDEV(OFFSET(G927,1,0,Settings!$B$12,1))*SQRT(Settings!$B$13)))</f>
        <v/>
      </c>
      <c r="O927" s="18">
        <f>IF(AND(ISNUMBER(E927),ISNUMBER(N927)),E927-N927,NA())</f>
        <v/>
      </c>
      <c r="P927" s="17">
        <f>IF(NOT(ISNUMBER($A927)),NA(),IF(OR($A927&lt;MIN(KW_TP!$A$2:$A$2501),$A927&gt;MAX(KW_TP!$A$2:$A$2501)),NA(),INDEX(KW_TP!$C$2:$C$2501,MATCH($A927,KW_TP!$A$2:$A$2501,1))))</f>
        <v/>
      </c>
    </row>
    <row r="928">
      <c r="A928" s="15">
        <f>IF(ISNUMBER(BBG_Data!A928),BBG_Data!A928,"")</f>
        <v/>
      </c>
      <c r="B928" s="16">
        <f>IF(AND(ISNUMBER($A928),ISNUMBER(BBG_Data!B928)),BBG_Data!B928,NA())</f>
        <v/>
      </c>
      <c r="C928" s="16">
        <f>IF(AND(ISNUMBER($A928),ISNUMBER(BBG_Data!C928)),BBG_Data!C928,NA())</f>
        <v/>
      </c>
      <c r="D928" s="17">
        <f>IF(AND(ISNUMBER($A928),ISNUMBER(BBG_Data!D928)),BBG_Data!D928,NA())</f>
        <v/>
      </c>
      <c r="E928" s="17">
        <f>IF(AND(ISNUMBER($A928),ISNUMBER(BBG_Data!E928)),BBG_Data!E928,NA())</f>
        <v/>
      </c>
      <c r="F928" s="18">
        <f>IF(AND(ISNUMBER(B928),ISNUMBER(B927)),(B928-B927)*100,"")</f>
        <v/>
      </c>
      <c r="G928" s="18">
        <f>IF(AND(ISNUMBER(C928),ISNUMBER(C927)),(C928-C927)*100,"")</f>
        <v/>
      </c>
      <c r="H928" s="18">
        <f>IF(OR(NOT(ISNUMBER($A928)),ROW()-2&lt;Settings!$B$11),NA(),IF(COUNT(OFFSET(F928,1-Settings!$B$11,0,Settings!$B$11,1))&lt;Settings!$B$11,NA(),STDEV(OFFSET(F928,1-Settings!$B$11,0,Settings!$B$11,1))*SQRT(Settings!$B$13)))</f>
        <v/>
      </c>
      <c r="I928" s="18">
        <f>IF(OR(NOT(ISNUMBER($A928)),ROW()-2&lt;Settings!$B$12),NA(),IF(COUNT(OFFSET(F928,1-Settings!$B$12,0,Settings!$B$12,1))&lt;Settings!$B$12,NA(),STDEV(OFFSET(F928,1-Settings!$B$12,0,Settings!$B$12,1))*SQRT(Settings!$B$13)))</f>
        <v/>
      </c>
      <c r="J928" s="18">
        <f>IF(OR(NOT(ISNUMBER($A928)),ROW()-2&lt;Settings!$B$11),NA(),IF(COUNT(OFFSET(G928,1-Settings!$B$11,0,Settings!$B$11,1))&lt;Settings!$B$11,NA(),STDEV(OFFSET(G928,1-Settings!$B$11,0,Settings!$B$11,1))*SQRT(Settings!$B$13)))</f>
        <v/>
      </c>
      <c r="K928" s="18">
        <f>IF(OR(NOT(ISNUMBER($A928)),ROW()-2&lt;Settings!$B$12),NA(),IF(COUNT(OFFSET(G928,1-Settings!$B$12,0,Settings!$B$12,1))&lt;Settings!$B$12,NA(),STDEV(OFFSET(G928,1-Settings!$B$12,0,Settings!$B$12,1))*SQRT(Settings!$B$13)))</f>
        <v/>
      </c>
      <c r="L928" s="18">
        <f>IF(AND(ISNUMBER(D928),ISNUMBER(H928)),D928-H928,NA())</f>
        <v/>
      </c>
      <c r="M928" s="18">
        <f>IF(AND(ISNUMBER(E928),ISNUMBER(K928)),E928-K928,NA())</f>
        <v/>
      </c>
      <c r="N928" s="18">
        <f>IF(NOT(ISNUMBER($A928)),NA(),IF(COUNT(OFFSET(G928,1,0,Settings!$B$12,1))&lt;Settings!$B$12,NA(),STDEV(OFFSET(G928,1,0,Settings!$B$12,1))*SQRT(Settings!$B$13)))</f>
        <v/>
      </c>
      <c r="O928" s="18">
        <f>IF(AND(ISNUMBER(E928),ISNUMBER(N928)),E928-N928,NA())</f>
        <v/>
      </c>
      <c r="P928" s="17">
        <f>IF(NOT(ISNUMBER($A928)),NA(),IF(OR($A928&lt;MIN(KW_TP!$A$2:$A$2501),$A928&gt;MAX(KW_TP!$A$2:$A$2501)),NA(),INDEX(KW_TP!$C$2:$C$2501,MATCH($A928,KW_TP!$A$2:$A$2501,1))))</f>
        <v/>
      </c>
    </row>
    <row r="929">
      <c r="A929" s="15">
        <f>IF(ISNUMBER(BBG_Data!A929),BBG_Data!A929,"")</f>
        <v/>
      </c>
      <c r="B929" s="16">
        <f>IF(AND(ISNUMBER($A929),ISNUMBER(BBG_Data!B929)),BBG_Data!B929,NA())</f>
        <v/>
      </c>
      <c r="C929" s="16">
        <f>IF(AND(ISNUMBER($A929),ISNUMBER(BBG_Data!C929)),BBG_Data!C929,NA())</f>
        <v/>
      </c>
      <c r="D929" s="17">
        <f>IF(AND(ISNUMBER($A929),ISNUMBER(BBG_Data!D929)),BBG_Data!D929,NA())</f>
        <v/>
      </c>
      <c r="E929" s="17">
        <f>IF(AND(ISNUMBER($A929),ISNUMBER(BBG_Data!E929)),BBG_Data!E929,NA())</f>
        <v/>
      </c>
      <c r="F929" s="18">
        <f>IF(AND(ISNUMBER(B929),ISNUMBER(B928)),(B929-B928)*100,"")</f>
        <v/>
      </c>
      <c r="G929" s="18">
        <f>IF(AND(ISNUMBER(C929),ISNUMBER(C928)),(C929-C928)*100,"")</f>
        <v/>
      </c>
      <c r="H929" s="18">
        <f>IF(OR(NOT(ISNUMBER($A929)),ROW()-2&lt;Settings!$B$11),NA(),IF(COUNT(OFFSET(F929,1-Settings!$B$11,0,Settings!$B$11,1))&lt;Settings!$B$11,NA(),STDEV(OFFSET(F929,1-Settings!$B$11,0,Settings!$B$11,1))*SQRT(Settings!$B$13)))</f>
        <v/>
      </c>
      <c r="I929" s="18">
        <f>IF(OR(NOT(ISNUMBER($A929)),ROW()-2&lt;Settings!$B$12),NA(),IF(COUNT(OFFSET(F929,1-Settings!$B$12,0,Settings!$B$12,1))&lt;Settings!$B$12,NA(),STDEV(OFFSET(F929,1-Settings!$B$12,0,Settings!$B$12,1))*SQRT(Settings!$B$13)))</f>
        <v/>
      </c>
      <c r="J929" s="18">
        <f>IF(OR(NOT(ISNUMBER($A929)),ROW()-2&lt;Settings!$B$11),NA(),IF(COUNT(OFFSET(G929,1-Settings!$B$11,0,Settings!$B$11,1))&lt;Settings!$B$11,NA(),STDEV(OFFSET(G929,1-Settings!$B$11,0,Settings!$B$11,1))*SQRT(Settings!$B$13)))</f>
        <v/>
      </c>
      <c r="K929" s="18">
        <f>IF(OR(NOT(ISNUMBER($A929)),ROW()-2&lt;Settings!$B$12),NA(),IF(COUNT(OFFSET(G929,1-Settings!$B$12,0,Settings!$B$12,1))&lt;Settings!$B$12,NA(),STDEV(OFFSET(G929,1-Settings!$B$12,0,Settings!$B$12,1))*SQRT(Settings!$B$13)))</f>
        <v/>
      </c>
      <c r="L929" s="18">
        <f>IF(AND(ISNUMBER(D929),ISNUMBER(H929)),D929-H929,NA())</f>
        <v/>
      </c>
      <c r="M929" s="18">
        <f>IF(AND(ISNUMBER(E929),ISNUMBER(K929)),E929-K929,NA())</f>
        <v/>
      </c>
      <c r="N929" s="18">
        <f>IF(NOT(ISNUMBER($A929)),NA(),IF(COUNT(OFFSET(G929,1,0,Settings!$B$12,1))&lt;Settings!$B$12,NA(),STDEV(OFFSET(G929,1,0,Settings!$B$12,1))*SQRT(Settings!$B$13)))</f>
        <v/>
      </c>
      <c r="O929" s="18">
        <f>IF(AND(ISNUMBER(E929),ISNUMBER(N929)),E929-N929,NA())</f>
        <v/>
      </c>
      <c r="P929" s="17">
        <f>IF(NOT(ISNUMBER($A929)),NA(),IF(OR($A929&lt;MIN(KW_TP!$A$2:$A$2501),$A929&gt;MAX(KW_TP!$A$2:$A$2501)),NA(),INDEX(KW_TP!$C$2:$C$2501,MATCH($A929,KW_TP!$A$2:$A$2501,1))))</f>
        <v/>
      </c>
    </row>
    <row r="930">
      <c r="A930" s="15">
        <f>IF(ISNUMBER(BBG_Data!A930),BBG_Data!A930,"")</f>
        <v/>
      </c>
      <c r="B930" s="16">
        <f>IF(AND(ISNUMBER($A930),ISNUMBER(BBG_Data!B930)),BBG_Data!B930,NA())</f>
        <v/>
      </c>
      <c r="C930" s="16">
        <f>IF(AND(ISNUMBER($A930),ISNUMBER(BBG_Data!C930)),BBG_Data!C930,NA())</f>
        <v/>
      </c>
      <c r="D930" s="17">
        <f>IF(AND(ISNUMBER($A930),ISNUMBER(BBG_Data!D930)),BBG_Data!D930,NA())</f>
        <v/>
      </c>
      <c r="E930" s="17">
        <f>IF(AND(ISNUMBER($A930),ISNUMBER(BBG_Data!E930)),BBG_Data!E930,NA())</f>
        <v/>
      </c>
      <c r="F930" s="18">
        <f>IF(AND(ISNUMBER(B930),ISNUMBER(B929)),(B930-B929)*100,"")</f>
        <v/>
      </c>
      <c r="G930" s="18">
        <f>IF(AND(ISNUMBER(C930),ISNUMBER(C929)),(C930-C929)*100,"")</f>
        <v/>
      </c>
      <c r="H930" s="18">
        <f>IF(OR(NOT(ISNUMBER($A930)),ROW()-2&lt;Settings!$B$11),NA(),IF(COUNT(OFFSET(F930,1-Settings!$B$11,0,Settings!$B$11,1))&lt;Settings!$B$11,NA(),STDEV(OFFSET(F930,1-Settings!$B$11,0,Settings!$B$11,1))*SQRT(Settings!$B$13)))</f>
        <v/>
      </c>
      <c r="I930" s="18">
        <f>IF(OR(NOT(ISNUMBER($A930)),ROW()-2&lt;Settings!$B$12),NA(),IF(COUNT(OFFSET(F930,1-Settings!$B$12,0,Settings!$B$12,1))&lt;Settings!$B$12,NA(),STDEV(OFFSET(F930,1-Settings!$B$12,0,Settings!$B$12,1))*SQRT(Settings!$B$13)))</f>
        <v/>
      </c>
      <c r="J930" s="18">
        <f>IF(OR(NOT(ISNUMBER($A930)),ROW()-2&lt;Settings!$B$11),NA(),IF(COUNT(OFFSET(G930,1-Settings!$B$11,0,Settings!$B$11,1))&lt;Settings!$B$11,NA(),STDEV(OFFSET(G930,1-Settings!$B$11,0,Settings!$B$11,1))*SQRT(Settings!$B$13)))</f>
        <v/>
      </c>
      <c r="K930" s="18">
        <f>IF(OR(NOT(ISNUMBER($A930)),ROW()-2&lt;Settings!$B$12),NA(),IF(COUNT(OFFSET(G930,1-Settings!$B$12,0,Settings!$B$12,1))&lt;Settings!$B$12,NA(),STDEV(OFFSET(G930,1-Settings!$B$12,0,Settings!$B$12,1))*SQRT(Settings!$B$13)))</f>
        <v/>
      </c>
      <c r="L930" s="18">
        <f>IF(AND(ISNUMBER(D930),ISNUMBER(H930)),D930-H930,NA())</f>
        <v/>
      </c>
      <c r="M930" s="18">
        <f>IF(AND(ISNUMBER(E930),ISNUMBER(K930)),E930-K930,NA())</f>
        <v/>
      </c>
      <c r="N930" s="18">
        <f>IF(NOT(ISNUMBER($A930)),NA(),IF(COUNT(OFFSET(G930,1,0,Settings!$B$12,1))&lt;Settings!$B$12,NA(),STDEV(OFFSET(G930,1,0,Settings!$B$12,1))*SQRT(Settings!$B$13)))</f>
        <v/>
      </c>
      <c r="O930" s="18">
        <f>IF(AND(ISNUMBER(E930),ISNUMBER(N930)),E930-N930,NA())</f>
        <v/>
      </c>
      <c r="P930" s="17">
        <f>IF(NOT(ISNUMBER($A930)),NA(),IF(OR($A930&lt;MIN(KW_TP!$A$2:$A$2501),$A930&gt;MAX(KW_TP!$A$2:$A$2501)),NA(),INDEX(KW_TP!$C$2:$C$2501,MATCH($A930,KW_TP!$A$2:$A$2501,1))))</f>
        <v/>
      </c>
    </row>
    <row r="931">
      <c r="A931" s="15">
        <f>IF(ISNUMBER(BBG_Data!A931),BBG_Data!A931,"")</f>
        <v/>
      </c>
      <c r="B931" s="16">
        <f>IF(AND(ISNUMBER($A931),ISNUMBER(BBG_Data!B931)),BBG_Data!B931,NA())</f>
        <v/>
      </c>
      <c r="C931" s="16">
        <f>IF(AND(ISNUMBER($A931),ISNUMBER(BBG_Data!C931)),BBG_Data!C931,NA())</f>
        <v/>
      </c>
      <c r="D931" s="17">
        <f>IF(AND(ISNUMBER($A931),ISNUMBER(BBG_Data!D931)),BBG_Data!D931,NA())</f>
        <v/>
      </c>
      <c r="E931" s="17">
        <f>IF(AND(ISNUMBER($A931),ISNUMBER(BBG_Data!E931)),BBG_Data!E931,NA())</f>
        <v/>
      </c>
      <c r="F931" s="18">
        <f>IF(AND(ISNUMBER(B931),ISNUMBER(B930)),(B931-B930)*100,"")</f>
        <v/>
      </c>
      <c r="G931" s="18">
        <f>IF(AND(ISNUMBER(C931),ISNUMBER(C930)),(C931-C930)*100,"")</f>
        <v/>
      </c>
      <c r="H931" s="18">
        <f>IF(OR(NOT(ISNUMBER($A931)),ROW()-2&lt;Settings!$B$11),NA(),IF(COUNT(OFFSET(F931,1-Settings!$B$11,0,Settings!$B$11,1))&lt;Settings!$B$11,NA(),STDEV(OFFSET(F931,1-Settings!$B$11,0,Settings!$B$11,1))*SQRT(Settings!$B$13)))</f>
        <v/>
      </c>
      <c r="I931" s="18">
        <f>IF(OR(NOT(ISNUMBER($A931)),ROW()-2&lt;Settings!$B$12),NA(),IF(COUNT(OFFSET(F931,1-Settings!$B$12,0,Settings!$B$12,1))&lt;Settings!$B$12,NA(),STDEV(OFFSET(F931,1-Settings!$B$12,0,Settings!$B$12,1))*SQRT(Settings!$B$13)))</f>
        <v/>
      </c>
      <c r="J931" s="18">
        <f>IF(OR(NOT(ISNUMBER($A931)),ROW()-2&lt;Settings!$B$11),NA(),IF(COUNT(OFFSET(G931,1-Settings!$B$11,0,Settings!$B$11,1))&lt;Settings!$B$11,NA(),STDEV(OFFSET(G931,1-Settings!$B$11,0,Settings!$B$11,1))*SQRT(Settings!$B$13)))</f>
        <v/>
      </c>
      <c r="K931" s="18">
        <f>IF(OR(NOT(ISNUMBER($A931)),ROW()-2&lt;Settings!$B$12),NA(),IF(COUNT(OFFSET(G931,1-Settings!$B$12,0,Settings!$B$12,1))&lt;Settings!$B$12,NA(),STDEV(OFFSET(G931,1-Settings!$B$12,0,Settings!$B$12,1))*SQRT(Settings!$B$13)))</f>
        <v/>
      </c>
      <c r="L931" s="18">
        <f>IF(AND(ISNUMBER(D931),ISNUMBER(H931)),D931-H931,NA())</f>
        <v/>
      </c>
      <c r="M931" s="18">
        <f>IF(AND(ISNUMBER(E931),ISNUMBER(K931)),E931-K931,NA())</f>
        <v/>
      </c>
      <c r="N931" s="18">
        <f>IF(NOT(ISNUMBER($A931)),NA(),IF(COUNT(OFFSET(G931,1,0,Settings!$B$12,1))&lt;Settings!$B$12,NA(),STDEV(OFFSET(G931,1,0,Settings!$B$12,1))*SQRT(Settings!$B$13)))</f>
        <v/>
      </c>
      <c r="O931" s="18">
        <f>IF(AND(ISNUMBER(E931),ISNUMBER(N931)),E931-N931,NA())</f>
        <v/>
      </c>
      <c r="P931" s="17">
        <f>IF(NOT(ISNUMBER($A931)),NA(),IF(OR($A931&lt;MIN(KW_TP!$A$2:$A$2501),$A931&gt;MAX(KW_TP!$A$2:$A$2501)),NA(),INDEX(KW_TP!$C$2:$C$2501,MATCH($A931,KW_TP!$A$2:$A$2501,1))))</f>
        <v/>
      </c>
    </row>
    <row r="932">
      <c r="A932" s="15">
        <f>IF(ISNUMBER(BBG_Data!A932),BBG_Data!A932,"")</f>
        <v/>
      </c>
      <c r="B932" s="16">
        <f>IF(AND(ISNUMBER($A932),ISNUMBER(BBG_Data!B932)),BBG_Data!B932,NA())</f>
        <v/>
      </c>
      <c r="C932" s="16">
        <f>IF(AND(ISNUMBER($A932),ISNUMBER(BBG_Data!C932)),BBG_Data!C932,NA())</f>
        <v/>
      </c>
      <c r="D932" s="17">
        <f>IF(AND(ISNUMBER($A932),ISNUMBER(BBG_Data!D932)),BBG_Data!D932,NA())</f>
        <v/>
      </c>
      <c r="E932" s="17">
        <f>IF(AND(ISNUMBER($A932),ISNUMBER(BBG_Data!E932)),BBG_Data!E932,NA())</f>
        <v/>
      </c>
      <c r="F932" s="18">
        <f>IF(AND(ISNUMBER(B932),ISNUMBER(B931)),(B932-B931)*100,"")</f>
        <v/>
      </c>
      <c r="G932" s="18">
        <f>IF(AND(ISNUMBER(C932),ISNUMBER(C931)),(C932-C931)*100,"")</f>
        <v/>
      </c>
      <c r="H932" s="18">
        <f>IF(OR(NOT(ISNUMBER($A932)),ROW()-2&lt;Settings!$B$11),NA(),IF(COUNT(OFFSET(F932,1-Settings!$B$11,0,Settings!$B$11,1))&lt;Settings!$B$11,NA(),STDEV(OFFSET(F932,1-Settings!$B$11,0,Settings!$B$11,1))*SQRT(Settings!$B$13)))</f>
        <v/>
      </c>
      <c r="I932" s="18">
        <f>IF(OR(NOT(ISNUMBER($A932)),ROW()-2&lt;Settings!$B$12),NA(),IF(COUNT(OFFSET(F932,1-Settings!$B$12,0,Settings!$B$12,1))&lt;Settings!$B$12,NA(),STDEV(OFFSET(F932,1-Settings!$B$12,0,Settings!$B$12,1))*SQRT(Settings!$B$13)))</f>
        <v/>
      </c>
      <c r="J932" s="18">
        <f>IF(OR(NOT(ISNUMBER($A932)),ROW()-2&lt;Settings!$B$11),NA(),IF(COUNT(OFFSET(G932,1-Settings!$B$11,0,Settings!$B$11,1))&lt;Settings!$B$11,NA(),STDEV(OFFSET(G932,1-Settings!$B$11,0,Settings!$B$11,1))*SQRT(Settings!$B$13)))</f>
        <v/>
      </c>
      <c r="K932" s="18">
        <f>IF(OR(NOT(ISNUMBER($A932)),ROW()-2&lt;Settings!$B$12),NA(),IF(COUNT(OFFSET(G932,1-Settings!$B$12,0,Settings!$B$12,1))&lt;Settings!$B$12,NA(),STDEV(OFFSET(G932,1-Settings!$B$12,0,Settings!$B$12,1))*SQRT(Settings!$B$13)))</f>
        <v/>
      </c>
      <c r="L932" s="18">
        <f>IF(AND(ISNUMBER(D932),ISNUMBER(H932)),D932-H932,NA())</f>
        <v/>
      </c>
      <c r="M932" s="18">
        <f>IF(AND(ISNUMBER(E932),ISNUMBER(K932)),E932-K932,NA())</f>
        <v/>
      </c>
      <c r="N932" s="18">
        <f>IF(NOT(ISNUMBER($A932)),NA(),IF(COUNT(OFFSET(G932,1,0,Settings!$B$12,1))&lt;Settings!$B$12,NA(),STDEV(OFFSET(G932,1,0,Settings!$B$12,1))*SQRT(Settings!$B$13)))</f>
        <v/>
      </c>
      <c r="O932" s="18">
        <f>IF(AND(ISNUMBER(E932),ISNUMBER(N932)),E932-N932,NA())</f>
        <v/>
      </c>
      <c r="P932" s="17">
        <f>IF(NOT(ISNUMBER($A932)),NA(),IF(OR($A932&lt;MIN(KW_TP!$A$2:$A$2501),$A932&gt;MAX(KW_TP!$A$2:$A$2501)),NA(),INDEX(KW_TP!$C$2:$C$2501,MATCH($A932,KW_TP!$A$2:$A$2501,1))))</f>
        <v/>
      </c>
    </row>
    <row r="933">
      <c r="A933" s="15">
        <f>IF(ISNUMBER(BBG_Data!A933),BBG_Data!A933,"")</f>
        <v/>
      </c>
      <c r="B933" s="16">
        <f>IF(AND(ISNUMBER($A933),ISNUMBER(BBG_Data!B933)),BBG_Data!B933,NA())</f>
        <v/>
      </c>
      <c r="C933" s="16">
        <f>IF(AND(ISNUMBER($A933),ISNUMBER(BBG_Data!C933)),BBG_Data!C933,NA())</f>
        <v/>
      </c>
      <c r="D933" s="17">
        <f>IF(AND(ISNUMBER($A933),ISNUMBER(BBG_Data!D933)),BBG_Data!D933,NA())</f>
        <v/>
      </c>
      <c r="E933" s="17">
        <f>IF(AND(ISNUMBER($A933),ISNUMBER(BBG_Data!E933)),BBG_Data!E933,NA())</f>
        <v/>
      </c>
      <c r="F933" s="18">
        <f>IF(AND(ISNUMBER(B933),ISNUMBER(B932)),(B933-B932)*100,"")</f>
        <v/>
      </c>
      <c r="G933" s="18">
        <f>IF(AND(ISNUMBER(C933),ISNUMBER(C932)),(C933-C932)*100,"")</f>
        <v/>
      </c>
      <c r="H933" s="18">
        <f>IF(OR(NOT(ISNUMBER($A933)),ROW()-2&lt;Settings!$B$11),NA(),IF(COUNT(OFFSET(F933,1-Settings!$B$11,0,Settings!$B$11,1))&lt;Settings!$B$11,NA(),STDEV(OFFSET(F933,1-Settings!$B$11,0,Settings!$B$11,1))*SQRT(Settings!$B$13)))</f>
        <v/>
      </c>
      <c r="I933" s="18">
        <f>IF(OR(NOT(ISNUMBER($A933)),ROW()-2&lt;Settings!$B$12),NA(),IF(COUNT(OFFSET(F933,1-Settings!$B$12,0,Settings!$B$12,1))&lt;Settings!$B$12,NA(),STDEV(OFFSET(F933,1-Settings!$B$12,0,Settings!$B$12,1))*SQRT(Settings!$B$13)))</f>
        <v/>
      </c>
      <c r="J933" s="18">
        <f>IF(OR(NOT(ISNUMBER($A933)),ROW()-2&lt;Settings!$B$11),NA(),IF(COUNT(OFFSET(G933,1-Settings!$B$11,0,Settings!$B$11,1))&lt;Settings!$B$11,NA(),STDEV(OFFSET(G933,1-Settings!$B$11,0,Settings!$B$11,1))*SQRT(Settings!$B$13)))</f>
        <v/>
      </c>
      <c r="K933" s="18">
        <f>IF(OR(NOT(ISNUMBER($A933)),ROW()-2&lt;Settings!$B$12),NA(),IF(COUNT(OFFSET(G933,1-Settings!$B$12,0,Settings!$B$12,1))&lt;Settings!$B$12,NA(),STDEV(OFFSET(G933,1-Settings!$B$12,0,Settings!$B$12,1))*SQRT(Settings!$B$13)))</f>
        <v/>
      </c>
      <c r="L933" s="18">
        <f>IF(AND(ISNUMBER(D933),ISNUMBER(H933)),D933-H933,NA())</f>
        <v/>
      </c>
      <c r="M933" s="18">
        <f>IF(AND(ISNUMBER(E933),ISNUMBER(K933)),E933-K933,NA())</f>
        <v/>
      </c>
      <c r="N933" s="18">
        <f>IF(NOT(ISNUMBER($A933)),NA(),IF(COUNT(OFFSET(G933,1,0,Settings!$B$12,1))&lt;Settings!$B$12,NA(),STDEV(OFFSET(G933,1,0,Settings!$B$12,1))*SQRT(Settings!$B$13)))</f>
        <v/>
      </c>
      <c r="O933" s="18">
        <f>IF(AND(ISNUMBER(E933),ISNUMBER(N933)),E933-N933,NA())</f>
        <v/>
      </c>
      <c r="P933" s="17">
        <f>IF(NOT(ISNUMBER($A933)),NA(),IF(OR($A933&lt;MIN(KW_TP!$A$2:$A$2501),$A933&gt;MAX(KW_TP!$A$2:$A$2501)),NA(),INDEX(KW_TP!$C$2:$C$2501,MATCH($A933,KW_TP!$A$2:$A$2501,1))))</f>
        <v/>
      </c>
    </row>
    <row r="934">
      <c r="A934" s="15">
        <f>IF(ISNUMBER(BBG_Data!A934),BBG_Data!A934,"")</f>
        <v/>
      </c>
      <c r="B934" s="16">
        <f>IF(AND(ISNUMBER($A934),ISNUMBER(BBG_Data!B934)),BBG_Data!B934,NA())</f>
        <v/>
      </c>
      <c r="C934" s="16">
        <f>IF(AND(ISNUMBER($A934),ISNUMBER(BBG_Data!C934)),BBG_Data!C934,NA())</f>
        <v/>
      </c>
      <c r="D934" s="17">
        <f>IF(AND(ISNUMBER($A934),ISNUMBER(BBG_Data!D934)),BBG_Data!D934,NA())</f>
        <v/>
      </c>
      <c r="E934" s="17">
        <f>IF(AND(ISNUMBER($A934),ISNUMBER(BBG_Data!E934)),BBG_Data!E934,NA())</f>
        <v/>
      </c>
      <c r="F934" s="18">
        <f>IF(AND(ISNUMBER(B934),ISNUMBER(B933)),(B934-B933)*100,"")</f>
        <v/>
      </c>
      <c r="G934" s="18">
        <f>IF(AND(ISNUMBER(C934),ISNUMBER(C933)),(C934-C933)*100,"")</f>
        <v/>
      </c>
      <c r="H934" s="18">
        <f>IF(OR(NOT(ISNUMBER($A934)),ROW()-2&lt;Settings!$B$11),NA(),IF(COUNT(OFFSET(F934,1-Settings!$B$11,0,Settings!$B$11,1))&lt;Settings!$B$11,NA(),STDEV(OFFSET(F934,1-Settings!$B$11,0,Settings!$B$11,1))*SQRT(Settings!$B$13)))</f>
        <v/>
      </c>
      <c r="I934" s="18">
        <f>IF(OR(NOT(ISNUMBER($A934)),ROW()-2&lt;Settings!$B$12),NA(),IF(COUNT(OFFSET(F934,1-Settings!$B$12,0,Settings!$B$12,1))&lt;Settings!$B$12,NA(),STDEV(OFFSET(F934,1-Settings!$B$12,0,Settings!$B$12,1))*SQRT(Settings!$B$13)))</f>
        <v/>
      </c>
      <c r="J934" s="18">
        <f>IF(OR(NOT(ISNUMBER($A934)),ROW()-2&lt;Settings!$B$11),NA(),IF(COUNT(OFFSET(G934,1-Settings!$B$11,0,Settings!$B$11,1))&lt;Settings!$B$11,NA(),STDEV(OFFSET(G934,1-Settings!$B$11,0,Settings!$B$11,1))*SQRT(Settings!$B$13)))</f>
        <v/>
      </c>
      <c r="K934" s="18">
        <f>IF(OR(NOT(ISNUMBER($A934)),ROW()-2&lt;Settings!$B$12),NA(),IF(COUNT(OFFSET(G934,1-Settings!$B$12,0,Settings!$B$12,1))&lt;Settings!$B$12,NA(),STDEV(OFFSET(G934,1-Settings!$B$12,0,Settings!$B$12,1))*SQRT(Settings!$B$13)))</f>
        <v/>
      </c>
      <c r="L934" s="18">
        <f>IF(AND(ISNUMBER(D934),ISNUMBER(H934)),D934-H934,NA())</f>
        <v/>
      </c>
      <c r="M934" s="18">
        <f>IF(AND(ISNUMBER(E934),ISNUMBER(K934)),E934-K934,NA())</f>
        <v/>
      </c>
      <c r="N934" s="18">
        <f>IF(NOT(ISNUMBER($A934)),NA(),IF(COUNT(OFFSET(G934,1,0,Settings!$B$12,1))&lt;Settings!$B$12,NA(),STDEV(OFFSET(G934,1,0,Settings!$B$12,1))*SQRT(Settings!$B$13)))</f>
        <v/>
      </c>
      <c r="O934" s="18">
        <f>IF(AND(ISNUMBER(E934),ISNUMBER(N934)),E934-N934,NA())</f>
        <v/>
      </c>
      <c r="P934" s="17">
        <f>IF(NOT(ISNUMBER($A934)),NA(),IF(OR($A934&lt;MIN(KW_TP!$A$2:$A$2501),$A934&gt;MAX(KW_TP!$A$2:$A$2501)),NA(),INDEX(KW_TP!$C$2:$C$2501,MATCH($A934,KW_TP!$A$2:$A$2501,1))))</f>
        <v/>
      </c>
    </row>
    <row r="935">
      <c r="A935" s="15">
        <f>IF(ISNUMBER(BBG_Data!A935),BBG_Data!A935,"")</f>
        <v/>
      </c>
      <c r="B935" s="16">
        <f>IF(AND(ISNUMBER($A935),ISNUMBER(BBG_Data!B935)),BBG_Data!B935,NA())</f>
        <v/>
      </c>
      <c r="C935" s="16">
        <f>IF(AND(ISNUMBER($A935),ISNUMBER(BBG_Data!C935)),BBG_Data!C935,NA())</f>
        <v/>
      </c>
      <c r="D935" s="17">
        <f>IF(AND(ISNUMBER($A935),ISNUMBER(BBG_Data!D935)),BBG_Data!D935,NA())</f>
        <v/>
      </c>
      <c r="E935" s="17">
        <f>IF(AND(ISNUMBER($A935),ISNUMBER(BBG_Data!E935)),BBG_Data!E935,NA())</f>
        <v/>
      </c>
      <c r="F935" s="18">
        <f>IF(AND(ISNUMBER(B935),ISNUMBER(B934)),(B935-B934)*100,"")</f>
        <v/>
      </c>
      <c r="G935" s="18">
        <f>IF(AND(ISNUMBER(C935),ISNUMBER(C934)),(C935-C934)*100,"")</f>
        <v/>
      </c>
      <c r="H935" s="18">
        <f>IF(OR(NOT(ISNUMBER($A935)),ROW()-2&lt;Settings!$B$11),NA(),IF(COUNT(OFFSET(F935,1-Settings!$B$11,0,Settings!$B$11,1))&lt;Settings!$B$11,NA(),STDEV(OFFSET(F935,1-Settings!$B$11,0,Settings!$B$11,1))*SQRT(Settings!$B$13)))</f>
        <v/>
      </c>
      <c r="I935" s="18">
        <f>IF(OR(NOT(ISNUMBER($A935)),ROW()-2&lt;Settings!$B$12),NA(),IF(COUNT(OFFSET(F935,1-Settings!$B$12,0,Settings!$B$12,1))&lt;Settings!$B$12,NA(),STDEV(OFFSET(F935,1-Settings!$B$12,0,Settings!$B$12,1))*SQRT(Settings!$B$13)))</f>
        <v/>
      </c>
      <c r="J935" s="18">
        <f>IF(OR(NOT(ISNUMBER($A935)),ROW()-2&lt;Settings!$B$11),NA(),IF(COUNT(OFFSET(G935,1-Settings!$B$11,0,Settings!$B$11,1))&lt;Settings!$B$11,NA(),STDEV(OFFSET(G935,1-Settings!$B$11,0,Settings!$B$11,1))*SQRT(Settings!$B$13)))</f>
        <v/>
      </c>
      <c r="K935" s="18">
        <f>IF(OR(NOT(ISNUMBER($A935)),ROW()-2&lt;Settings!$B$12),NA(),IF(COUNT(OFFSET(G935,1-Settings!$B$12,0,Settings!$B$12,1))&lt;Settings!$B$12,NA(),STDEV(OFFSET(G935,1-Settings!$B$12,0,Settings!$B$12,1))*SQRT(Settings!$B$13)))</f>
        <v/>
      </c>
      <c r="L935" s="18">
        <f>IF(AND(ISNUMBER(D935),ISNUMBER(H935)),D935-H935,NA())</f>
        <v/>
      </c>
      <c r="M935" s="18">
        <f>IF(AND(ISNUMBER(E935),ISNUMBER(K935)),E935-K935,NA())</f>
        <v/>
      </c>
      <c r="N935" s="18">
        <f>IF(NOT(ISNUMBER($A935)),NA(),IF(COUNT(OFFSET(G935,1,0,Settings!$B$12,1))&lt;Settings!$B$12,NA(),STDEV(OFFSET(G935,1,0,Settings!$B$12,1))*SQRT(Settings!$B$13)))</f>
        <v/>
      </c>
      <c r="O935" s="18">
        <f>IF(AND(ISNUMBER(E935),ISNUMBER(N935)),E935-N935,NA())</f>
        <v/>
      </c>
      <c r="P935" s="17">
        <f>IF(NOT(ISNUMBER($A935)),NA(),IF(OR($A935&lt;MIN(KW_TP!$A$2:$A$2501),$A935&gt;MAX(KW_TP!$A$2:$A$2501)),NA(),INDEX(KW_TP!$C$2:$C$2501,MATCH($A935,KW_TP!$A$2:$A$2501,1))))</f>
        <v/>
      </c>
    </row>
    <row r="936">
      <c r="A936" s="15">
        <f>IF(ISNUMBER(BBG_Data!A936),BBG_Data!A936,"")</f>
        <v/>
      </c>
      <c r="B936" s="16">
        <f>IF(AND(ISNUMBER($A936),ISNUMBER(BBG_Data!B936)),BBG_Data!B936,NA())</f>
        <v/>
      </c>
      <c r="C936" s="16">
        <f>IF(AND(ISNUMBER($A936),ISNUMBER(BBG_Data!C936)),BBG_Data!C936,NA())</f>
        <v/>
      </c>
      <c r="D936" s="17">
        <f>IF(AND(ISNUMBER($A936),ISNUMBER(BBG_Data!D936)),BBG_Data!D936,NA())</f>
        <v/>
      </c>
      <c r="E936" s="17">
        <f>IF(AND(ISNUMBER($A936),ISNUMBER(BBG_Data!E936)),BBG_Data!E936,NA())</f>
        <v/>
      </c>
      <c r="F936" s="18">
        <f>IF(AND(ISNUMBER(B936),ISNUMBER(B935)),(B936-B935)*100,"")</f>
        <v/>
      </c>
      <c r="G936" s="18">
        <f>IF(AND(ISNUMBER(C936),ISNUMBER(C935)),(C936-C935)*100,"")</f>
        <v/>
      </c>
      <c r="H936" s="18">
        <f>IF(OR(NOT(ISNUMBER($A936)),ROW()-2&lt;Settings!$B$11),NA(),IF(COUNT(OFFSET(F936,1-Settings!$B$11,0,Settings!$B$11,1))&lt;Settings!$B$11,NA(),STDEV(OFFSET(F936,1-Settings!$B$11,0,Settings!$B$11,1))*SQRT(Settings!$B$13)))</f>
        <v/>
      </c>
      <c r="I936" s="18">
        <f>IF(OR(NOT(ISNUMBER($A936)),ROW()-2&lt;Settings!$B$12),NA(),IF(COUNT(OFFSET(F936,1-Settings!$B$12,0,Settings!$B$12,1))&lt;Settings!$B$12,NA(),STDEV(OFFSET(F936,1-Settings!$B$12,0,Settings!$B$12,1))*SQRT(Settings!$B$13)))</f>
        <v/>
      </c>
      <c r="J936" s="18">
        <f>IF(OR(NOT(ISNUMBER($A936)),ROW()-2&lt;Settings!$B$11),NA(),IF(COUNT(OFFSET(G936,1-Settings!$B$11,0,Settings!$B$11,1))&lt;Settings!$B$11,NA(),STDEV(OFFSET(G936,1-Settings!$B$11,0,Settings!$B$11,1))*SQRT(Settings!$B$13)))</f>
        <v/>
      </c>
      <c r="K936" s="18">
        <f>IF(OR(NOT(ISNUMBER($A936)),ROW()-2&lt;Settings!$B$12),NA(),IF(COUNT(OFFSET(G936,1-Settings!$B$12,0,Settings!$B$12,1))&lt;Settings!$B$12,NA(),STDEV(OFFSET(G936,1-Settings!$B$12,0,Settings!$B$12,1))*SQRT(Settings!$B$13)))</f>
        <v/>
      </c>
      <c r="L936" s="18">
        <f>IF(AND(ISNUMBER(D936),ISNUMBER(H936)),D936-H936,NA())</f>
        <v/>
      </c>
      <c r="M936" s="18">
        <f>IF(AND(ISNUMBER(E936),ISNUMBER(K936)),E936-K936,NA())</f>
        <v/>
      </c>
      <c r="N936" s="18">
        <f>IF(NOT(ISNUMBER($A936)),NA(),IF(COUNT(OFFSET(G936,1,0,Settings!$B$12,1))&lt;Settings!$B$12,NA(),STDEV(OFFSET(G936,1,0,Settings!$B$12,1))*SQRT(Settings!$B$13)))</f>
        <v/>
      </c>
      <c r="O936" s="18">
        <f>IF(AND(ISNUMBER(E936),ISNUMBER(N936)),E936-N936,NA())</f>
        <v/>
      </c>
      <c r="P936" s="17">
        <f>IF(NOT(ISNUMBER($A936)),NA(),IF(OR($A936&lt;MIN(KW_TP!$A$2:$A$2501),$A936&gt;MAX(KW_TP!$A$2:$A$2501)),NA(),INDEX(KW_TP!$C$2:$C$2501,MATCH($A936,KW_TP!$A$2:$A$2501,1))))</f>
        <v/>
      </c>
    </row>
    <row r="937">
      <c r="A937" s="15">
        <f>IF(ISNUMBER(BBG_Data!A937),BBG_Data!A937,"")</f>
        <v/>
      </c>
      <c r="B937" s="16">
        <f>IF(AND(ISNUMBER($A937),ISNUMBER(BBG_Data!B937)),BBG_Data!B937,NA())</f>
        <v/>
      </c>
      <c r="C937" s="16">
        <f>IF(AND(ISNUMBER($A937),ISNUMBER(BBG_Data!C937)),BBG_Data!C937,NA())</f>
        <v/>
      </c>
      <c r="D937" s="17">
        <f>IF(AND(ISNUMBER($A937),ISNUMBER(BBG_Data!D937)),BBG_Data!D937,NA())</f>
        <v/>
      </c>
      <c r="E937" s="17">
        <f>IF(AND(ISNUMBER($A937),ISNUMBER(BBG_Data!E937)),BBG_Data!E937,NA())</f>
        <v/>
      </c>
      <c r="F937" s="18">
        <f>IF(AND(ISNUMBER(B937),ISNUMBER(B936)),(B937-B936)*100,"")</f>
        <v/>
      </c>
      <c r="G937" s="18">
        <f>IF(AND(ISNUMBER(C937),ISNUMBER(C936)),(C937-C936)*100,"")</f>
        <v/>
      </c>
      <c r="H937" s="18">
        <f>IF(OR(NOT(ISNUMBER($A937)),ROW()-2&lt;Settings!$B$11),NA(),IF(COUNT(OFFSET(F937,1-Settings!$B$11,0,Settings!$B$11,1))&lt;Settings!$B$11,NA(),STDEV(OFFSET(F937,1-Settings!$B$11,0,Settings!$B$11,1))*SQRT(Settings!$B$13)))</f>
        <v/>
      </c>
      <c r="I937" s="18">
        <f>IF(OR(NOT(ISNUMBER($A937)),ROW()-2&lt;Settings!$B$12),NA(),IF(COUNT(OFFSET(F937,1-Settings!$B$12,0,Settings!$B$12,1))&lt;Settings!$B$12,NA(),STDEV(OFFSET(F937,1-Settings!$B$12,0,Settings!$B$12,1))*SQRT(Settings!$B$13)))</f>
        <v/>
      </c>
      <c r="J937" s="18">
        <f>IF(OR(NOT(ISNUMBER($A937)),ROW()-2&lt;Settings!$B$11),NA(),IF(COUNT(OFFSET(G937,1-Settings!$B$11,0,Settings!$B$11,1))&lt;Settings!$B$11,NA(),STDEV(OFFSET(G937,1-Settings!$B$11,0,Settings!$B$11,1))*SQRT(Settings!$B$13)))</f>
        <v/>
      </c>
      <c r="K937" s="18">
        <f>IF(OR(NOT(ISNUMBER($A937)),ROW()-2&lt;Settings!$B$12),NA(),IF(COUNT(OFFSET(G937,1-Settings!$B$12,0,Settings!$B$12,1))&lt;Settings!$B$12,NA(),STDEV(OFFSET(G937,1-Settings!$B$12,0,Settings!$B$12,1))*SQRT(Settings!$B$13)))</f>
        <v/>
      </c>
      <c r="L937" s="18">
        <f>IF(AND(ISNUMBER(D937),ISNUMBER(H937)),D937-H937,NA())</f>
        <v/>
      </c>
      <c r="M937" s="18">
        <f>IF(AND(ISNUMBER(E937),ISNUMBER(K937)),E937-K937,NA())</f>
        <v/>
      </c>
      <c r="N937" s="18">
        <f>IF(NOT(ISNUMBER($A937)),NA(),IF(COUNT(OFFSET(G937,1,0,Settings!$B$12,1))&lt;Settings!$B$12,NA(),STDEV(OFFSET(G937,1,0,Settings!$B$12,1))*SQRT(Settings!$B$13)))</f>
        <v/>
      </c>
      <c r="O937" s="18">
        <f>IF(AND(ISNUMBER(E937),ISNUMBER(N937)),E937-N937,NA())</f>
        <v/>
      </c>
      <c r="P937" s="17">
        <f>IF(NOT(ISNUMBER($A937)),NA(),IF(OR($A937&lt;MIN(KW_TP!$A$2:$A$2501),$A937&gt;MAX(KW_TP!$A$2:$A$2501)),NA(),INDEX(KW_TP!$C$2:$C$2501,MATCH($A937,KW_TP!$A$2:$A$2501,1))))</f>
        <v/>
      </c>
    </row>
    <row r="938">
      <c r="A938" s="15">
        <f>IF(ISNUMBER(BBG_Data!A938),BBG_Data!A938,"")</f>
        <v/>
      </c>
      <c r="B938" s="16">
        <f>IF(AND(ISNUMBER($A938),ISNUMBER(BBG_Data!B938)),BBG_Data!B938,NA())</f>
        <v/>
      </c>
      <c r="C938" s="16">
        <f>IF(AND(ISNUMBER($A938),ISNUMBER(BBG_Data!C938)),BBG_Data!C938,NA())</f>
        <v/>
      </c>
      <c r="D938" s="17">
        <f>IF(AND(ISNUMBER($A938),ISNUMBER(BBG_Data!D938)),BBG_Data!D938,NA())</f>
        <v/>
      </c>
      <c r="E938" s="17">
        <f>IF(AND(ISNUMBER($A938),ISNUMBER(BBG_Data!E938)),BBG_Data!E938,NA())</f>
        <v/>
      </c>
      <c r="F938" s="18">
        <f>IF(AND(ISNUMBER(B938),ISNUMBER(B937)),(B938-B937)*100,"")</f>
        <v/>
      </c>
      <c r="G938" s="18">
        <f>IF(AND(ISNUMBER(C938),ISNUMBER(C937)),(C938-C937)*100,"")</f>
        <v/>
      </c>
      <c r="H938" s="18">
        <f>IF(OR(NOT(ISNUMBER($A938)),ROW()-2&lt;Settings!$B$11),NA(),IF(COUNT(OFFSET(F938,1-Settings!$B$11,0,Settings!$B$11,1))&lt;Settings!$B$11,NA(),STDEV(OFFSET(F938,1-Settings!$B$11,0,Settings!$B$11,1))*SQRT(Settings!$B$13)))</f>
        <v/>
      </c>
      <c r="I938" s="18">
        <f>IF(OR(NOT(ISNUMBER($A938)),ROW()-2&lt;Settings!$B$12),NA(),IF(COUNT(OFFSET(F938,1-Settings!$B$12,0,Settings!$B$12,1))&lt;Settings!$B$12,NA(),STDEV(OFFSET(F938,1-Settings!$B$12,0,Settings!$B$12,1))*SQRT(Settings!$B$13)))</f>
        <v/>
      </c>
      <c r="J938" s="18">
        <f>IF(OR(NOT(ISNUMBER($A938)),ROW()-2&lt;Settings!$B$11),NA(),IF(COUNT(OFFSET(G938,1-Settings!$B$11,0,Settings!$B$11,1))&lt;Settings!$B$11,NA(),STDEV(OFFSET(G938,1-Settings!$B$11,0,Settings!$B$11,1))*SQRT(Settings!$B$13)))</f>
        <v/>
      </c>
      <c r="K938" s="18">
        <f>IF(OR(NOT(ISNUMBER($A938)),ROW()-2&lt;Settings!$B$12),NA(),IF(COUNT(OFFSET(G938,1-Settings!$B$12,0,Settings!$B$12,1))&lt;Settings!$B$12,NA(),STDEV(OFFSET(G938,1-Settings!$B$12,0,Settings!$B$12,1))*SQRT(Settings!$B$13)))</f>
        <v/>
      </c>
      <c r="L938" s="18">
        <f>IF(AND(ISNUMBER(D938),ISNUMBER(H938)),D938-H938,NA())</f>
        <v/>
      </c>
      <c r="M938" s="18">
        <f>IF(AND(ISNUMBER(E938),ISNUMBER(K938)),E938-K938,NA())</f>
        <v/>
      </c>
      <c r="N938" s="18">
        <f>IF(NOT(ISNUMBER($A938)),NA(),IF(COUNT(OFFSET(G938,1,0,Settings!$B$12,1))&lt;Settings!$B$12,NA(),STDEV(OFFSET(G938,1,0,Settings!$B$12,1))*SQRT(Settings!$B$13)))</f>
        <v/>
      </c>
      <c r="O938" s="18">
        <f>IF(AND(ISNUMBER(E938),ISNUMBER(N938)),E938-N938,NA())</f>
        <v/>
      </c>
      <c r="P938" s="17">
        <f>IF(NOT(ISNUMBER($A938)),NA(),IF(OR($A938&lt;MIN(KW_TP!$A$2:$A$2501),$A938&gt;MAX(KW_TP!$A$2:$A$2501)),NA(),INDEX(KW_TP!$C$2:$C$2501,MATCH($A938,KW_TP!$A$2:$A$2501,1))))</f>
        <v/>
      </c>
    </row>
    <row r="939">
      <c r="A939" s="15">
        <f>IF(ISNUMBER(BBG_Data!A939),BBG_Data!A939,"")</f>
        <v/>
      </c>
      <c r="B939" s="16">
        <f>IF(AND(ISNUMBER($A939),ISNUMBER(BBG_Data!B939)),BBG_Data!B939,NA())</f>
        <v/>
      </c>
      <c r="C939" s="16">
        <f>IF(AND(ISNUMBER($A939),ISNUMBER(BBG_Data!C939)),BBG_Data!C939,NA())</f>
        <v/>
      </c>
      <c r="D939" s="17">
        <f>IF(AND(ISNUMBER($A939),ISNUMBER(BBG_Data!D939)),BBG_Data!D939,NA())</f>
        <v/>
      </c>
      <c r="E939" s="17">
        <f>IF(AND(ISNUMBER($A939),ISNUMBER(BBG_Data!E939)),BBG_Data!E939,NA())</f>
        <v/>
      </c>
      <c r="F939" s="18">
        <f>IF(AND(ISNUMBER(B939),ISNUMBER(B938)),(B939-B938)*100,"")</f>
        <v/>
      </c>
      <c r="G939" s="18">
        <f>IF(AND(ISNUMBER(C939),ISNUMBER(C938)),(C939-C938)*100,"")</f>
        <v/>
      </c>
      <c r="H939" s="18">
        <f>IF(OR(NOT(ISNUMBER($A939)),ROW()-2&lt;Settings!$B$11),NA(),IF(COUNT(OFFSET(F939,1-Settings!$B$11,0,Settings!$B$11,1))&lt;Settings!$B$11,NA(),STDEV(OFFSET(F939,1-Settings!$B$11,0,Settings!$B$11,1))*SQRT(Settings!$B$13)))</f>
        <v/>
      </c>
      <c r="I939" s="18">
        <f>IF(OR(NOT(ISNUMBER($A939)),ROW()-2&lt;Settings!$B$12),NA(),IF(COUNT(OFFSET(F939,1-Settings!$B$12,0,Settings!$B$12,1))&lt;Settings!$B$12,NA(),STDEV(OFFSET(F939,1-Settings!$B$12,0,Settings!$B$12,1))*SQRT(Settings!$B$13)))</f>
        <v/>
      </c>
      <c r="J939" s="18">
        <f>IF(OR(NOT(ISNUMBER($A939)),ROW()-2&lt;Settings!$B$11),NA(),IF(COUNT(OFFSET(G939,1-Settings!$B$11,0,Settings!$B$11,1))&lt;Settings!$B$11,NA(),STDEV(OFFSET(G939,1-Settings!$B$11,0,Settings!$B$11,1))*SQRT(Settings!$B$13)))</f>
        <v/>
      </c>
      <c r="K939" s="18">
        <f>IF(OR(NOT(ISNUMBER($A939)),ROW()-2&lt;Settings!$B$12),NA(),IF(COUNT(OFFSET(G939,1-Settings!$B$12,0,Settings!$B$12,1))&lt;Settings!$B$12,NA(),STDEV(OFFSET(G939,1-Settings!$B$12,0,Settings!$B$12,1))*SQRT(Settings!$B$13)))</f>
        <v/>
      </c>
      <c r="L939" s="18">
        <f>IF(AND(ISNUMBER(D939),ISNUMBER(H939)),D939-H939,NA())</f>
        <v/>
      </c>
      <c r="M939" s="18">
        <f>IF(AND(ISNUMBER(E939),ISNUMBER(K939)),E939-K939,NA())</f>
        <v/>
      </c>
      <c r="N939" s="18">
        <f>IF(NOT(ISNUMBER($A939)),NA(),IF(COUNT(OFFSET(G939,1,0,Settings!$B$12,1))&lt;Settings!$B$12,NA(),STDEV(OFFSET(G939,1,0,Settings!$B$12,1))*SQRT(Settings!$B$13)))</f>
        <v/>
      </c>
      <c r="O939" s="18">
        <f>IF(AND(ISNUMBER(E939),ISNUMBER(N939)),E939-N939,NA())</f>
        <v/>
      </c>
      <c r="P939" s="17">
        <f>IF(NOT(ISNUMBER($A939)),NA(),IF(OR($A939&lt;MIN(KW_TP!$A$2:$A$2501),$A939&gt;MAX(KW_TP!$A$2:$A$2501)),NA(),INDEX(KW_TP!$C$2:$C$2501,MATCH($A939,KW_TP!$A$2:$A$2501,1))))</f>
        <v/>
      </c>
    </row>
    <row r="940">
      <c r="A940" s="15">
        <f>IF(ISNUMBER(BBG_Data!A940),BBG_Data!A940,"")</f>
        <v/>
      </c>
      <c r="B940" s="16">
        <f>IF(AND(ISNUMBER($A940),ISNUMBER(BBG_Data!B940)),BBG_Data!B940,NA())</f>
        <v/>
      </c>
      <c r="C940" s="16">
        <f>IF(AND(ISNUMBER($A940),ISNUMBER(BBG_Data!C940)),BBG_Data!C940,NA())</f>
        <v/>
      </c>
      <c r="D940" s="17">
        <f>IF(AND(ISNUMBER($A940),ISNUMBER(BBG_Data!D940)),BBG_Data!D940,NA())</f>
        <v/>
      </c>
      <c r="E940" s="17">
        <f>IF(AND(ISNUMBER($A940),ISNUMBER(BBG_Data!E940)),BBG_Data!E940,NA())</f>
        <v/>
      </c>
      <c r="F940" s="18">
        <f>IF(AND(ISNUMBER(B940),ISNUMBER(B939)),(B940-B939)*100,"")</f>
        <v/>
      </c>
      <c r="G940" s="18">
        <f>IF(AND(ISNUMBER(C940),ISNUMBER(C939)),(C940-C939)*100,"")</f>
        <v/>
      </c>
      <c r="H940" s="18">
        <f>IF(OR(NOT(ISNUMBER($A940)),ROW()-2&lt;Settings!$B$11),NA(),IF(COUNT(OFFSET(F940,1-Settings!$B$11,0,Settings!$B$11,1))&lt;Settings!$B$11,NA(),STDEV(OFFSET(F940,1-Settings!$B$11,0,Settings!$B$11,1))*SQRT(Settings!$B$13)))</f>
        <v/>
      </c>
      <c r="I940" s="18">
        <f>IF(OR(NOT(ISNUMBER($A940)),ROW()-2&lt;Settings!$B$12),NA(),IF(COUNT(OFFSET(F940,1-Settings!$B$12,0,Settings!$B$12,1))&lt;Settings!$B$12,NA(),STDEV(OFFSET(F940,1-Settings!$B$12,0,Settings!$B$12,1))*SQRT(Settings!$B$13)))</f>
        <v/>
      </c>
      <c r="J940" s="18">
        <f>IF(OR(NOT(ISNUMBER($A940)),ROW()-2&lt;Settings!$B$11),NA(),IF(COUNT(OFFSET(G940,1-Settings!$B$11,0,Settings!$B$11,1))&lt;Settings!$B$11,NA(),STDEV(OFFSET(G940,1-Settings!$B$11,0,Settings!$B$11,1))*SQRT(Settings!$B$13)))</f>
        <v/>
      </c>
      <c r="K940" s="18">
        <f>IF(OR(NOT(ISNUMBER($A940)),ROW()-2&lt;Settings!$B$12),NA(),IF(COUNT(OFFSET(G940,1-Settings!$B$12,0,Settings!$B$12,1))&lt;Settings!$B$12,NA(),STDEV(OFFSET(G940,1-Settings!$B$12,0,Settings!$B$12,1))*SQRT(Settings!$B$13)))</f>
        <v/>
      </c>
      <c r="L940" s="18">
        <f>IF(AND(ISNUMBER(D940),ISNUMBER(H940)),D940-H940,NA())</f>
        <v/>
      </c>
      <c r="M940" s="18">
        <f>IF(AND(ISNUMBER(E940),ISNUMBER(K940)),E940-K940,NA())</f>
        <v/>
      </c>
      <c r="N940" s="18">
        <f>IF(NOT(ISNUMBER($A940)),NA(),IF(COUNT(OFFSET(G940,1,0,Settings!$B$12,1))&lt;Settings!$B$12,NA(),STDEV(OFFSET(G940,1,0,Settings!$B$12,1))*SQRT(Settings!$B$13)))</f>
        <v/>
      </c>
      <c r="O940" s="18">
        <f>IF(AND(ISNUMBER(E940),ISNUMBER(N940)),E940-N940,NA())</f>
        <v/>
      </c>
      <c r="P940" s="17">
        <f>IF(NOT(ISNUMBER($A940)),NA(),IF(OR($A940&lt;MIN(KW_TP!$A$2:$A$2501),$A940&gt;MAX(KW_TP!$A$2:$A$2501)),NA(),INDEX(KW_TP!$C$2:$C$2501,MATCH($A940,KW_TP!$A$2:$A$2501,1))))</f>
        <v/>
      </c>
    </row>
    <row r="941">
      <c r="A941" s="15">
        <f>IF(ISNUMBER(BBG_Data!A941),BBG_Data!A941,"")</f>
        <v/>
      </c>
      <c r="B941" s="16">
        <f>IF(AND(ISNUMBER($A941),ISNUMBER(BBG_Data!B941)),BBG_Data!B941,NA())</f>
        <v/>
      </c>
      <c r="C941" s="16">
        <f>IF(AND(ISNUMBER($A941),ISNUMBER(BBG_Data!C941)),BBG_Data!C941,NA())</f>
        <v/>
      </c>
      <c r="D941" s="17">
        <f>IF(AND(ISNUMBER($A941),ISNUMBER(BBG_Data!D941)),BBG_Data!D941,NA())</f>
        <v/>
      </c>
      <c r="E941" s="17">
        <f>IF(AND(ISNUMBER($A941),ISNUMBER(BBG_Data!E941)),BBG_Data!E941,NA())</f>
        <v/>
      </c>
      <c r="F941" s="18">
        <f>IF(AND(ISNUMBER(B941),ISNUMBER(B940)),(B941-B940)*100,"")</f>
        <v/>
      </c>
      <c r="G941" s="18">
        <f>IF(AND(ISNUMBER(C941),ISNUMBER(C940)),(C941-C940)*100,"")</f>
        <v/>
      </c>
      <c r="H941" s="18">
        <f>IF(OR(NOT(ISNUMBER($A941)),ROW()-2&lt;Settings!$B$11),NA(),IF(COUNT(OFFSET(F941,1-Settings!$B$11,0,Settings!$B$11,1))&lt;Settings!$B$11,NA(),STDEV(OFFSET(F941,1-Settings!$B$11,0,Settings!$B$11,1))*SQRT(Settings!$B$13)))</f>
        <v/>
      </c>
      <c r="I941" s="18">
        <f>IF(OR(NOT(ISNUMBER($A941)),ROW()-2&lt;Settings!$B$12),NA(),IF(COUNT(OFFSET(F941,1-Settings!$B$12,0,Settings!$B$12,1))&lt;Settings!$B$12,NA(),STDEV(OFFSET(F941,1-Settings!$B$12,0,Settings!$B$12,1))*SQRT(Settings!$B$13)))</f>
        <v/>
      </c>
      <c r="J941" s="18">
        <f>IF(OR(NOT(ISNUMBER($A941)),ROW()-2&lt;Settings!$B$11),NA(),IF(COUNT(OFFSET(G941,1-Settings!$B$11,0,Settings!$B$11,1))&lt;Settings!$B$11,NA(),STDEV(OFFSET(G941,1-Settings!$B$11,0,Settings!$B$11,1))*SQRT(Settings!$B$13)))</f>
        <v/>
      </c>
      <c r="K941" s="18">
        <f>IF(OR(NOT(ISNUMBER($A941)),ROW()-2&lt;Settings!$B$12),NA(),IF(COUNT(OFFSET(G941,1-Settings!$B$12,0,Settings!$B$12,1))&lt;Settings!$B$12,NA(),STDEV(OFFSET(G941,1-Settings!$B$12,0,Settings!$B$12,1))*SQRT(Settings!$B$13)))</f>
        <v/>
      </c>
      <c r="L941" s="18">
        <f>IF(AND(ISNUMBER(D941),ISNUMBER(H941)),D941-H941,NA())</f>
        <v/>
      </c>
      <c r="M941" s="18">
        <f>IF(AND(ISNUMBER(E941),ISNUMBER(K941)),E941-K941,NA())</f>
        <v/>
      </c>
      <c r="N941" s="18">
        <f>IF(NOT(ISNUMBER($A941)),NA(),IF(COUNT(OFFSET(G941,1,0,Settings!$B$12,1))&lt;Settings!$B$12,NA(),STDEV(OFFSET(G941,1,0,Settings!$B$12,1))*SQRT(Settings!$B$13)))</f>
        <v/>
      </c>
      <c r="O941" s="18">
        <f>IF(AND(ISNUMBER(E941),ISNUMBER(N941)),E941-N941,NA())</f>
        <v/>
      </c>
      <c r="P941" s="17">
        <f>IF(NOT(ISNUMBER($A941)),NA(),IF(OR($A941&lt;MIN(KW_TP!$A$2:$A$2501),$A941&gt;MAX(KW_TP!$A$2:$A$2501)),NA(),INDEX(KW_TP!$C$2:$C$2501,MATCH($A941,KW_TP!$A$2:$A$2501,1))))</f>
        <v/>
      </c>
    </row>
    <row r="942">
      <c r="A942" s="15">
        <f>IF(ISNUMBER(BBG_Data!A942),BBG_Data!A942,"")</f>
        <v/>
      </c>
      <c r="B942" s="16">
        <f>IF(AND(ISNUMBER($A942),ISNUMBER(BBG_Data!B942)),BBG_Data!B942,NA())</f>
        <v/>
      </c>
      <c r="C942" s="16">
        <f>IF(AND(ISNUMBER($A942),ISNUMBER(BBG_Data!C942)),BBG_Data!C942,NA())</f>
        <v/>
      </c>
      <c r="D942" s="17">
        <f>IF(AND(ISNUMBER($A942),ISNUMBER(BBG_Data!D942)),BBG_Data!D942,NA())</f>
        <v/>
      </c>
      <c r="E942" s="17">
        <f>IF(AND(ISNUMBER($A942),ISNUMBER(BBG_Data!E942)),BBG_Data!E942,NA())</f>
        <v/>
      </c>
      <c r="F942" s="18">
        <f>IF(AND(ISNUMBER(B942),ISNUMBER(B941)),(B942-B941)*100,"")</f>
        <v/>
      </c>
      <c r="G942" s="18">
        <f>IF(AND(ISNUMBER(C942),ISNUMBER(C941)),(C942-C941)*100,"")</f>
        <v/>
      </c>
      <c r="H942" s="18">
        <f>IF(OR(NOT(ISNUMBER($A942)),ROW()-2&lt;Settings!$B$11),NA(),IF(COUNT(OFFSET(F942,1-Settings!$B$11,0,Settings!$B$11,1))&lt;Settings!$B$11,NA(),STDEV(OFFSET(F942,1-Settings!$B$11,0,Settings!$B$11,1))*SQRT(Settings!$B$13)))</f>
        <v/>
      </c>
      <c r="I942" s="18">
        <f>IF(OR(NOT(ISNUMBER($A942)),ROW()-2&lt;Settings!$B$12),NA(),IF(COUNT(OFFSET(F942,1-Settings!$B$12,0,Settings!$B$12,1))&lt;Settings!$B$12,NA(),STDEV(OFFSET(F942,1-Settings!$B$12,0,Settings!$B$12,1))*SQRT(Settings!$B$13)))</f>
        <v/>
      </c>
      <c r="J942" s="18">
        <f>IF(OR(NOT(ISNUMBER($A942)),ROW()-2&lt;Settings!$B$11),NA(),IF(COUNT(OFFSET(G942,1-Settings!$B$11,0,Settings!$B$11,1))&lt;Settings!$B$11,NA(),STDEV(OFFSET(G942,1-Settings!$B$11,0,Settings!$B$11,1))*SQRT(Settings!$B$13)))</f>
        <v/>
      </c>
      <c r="K942" s="18">
        <f>IF(OR(NOT(ISNUMBER($A942)),ROW()-2&lt;Settings!$B$12),NA(),IF(COUNT(OFFSET(G942,1-Settings!$B$12,0,Settings!$B$12,1))&lt;Settings!$B$12,NA(),STDEV(OFFSET(G942,1-Settings!$B$12,0,Settings!$B$12,1))*SQRT(Settings!$B$13)))</f>
        <v/>
      </c>
      <c r="L942" s="18">
        <f>IF(AND(ISNUMBER(D942),ISNUMBER(H942)),D942-H942,NA())</f>
        <v/>
      </c>
      <c r="M942" s="18">
        <f>IF(AND(ISNUMBER(E942),ISNUMBER(K942)),E942-K942,NA())</f>
        <v/>
      </c>
      <c r="N942" s="18">
        <f>IF(NOT(ISNUMBER($A942)),NA(),IF(COUNT(OFFSET(G942,1,0,Settings!$B$12,1))&lt;Settings!$B$12,NA(),STDEV(OFFSET(G942,1,0,Settings!$B$12,1))*SQRT(Settings!$B$13)))</f>
        <v/>
      </c>
      <c r="O942" s="18">
        <f>IF(AND(ISNUMBER(E942),ISNUMBER(N942)),E942-N942,NA())</f>
        <v/>
      </c>
      <c r="P942" s="17">
        <f>IF(NOT(ISNUMBER($A942)),NA(),IF(OR($A942&lt;MIN(KW_TP!$A$2:$A$2501),$A942&gt;MAX(KW_TP!$A$2:$A$2501)),NA(),INDEX(KW_TP!$C$2:$C$2501,MATCH($A942,KW_TP!$A$2:$A$2501,1))))</f>
        <v/>
      </c>
    </row>
    <row r="943">
      <c r="A943" s="15">
        <f>IF(ISNUMBER(BBG_Data!A943),BBG_Data!A943,"")</f>
        <v/>
      </c>
      <c r="B943" s="16">
        <f>IF(AND(ISNUMBER($A943),ISNUMBER(BBG_Data!B943)),BBG_Data!B943,NA())</f>
        <v/>
      </c>
      <c r="C943" s="16">
        <f>IF(AND(ISNUMBER($A943),ISNUMBER(BBG_Data!C943)),BBG_Data!C943,NA())</f>
        <v/>
      </c>
      <c r="D943" s="17">
        <f>IF(AND(ISNUMBER($A943),ISNUMBER(BBG_Data!D943)),BBG_Data!D943,NA())</f>
        <v/>
      </c>
      <c r="E943" s="17">
        <f>IF(AND(ISNUMBER($A943),ISNUMBER(BBG_Data!E943)),BBG_Data!E943,NA())</f>
        <v/>
      </c>
      <c r="F943" s="18">
        <f>IF(AND(ISNUMBER(B943),ISNUMBER(B942)),(B943-B942)*100,"")</f>
        <v/>
      </c>
      <c r="G943" s="18">
        <f>IF(AND(ISNUMBER(C943),ISNUMBER(C942)),(C943-C942)*100,"")</f>
        <v/>
      </c>
      <c r="H943" s="18">
        <f>IF(OR(NOT(ISNUMBER($A943)),ROW()-2&lt;Settings!$B$11),NA(),IF(COUNT(OFFSET(F943,1-Settings!$B$11,0,Settings!$B$11,1))&lt;Settings!$B$11,NA(),STDEV(OFFSET(F943,1-Settings!$B$11,0,Settings!$B$11,1))*SQRT(Settings!$B$13)))</f>
        <v/>
      </c>
      <c r="I943" s="18">
        <f>IF(OR(NOT(ISNUMBER($A943)),ROW()-2&lt;Settings!$B$12),NA(),IF(COUNT(OFFSET(F943,1-Settings!$B$12,0,Settings!$B$12,1))&lt;Settings!$B$12,NA(),STDEV(OFFSET(F943,1-Settings!$B$12,0,Settings!$B$12,1))*SQRT(Settings!$B$13)))</f>
        <v/>
      </c>
      <c r="J943" s="18">
        <f>IF(OR(NOT(ISNUMBER($A943)),ROW()-2&lt;Settings!$B$11),NA(),IF(COUNT(OFFSET(G943,1-Settings!$B$11,0,Settings!$B$11,1))&lt;Settings!$B$11,NA(),STDEV(OFFSET(G943,1-Settings!$B$11,0,Settings!$B$11,1))*SQRT(Settings!$B$13)))</f>
        <v/>
      </c>
      <c r="K943" s="18">
        <f>IF(OR(NOT(ISNUMBER($A943)),ROW()-2&lt;Settings!$B$12),NA(),IF(COUNT(OFFSET(G943,1-Settings!$B$12,0,Settings!$B$12,1))&lt;Settings!$B$12,NA(),STDEV(OFFSET(G943,1-Settings!$B$12,0,Settings!$B$12,1))*SQRT(Settings!$B$13)))</f>
        <v/>
      </c>
      <c r="L943" s="18">
        <f>IF(AND(ISNUMBER(D943),ISNUMBER(H943)),D943-H943,NA())</f>
        <v/>
      </c>
      <c r="M943" s="18">
        <f>IF(AND(ISNUMBER(E943),ISNUMBER(K943)),E943-K943,NA())</f>
        <v/>
      </c>
      <c r="N943" s="18">
        <f>IF(NOT(ISNUMBER($A943)),NA(),IF(COUNT(OFFSET(G943,1,0,Settings!$B$12,1))&lt;Settings!$B$12,NA(),STDEV(OFFSET(G943,1,0,Settings!$B$12,1))*SQRT(Settings!$B$13)))</f>
        <v/>
      </c>
      <c r="O943" s="18">
        <f>IF(AND(ISNUMBER(E943),ISNUMBER(N943)),E943-N943,NA())</f>
        <v/>
      </c>
      <c r="P943" s="17">
        <f>IF(NOT(ISNUMBER($A943)),NA(),IF(OR($A943&lt;MIN(KW_TP!$A$2:$A$2501),$A943&gt;MAX(KW_TP!$A$2:$A$2501)),NA(),INDEX(KW_TP!$C$2:$C$2501,MATCH($A943,KW_TP!$A$2:$A$2501,1))))</f>
        <v/>
      </c>
    </row>
    <row r="944">
      <c r="A944" s="15">
        <f>IF(ISNUMBER(BBG_Data!A944),BBG_Data!A944,"")</f>
        <v/>
      </c>
      <c r="B944" s="16">
        <f>IF(AND(ISNUMBER($A944),ISNUMBER(BBG_Data!B944)),BBG_Data!B944,NA())</f>
        <v/>
      </c>
      <c r="C944" s="16">
        <f>IF(AND(ISNUMBER($A944),ISNUMBER(BBG_Data!C944)),BBG_Data!C944,NA())</f>
        <v/>
      </c>
      <c r="D944" s="17">
        <f>IF(AND(ISNUMBER($A944),ISNUMBER(BBG_Data!D944)),BBG_Data!D944,NA())</f>
        <v/>
      </c>
      <c r="E944" s="17">
        <f>IF(AND(ISNUMBER($A944),ISNUMBER(BBG_Data!E944)),BBG_Data!E944,NA())</f>
        <v/>
      </c>
      <c r="F944" s="18">
        <f>IF(AND(ISNUMBER(B944),ISNUMBER(B943)),(B944-B943)*100,"")</f>
        <v/>
      </c>
      <c r="G944" s="18">
        <f>IF(AND(ISNUMBER(C944),ISNUMBER(C943)),(C944-C943)*100,"")</f>
        <v/>
      </c>
      <c r="H944" s="18">
        <f>IF(OR(NOT(ISNUMBER($A944)),ROW()-2&lt;Settings!$B$11),NA(),IF(COUNT(OFFSET(F944,1-Settings!$B$11,0,Settings!$B$11,1))&lt;Settings!$B$11,NA(),STDEV(OFFSET(F944,1-Settings!$B$11,0,Settings!$B$11,1))*SQRT(Settings!$B$13)))</f>
        <v/>
      </c>
      <c r="I944" s="18">
        <f>IF(OR(NOT(ISNUMBER($A944)),ROW()-2&lt;Settings!$B$12),NA(),IF(COUNT(OFFSET(F944,1-Settings!$B$12,0,Settings!$B$12,1))&lt;Settings!$B$12,NA(),STDEV(OFFSET(F944,1-Settings!$B$12,0,Settings!$B$12,1))*SQRT(Settings!$B$13)))</f>
        <v/>
      </c>
      <c r="J944" s="18">
        <f>IF(OR(NOT(ISNUMBER($A944)),ROW()-2&lt;Settings!$B$11),NA(),IF(COUNT(OFFSET(G944,1-Settings!$B$11,0,Settings!$B$11,1))&lt;Settings!$B$11,NA(),STDEV(OFFSET(G944,1-Settings!$B$11,0,Settings!$B$11,1))*SQRT(Settings!$B$13)))</f>
        <v/>
      </c>
      <c r="K944" s="18">
        <f>IF(OR(NOT(ISNUMBER($A944)),ROW()-2&lt;Settings!$B$12),NA(),IF(COUNT(OFFSET(G944,1-Settings!$B$12,0,Settings!$B$12,1))&lt;Settings!$B$12,NA(),STDEV(OFFSET(G944,1-Settings!$B$12,0,Settings!$B$12,1))*SQRT(Settings!$B$13)))</f>
        <v/>
      </c>
      <c r="L944" s="18">
        <f>IF(AND(ISNUMBER(D944),ISNUMBER(H944)),D944-H944,NA())</f>
        <v/>
      </c>
      <c r="M944" s="18">
        <f>IF(AND(ISNUMBER(E944),ISNUMBER(K944)),E944-K944,NA())</f>
        <v/>
      </c>
      <c r="N944" s="18">
        <f>IF(NOT(ISNUMBER($A944)),NA(),IF(COUNT(OFFSET(G944,1,0,Settings!$B$12,1))&lt;Settings!$B$12,NA(),STDEV(OFFSET(G944,1,0,Settings!$B$12,1))*SQRT(Settings!$B$13)))</f>
        <v/>
      </c>
      <c r="O944" s="18">
        <f>IF(AND(ISNUMBER(E944),ISNUMBER(N944)),E944-N944,NA())</f>
        <v/>
      </c>
      <c r="P944" s="17">
        <f>IF(NOT(ISNUMBER($A944)),NA(),IF(OR($A944&lt;MIN(KW_TP!$A$2:$A$2501),$A944&gt;MAX(KW_TP!$A$2:$A$2501)),NA(),INDEX(KW_TP!$C$2:$C$2501,MATCH($A944,KW_TP!$A$2:$A$2501,1))))</f>
        <v/>
      </c>
    </row>
    <row r="945">
      <c r="A945" s="15">
        <f>IF(ISNUMBER(BBG_Data!A945),BBG_Data!A945,"")</f>
        <v/>
      </c>
      <c r="B945" s="16">
        <f>IF(AND(ISNUMBER($A945),ISNUMBER(BBG_Data!B945)),BBG_Data!B945,NA())</f>
        <v/>
      </c>
      <c r="C945" s="16">
        <f>IF(AND(ISNUMBER($A945),ISNUMBER(BBG_Data!C945)),BBG_Data!C945,NA())</f>
        <v/>
      </c>
      <c r="D945" s="17">
        <f>IF(AND(ISNUMBER($A945),ISNUMBER(BBG_Data!D945)),BBG_Data!D945,NA())</f>
        <v/>
      </c>
      <c r="E945" s="17">
        <f>IF(AND(ISNUMBER($A945),ISNUMBER(BBG_Data!E945)),BBG_Data!E945,NA())</f>
        <v/>
      </c>
      <c r="F945" s="18">
        <f>IF(AND(ISNUMBER(B945),ISNUMBER(B944)),(B945-B944)*100,"")</f>
        <v/>
      </c>
      <c r="G945" s="18">
        <f>IF(AND(ISNUMBER(C945),ISNUMBER(C944)),(C945-C944)*100,"")</f>
        <v/>
      </c>
      <c r="H945" s="18">
        <f>IF(OR(NOT(ISNUMBER($A945)),ROW()-2&lt;Settings!$B$11),NA(),IF(COUNT(OFFSET(F945,1-Settings!$B$11,0,Settings!$B$11,1))&lt;Settings!$B$11,NA(),STDEV(OFFSET(F945,1-Settings!$B$11,0,Settings!$B$11,1))*SQRT(Settings!$B$13)))</f>
        <v/>
      </c>
      <c r="I945" s="18">
        <f>IF(OR(NOT(ISNUMBER($A945)),ROW()-2&lt;Settings!$B$12),NA(),IF(COUNT(OFFSET(F945,1-Settings!$B$12,0,Settings!$B$12,1))&lt;Settings!$B$12,NA(),STDEV(OFFSET(F945,1-Settings!$B$12,0,Settings!$B$12,1))*SQRT(Settings!$B$13)))</f>
        <v/>
      </c>
      <c r="J945" s="18">
        <f>IF(OR(NOT(ISNUMBER($A945)),ROW()-2&lt;Settings!$B$11),NA(),IF(COUNT(OFFSET(G945,1-Settings!$B$11,0,Settings!$B$11,1))&lt;Settings!$B$11,NA(),STDEV(OFFSET(G945,1-Settings!$B$11,0,Settings!$B$11,1))*SQRT(Settings!$B$13)))</f>
        <v/>
      </c>
      <c r="K945" s="18">
        <f>IF(OR(NOT(ISNUMBER($A945)),ROW()-2&lt;Settings!$B$12),NA(),IF(COUNT(OFFSET(G945,1-Settings!$B$12,0,Settings!$B$12,1))&lt;Settings!$B$12,NA(),STDEV(OFFSET(G945,1-Settings!$B$12,0,Settings!$B$12,1))*SQRT(Settings!$B$13)))</f>
        <v/>
      </c>
      <c r="L945" s="18">
        <f>IF(AND(ISNUMBER(D945),ISNUMBER(H945)),D945-H945,NA())</f>
        <v/>
      </c>
      <c r="M945" s="18">
        <f>IF(AND(ISNUMBER(E945),ISNUMBER(K945)),E945-K945,NA())</f>
        <v/>
      </c>
      <c r="N945" s="18">
        <f>IF(NOT(ISNUMBER($A945)),NA(),IF(COUNT(OFFSET(G945,1,0,Settings!$B$12,1))&lt;Settings!$B$12,NA(),STDEV(OFFSET(G945,1,0,Settings!$B$12,1))*SQRT(Settings!$B$13)))</f>
        <v/>
      </c>
      <c r="O945" s="18">
        <f>IF(AND(ISNUMBER(E945),ISNUMBER(N945)),E945-N945,NA())</f>
        <v/>
      </c>
      <c r="P945" s="17">
        <f>IF(NOT(ISNUMBER($A945)),NA(),IF(OR($A945&lt;MIN(KW_TP!$A$2:$A$2501),$A945&gt;MAX(KW_TP!$A$2:$A$2501)),NA(),INDEX(KW_TP!$C$2:$C$2501,MATCH($A945,KW_TP!$A$2:$A$2501,1))))</f>
        <v/>
      </c>
    </row>
    <row r="946">
      <c r="A946" s="15">
        <f>IF(ISNUMBER(BBG_Data!A946),BBG_Data!A946,"")</f>
        <v/>
      </c>
      <c r="B946" s="16">
        <f>IF(AND(ISNUMBER($A946),ISNUMBER(BBG_Data!B946)),BBG_Data!B946,NA())</f>
        <v/>
      </c>
      <c r="C946" s="16">
        <f>IF(AND(ISNUMBER($A946),ISNUMBER(BBG_Data!C946)),BBG_Data!C946,NA())</f>
        <v/>
      </c>
      <c r="D946" s="17">
        <f>IF(AND(ISNUMBER($A946),ISNUMBER(BBG_Data!D946)),BBG_Data!D946,NA())</f>
        <v/>
      </c>
      <c r="E946" s="17">
        <f>IF(AND(ISNUMBER($A946),ISNUMBER(BBG_Data!E946)),BBG_Data!E946,NA())</f>
        <v/>
      </c>
      <c r="F946" s="18">
        <f>IF(AND(ISNUMBER(B946),ISNUMBER(B945)),(B946-B945)*100,"")</f>
        <v/>
      </c>
      <c r="G946" s="18">
        <f>IF(AND(ISNUMBER(C946),ISNUMBER(C945)),(C946-C945)*100,"")</f>
        <v/>
      </c>
      <c r="H946" s="18">
        <f>IF(OR(NOT(ISNUMBER($A946)),ROW()-2&lt;Settings!$B$11),NA(),IF(COUNT(OFFSET(F946,1-Settings!$B$11,0,Settings!$B$11,1))&lt;Settings!$B$11,NA(),STDEV(OFFSET(F946,1-Settings!$B$11,0,Settings!$B$11,1))*SQRT(Settings!$B$13)))</f>
        <v/>
      </c>
      <c r="I946" s="18">
        <f>IF(OR(NOT(ISNUMBER($A946)),ROW()-2&lt;Settings!$B$12),NA(),IF(COUNT(OFFSET(F946,1-Settings!$B$12,0,Settings!$B$12,1))&lt;Settings!$B$12,NA(),STDEV(OFFSET(F946,1-Settings!$B$12,0,Settings!$B$12,1))*SQRT(Settings!$B$13)))</f>
        <v/>
      </c>
      <c r="J946" s="18">
        <f>IF(OR(NOT(ISNUMBER($A946)),ROW()-2&lt;Settings!$B$11),NA(),IF(COUNT(OFFSET(G946,1-Settings!$B$11,0,Settings!$B$11,1))&lt;Settings!$B$11,NA(),STDEV(OFFSET(G946,1-Settings!$B$11,0,Settings!$B$11,1))*SQRT(Settings!$B$13)))</f>
        <v/>
      </c>
      <c r="K946" s="18">
        <f>IF(OR(NOT(ISNUMBER($A946)),ROW()-2&lt;Settings!$B$12),NA(),IF(COUNT(OFFSET(G946,1-Settings!$B$12,0,Settings!$B$12,1))&lt;Settings!$B$12,NA(),STDEV(OFFSET(G946,1-Settings!$B$12,0,Settings!$B$12,1))*SQRT(Settings!$B$13)))</f>
        <v/>
      </c>
      <c r="L946" s="18">
        <f>IF(AND(ISNUMBER(D946),ISNUMBER(H946)),D946-H946,NA())</f>
        <v/>
      </c>
      <c r="M946" s="18">
        <f>IF(AND(ISNUMBER(E946),ISNUMBER(K946)),E946-K946,NA())</f>
        <v/>
      </c>
      <c r="N946" s="18">
        <f>IF(NOT(ISNUMBER($A946)),NA(),IF(COUNT(OFFSET(G946,1,0,Settings!$B$12,1))&lt;Settings!$B$12,NA(),STDEV(OFFSET(G946,1,0,Settings!$B$12,1))*SQRT(Settings!$B$13)))</f>
        <v/>
      </c>
      <c r="O946" s="18">
        <f>IF(AND(ISNUMBER(E946),ISNUMBER(N946)),E946-N946,NA())</f>
        <v/>
      </c>
      <c r="P946" s="17">
        <f>IF(NOT(ISNUMBER($A946)),NA(),IF(OR($A946&lt;MIN(KW_TP!$A$2:$A$2501),$A946&gt;MAX(KW_TP!$A$2:$A$2501)),NA(),INDEX(KW_TP!$C$2:$C$2501,MATCH($A946,KW_TP!$A$2:$A$2501,1))))</f>
        <v/>
      </c>
    </row>
    <row r="947">
      <c r="A947" s="15">
        <f>IF(ISNUMBER(BBG_Data!A947),BBG_Data!A947,"")</f>
        <v/>
      </c>
      <c r="B947" s="16">
        <f>IF(AND(ISNUMBER($A947),ISNUMBER(BBG_Data!B947)),BBG_Data!B947,NA())</f>
        <v/>
      </c>
      <c r="C947" s="16">
        <f>IF(AND(ISNUMBER($A947),ISNUMBER(BBG_Data!C947)),BBG_Data!C947,NA())</f>
        <v/>
      </c>
      <c r="D947" s="17">
        <f>IF(AND(ISNUMBER($A947),ISNUMBER(BBG_Data!D947)),BBG_Data!D947,NA())</f>
        <v/>
      </c>
      <c r="E947" s="17">
        <f>IF(AND(ISNUMBER($A947),ISNUMBER(BBG_Data!E947)),BBG_Data!E947,NA())</f>
        <v/>
      </c>
      <c r="F947" s="18">
        <f>IF(AND(ISNUMBER(B947),ISNUMBER(B946)),(B947-B946)*100,"")</f>
        <v/>
      </c>
      <c r="G947" s="18">
        <f>IF(AND(ISNUMBER(C947),ISNUMBER(C946)),(C947-C946)*100,"")</f>
        <v/>
      </c>
      <c r="H947" s="18">
        <f>IF(OR(NOT(ISNUMBER($A947)),ROW()-2&lt;Settings!$B$11),NA(),IF(COUNT(OFFSET(F947,1-Settings!$B$11,0,Settings!$B$11,1))&lt;Settings!$B$11,NA(),STDEV(OFFSET(F947,1-Settings!$B$11,0,Settings!$B$11,1))*SQRT(Settings!$B$13)))</f>
        <v/>
      </c>
      <c r="I947" s="18">
        <f>IF(OR(NOT(ISNUMBER($A947)),ROW()-2&lt;Settings!$B$12),NA(),IF(COUNT(OFFSET(F947,1-Settings!$B$12,0,Settings!$B$12,1))&lt;Settings!$B$12,NA(),STDEV(OFFSET(F947,1-Settings!$B$12,0,Settings!$B$12,1))*SQRT(Settings!$B$13)))</f>
        <v/>
      </c>
      <c r="J947" s="18">
        <f>IF(OR(NOT(ISNUMBER($A947)),ROW()-2&lt;Settings!$B$11),NA(),IF(COUNT(OFFSET(G947,1-Settings!$B$11,0,Settings!$B$11,1))&lt;Settings!$B$11,NA(),STDEV(OFFSET(G947,1-Settings!$B$11,0,Settings!$B$11,1))*SQRT(Settings!$B$13)))</f>
        <v/>
      </c>
      <c r="K947" s="18">
        <f>IF(OR(NOT(ISNUMBER($A947)),ROW()-2&lt;Settings!$B$12),NA(),IF(COUNT(OFFSET(G947,1-Settings!$B$12,0,Settings!$B$12,1))&lt;Settings!$B$12,NA(),STDEV(OFFSET(G947,1-Settings!$B$12,0,Settings!$B$12,1))*SQRT(Settings!$B$13)))</f>
        <v/>
      </c>
      <c r="L947" s="18">
        <f>IF(AND(ISNUMBER(D947),ISNUMBER(H947)),D947-H947,NA())</f>
        <v/>
      </c>
      <c r="M947" s="18">
        <f>IF(AND(ISNUMBER(E947),ISNUMBER(K947)),E947-K947,NA())</f>
        <v/>
      </c>
      <c r="N947" s="18">
        <f>IF(NOT(ISNUMBER($A947)),NA(),IF(COUNT(OFFSET(G947,1,0,Settings!$B$12,1))&lt;Settings!$B$12,NA(),STDEV(OFFSET(G947,1,0,Settings!$B$12,1))*SQRT(Settings!$B$13)))</f>
        <v/>
      </c>
      <c r="O947" s="18">
        <f>IF(AND(ISNUMBER(E947),ISNUMBER(N947)),E947-N947,NA())</f>
        <v/>
      </c>
      <c r="P947" s="17">
        <f>IF(NOT(ISNUMBER($A947)),NA(),IF(OR($A947&lt;MIN(KW_TP!$A$2:$A$2501),$A947&gt;MAX(KW_TP!$A$2:$A$2501)),NA(),INDEX(KW_TP!$C$2:$C$2501,MATCH($A947,KW_TP!$A$2:$A$2501,1))))</f>
        <v/>
      </c>
    </row>
    <row r="948">
      <c r="A948" s="15">
        <f>IF(ISNUMBER(BBG_Data!A948),BBG_Data!A948,"")</f>
        <v/>
      </c>
      <c r="B948" s="16">
        <f>IF(AND(ISNUMBER($A948),ISNUMBER(BBG_Data!B948)),BBG_Data!B948,NA())</f>
        <v/>
      </c>
      <c r="C948" s="16">
        <f>IF(AND(ISNUMBER($A948),ISNUMBER(BBG_Data!C948)),BBG_Data!C948,NA())</f>
        <v/>
      </c>
      <c r="D948" s="17">
        <f>IF(AND(ISNUMBER($A948),ISNUMBER(BBG_Data!D948)),BBG_Data!D948,NA())</f>
        <v/>
      </c>
      <c r="E948" s="17">
        <f>IF(AND(ISNUMBER($A948),ISNUMBER(BBG_Data!E948)),BBG_Data!E948,NA())</f>
        <v/>
      </c>
      <c r="F948" s="18">
        <f>IF(AND(ISNUMBER(B948),ISNUMBER(B947)),(B948-B947)*100,"")</f>
        <v/>
      </c>
      <c r="G948" s="18">
        <f>IF(AND(ISNUMBER(C948),ISNUMBER(C947)),(C948-C947)*100,"")</f>
        <v/>
      </c>
      <c r="H948" s="18">
        <f>IF(OR(NOT(ISNUMBER($A948)),ROW()-2&lt;Settings!$B$11),NA(),IF(COUNT(OFFSET(F948,1-Settings!$B$11,0,Settings!$B$11,1))&lt;Settings!$B$11,NA(),STDEV(OFFSET(F948,1-Settings!$B$11,0,Settings!$B$11,1))*SQRT(Settings!$B$13)))</f>
        <v/>
      </c>
      <c r="I948" s="18">
        <f>IF(OR(NOT(ISNUMBER($A948)),ROW()-2&lt;Settings!$B$12),NA(),IF(COUNT(OFFSET(F948,1-Settings!$B$12,0,Settings!$B$12,1))&lt;Settings!$B$12,NA(),STDEV(OFFSET(F948,1-Settings!$B$12,0,Settings!$B$12,1))*SQRT(Settings!$B$13)))</f>
        <v/>
      </c>
      <c r="J948" s="18">
        <f>IF(OR(NOT(ISNUMBER($A948)),ROW()-2&lt;Settings!$B$11),NA(),IF(COUNT(OFFSET(G948,1-Settings!$B$11,0,Settings!$B$11,1))&lt;Settings!$B$11,NA(),STDEV(OFFSET(G948,1-Settings!$B$11,0,Settings!$B$11,1))*SQRT(Settings!$B$13)))</f>
        <v/>
      </c>
      <c r="K948" s="18">
        <f>IF(OR(NOT(ISNUMBER($A948)),ROW()-2&lt;Settings!$B$12),NA(),IF(COUNT(OFFSET(G948,1-Settings!$B$12,0,Settings!$B$12,1))&lt;Settings!$B$12,NA(),STDEV(OFFSET(G948,1-Settings!$B$12,0,Settings!$B$12,1))*SQRT(Settings!$B$13)))</f>
        <v/>
      </c>
      <c r="L948" s="18">
        <f>IF(AND(ISNUMBER(D948),ISNUMBER(H948)),D948-H948,NA())</f>
        <v/>
      </c>
      <c r="M948" s="18">
        <f>IF(AND(ISNUMBER(E948),ISNUMBER(K948)),E948-K948,NA())</f>
        <v/>
      </c>
      <c r="N948" s="18">
        <f>IF(NOT(ISNUMBER($A948)),NA(),IF(COUNT(OFFSET(G948,1,0,Settings!$B$12,1))&lt;Settings!$B$12,NA(),STDEV(OFFSET(G948,1,0,Settings!$B$12,1))*SQRT(Settings!$B$13)))</f>
        <v/>
      </c>
      <c r="O948" s="18">
        <f>IF(AND(ISNUMBER(E948),ISNUMBER(N948)),E948-N948,NA())</f>
        <v/>
      </c>
      <c r="P948" s="17">
        <f>IF(NOT(ISNUMBER($A948)),NA(),IF(OR($A948&lt;MIN(KW_TP!$A$2:$A$2501),$A948&gt;MAX(KW_TP!$A$2:$A$2501)),NA(),INDEX(KW_TP!$C$2:$C$2501,MATCH($A948,KW_TP!$A$2:$A$2501,1))))</f>
        <v/>
      </c>
    </row>
    <row r="949">
      <c r="A949" s="15">
        <f>IF(ISNUMBER(BBG_Data!A949),BBG_Data!A949,"")</f>
        <v/>
      </c>
      <c r="B949" s="16">
        <f>IF(AND(ISNUMBER($A949),ISNUMBER(BBG_Data!B949)),BBG_Data!B949,NA())</f>
        <v/>
      </c>
      <c r="C949" s="16">
        <f>IF(AND(ISNUMBER($A949),ISNUMBER(BBG_Data!C949)),BBG_Data!C949,NA())</f>
        <v/>
      </c>
      <c r="D949" s="17">
        <f>IF(AND(ISNUMBER($A949),ISNUMBER(BBG_Data!D949)),BBG_Data!D949,NA())</f>
        <v/>
      </c>
      <c r="E949" s="17">
        <f>IF(AND(ISNUMBER($A949),ISNUMBER(BBG_Data!E949)),BBG_Data!E949,NA())</f>
        <v/>
      </c>
      <c r="F949" s="18">
        <f>IF(AND(ISNUMBER(B949),ISNUMBER(B948)),(B949-B948)*100,"")</f>
        <v/>
      </c>
      <c r="G949" s="18">
        <f>IF(AND(ISNUMBER(C949),ISNUMBER(C948)),(C949-C948)*100,"")</f>
        <v/>
      </c>
      <c r="H949" s="18">
        <f>IF(OR(NOT(ISNUMBER($A949)),ROW()-2&lt;Settings!$B$11),NA(),IF(COUNT(OFFSET(F949,1-Settings!$B$11,0,Settings!$B$11,1))&lt;Settings!$B$11,NA(),STDEV(OFFSET(F949,1-Settings!$B$11,0,Settings!$B$11,1))*SQRT(Settings!$B$13)))</f>
        <v/>
      </c>
      <c r="I949" s="18">
        <f>IF(OR(NOT(ISNUMBER($A949)),ROW()-2&lt;Settings!$B$12),NA(),IF(COUNT(OFFSET(F949,1-Settings!$B$12,0,Settings!$B$12,1))&lt;Settings!$B$12,NA(),STDEV(OFFSET(F949,1-Settings!$B$12,0,Settings!$B$12,1))*SQRT(Settings!$B$13)))</f>
        <v/>
      </c>
      <c r="J949" s="18">
        <f>IF(OR(NOT(ISNUMBER($A949)),ROW()-2&lt;Settings!$B$11),NA(),IF(COUNT(OFFSET(G949,1-Settings!$B$11,0,Settings!$B$11,1))&lt;Settings!$B$11,NA(),STDEV(OFFSET(G949,1-Settings!$B$11,0,Settings!$B$11,1))*SQRT(Settings!$B$13)))</f>
        <v/>
      </c>
      <c r="K949" s="18">
        <f>IF(OR(NOT(ISNUMBER($A949)),ROW()-2&lt;Settings!$B$12),NA(),IF(COUNT(OFFSET(G949,1-Settings!$B$12,0,Settings!$B$12,1))&lt;Settings!$B$12,NA(),STDEV(OFFSET(G949,1-Settings!$B$12,0,Settings!$B$12,1))*SQRT(Settings!$B$13)))</f>
        <v/>
      </c>
      <c r="L949" s="18">
        <f>IF(AND(ISNUMBER(D949),ISNUMBER(H949)),D949-H949,NA())</f>
        <v/>
      </c>
      <c r="M949" s="18">
        <f>IF(AND(ISNUMBER(E949),ISNUMBER(K949)),E949-K949,NA())</f>
        <v/>
      </c>
      <c r="N949" s="18">
        <f>IF(NOT(ISNUMBER($A949)),NA(),IF(COUNT(OFFSET(G949,1,0,Settings!$B$12,1))&lt;Settings!$B$12,NA(),STDEV(OFFSET(G949,1,0,Settings!$B$12,1))*SQRT(Settings!$B$13)))</f>
        <v/>
      </c>
      <c r="O949" s="18">
        <f>IF(AND(ISNUMBER(E949),ISNUMBER(N949)),E949-N949,NA())</f>
        <v/>
      </c>
      <c r="P949" s="17">
        <f>IF(NOT(ISNUMBER($A949)),NA(),IF(OR($A949&lt;MIN(KW_TP!$A$2:$A$2501),$A949&gt;MAX(KW_TP!$A$2:$A$2501)),NA(),INDEX(KW_TP!$C$2:$C$2501,MATCH($A949,KW_TP!$A$2:$A$2501,1))))</f>
        <v/>
      </c>
    </row>
    <row r="950">
      <c r="A950" s="15">
        <f>IF(ISNUMBER(BBG_Data!A950),BBG_Data!A950,"")</f>
        <v/>
      </c>
      <c r="B950" s="16">
        <f>IF(AND(ISNUMBER($A950),ISNUMBER(BBG_Data!B950)),BBG_Data!B950,NA())</f>
        <v/>
      </c>
      <c r="C950" s="16">
        <f>IF(AND(ISNUMBER($A950),ISNUMBER(BBG_Data!C950)),BBG_Data!C950,NA())</f>
        <v/>
      </c>
      <c r="D950" s="17">
        <f>IF(AND(ISNUMBER($A950),ISNUMBER(BBG_Data!D950)),BBG_Data!D950,NA())</f>
        <v/>
      </c>
      <c r="E950" s="17">
        <f>IF(AND(ISNUMBER($A950),ISNUMBER(BBG_Data!E950)),BBG_Data!E950,NA())</f>
        <v/>
      </c>
      <c r="F950" s="18">
        <f>IF(AND(ISNUMBER(B950),ISNUMBER(B949)),(B950-B949)*100,"")</f>
        <v/>
      </c>
      <c r="G950" s="18">
        <f>IF(AND(ISNUMBER(C950),ISNUMBER(C949)),(C950-C949)*100,"")</f>
        <v/>
      </c>
      <c r="H950" s="18">
        <f>IF(OR(NOT(ISNUMBER($A950)),ROW()-2&lt;Settings!$B$11),NA(),IF(COUNT(OFFSET(F950,1-Settings!$B$11,0,Settings!$B$11,1))&lt;Settings!$B$11,NA(),STDEV(OFFSET(F950,1-Settings!$B$11,0,Settings!$B$11,1))*SQRT(Settings!$B$13)))</f>
        <v/>
      </c>
      <c r="I950" s="18">
        <f>IF(OR(NOT(ISNUMBER($A950)),ROW()-2&lt;Settings!$B$12),NA(),IF(COUNT(OFFSET(F950,1-Settings!$B$12,0,Settings!$B$12,1))&lt;Settings!$B$12,NA(),STDEV(OFFSET(F950,1-Settings!$B$12,0,Settings!$B$12,1))*SQRT(Settings!$B$13)))</f>
        <v/>
      </c>
      <c r="J950" s="18">
        <f>IF(OR(NOT(ISNUMBER($A950)),ROW()-2&lt;Settings!$B$11),NA(),IF(COUNT(OFFSET(G950,1-Settings!$B$11,0,Settings!$B$11,1))&lt;Settings!$B$11,NA(),STDEV(OFFSET(G950,1-Settings!$B$11,0,Settings!$B$11,1))*SQRT(Settings!$B$13)))</f>
        <v/>
      </c>
      <c r="K950" s="18">
        <f>IF(OR(NOT(ISNUMBER($A950)),ROW()-2&lt;Settings!$B$12),NA(),IF(COUNT(OFFSET(G950,1-Settings!$B$12,0,Settings!$B$12,1))&lt;Settings!$B$12,NA(),STDEV(OFFSET(G950,1-Settings!$B$12,0,Settings!$B$12,1))*SQRT(Settings!$B$13)))</f>
        <v/>
      </c>
      <c r="L950" s="18">
        <f>IF(AND(ISNUMBER(D950),ISNUMBER(H950)),D950-H950,NA())</f>
        <v/>
      </c>
      <c r="M950" s="18">
        <f>IF(AND(ISNUMBER(E950),ISNUMBER(K950)),E950-K950,NA())</f>
        <v/>
      </c>
      <c r="N950" s="18">
        <f>IF(NOT(ISNUMBER($A950)),NA(),IF(COUNT(OFFSET(G950,1,0,Settings!$B$12,1))&lt;Settings!$B$12,NA(),STDEV(OFFSET(G950,1,0,Settings!$B$12,1))*SQRT(Settings!$B$13)))</f>
        <v/>
      </c>
      <c r="O950" s="18">
        <f>IF(AND(ISNUMBER(E950),ISNUMBER(N950)),E950-N950,NA())</f>
        <v/>
      </c>
      <c r="P950" s="17">
        <f>IF(NOT(ISNUMBER($A950)),NA(),IF(OR($A950&lt;MIN(KW_TP!$A$2:$A$2501),$A950&gt;MAX(KW_TP!$A$2:$A$2501)),NA(),INDEX(KW_TP!$C$2:$C$2501,MATCH($A950,KW_TP!$A$2:$A$2501,1))))</f>
        <v/>
      </c>
    </row>
    <row r="951">
      <c r="A951" s="15">
        <f>IF(ISNUMBER(BBG_Data!A951),BBG_Data!A951,"")</f>
        <v/>
      </c>
      <c r="B951" s="16">
        <f>IF(AND(ISNUMBER($A951),ISNUMBER(BBG_Data!B951)),BBG_Data!B951,NA())</f>
        <v/>
      </c>
      <c r="C951" s="16">
        <f>IF(AND(ISNUMBER($A951),ISNUMBER(BBG_Data!C951)),BBG_Data!C951,NA())</f>
        <v/>
      </c>
      <c r="D951" s="17">
        <f>IF(AND(ISNUMBER($A951),ISNUMBER(BBG_Data!D951)),BBG_Data!D951,NA())</f>
        <v/>
      </c>
      <c r="E951" s="17">
        <f>IF(AND(ISNUMBER($A951),ISNUMBER(BBG_Data!E951)),BBG_Data!E951,NA())</f>
        <v/>
      </c>
      <c r="F951" s="18">
        <f>IF(AND(ISNUMBER(B951),ISNUMBER(B950)),(B951-B950)*100,"")</f>
        <v/>
      </c>
      <c r="G951" s="18">
        <f>IF(AND(ISNUMBER(C951),ISNUMBER(C950)),(C951-C950)*100,"")</f>
        <v/>
      </c>
      <c r="H951" s="18">
        <f>IF(OR(NOT(ISNUMBER($A951)),ROW()-2&lt;Settings!$B$11),NA(),IF(COUNT(OFFSET(F951,1-Settings!$B$11,0,Settings!$B$11,1))&lt;Settings!$B$11,NA(),STDEV(OFFSET(F951,1-Settings!$B$11,0,Settings!$B$11,1))*SQRT(Settings!$B$13)))</f>
        <v/>
      </c>
      <c r="I951" s="18">
        <f>IF(OR(NOT(ISNUMBER($A951)),ROW()-2&lt;Settings!$B$12),NA(),IF(COUNT(OFFSET(F951,1-Settings!$B$12,0,Settings!$B$12,1))&lt;Settings!$B$12,NA(),STDEV(OFFSET(F951,1-Settings!$B$12,0,Settings!$B$12,1))*SQRT(Settings!$B$13)))</f>
        <v/>
      </c>
      <c r="J951" s="18">
        <f>IF(OR(NOT(ISNUMBER($A951)),ROW()-2&lt;Settings!$B$11),NA(),IF(COUNT(OFFSET(G951,1-Settings!$B$11,0,Settings!$B$11,1))&lt;Settings!$B$11,NA(),STDEV(OFFSET(G951,1-Settings!$B$11,0,Settings!$B$11,1))*SQRT(Settings!$B$13)))</f>
        <v/>
      </c>
      <c r="K951" s="18">
        <f>IF(OR(NOT(ISNUMBER($A951)),ROW()-2&lt;Settings!$B$12),NA(),IF(COUNT(OFFSET(G951,1-Settings!$B$12,0,Settings!$B$12,1))&lt;Settings!$B$12,NA(),STDEV(OFFSET(G951,1-Settings!$B$12,0,Settings!$B$12,1))*SQRT(Settings!$B$13)))</f>
        <v/>
      </c>
      <c r="L951" s="18">
        <f>IF(AND(ISNUMBER(D951),ISNUMBER(H951)),D951-H951,NA())</f>
        <v/>
      </c>
      <c r="M951" s="18">
        <f>IF(AND(ISNUMBER(E951),ISNUMBER(K951)),E951-K951,NA())</f>
        <v/>
      </c>
      <c r="N951" s="18">
        <f>IF(NOT(ISNUMBER($A951)),NA(),IF(COUNT(OFFSET(G951,1,0,Settings!$B$12,1))&lt;Settings!$B$12,NA(),STDEV(OFFSET(G951,1,0,Settings!$B$12,1))*SQRT(Settings!$B$13)))</f>
        <v/>
      </c>
      <c r="O951" s="18">
        <f>IF(AND(ISNUMBER(E951),ISNUMBER(N951)),E951-N951,NA())</f>
        <v/>
      </c>
      <c r="P951" s="17">
        <f>IF(NOT(ISNUMBER($A951)),NA(),IF(OR($A951&lt;MIN(KW_TP!$A$2:$A$2501),$A951&gt;MAX(KW_TP!$A$2:$A$2501)),NA(),INDEX(KW_TP!$C$2:$C$2501,MATCH($A951,KW_TP!$A$2:$A$2501,1))))</f>
        <v/>
      </c>
    </row>
    <row r="952">
      <c r="A952" s="15">
        <f>IF(ISNUMBER(BBG_Data!A952),BBG_Data!A952,"")</f>
        <v/>
      </c>
      <c r="B952" s="16">
        <f>IF(AND(ISNUMBER($A952),ISNUMBER(BBG_Data!B952)),BBG_Data!B952,NA())</f>
        <v/>
      </c>
      <c r="C952" s="16">
        <f>IF(AND(ISNUMBER($A952),ISNUMBER(BBG_Data!C952)),BBG_Data!C952,NA())</f>
        <v/>
      </c>
      <c r="D952" s="17">
        <f>IF(AND(ISNUMBER($A952),ISNUMBER(BBG_Data!D952)),BBG_Data!D952,NA())</f>
        <v/>
      </c>
      <c r="E952" s="17">
        <f>IF(AND(ISNUMBER($A952),ISNUMBER(BBG_Data!E952)),BBG_Data!E952,NA())</f>
        <v/>
      </c>
      <c r="F952" s="18">
        <f>IF(AND(ISNUMBER(B952),ISNUMBER(B951)),(B952-B951)*100,"")</f>
        <v/>
      </c>
      <c r="G952" s="18">
        <f>IF(AND(ISNUMBER(C952),ISNUMBER(C951)),(C952-C951)*100,"")</f>
        <v/>
      </c>
      <c r="H952" s="18">
        <f>IF(OR(NOT(ISNUMBER($A952)),ROW()-2&lt;Settings!$B$11),NA(),IF(COUNT(OFFSET(F952,1-Settings!$B$11,0,Settings!$B$11,1))&lt;Settings!$B$11,NA(),STDEV(OFFSET(F952,1-Settings!$B$11,0,Settings!$B$11,1))*SQRT(Settings!$B$13)))</f>
        <v/>
      </c>
      <c r="I952" s="18">
        <f>IF(OR(NOT(ISNUMBER($A952)),ROW()-2&lt;Settings!$B$12),NA(),IF(COUNT(OFFSET(F952,1-Settings!$B$12,0,Settings!$B$12,1))&lt;Settings!$B$12,NA(),STDEV(OFFSET(F952,1-Settings!$B$12,0,Settings!$B$12,1))*SQRT(Settings!$B$13)))</f>
        <v/>
      </c>
      <c r="J952" s="18">
        <f>IF(OR(NOT(ISNUMBER($A952)),ROW()-2&lt;Settings!$B$11),NA(),IF(COUNT(OFFSET(G952,1-Settings!$B$11,0,Settings!$B$11,1))&lt;Settings!$B$11,NA(),STDEV(OFFSET(G952,1-Settings!$B$11,0,Settings!$B$11,1))*SQRT(Settings!$B$13)))</f>
        <v/>
      </c>
      <c r="K952" s="18">
        <f>IF(OR(NOT(ISNUMBER($A952)),ROW()-2&lt;Settings!$B$12),NA(),IF(COUNT(OFFSET(G952,1-Settings!$B$12,0,Settings!$B$12,1))&lt;Settings!$B$12,NA(),STDEV(OFFSET(G952,1-Settings!$B$12,0,Settings!$B$12,1))*SQRT(Settings!$B$13)))</f>
        <v/>
      </c>
      <c r="L952" s="18">
        <f>IF(AND(ISNUMBER(D952),ISNUMBER(H952)),D952-H952,NA())</f>
        <v/>
      </c>
      <c r="M952" s="18">
        <f>IF(AND(ISNUMBER(E952),ISNUMBER(K952)),E952-K952,NA())</f>
        <v/>
      </c>
      <c r="N952" s="18">
        <f>IF(NOT(ISNUMBER($A952)),NA(),IF(COUNT(OFFSET(G952,1,0,Settings!$B$12,1))&lt;Settings!$B$12,NA(),STDEV(OFFSET(G952,1,0,Settings!$B$12,1))*SQRT(Settings!$B$13)))</f>
        <v/>
      </c>
      <c r="O952" s="18">
        <f>IF(AND(ISNUMBER(E952),ISNUMBER(N952)),E952-N952,NA())</f>
        <v/>
      </c>
      <c r="P952" s="17">
        <f>IF(NOT(ISNUMBER($A952)),NA(),IF(OR($A952&lt;MIN(KW_TP!$A$2:$A$2501),$A952&gt;MAX(KW_TP!$A$2:$A$2501)),NA(),INDEX(KW_TP!$C$2:$C$2501,MATCH($A952,KW_TP!$A$2:$A$2501,1))))</f>
        <v/>
      </c>
    </row>
    <row r="953">
      <c r="A953" s="15">
        <f>IF(ISNUMBER(BBG_Data!A953),BBG_Data!A953,"")</f>
        <v/>
      </c>
      <c r="B953" s="16">
        <f>IF(AND(ISNUMBER($A953),ISNUMBER(BBG_Data!B953)),BBG_Data!B953,NA())</f>
        <v/>
      </c>
      <c r="C953" s="16">
        <f>IF(AND(ISNUMBER($A953),ISNUMBER(BBG_Data!C953)),BBG_Data!C953,NA())</f>
        <v/>
      </c>
      <c r="D953" s="17">
        <f>IF(AND(ISNUMBER($A953),ISNUMBER(BBG_Data!D953)),BBG_Data!D953,NA())</f>
        <v/>
      </c>
      <c r="E953" s="17">
        <f>IF(AND(ISNUMBER($A953),ISNUMBER(BBG_Data!E953)),BBG_Data!E953,NA())</f>
        <v/>
      </c>
      <c r="F953" s="18">
        <f>IF(AND(ISNUMBER(B953),ISNUMBER(B952)),(B953-B952)*100,"")</f>
        <v/>
      </c>
      <c r="G953" s="18">
        <f>IF(AND(ISNUMBER(C953),ISNUMBER(C952)),(C953-C952)*100,"")</f>
        <v/>
      </c>
      <c r="H953" s="18">
        <f>IF(OR(NOT(ISNUMBER($A953)),ROW()-2&lt;Settings!$B$11),NA(),IF(COUNT(OFFSET(F953,1-Settings!$B$11,0,Settings!$B$11,1))&lt;Settings!$B$11,NA(),STDEV(OFFSET(F953,1-Settings!$B$11,0,Settings!$B$11,1))*SQRT(Settings!$B$13)))</f>
        <v/>
      </c>
      <c r="I953" s="18">
        <f>IF(OR(NOT(ISNUMBER($A953)),ROW()-2&lt;Settings!$B$12),NA(),IF(COUNT(OFFSET(F953,1-Settings!$B$12,0,Settings!$B$12,1))&lt;Settings!$B$12,NA(),STDEV(OFFSET(F953,1-Settings!$B$12,0,Settings!$B$12,1))*SQRT(Settings!$B$13)))</f>
        <v/>
      </c>
      <c r="J953" s="18">
        <f>IF(OR(NOT(ISNUMBER($A953)),ROW()-2&lt;Settings!$B$11),NA(),IF(COUNT(OFFSET(G953,1-Settings!$B$11,0,Settings!$B$11,1))&lt;Settings!$B$11,NA(),STDEV(OFFSET(G953,1-Settings!$B$11,0,Settings!$B$11,1))*SQRT(Settings!$B$13)))</f>
        <v/>
      </c>
      <c r="K953" s="18">
        <f>IF(OR(NOT(ISNUMBER($A953)),ROW()-2&lt;Settings!$B$12),NA(),IF(COUNT(OFFSET(G953,1-Settings!$B$12,0,Settings!$B$12,1))&lt;Settings!$B$12,NA(),STDEV(OFFSET(G953,1-Settings!$B$12,0,Settings!$B$12,1))*SQRT(Settings!$B$13)))</f>
        <v/>
      </c>
      <c r="L953" s="18">
        <f>IF(AND(ISNUMBER(D953),ISNUMBER(H953)),D953-H953,NA())</f>
        <v/>
      </c>
      <c r="M953" s="18">
        <f>IF(AND(ISNUMBER(E953),ISNUMBER(K953)),E953-K953,NA())</f>
        <v/>
      </c>
      <c r="N953" s="18">
        <f>IF(NOT(ISNUMBER($A953)),NA(),IF(COUNT(OFFSET(G953,1,0,Settings!$B$12,1))&lt;Settings!$B$12,NA(),STDEV(OFFSET(G953,1,0,Settings!$B$12,1))*SQRT(Settings!$B$13)))</f>
        <v/>
      </c>
      <c r="O953" s="18">
        <f>IF(AND(ISNUMBER(E953),ISNUMBER(N953)),E953-N953,NA())</f>
        <v/>
      </c>
      <c r="P953" s="17">
        <f>IF(NOT(ISNUMBER($A953)),NA(),IF(OR($A953&lt;MIN(KW_TP!$A$2:$A$2501),$A953&gt;MAX(KW_TP!$A$2:$A$2501)),NA(),INDEX(KW_TP!$C$2:$C$2501,MATCH($A953,KW_TP!$A$2:$A$2501,1))))</f>
        <v/>
      </c>
    </row>
    <row r="954">
      <c r="A954" s="15">
        <f>IF(ISNUMBER(BBG_Data!A954),BBG_Data!A954,"")</f>
        <v/>
      </c>
      <c r="B954" s="16">
        <f>IF(AND(ISNUMBER($A954),ISNUMBER(BBG_Data!B954)),BBG_Data!B954,NA())</f>
        <v/>
      </c>
      <c r="C954" s="16">
        <f>IF(AND(ISNUMBER($A954),ISNUMBER(BBG_Data!C954)),BBG_Data!C954,NA())</f>
        <v/>
      </c>
      <c r="D954" s="17">
        <f>IF(AND(ISNUMBER($A954),ISNUMBER(BBG_Data!D954)),BBG_Data!D954,NA())</f>
        <v/>
      </c>
      <c r="E954" s="17">
        <f>IF(AND(ISNUMBER($A954),ISNUMBER(BBG_Data!E954)),BBG_Data!E954,NA())</f>
        <v/>
      </c>
      <c r="F954" s="18">
        <f>IF(AND(ISNUMBER(B954),ISNUMBER(B953)),(B954-B953)*100,"")</f>
        <v/>
      </c>
      <c r="G954" s="18">
        <f>IF(AND(ISNUMBER(C954),ISNUMBER(C953)),(C954-C953)*100,"")</f>
        <v/>
      </c>
      <c r="H954" s="18">
        <f>IF(OR(NOT(ISNUMBER($A954)),ROW()-2&lt;Settings!$B$11),NA(),IF(COUNT(OFFSET(F954,1-Settings!$B$11,0,Settings!$B$11,1))&lt;Settings!$B$11,NA(),STDEV(OFFSET(F954,1-Settings!$B$11,0,Settings!$B$11,1))*SQRT(Settings!$B$13)))</f>
        <v/>
      </c>
      <c r="I954" s="18">
        <f>IF(OR(NOT(ISNUMBER($A954)),ROW()-2&lt;Settings!$B$12),NA(),IF(COUNT(OFFSET(F954,1-Settings!$B$12,0,Settings!$B$12,1))&lt;Settings!$B$12,NA(),STDEV(OFFSET(F954,1-Settings!$B$12,0,Settings!$B$12,1))*SQRT(Settings!$B$13)))</f>
        <v/>
      </c>
      <c r="J954" s="18">
        <f>IF(OR(NOT(ISNUMBER($A954)),ROW()-2&lt;Settings!$B$11),NA(),IF(COUNT(OFFSET(G954,1-Settings!$B$11,0,Settings!$B$11,1))&lt;Settings!$B$11,NA(),STDEV(OFFSET(G954,1-Settings!$B$11,0,Settings!$B$11,1))*SQRT(Settings!$B$13)))</f>
        <v/>
      </c>
      <c r="K954" s="18">
        <f>IF(OR(NOT(ISNUMBER($A954)),ROW()-2&lt;Settings!$B$12),NA(),IF(COUNT(OFFSET(G954,1-Settings!$B$12,0,Settings!$B$12,1))&lt;Settings!$B$12,NA(),STDEV(OFFSET(G954,1-Settings!$B$12,0,Settings!$B$12,1))*SQRT(Settings!$B$13)))</f>
        <v/>
      </c>
      <c r="L954" s="18">
        <f>IF(AND(ISNUMBER(D954),ISNUMBER(H954)),D954-H954,NA())</f>
        <v/>
      </c>
      <c r="M954" s="18">
        <f>IF(AND(ISNUMBER(E954),ISNUMBER(K954)),E954-K954,NA())</f>
        <v/>
      </c>
      <c r="N954" s="18">
        <f>IF(NOT(ISNUMBER($A954)),NA(),IF(COUNT(OFFSET(G954,1,0,Settings!$B$12,1))&lt;Settings!$B$12,NA(),STDEV(OFFSET(G954,1,0,Settings!$B$12,1))*SQRT(Settings!$B$13)))</f>
        <v/>
      </c>
      <c r="O954" s="18">
        <f>IF(AND(ISNUMBER(E954),ISNUMBER(N954)),E954-N954,NA())</f>
        <v/>
      </c>
      <c r="P954" s="17">
        <f>IF(NOT(ISNUMBER($A954)),NA(),IF(OR($A954&lt;MIN(KW_TP!$A$2:$A$2501),$A954&gt;MAX(KW_TP!$A$2:$A$2501)),NA(),INDEX(KW_TP!$C$2:$C$2501,MATCH($A954,KW_TP!$A$2:$A$2501,1))))</f>
        <v/>
      </c>
    </row>
    <row r="955">
      <c r="A955" s="15">
        <f>IF(ISNUMBER(BBG_Data!A955),BBG_Data!A955,"")</f>
        <v/>
      </c>
      <c r="B955" s="16">
        <f>IF(AND(ISNUMBER($A955),ISNUMBER(BBG_Data!B955)),BBG_Data!B955,NA())</f>
        <v/>
      </c>
      <c r="C955" s="16">
        <f>IF(AND(ISNUMBER($A955),ISNUMBER(BBG_Data!C955)),BBG_Data!C955,NA())</f>
        <v/>
      </c>
      <c r="D955" s="17">
        <f>IF(AND(ISNUMBER($A955),ISNUMBER(BBG_Data!D955)),BBG_Data!D955,NA())</f>
        <v/>
      </c>
      <c r="E955" s="17">
        <f>IF(AND(ISNUMBER($A955),ISNUMBER(BBG_Data!E955)),BBG_Data!E955,NA())</f>
        <v/>
      </c>
      <c r="F955" s="18">
        <f>IF(AND(ISNUMBER(B955),ISNUMBER(B954)),(B955-B954)*100,"")</f>
        <v/>
      </c>
      <c r="G955" s="18">
        <f>IF(AND(ISNUMBER(C955),ISNUMBER(C954)),(C955-C954)*100,"")</f>
        <v/>
      </c>
      <c r="H955" s="18">
        <f>IF(OR(NOT(ISNUMBER($A955)),ROW()-2&lt;Settings!$B$11),NA(),IF(COUNT(OFFSET(F955,1-Settings!$B$11,0,Settings!$B$11,1))&lt;Settings!$B$11,NA(),STDEV(OFFSET(F955,1-Settings!$B$11,0,Settings!$B$11,1))*SQRT(Settings!$B$13)))</f>
        <v/>
      </c>
      <c r="I955" s="18">
        <f>IF(OR(NOT(ISNUMBER($A955)),ROW()-2&lt;Settings!$B$12),NA(),IF(COUNT(OFFSET(F955,1-Settings!$B$12,0,Settings!$B$12,1))&lt;Settings!$B$12,NA(),STDEV(OFFSET(F955,1-Settings!$B$12,0,Settings!$B$12,1))*SQRT(Settings!$B$13)))</f>
        <v/>
      </c>
      <c r="J955" s="18">
        <f>IF(OR(NOT(ISNUMBER($A955)),ROW()-2&lt;Settings!$B$11),NA(),IF(COUNT(OFFSET(G955,1-Settings!$B$11,0,Settings!$B$11,1))&lt;Settings!$B$11,NA(),STDEV(OFFSET(G955,1-Settings!$B$11,0,Settings!$B$11,1))*SQRT(Settings!$B$13)))</f>
        <v/>
      </c>
      <c r="K955" s="18">
        <f>IF(OR(NOT(ISNUMBER($A955)),ROW()-2&lt;Settings!$B$12),NA(),IF(COUNT(OFFSET(G955,1-Settings!$B$12,0,Settings!$B$12,1))&lt;Settings!$B$12,NA(),STDEV(OFFSET(G955,1-Settings!$B$12,0,Settings!$B$12,1))*SQRT(Settings!$B$13)))</f>
        <v/>
      </c>
      <c r="L955" s="18">
        <f>IF(AND(ISNUMBER(D955),ISNUMBER(H955)),D955-H955,NA())</f>
        <v/>
      </c>
      <c r="M955" s="18">
        <f>IF(AND(ISNUMBER(E955),ISNUMBER(K955)),E955-K955,NA())</f>
        <v/>
      </c>
      <c r="N955" s="18">
        <f>IF(NOT(ISNUMBER($A955)),NA(),IF(COUNT(OFFSET(G955,1,0,Settings!$B$12,1))&lt;Settings!$B$12,NA(),STDEV(OFFSET(G955,1,0,Settings!$B$12,1))*SQRT(Settings!$B$13)))</f>
        <v/>
      </c>
      <c r="O955" s="18">
        <f>IF(AND(ISNUMBER(E955),ISNUMBER(N955)),E955-N955,NA())</f>
        <v/>
      </c>
      <c r="P955" s="17">
        <f>IF(NOT(ISNUMBER($A955)),NA(),IF(OR($A955&lt;MIN(KW_TP!$A$2:$A$2501),$A955&gt;MAX(KW_TP!$A$2:$A$2501)),NA(),INDEX(KW_TP!$C$2:$C$2501,MATCH($A955,KW_TP!$A$2:$A$2501,1))))</f>
        <v/>
      </c>
    </row>
    <row r="956">
      <c r="A956" s="15">
        <f>IF(ISNUMBER(BBG_Data!A956),BBG_Data!A956,"")</f>
        <v/>
      </c>
      <c r="B956" s="16">
        <f>IF(AND(ISNUMBER($A956),ISNUMBER(BBG_Data!B956)),BBG_Data!B956,NA())</f>
        <v/>
      </c>
      <c r="C956" s="16">
        <f>IF(AND(ISNUMBER($A956),ISNUMBER(BBG_Data!C956)),BBG_Data!C956,NA())</f>
        <v/>
      </c>
      <c r="D956" s="17">
        <f>IF(AND(ISNUMBER($A956),ISNUMBER(BBG_Data!D956)),BBG_Data!D956,NA())</f>
        <v/>
      </c>
      <c r="E956" s="17">
        <f>IF(AND(ISNUMBER($A956),ISNUMBER(BBG_Data!E956)),BBG_Data!E956,NA())</f>
        <v/>
      </c>
      <c r="F956" s="18">
        <f>IF(AND(ISNUMBER(B956),ISNUMBER(B955)),(B956-B955)*100,"")</f>
        <v/>
      </c>
      <c r="G956" s="18">
        <f>IF(AND(ISNUMBER(C956),ISNUMBER(C955)),(C956-C955)*100,"")</f>
        <v/>
      </c>
      <c r="H956" s="18">
        <f>IF(OR(NOT(ISNUMBER($A956)),ROW()-2&lt;Settings!$B$11),NA(),IF(COUNT(OFFSET(F956,1-Settings!$B$11,0,Settings!$B$11,1))&lt;Settings!$B$11,NA(),STDEV(OFFSET(F956,1-Settings!$B$11,0,Settings!$B$11,1))*SQRT(Settings!$B$13)))</f>
        <v/>
      </c>
      <c r="I956" s="18">
        <f>IF(OR(NOT(ISNUMBER($A956)),ROW()-2&lt;Settings!$B$12),NA(),IF(COUNT(OFFSET(F956,1-Settings!$B$12,0,Settings!$B$12,1))&lt;Settings!$B$12,NA(),STDEV(OFFSET(F956,1-Settings!$B$12,0,Settings!$B$12,1))*SQRT(Settings!$B$13)))</f>
        <v/>
      </c>
      <c r="J956" s="18">
        <f>IF(OR(NOT(ISNUMBER($A956)),ROW()-2&lt;Settings!$B$11),NA(),IF(COUNT(OFFSET(G956,1-Settings!$B$11,0,Settings!$B$11,1))&lt;Settings!$B$11,NA(),STDEV(OFFSET(G956,1-Settings!$B$11,0,Settings!$B$11,1))*SQRT(Settings!$B$13)))</f>
        <v/>
      </c>
      <c r="K956" s="18">
        <f>IF(OR(NOT(ISNUMBER($A956)),ROW()-2&lt;Settings!$B$12),NA(),IF(COUNT(OFFSET(G956,1-Settings!$B$12,0,Settings!$B$12,1))&lt;Settings!$B$12,NA(),STDEV(OFFSET(G956,1-Settings!$B$12,0,Settings!$B$12,1))*SQRT(Settings!$B$13)))</f>
        <v/>
      </c>
      <c r="L956" s="18">
        <f>IF(AND(ISNUMBER(D956),ISNUMBER(H956)),D956-H956,NA())</f>
        <v/>
      </c>
      <c r="M956" s="18">
        <f>IF(AND(ISNUMBER(E956),ISNUMBER(K956)),E956-K956,NA())</f>
        <v/>
      </c>
      <c r="N956" s="18">
        <f>IF(NOT(ISNUMBER($A956)),NA(),IF(COUNT(OFFSET(G956,1,0,Settings!$B$12,1))&lt;Settings!$B$12,NA(),STDEV(OFFSET(G956,1,0,Settings!$B$12,1))*SQRT(Settings!$B$13)))</f>
        <v/>
      </c>
      <c r="O956" s="18">
        <f>IF(AND(ISNUMBER(E956),ISNUMBER(N956)),E956-N956,NA())</f>
        <v/>
      </c>
      <c r="P956" s="17">
        <f>IF(NOT(ISNUMBER($A956)),NA(),IF(OR($A956&lt;MIN(KW_TP!$A$2:$A$2501),$A956&gt;MAX(KW_TP!$A$2:$A$2501)),NA(),INDEX(KW_TP!$C$2:$C$2501,MATCH($A956,KW_TP!$A$2:$A$2501,1))))</f>
        <v/>
      </c>
    </row>
    <row r="957">
      <c r="A957" s="15">
        <f>IF(ISNUMBER(BBG_Data!A957),BBG_Data!A957,"")</f>
        <v/>
      </c>
      <c r="B957" s="16">
        <f>IF(AND(ISNUMBER($A957),ISNUMBER(BBG_Data!B957)),BBG_Data!B957,NA())</f>
        <v/>
      </c>
      <c r="C957" s="16">
        <f>IF(AND(ISNUMBER($A957),ISNUMBER(BBG_Data!C957)),BBG_Data!C957,NA())</f>
        <v/>
      </c>
      <c r="D957" s="17">
        <f>IF(AND(ISNUMBER($A957),ISNUMBER(BBG_Data!D957)),BBG_Data!D957,NA())</f>
        <v/>
      </c>
      <c r="E957" s="17">
        <f>IF(AND(ISNUMBER($A957),ISNUMBER(BBG_Data!E957)),BBG_Data!E957,NA())</f>
        <v/>
      </c>
      <c r="F957" s="18">
        <f>IF(AND(ISNUMBER(B957),ISNUMBER(B956)),(B957-B956)*100,"")</f>
        <v/>
      </c>
      <c r="G957" s="18">
        <f>IF(AND(ISNUMBER(C957),ISNUMBER(C956)),(C957-C956)*100,"")</f>
        <v/>
      </c>
      <c r="H957" s="18">
        <f>IF(OR(NOT(ISNUMBER($A957)),ROW()-2&lt;Settings!$B$11),NA(),IF(COUNT(OFFSET(F957,1-Settings!$B$11,0,Settings!$B$11,1))&lt;Settings!$B$11,NA(),STDEV(OFFSET(F957,1-Settings!$B$11,0,Settings!$B$11,1))*SQRT(Settings!$B$13)))</f>
        <v/>
      </c>
      <c r="I957" s="18">
        <f>IF(OR(NOT(ISNUMBER($A957)),ROW()-2&lt;Settings!$B$12),NA(),IF(COUNT(OFFSET(F957,1-Settings!$B$12,0,Settings!$B$12,1))&lt;Settings!$B$12,NA(),STDEV(OFFSET(F957,1-Settings!$B$12,0,Settings!$B$12,1))*SQRT(Settings!$B$13)))</f>
        <v/>
      </c>
      <c r="J957" s="18">
        <f>IF(OR(NOT(ISNUMBER($A957)),ROW()-2&lt;Settings!$B$11),NA(),IF(COUNT(OFFSET(G957,1-Settings!$B$11,0,Settings!$B$11,1))&lt;Settings!$B$11,NA(),STDEV(OFFSET(G957,1-Settings!$B$11,0,Settings!$B$11,1))*SQRT(Settings!$B$13)))</f>
        <v/>
      </c>
      <c r="K957" s="18">
        <f>IF(OR(NOT(ISNUMBER($A957)),ROW()-2&lt;Settings!$B$12),NA(),IF(COUNT(OFFSET(G957,1-Settings!$B$12,0,Settings!$B$12,1))&lt;Settings!$B$12,NA(),STDEV(OFFSET(G957,1-Settings!$B$12,0,Settings!$B$12,1))*SQRT(Settings!$B$13)))</f>
        <v/>
      </c>
      <c r="L957" s="18">
        <f>IF(AND(ISNUMBER(D957),ISNUMBER(H957)),D957-H957,NA())</f>
        <v/>
      </c>
      <c r="M957" s="18">
        <f>IF(AND(ISNUMBER(E957),ISNUMBER(K957)),E957-K957,NA())</f>
        <v/>
      </c>
      <c r="N957" s="18">
        <f>IF(NOT(ISNUMBER($A957)),NA(),IF(COUNT(OFFSET(G957,1,0,Settings!$B$12,1))&lt;Settings!$B$12,NA(),STDEV(OFFSET(G957,1,0,Settings!$B$12,1))*SQRT(Settings!$B$13)))</f>
        <v/>
      </c>
      <c r="O957" s="18">
        <f>IF(AND(ISNUMBER(E957),ISNUMBER(N957)),E957-N957,NA())</f>
        <v/>
      </c>
      <c r="P957" s="17">
        <f>IF(NOT(ISNUMBER($A957)),NA(),IF(OR($A957&lt;MIN(KW_TP!$A$2:$A$2501),$A957&gt;MAX(KW_TP!$A$2:$A$2501)),NA(),INDEX(KW_TP!$C$2:$C$2501,MATCH($A957,KW_TP!$A$2:$A$2501,1))))</f>
        <v/>
      </c>
    </row>
    <row r="958">
      <c r="A958" s="15">
        <f>IF(ISNUMBER(BBG_Data!A958),BBG_Data!A958,"")</f>
        <v/>
      </c>
      <c r="B958" s="16">
        <f>IF(AND(ISNUMBER($A958),ISNUMBER(BBG_Data!B958)),BBG_Data!B958,NA())</f>
        <v/>
      </c>
      <c r="C958" s="16">
        <f>IF(AND(ISNUMBER($A958),ISNUMBER(BBG_Data!C958)),BBG_Data!C958,NA())</f>
        <v/>
      </c>
      <c r="D958" s="17">
        <f>IF(AND(ISNUMBER($A958),ISNUMBER(BBG_Data!D958)),BBG_Data!D958,NA())</f>
        <v/>
      </c>
      <c r="E958" s="17">
        <f>IF(AND(ISNUMBER($A958),ISNUMBER(BBG_Data!E958)),BBG_Data!E958,NA())</f>
        <v/>
      </c>
      <c r="F958" s="18">
        <f>IF(AND(ISNUMBER(B958),ISNUMBER(B957)),(B958-B957)*100,"")</f>
        <v/>
      </c>
      <c r="G958" s="18">
        <f>IF(AND(ISNUMBER(C958),ISNUMBER(C957)),(C958-C957)*100,"")</f>
        <v/>
      </c>
      <c r="H958" s="18">
        <f>IF(OR(NOT(ISNUMBER($A958)),ROW()-2&lt;Settings!$B$11),NA(),IF(COUNT(OFFSET(F958,1-Settings!$B$11,0,Settings!$B$11,1))&lt;Settings!$B$11,NA(),STDEV(OFFSET(F958,1-Settings!$B$11,0,Settings!$B$11,1))*SQRT(Settings!$B$13)))</f>
        <v/>
      </c>
      <c r="I958" s="18">
        <f>IF(OR(NOT(ISNUMBER($A958)),ROW()-2&lt;Settings!$B$12),NA(),IF(COUNT(OFFSET(F958,1-Settings!$B$12,0,Settings!$B$12,1))&lt;Settings!$B$12,NA(),STDEV(OFFSET(F958,1-Settings!$B$12,0,Settings!$B$12,1))*SQRT(Settings!$B$13)))</f>
        <v/>
      </c>
      <c r="J958" s="18">
        <f>IF(OR(NOT(ISNUMBER($A958)),ROW()-2&lt;Settings!$B$11),NA(),IF(COUNT(OFFSET(G958,1-Settings!$B$11,0,Settings!$B$11,1))&lt;Settings!$B$11,NA(),STDEV(OFFSET(G958,1-Settings!$B$11,0,Settings!$B$11,1))*SQRT(Settings!$B$13)))</f>
        <v/>
      </c>
      <c r="K958" s="18">
        <f>IF(OR(NOT(ISNUMBER($A958)),ROW()-2&lt;Settings!$B$12),NA(),IF(COUNT(OFFSET(G958,1-Settings!$B$12,0,Settings!$B$12,1))&lt;Settings!$B$12,NA(),STDEV(OFFSET(G958,1-Settings!$B$12,0,Settings!$B$12,1))*SQRT(Settings!$B$13)))</f>
        <v/>
      </c>
      <c r="L958" s="18">
        <f>IF(AND(ISNUMBER(D958),ISNUMBER(H958)),D958-H958,NA())</f>
        <v/>
      </c>
      <c r="M958" s="18">
        <f>IF(AND(ISNUMBER(E958),ISNUMBER(K958)),E958-K958,NA())</f>
        <v/>
      </c>
      <c r="N958" s="18">
        <f>IF(NOT(ISNUMBER($A958)),NA(),IF(COUNT(OFFSET(G958,1,0,Settings!$B$12,1))&lt;Settings!$B$12,NA(),STDEV(OFFSET(G958,1,0,Settings!$B$12,1))*SQRT(Settings!$B$13)))</f>
        <v/>
      </c>
      <c r="O958" s="18">
        <f>IF(AND(ISNUMBER(E958),ISNUMBER(N958)),E958-N958,NA())</f>
        <v/>
      </c>
      <c r="P958" s="17">
        <f>IF(NOT(ISNUMBER($A958)),NA(),IF(OR($A958&lt;MIN(KW_TP!$A$2:$A$2501),$A958&gt;MAX(KW_TP!$A$2:$A$2501)),NA(),INDEX(KW_TP!$C$2:$C$2501,MATCH($A958,KW_TP!$A$2:$A$2501,1))))</f>
        <v/>
      </c>
    </row>
    <row r="959">
      <c r="A959" s="15">
        <f>IF(ISNUMBER(BBG_Data!A959),BBG_Data!A959,"")</f>
        <v/>
      </c>
      <c r="B959" s="16">
        <f>IF(AND(ISNUMBER($A959),ISNUMBER(BBG_Data!B959)),BBG_Data!B959,NA())</f>
        <v/>
      </c>
      <c r="C959" s="16">
        <f>IF(AND(ISNUMBER($A959),ISNUMBER(BBG_Data!C959)),BBG_Data!C959,NA())</f>
        <v/>
      </c>
      <c r="D959" s="17">
        <f>IF(AND(ISNUMBER($A959),ISNUMBER(BBG_Data!D959)),BBG_Data!D959,NA())</f>
        <v/>
      </c>
      <c r="E959" s="17">
        <f>IF(AND(ISNUMBER($A959),ISNUMBER(BBG_Data!E959)),BBG_Data!E959,NA())</f>
        <v/>
      </c>
      <c r="F959" s="18">
        <f>IF(AND(ISNUMBER(B959),ISNUMBER(B958)),(B959-B958)*100,"")</f>
        <v/>
      </c>
      <c r="G959" s="18">
        <f>IF(AND(ISNUMBER(C959),ISNUMBER(C958)),(C959-C958)*100,"")</f>
        <v/>
      </c>
      <c r="H959" s="18">
        <f>IF(OR(NOT(ISNUMBER($A959)),ROW()-2&lt;Settings!$B$11),NA(),IF(COUNT(OFFSET(F959,1-Settings!$B$11,0,Settings!$B$11,1))&lt;Settings!$B$11,NA(),STDEV(OFFSET(F959,1-Settings!$B$11,0,Settings!$B$11,1))*SQRT(Settings!$B$13)))</f>
        <v/>
      </c>
      <c r="I959" s="18">
        <f>IF(OR(NOT(ISNUMBER($A959)),ROW()-2&lt;Settings!$B$12),NA(),IF(COUNT(OFFSET(F959,1-Settings!$B$12,0,Settings!$B$12,1))&lt;Settings!$B$12,NA(),STDEV(OFFSET(F959,1-Settings!$B$12,0,Settings!$B$12,1))*SQRT(Settings!$B$13)))</f>
        <v/>
      </c>
      <c r="J959" s="18">
        <f>IF(OR(NOT(ISNUMBER($A959)),ROW()-2&lt;Settings!$B$11),NA(),IF(COUNT(OFFSET(G959,1-Settings!$B$11,0,Settings!$B$11,1))&lt;Settings!$B$11,NA(),STDEV(OFFSET(G959,1-Settings!$B$11,0,Settings!$B$11,1))*SQRT(Settings!$B$13)))</f>
        <v/>
      </c>
      <c r="K959" s="18">
        <f>IF(OR(NOT(ISNUMBER($A959)),ROW()-2&lt;Settings!$B$12),NA(),IF(COUNT(OFFSET(G959,1-Settings!$B$12,0,Settings!$B$12,1))&lt;Settings!$B$12,NA(),STDEV(OFFSET(G959,1-Settings!$B$12,0,Settings!$B$12,1))*SQRT(Settings!$B$13)))</f>
        <v/>
      </c>
      <c r="L959" s="18">
        <f>IF(AND(ISNUMBER(D959),ISNUMBER(H959)),D959-H959,NA())</f>
        <v/>
      </c>
      <c r="M959" s="18">
        <f>IF(AND(ISNUMBER(E959),ISNUMBER(K959)),E959-K959,NA())</f>
        <v/>
      </c>
      <c r="N959" s="18">
        <f>IF(NOT(ISNUMBER($A959)),NA(),IF(COUNT(OFFSET(G959,1,0,Settings!$B$12,1))&lt;Settings!$B$12,NA(),STDEV(OFFSET(G959,1,0,Settings!$B$12,1))*SQRT(Settings!$B$13)))</f>
        <v/>
      </c>
      <c r="O959" s="18">
        <f>IF(AND(ISNUMBER(E959),ISNUMBER(N959)),E959-N959,NA())</f>
        <v/>
      </c>
      <c r="P959" s="17">
        <f>IF(NOT(ISNUMBER($A959)),NA(),IF(OR($A959&lt;MIN(KW_TP!$A$2:$A$2501),$A959&gt;MAX(KW_TP!$A$2:$A$2501)),NA(),INDEX(KW_TP!$C$2:$C$2501,MATCH($A959,KW_TP!$A$2:$A$2501,1))))</f>
        <v/>
      </c>
    </row>
    <row r="960">
      <c r="A960" s="15">
        <f>IF(ISNUMBER(BBG_Data!A960),BBG_Data!A960,"")</f>
        <v/>
      </c>
      <c r="B960" s="16">
        <f>IF(AND(ISNUMBER($A960),ISNUMBER(BBG_Data!B960)),BBG_Data!B960,NA())</f>
        <v/>
      </c>
      <c r="C960" s="16">
        <f>IF(AND(ISNUMBER($A960),ISNUMBER(BBG_Data!C960)),BBG_Data!C960,NA())</f>
        <v/>
      </c>
      <c r="D960" s="17">
        <f>IF(AND(ISNUMBER($A960),ISNUMBER(BBG_Data!D960)),BBG_Data!D960,NA())</f>
        <v/>
      </c>
      <c r="E960" s="17">
        <f>IF(AND(ISNUMBER($A960),ISNUMBER(BBG_Data!E960)),BBG_Data!E960,NA())</f>
        <v/>
      </c>
      <c r="F960" s="18">
        <f>IF(AND(ISNUMBER(B960),ISNUMBER(B959)),(B960-B959)*100,"")</f>
        <v/>
      </c>
      <c r="G960" s="18">
        <f>IF(AND(ISNUMBER(C960),ISNUMBER(C959)),(C960-C959)*100,"")</f>
        <v/>
      </c>
      <c r="H960" s="18">
        <f>IF(OR(NOT(ISNUMBER($A960)),ROW()-2&lt;Settings!$B$11),NA(),IF(COUNT(OFFSET(F960,1-Settings!$B$11,0,Settings!$B$11,1))&lt;Settings!$B$11,NA(),STDEV(OFFSET(F960,1-Settings!$B$11,0,Settings!$B$11,1))*SQRT(Settings!$B$13)))</f>
        <v/>
      </c>
      <c r="I960" s="18">
        <f>IF(OR(NOT(ISNUMBER($A960)),ROW()-2&lt;Settings!$B$12),NA(),IF(COUNT(OFFSET(F960,1-Settings!$B$12,0,Settings!$B$12,1))&lt;Settings!$B$12,NA(),STDEV(OFFSET(F960,1-Settings!$B$12,0,Settings!$B$12,1))*SQRT(Settings!$B$13)))</f>
        <v/>
      </c>
      <c r="J960" s="18">
        <f>IF(OR(NOT(ISNUMBER($A960)),ROW()-2&lt;Settings!$B$11),NA(),IF(COUNT(OFFSET(G960,1-Settings!$B$11,0,Settings!$B$11,1))&lt;Settings!$B$11,NA(),STDEV(OFFSET(G960,1-Settings!$B$11,0,Settings!$B$11,1))*SQRT(Settings!$B$13)))</f>
        <v/>
      </c>
      <c r="K960" s="18">
        <f>IF(OR(NOT(ISNUMBER($A960)),ROW()-2&lt;Settings!$B$12),NA(),IF(COUNT(OFFSET(G960,1-Settings!$B$12,0,Settings!$B$12,1))&lt;Settings!$B$12,NA(),STDEV(OFFSET(G960,1-Settings!$B$12,0,Settings!$B$12,1))*SQRT(Settings!$B$13)))</f>
        <v/>
      </c>
      <c r="L960" s="18">
        <f>IF(AND(ISNUMBER(D960),ISNUMBER(H960)),D960-H960,NA())</f>
        <v/>
      </c>
      <c r="M960" s="18">
        <f>IF(AND(ISNUMBER(E960),ISNUMBER(K960)),E960-K960,NA())</f>
        <v/>
      </c>
      <c r="N960" s="18">
        <f>IF(NOT(ISNUMBER($A960)),NA(),IF(COUNT(OFFSET(G960,1,0,Settings!$B$12,1))&lt;Settings!$B$12,NA(),STDEV(OFFSET(G960,1,0,Settings!$B$12,1))*SQRT(Settings!$B$13)))</f>
        <v/>
      </c>
      <c r="O960" s="18">
        <f>IF(AND(ISNUMBER(E960),ISNUMBER(N960)),E960-N960,NA())</f>
        <v/>
      </c>
      <c r="P960" s="17">
        <f>IF(NOT(ISNUMBER($A960)),NA(),IF(OR($A960&lt;MIN(KW_TP!$A$2:$A$2501),$A960&gt;MAX(KW_TP!$A$2:$A$2501)),NA(),INDEX(KW_TP!$C$2:$C$2501,MATCH($A960,KW_TP!$A$2:$A$2501,1))))</f>
        <v/>
      </c>
    </row>
    <row r="961">
      <c r="A961" s="15">
        <f>IF(ISNUMBER(BBG_Data!A961),BBG_Data!A961,"")</f>
        <v/>
      </c>
      <c r="B961" s="16">
        <f>IF(AND(ISNUMBER($A961),ISNUMBER(BBG_Data!B961)),BBG_Data!B961,NA())</f>
        <v/>
      </c>
      <c r="C961" s="16">
        <f>IF(AND(ISNUMBER($A961),ISNUMBER(BBG_Data!C961)),BBG_Data!C961,NA())</f>
        <v/>
      </c>
      <c r="D961" s="17">
        <f>IF(AND(ISNUMBER($A961),ISNUMBER(BBG_Data!D961)),BBG_Data!D961,NA())</f>
        <v/>
      </c>
      <c r="E961" s="17">
        <f>IF(AND(ISNUMBER($A961),ISNUMBER(BBG_Data!E961)),BBG_Data!E961,NA())</f>
        <v/>
      </c>
      <c r="F961" s="18">
        <f>IF(AND(ISNUMBER(B961),ISNUMBER(B960)),(B961-B960)*100,"")</f>
        <v/>
      </c>
      <c r="G961" s="18">
        <f>IF(AND(ISNUMBER(C961),ISNUMBER(C960)),(C961-C960)*100,"")</f>
        <v/>
      </c>
      <c r="H961" s="18">
        <f>IF(OR(NOT(ISNUMBER($A961)),ROW()-2&lt;Settings!$B$11),NA(),IF(COUNT(OFFSET(F961,1-Settings!$B$11,0,Settings!$B$11,1))&lt;Settings!$B$11,NA(),STDEV(OFFSET(F961,1-Settings!$B$11,0,Settings!$B$11,1))*SQRT(Settings!$B$13)))</f>
        <v/>
      </c>
      <c r="I961" s="18">
        <f>IF(OR(NOT(ISNUMBER($A961)),ROW()-2&lt;Settings!$B$12),NA(),IF(COUNT(OFFSET(F961,1-Settings!$B$12,0,Settings!$B$12,1))&lt;Settings!$B$12,NA(),STDEV(OFFSET(F961,1-Settings!$B$12,0,Settings!$B$12,1))*SQRT(Settings!$B$13)))</f>
        <v/>
      </c>
      <c r="J961" s="18">
        <f>IF(OR(NOT(ISNUMBER($A961)),ROW()-2&lt;Settings!$B$11),NA(),IF(COUNT(OFFSET(G961,1-Settings!$B$11,0,Settings!$B$11,1))&lt;Settings!$B$11,NA(),STDEV(OFFSET(G961,1-Settings!$B$11,0,Settings!$B$11,1))*SQRT(Settings!$B$13)))</f>
        <v/>
      </c>
      <c r="K961" s="18">
        <f>IF(OR(NOT(ISNUMBER($A961)),ROW()-2&lt;Settings!$B$12),NA(),IF(COUNT(OFFSET(G961,1-Settings!$B$12,0,Settings!$B$12,1))&lt;Settings!$B$12,NA(),STDEV(OFFSET(G961,1-Settings!$B$12,0,Settings!$B$12,1))*SQRT(Settings!$B$13)))</f>
        <v/>
      </c>
      <c r="L961" s="18">
        <f>IF(AND(ISNUMBER(D961),ISNUMBER(H961)),D961-H961,NA())</f>
        <v/>
      </c>
      <c r="M961" s="18">
        <f>IF(AND(ISNUMBER(E961),ISNUMBER(K961)),E961-K961,NA())</f>
        <v/>
      </c>
      <c r="N961" s="18">
        <f>IF(NOT(ISNUMBER($A961)),NA(),IF(COUNT(OFFSET(G961,1,0,Settings!$B$12,1))&lt;Settings!$B$12,NA(),STDEV(OFFSET(G961,1,0,Settings!$B$12,1))*SQRT(Settings!$B$13)))</f>
        <v/>
      </c>
      <c r="O961" s="18">
        <f>IF(AND(ISNUMBER(E961),ISNUMBER(N961)),E961-N961,NA())</f>
        <v/>
      </c>
      <c r="P961" s="17">
        <f>IF(NOT(ISNUMBER($A961)),NA(),IF(OR($A961&lt;MIN(KW_TP!$A$2:$A$2501),$A961&gt;MAX(KW_TP!$A$2:$A$2501)),NA(),INDEX(KW_TP!$C$2:$C$2501,MATCH($A961,KW_TP!$A$2:$A$2501,1))))</f>
        <v/>
      </c>
    </row>
    <row r="962">
      <c r="A962" s="15">
        <f>IF(ISNUMBER(BBG_Data!A962),BBG_Data!A962,"")</f>
        <v/>
      </c>
      <c r="B962" s="16">
        <f>IF(AND(ISNUMBER($A962),ISNUMBER(BBG_Data!B962)),BBG_Data!B962,NA())</f>
        <v/>
      </c>
      <c r="C962" s="16">
        <f>IF(AND(ISNUMBER($A962),ISNUMBER(BBG_Data!C962)),BBG_Data!C962,NA())</f>
        <v/>
      </c>
      <c r="D962" s="17">
        <f>IF(AND(ISNUMBER($A962),ISNUMBER(BBG_Data!D962)),BBG_Data!D962,NA())</f>
        <v/>
      </c>
      <c r="E962" s="17">
        <f>IF(AND(ISNUMBER($A962),ISNUMBER(BBG_Data!E962)),BBG_Data!E962,NA())</f>
        <v/>
      </c>
      <c r="F962" s="18">
        <f>IF(AND(ISNUMBER(B962),ISNUMBER(B961)),(B962-B961)*100,"")</f>
        <v/>
      </c>
      <c r="G962" s="18">
        <f>IF(AND(ISNUMBER(C962),ISNUMBER(C961)),(C962-C961)*100,"")</f>
        <v/>
      </c>
      <c r="H962" s="18">
        <f>IF(OR(NOT(ISNUMBER($A962)),ROW()-2&lt;Settings!$B$11),NA(),IF(COUNT(OFFSET(F962,1-Settings!$B$11,0,Settings!$B$11,1))&lt;Settings!$B$11,NA(),STDEV(OFFSET(F962,1-Settings!$B$11,0,Settings!$B$11,1))*SQRT(Settings!$B$13)))</f>
        <v/>
      </c>
      <c r="I962" s="18">
        <f>IF(OR(NOT(ISNUMBER($A962)),ROW()-2&lt;Settings!$B$12),NA(),IF(COUNT(OFFSET(F962,1-Settings!$B$12,0,Settings!$B$12,1))&lt;Settings!$B$12,NA(),STDEV(OFFSET(F962,1-Settings!$B$12,0,Settings!$B$12,1))*SQRT(Settings!$B$13)))</f>
        <v/>
      </c>
      <c r="J962" s="18">
        <f>IF(OR(NOT(ISNUMBER($A962)),ROW()-2&lt;Settings!$B$11),NA(),IF(COUNT(OFFSET(G962,1-Settings!$B$11,0,Settings!$B$11,1))&lt;Settings!$B$11,NA(),STDEV(OFFSET(G962,1-Settings!$B$11,0,Settings!$B$11,1))*SQRT(Settings!$B$13)))</f>
        <v/>
      </c>
      <c r="K962" s="18">
        <f>IF(OR(NOT(ISNUMBER($A962)),ROW()-2&lt;Settings!$B$12),NA(),IF(COUNT(OFFSET(G962,1-Settings!$B$12,0,Settings!$B$12,1))&lt;Settings!$B$12,NA(),STDEV(OFFSET(G962,1-Settings!$B$12,0,Settings!$B$12,1))*SQRT(Settings!$B$13)))</f>
        <v/>
      </c>
      <c r="L962" s="18">
        <f>IF(AND(ISNUMBER(D962),ISNUMBER(H962)),D962-H962,NA())</f>
        <v/>
      </c>
      <c r="M962" s="18">
        <f>IF(AND(ISNUMBER(E962),ISNUMBER(K962)),E962-K962,NA())</f>
        <v/>
      </c>
      <c r="N962" s="18">
        <f>IF(NOT(ISNUMBER($A962)),NA(),IF(COUNT(OFFSET(G962,1,0,Settings!$B$12,1))&lt;Settings!$B$12,NA(),STDEV(OFFSET(G962,1,0,Settings!$B$12,1))*SQRT(Settings!$B$13)))</f>
        <v/>
      </c>
      <c r="O962" s="18">
        <f>IF(AND(ISNUMBER(E962),ISNUMBER(N962)),E962-N962,NA())</f>
        <v/>
      </c>
      <c r="P962" s="17">
        <f>IF(NOT(ISNUMBER($A962)),NA(),IF(OR($A962&lt;MIN(KW_TP!$A$2:$A$2501),$A962&gt;MAX(KW_TP!$A$2:$A$2501)),NA(),INDEX(KW_TP!$C$2:$C$2501,MATCH($A962,KW_TP!$A$2:$A$2501,1))))</f>
        <v/>
      </c>
    </row>
    <row r="963">
      <c r="A963" s="15">
        <f>IF(ISNUMBER(BBG_Data!A963),BBG_Data!A963,"")</f>
        <v/>
      </c>
      <c r="B963" s="16">
        <f>IF(AND(ISNUMBER($A963),ISNUMBER(BBG_Data!B963)),BBG_Data!B963,NA())</f>
        <v/>
      </c>
      <c r="C963" s="16">
        <f>IF(AND(ISNUMBER($A963),ISNUMBER(BBG_Data!C963)),BBG_Data!C963,NA())</f>
        <v/>
      </c>
      <c r="D963" s="17">
        <f>IF(AND(ISNUMBER($A963),ISNUMBER(BBG_Data!D963)),BBG_Data!D963,NA())</f>
        <v/>
      </c>
      <c r="E963" s="17">
        <f>IF(AND(ISNUMBER($A963),ISNUMBER(BBG_Data!E963)),BBG_Data!E963,NA())</f>
        <v/>
      </c>
      <c r="F963" s="18">
        <f>IF(AND(ISNUMBER(B963),ISNUMBER(B962)),(B963-B962)*100,"")</f>
        <v/>
      </c>
      <c r="G963" s="18">
        <f>IF(AND(ISNUMBER(C963),ISNUMBER(C962)),(C963-C962)*100,"")</f>
        <v/>
      </c>
      <c r="H963" s="18">
        <f>IF(OR(NOT(ISNUMBER($A963)),ROW()-2&lt;Settings!$B$11),NA(),IF(COUNT(OFFSET(F963,1-Settings!$B$11,0,Settings!$B$11,1))&lt;Settings!$B$11,NA(),STDEV(OFFSET(F963,1-Settings!$B$11,0,Settings!$B$11,1))*SQRT(Settings!$B$13)))</f>
        <v/>
      </c>
      <c r="I963" s="18">
        <f>IF(OR(NOT(ISNUMBER($A963)),ROW()-2&lt;Settings!$B$12),NA(),IF(COUNT(OFFSET(F963,1-Settings!$B$12,0,Settings!$B$12,1))&lt;Settings!$B$12,NA(),STDEV(OFFSET(F963,1-Settings!$B$12,0,Settings!$B$12,1))*SQRT(Settings!$B$13)))</f>
        <v/>
      </c>
      <c r="J963" s="18">
        <f>IF(OR(NOT(ISNUMBER($A963)),ROW()-2&lt;Settings!$B$11),NA(),IF(COUNT(OFFSET(G963,1-Settings!$B$11,0,Settings!$B$11,1))&lt;Settings!$B$11,NA(),STDEV(OFFSET(G963,1-Settings!$B$11,0,Settings!$B$11,1))*SQRT(Settings!$B$13)))</f>
        <v/>
      </c>
      <c r="K963" s="18">
        <f>IF(OR(NOT(ISNUMBER($A963)),ROW()-2&lt;Settings!$B$12),NA(),IF(COUNT(OFFSET(G963,1-Settings!$B$12,0,Settings!$B$12,1))&lt;Settings!$B$12,NA(),STDEV(OFFSET(G963,1-Settings!$B$12,0,Settings!$B$12,1))*SQRT(Settings!$B$13)))</f>
        <v/>
      </c>
      <c r="L963" s="18">
        <f>IF(AND(ISNUMBER(D963),ISNUMBER(H963)),D963-H963,NA())</f>
        <v/>
      </c>
      <c r="M963" s="18">
        <f>IF(AND(ISNUMBER(E963),ISNUMBER(K963)),E963-K963,NA())</f>
        <v/>
      </c>
      <c r="N963" s="18">
        <f>IF(NOT(ISNUMBER($A963)),NA(),IF(COUNT(OFFSET(G963,1,0,Settings!$B$12,1))&lt;Settings!$B$12,NA(),STDEV(OFFSET(G963,1,0,Settings!$B$12,1))*SQRT(Settings!$B$13)))</f>
        <v/>
      </c>
      <c r="O963" s="18">
        <f>IF(AND(ISNUMBER(E963),ISNUMBER(N963)),E963-N963,NA())</f>
        <v/>
      </c>
      <c r="P963" s="17">
        <f>IF(NOT(ISNUMBER($A963)),NA(),IF(OR($A963&lt;MIN(KW_TP!$A$2:$A$2501),$A963&gt;MAX(KW_TP!$A$2:$A$2501)),NA(),INDEX(KW_TP!$C$2:$C$2501,MATCH($A963,KW_TP!$A$2:$A$2501,1))))</f>
        <v/>
      </c>
    </row>
    <row r="964">
      <c r="A964" s="15">
        <f>IF(ISNUMBER(BBG_Data!A964),BBG_Data!A964,"")</f>
        <v/>
      </c>
      <c r="B964" s="16">
        <f>IF(AND(ISNUMBER($A964),ISNUMBER(BBG_Data!B964)),BBG_Data!B964,NA())</f>
        <v/>
      </c>
      <c r="C964" s="16">
        <f>IF(AND(ISNUMBER($A964),ISNUMBER(BBG_Data!C964)),BBG_Data!C964,NA())</f>
        <v/>
      </c>
      <c r="D964" s="17">
        <f>IF(AND(ISNUMBER($A964),ISNUMBER(BBG_Data!D964)),BBG_Data!D964,NA())</f>
        <v/>
      </c>
      <c r="E964" s="17">
        <f>IF(AND(ISNUMBER($A964),ISNUMBER(BBG_Data!E964)),BBG_Data!E964,NA())</f>
        <v/>
      </c>
      <c r="F964" s="18">
        <f>IF(AND(ISNUMBER(B964),ISNUMBER(B963)),(B964-B963)*100,"")</f>
        <v/>
      </c>
      <c r="G964" s="18">
        <f>IF(AND(ISNUMBER(C964),ISNUMBER(C963)),(C964-C963)*100,"")</f>
        <v/>
      </c>
      <c r="H964" s="18">
        <f>IF(OR(NOT(ISNUMBER($A964)),ROW()-2&lt;Settings!$B$11),NA(),IF(COUNT(OFFSET(F964,1-Settings!$B$11,0,Settings!$B$11,1))&lt;Settings!$B$11,NA(),STDEV(OFFSET(F964,1-Settings!$B$11,0,Settings!$B$11,1))*SQRT(Settings!$B$13)))</f>
        <v/>
      </c>
      <c r="I964" s="18">
        <f>IF(OR(NOT(ISNUMBER($A964)),ROW()-2&lt;Settings!$B$12),NA(),IF(COUNT(OFFSET(F964,1-Settings!$B$12,0,Settings!$B$12,1))&lt;Settings!$B$12,NA(),STDEV(OFFSET(F964,1-Settings!$B$12,0,Settings!$B$12,1))*SQRT(Settings!$B$13)))</f>
        <v/>
      </c>
      <c r="J964" s="18">
        <f>IF(OR(NOT(ISNUMBER($A964)),ROW()-2&lt;Settings!$B$11),NA(),IF(COUNT(OFFSET(G964,1-Settings!$B$11,0,Settings!$B$11,1))&lt;Settings!$B$11,NA(),STDEV(OFFSET(G964,1-Settings!$B$11,0,Settings!$B$11,1))*SQRT(Settings!$B$13)))</f>
        <v/>
      </c>
      <c r="K964" s="18">
        <f>IF(OR(NOT(ISNUMBER($A964)),ROW()-2&lt;Settings!$B$12),NA(),IF(COUNT(OFFSET(G964,1-Settings!$B$12,0,Settings!$B$12,1))&lt;Settings!$B$12,NA(),STDEV(OFFSET(G964,1-Settings!$B$12,0,Settings!$B$12,1))*SQRT(Settings!$B$13)))</f>
        <v/>
      </c>
      <c r="L964" s="18">
        <f>IF(AND(ISNUMBER(D964),ISNUMBER(H964)),D964-H964,NA())</f>
        <v/>
      </c>
      <c r="M964" s="18">
        <f>IF(AND(ISNUMBER(E964),ISNUMBER(K964)),E964-K964,NA())</f>
        <v/>
      </c>
      <c r="N964" s="18">
        <f>IF(NOT(ISNUMBER($A964)),NA(),IF(COUNT(OFFSET(G964,1,0,Settings!$B$12,1))&lt;Settings!$B$12,NA(),STDEV(OFFSET(G964,1,0,Settings!$B$12,1))*SQRT(Settings!$B$13)))</f>
        <v/>
      </c>
      <c r="O964" s="18">
        <f>IF(AND(ISNUMBER(E964),ISNUMBER(N964)),E964-N964,NA())</f>
        <v/>
      </c>
      <c r="P964" s="17">
        <f>IF(NOT(ISNUMBER($A964)),NA(),IF(OR($A964&lt;MIN(KW_TP!$A$2:$A$2501),$A964&gt;MAX(KW_TP!$A$2:$A$2501)),NA(),INDEX(KW_TP!$C$2:$C$2501,MATCH($A964,KW_TP!$A$2:$A$2501,1))))</f>
        <v/>
      </c>
    </row>
    <row r="965">
      <c r="A965" s="15">
        <f>IF(ISNUMBER(BBG_Data!A965),BBG_Data!A965,"")</f>
        <v/>
      </c>
      <c r="B965" s="16">
        <f>IF(AND(ISNUMBER($A965),ISNUMBER(BBG_Data!B965)),BBG_Data!B965,NA())</f>
        <v/>
      </c>
      <c r="C965" s="16">
        <f>IF(AND(ISNUMBER($A965),ISNUMBER(BBG_Data!C965)),BBG_Data!C965,NA())</f>
        <v/>
      </c>
      <c r="D965" s="17">
        <f>IF(AND(ISNUMBER($A965),ISNUMBER(BBG_Data!D965)),BBG_Data!D965,NA())</f>
        <v/>
      </c>
      <c r="E965" s="17">
        <f>IF(AND(ISNUMBER($A965),ISNUMBER(BBG_Data!E965)),BBG_Data!E965,NA())</f>
        <v/>
      </c>
      <c r="F965" s="18">
        <f>IF(AND(ISNUMBER(B965),ISNUMBER(B964)),(B965-B964)*100,"")</f>
        <v/>
      </c>
      <c r="G965" s="18">
        <f>IF(AND(ISNUMBER(C965),ISNUMBER(C964)),(C965-C964)*100,"")</f>
        <v/>
      </c>
      <c r="H965" s="18">
        <f>IF(OR(NOT(ISNUMBER($A965)),ROW()-2&lt;Settings!$B$11),NA(),IF(COUNT(OFFSET(F965,1-Settings!$B$11,0,Settings!$B$11,1))&lt;Settings!$B$11,NA(),STDEV(OFFSET(F965,1-Settings!$B$11,0,Settings!$B$11,1))*SQRT(Settings!$B$13)))</f>
        <v/>
      </c>
      <c r="I965" s="18">
        <f>IF(OR(NOT(ISNUMBER($A965)),ROW()-2&lt;Settings!$B$12),NA(),IF(COUNT(OFFSET(F965,1-Settings!$B$12,0,Settings!$B$12,1))&lt;Settings!$B$12,NA(),STDEV(OFFSET(F965,1-Settings!$B$12,0,Settings!$B$12,1))*SQRT(Settings!$B$13)))</f>
        <v/>
      </c>
      <c r="J965" s="18">
        <f>IF(OR(NOT(ISNUMBER($A965)),ROW()-2&lt;Settings!$B$11),NA(),IF(COUNT(OFFSET(G965,1-Settings!$B$11,0,Settings!$B$11,1))&lt;Settings!$B$11,NA(),STDEV(OFFSET(G965,1-Settings!$B$11,0,Settings!$B$11,1))*SQRT(Settings!$B$13)))</f>
        <v/>
      </c>
      <c r="K965" s="18">
        <f>IF(OR(NOT(ISNUMBER($A965)),ROW()-2&lt;Settings!$B$12),NA(),IF(COUNT(OFFSET(G965,1-Settings!$B$12,0,Settings!$B$12,1))&lt;Settings!$B$12,NA(),STDEV(OFFSET(G965,1-Settings!$B$12,0,Settings!$B$12,1))*SQRT(Settings!$B$13)))</f>
        <v/>
      </c>
      <c r="L965" s="18">
        <f>IF(AND(ISNUMBER(D965),ISNUMBER(H965)),D965-H965,NA())</f>
        <v/>
      </c>
      <c r="M965" s="18">
        <f>IF(AND(ISNUMBER(E965),ISNUMBER(K965)),E965-K965,NA())</f>
        <v/>
      </c>
      <c r="N965" s="18">
        <f>IF(NOT(ISNUMBER($A965)),NA(),IF(COUNT(OFFSET(G965,1,0,Settings!$B$12,1))&lt;Settings!$B$12,NA(),STDEV(OFFSET(G965,1,0,Settings!$B$12,1))*SQRT(Settings!$B$13)))</f>
        <v/>
      </c>
      <c r="O965" s="18">
        <f>IF(AND(ISNUMBER(E965),ISNUMBER(N965)),E965-N965,NA())</f>
        <v/>
      </c>
      <c r="P965" s="17">
        <f>IF(NOT(ISNUMBER($A965)),NA(),IF(OR($A965&lt;MIN(KW_TP!$A$2:$A$2501),$A965&gt;MAX(KW_TP!$A$2:$A$2501)),NA(),INDEX(KW_TP!$C$2:$C$2501,MATCH($A965,KW_TP!$A$2:$A$2501,1))))</f>
        <v/>
      </c>
    </row>
    <row r="966">
      <c r="A966" s="15">
        <f>IF(ISNUMBER(BBG_Data!A966),BBG_Data!A966,"")</f>
        <v/>
      </c>
      <c r="B966" s="16">
        <f>IF(AND(ISNUMBER($A966),ISNUMBER(BBG_Data!B966)),BBG_Data!B966,NA())</f>
        <v/>
      </c>
      <c r="C966" s="16">
        <f>IF(AND(ISNUMBER($A966),ISNUMBER(BBG_Data!C966)),BBG_Data!C966,NA())</f>
        <v/>
      </c>
      <c r="D966" s="17">
        <f>IF(AND(ISNUMBER($A966),ISNUMBER(BBG_Data!D966)),BBG_Data!D966,NA())</f>
        <v/>
      </c>
      <c r="E966" s="17">
        <f>IF(AND(ISNUMBER($A966),ISNUMBER(BBG_Data!E966)),BBG_Data!E966,NA())</f>
        <v/>
      </c>
      <c r="F966" s="18">
        <f>IF(AND(ISNUMBER(B966),ISNUMBER(B965)),(B966-B965)*100,"")</f>
        <v/>
      </c>
      <c r="G966" s="18">
        <f>IF(AND(ISNUMBER(C966),ISNUMBER(C965)),(C966-C965)*100,"")</f>
        <v/>
      </c>
      <c r="H966" s="18">
        <f>IF(OR(NOT(ISNUMBER($A966)),ROW()-2&lt;Settings!$B$11),NA(),IF(COUNT(OFFSET(F966,1-Settings!$B$11,0,Settings!$B$11,1))&lt;Settings!$B$11,NA(),STDEV(OFFSET(F966,1-Settings!$B$11,0,Settings!$B$11,1))*SQRT(Settings!$B$13)))</f>
        <v/>
      </c>
      <c r="I966" s="18">
        <f>IF(OR(NOT(ISNUMBER($A966)),ROW()-2&lt;Settings!$B$12),NA(),IF(COUNT(OFFSET(F966,1-Settings!$B$12,0,Settings!$B$12,1))&lt;Settings!$B$12,NA(),STDEV(OFFSET(F966,1-Settings!$B$12,0,Settings!$B$12,1))*SQRT(Settings!$B$13)))</f>
        <v/>
      </c>
      <c r="J966" s="18">
        <f>IF(OR(NOT(ISNUMBER($A966)),ROW()-2&lt;Settings!$B$11),NA(),IF(COUNT(OFFSET(G966,1-Settings!$B$11,0,Settings!$B$11,1))&lt;Settings!$B$11,NA(),STDEV(OFFSET(G966,1-Settings!$B$11,0,Settings!$B$11,1))*SQRT(Settings!$B$13)))</f>
        <v/>
      </c>
      <c r="K966" s="18">
        <f>IF(OR(NOT(ISNUMBER($A966)),ROW()-2&lt;Settings!$B$12),NA(),IF(COUNT(OFFSET(G966,1-Settings!$B$12,0,Settings!$B$12,1))&lt;Settings!$B$12,NA(),STDEV(OFFSET(G966,1-Settings!$B$12,0,Settings!$B$12,1))*SQRT(Settings!$B$13)))</f>
        <v/>
      </c>
      <c r="L966" s="18">
        <f>IF(AND(ISNUMBER(D966),ISNUMBER(H966)),D966-H966,NA())</f>
        <v/>
      </c>
      <c r="M966" s="18">
        <f>IF(AND(ISNUMBER(E966),ISNUMBER(K966)),E966-K966,NA())</f>
        <v/>
      </c>
      <c r="N966" s="18">
        <f>IF(NOT(ISNUMBER($A966)),NA(),IF(COUNT(OFFSET(G966,1,0,Settings!$B$12,1))&lt;Settings!$B$12,NA(),STDEV(OFFSET(G966,1,0,Settings!$B$12,1))*SQRT(Settings!$B$13)))</f>
        <v/>
      </c>
      <c r="O966" s="18">
        <f>IF(AND(ISNUMBER(E966),ISNUMBER(N966)),E966-N966,NA())</f>
        <v/>
      </c>
      <c r="P966" s="17">
        <f>IF(NOT(ISNUMBER($A966)),NA(),IF(OR($A966&lt;MIN(KW_TP!$A$2:$A$2501),$A966&gt;MAX(KW_TP!$A$2:$A$2501)),NA(),INDEX(KW_TP!$C$2:$C$2501,MATCH($A966,KW_TP!$A$2:$A$2501,1))))</f>
        <v/>
      </c>
    </row>
    <row r="967">
      <c r="A967" s="15">
        <f>IF(ISNUMBER(BBG_Data!A967),BBG_Data!A967,"")</f>
        <v/>
      </c>
      <c r="B967" s="16">
        <f>IF(AND(ISNUMBER($A967),ISNUMBER(BBG_Data!B967)),BBG_Data!B967,NA())</f>
        <v/>
      </c>
      <c r="C967" s="16">
        <f>IF(AND(ISNUMBER($A967),ISNUMBER(BBG_Data!C967)),BBG_Data!C967,NA())</f>
        <v/>
      </c>
      <c r="D967" s="17">
        <f>IF(AND(ISNUMBER($A967),ISNUMBER(BBG_Data!D967)),BBG_Data!D967,NA())</f>
        <v/>
      </c>
      <c r="E967" s="17">
        <f>IF(AND(ISNUMBER($A967),ISNUMBER(BBG_Data!E967)),BBG_Data!E967,NA())</f>
        <v/>
      </c>
      <c r="F967" s="18">
        <f>IF(AND(ISNUMBER(B967),ISNUMBER(B966)),(B967-B966)*100,"")</f>
        <v/>
      </c>
      <c r="G967" s="18">
        <f>IF(AND(ISNUMBER(C967),ISNUMBER(C966)),(C967-C966)*100,"")</f>
        <v/>
      </c>
      <c r="H967" s="18">
        <f>IF(OR(NOT(ISNUMBER($A967)),ROW()-2&lt;Settings!$B$11),NA(),IF(COUNT(OFFSET(F967,1-Settings!$B$11,0,Settings!$B$11,1))&lt;Settings!$B$11,NA(),STDEV(OFFSET(F967,1-Settings!$B$11,0,Settings!$B$11,1))*SQRT(Settings!$B$13)))</f>
        <v/>
      </c>
      <c r="I967" s="18">
        <f>IF(OR(NOT(ISNUMBER($A967)),ROW()-2&lt;Settings!$B$12),NA(),IF(COUNT(OFFSET(F967,1-Settings!$B$12,0,Settings!$B$12,1))&lt;Settings!$B$12,NA(),STDEV(OFFSET(F967,1-Settings!$B$12,0,Settings!$B$12,1))*SQRT(Settings!$B$13)))</f>
        <v/>
      </c>
      <c r="J967" s="18">
        <f>IF(OR(NOT(ISNUMBER($A967)),ROW()-2&lt;Settings!$B$11),NA(),IF(COUNT(OFFSET(G967,1-Settings!$B$11,0,Settings!$B$11,1))&lt;Settings!$B$11,NA(),STDEV(OFFSET(G967,1-Settings!$B$11,0,Settings!$B$11,1))*SQRT(Settings!$B$13)))</f>
        <v/>
      </c>
      <c r="K967" s="18">
        <f>IF(OR(NOT(ISNUMBER($A967)),ROW()-2&lt;Settings!$B$12),NA(),IF(COUNT(OFFSET(G967,1-Settings!$B$12,0,Settings!$B$12,1))&lt;Settings!$B$12,NA(),STDEV(OFFSET(G967,1-Settings!$B$12,0,Settings!$B$12,1))*SQRT(Settings!$B$13)))</f>
        <v/>
      </c>
      <c r="L967" s="18">
        <f>IF(AND(ISNUMBER(D967),ISNUMBER(H967)),D967-H967,NA())</f>
        <v/>
      </c>
      <c r="M967" s="18">
        <f>IF(AND(ISNUMBER(E967),ISNUMBER(K967)),E967-K967,NA())</f>
        <v/>
      </c>
      <c r="N967" s="18">
        <f>IF(NOT(ISNUMBER($A967)),NA(),IF(COUNT(OFFSET(G967,1,0,Settings!$B$12,1))&lt;Settings!$B$12,NA(),STDEV(OFFSET(G967,1,0,Settings!$B$12,1))*SQRT(Settings!$B$13)))</f>
        <v/>
      </c>
      <c r="O967" s="18">
        <f>IF(AND(ISNUMBER(E967),ISNUMBER(N967)),E967-N967,NA())</f>
        <v/>
      </c>
      <c r="P967" s="17">
        <f>IF(NOT(ISNUMBER($A967)),NA(),IF(OR($A967&lt;MIN(KW_TP!$A$2:$A$2501),$A967&gt;MAX(KW_TP!$A$2:$A$2501)),NA(),INDEX(KW_TP!$C$2:$C$2501,MATCH($A967,KW_TP!$A$2:$A$2501,1))))</f>
        <v/>
      </c>
    </row>
    <row r="968">
      <c r="A968" s="15">
        <f>IF(ISNUMBER(BBG_Data!A968),BBG_Data!A968,"")</f>
        <v/>
      </c>
      <c r="B968" s="16">
        <f>IF(AND(ISNUMBER($A968),ISNUMBER(BBG_Data!B968)),BBG_Data!B968,NA())</f>
        <v/>
      </c>
      <c r="C968" s="16">
        <f>IF(AND(ISNUMBER($A968),ISNUMBER(BBG_Data!C968)),BBG_Data!C968,NA())</f>
        <v/>
      </c>
      <c r="D968" s="17">
        <f>IF(AND(ISNUMBER($A968),ISNUMBER(BBG_Data!D968)),BBG_Data!D968,NA())</f>
        <v/>
      </c>
      <c r="E968" s="17">
        <f>IF(AND(ISNUMBER($A968),ISNUMBER(BBG_Data!E968)),BBG_Data!E968,NA())</f>
        <v/>
      </c>
      <c r="F968" s="18">
        <f>IF(AND(ISNUMBER(B968),ISNUMBER(B967)),(B968-B967)*100,"")</f>
        <v/>
      </c>
      <c r="G968" s="18">
        <f>IF(AND(ISNUMBER(C968),ISNUMBER(C967)),(C968-C967)*100,"")</f>
        <v/>
      </c>
      <c r="H968" s="18">
        <f>IF(OR(NOT(ISNUMBER($A968)),ROW()-2&lt;Settings!$B$11),NA(),IF(COUNT(OFFSET(F968,1-Settings!$B$11,0,Settings!$B$11,1))&lt;Settings!$B$11,NA(),STDEV(OFFSET(F968,1-Settings!$B$11,0,Settings!$B$11,1))*SQRT(Settings!$B$13)))</f>
        <v/>
      </c>
      <c r="I968" s="18">
        <f>IF(OR(NOT(ISNUMBER($A968)),ROW()-2&lt;Settings!$B$12),NA(),IF(COUNT(OFFSET(F968,1-Settings!$B$12,0,Settings!$B$12,1))&lt;Settings!$B$12,NA(),STDEV(OFFSET(F968,1-Settings!$B$12,0,Settings!$B$12,1))*SQRT(Settings!$B$13)))</f>
        <v/>
      </c>
      <c r="J968" s="18">
        <f>IF(OR(NOT(ISNUMBER($A968)),ROW()-2&lt;Settings!$B$11),NA(),IF(COUNT(OFFSET(G968,1-Settings!$B$11,0,Settings!$B$11,1))&lt;Settings!$B$11,NA(),STDEV(OFFSET(G968,1-Settings!$B$11,0,Settings!$B$11,1))*SQRT(Settings!$B$13)))</f>
        <v/>
      </c>
      <c r="K968" s="18">
        <f>IF(OR(NOT(ISNUMBER($A968)),ROW()-2&lt;Settings!$B$12),NA(),IF(COUNT(OFFSET(G968,1-Settings!$B$12,0,Settings!$B$12,1))&lt;Settings!$B$12,NA(),STDEV(OFFSET(G968,1-Settings!$B$12,0,Settings!$B$12,1))*SQRT(Settings!$B$13)))</f>
        <v/>
      </c>
      <c r="L968" s="18">
        <f>IF(AND(ISNUMBER(D968),ISNUMBER(H968)),D968-H968,NA())</f>
        <v/>
      </c>
      <c r="M968" s="18">
        <f>IF(AND(ISNUMBER(E968),ISNUMBER(K968)),E968-K968,NA())</f>
        <v/>
      </c>
      <c r="N968" s="18">
        <f>IF(NOT(ISNUMBER($A968)),NA(),IF(COUNT(OFFSET(G968,1,0,Settings!$B$12,1))&lt;Settings!$B$12,NA(),STDEV(OFFSET(G968,1,0,Settings!$B$12,1))*SQRT(Settings!$B$13)))</f>
        <v/>
      </c>
      <c r="O968" s="18">
        <f>IF(AND(ISNUMBER(E968),ISNUMBER(N968)),E968-N968,NA())</f>
        <v/>
      </c>
      <c r="P968" s="17">
        <f>IF(NOT(ISNUMBER($A968)),NA(),IF(OR($A968&lt;MIN(KW_TP!$A$2:$A$2501),$A968&gt;MAX(KW_TP!$A$2:$A$2501)),NA(),INDEX(KW_TP!$C$2:$C$2501,MATCH($A968,KW_TP!$A$2:$A$2501,1))))</f>
        <v/>
      </c>
    </row>
    <row r="969">
      <c r="A969" s="15">
        <f>IF(ISNUMBER(BBG_Data!A969),BBG_Data!A969,"")</f>
        <v/>
      </c>
      <c r="B969" s="16">
        <f>IF(AND(ISNUMBER($A969),ISNUMBER(BBG_Data!B969)),BBG_Data!B969,NA())</f>
        <v/>
      </c>
      <c r="C969" s="16">
        <f>IF(AND(ISNUMBER($A969),ISNUMBER(BBG_Data!C969)),BBG_Data!C969,NA())</f>
        <v/>
      </c>
      <c r="D969" s="17">
        <f>IF(AND(ISNUMBER($A969),ISNUMBER(BBG_Data!D969)),BBG_Data!D969,NA())</f>
        <v/>
      </c>
      <c r="E969" s="17">
        <f>IF(AND(ISNUMBER($A969),ISNUMBER(BBG_Data!E969)),BBG_Data!E969,NA())</f>
        <v/>
      </c>
      <c r="F969" s="18">
        <f>IF(AND(ISNUMBER(B969),ISNUMBER(B968)),(B969-B968)*100,"")</f>
        <v/>
      </c>
      <c r="G969" s="18">
        <f>IF(AND(ISNUMBER(C969),ISNUMBER(C968)),(C969-C968)*100,"")</f>
        <v/>
      </c>
      <c r="H969" s="18">
        <f>IF(OR(NOT(ISNUMBER($A969)),ROW()-2&lt;Settings!$B$11),NA(),IF(COUNT(OFFSET(F969,1-Settings!$B$11,0,Settings!$B$11,1))&lt;Settings!$B$11,NA(),STDEV(OFFSET(F969,1-Settings!$B$11,0,Settings!$B$11,1))*SQRT(Settings!$B$13)))</f>
        <v/>
      </c>
      <c r="I969" s="18">
        <f>IF(OR(NOT(ISNUMBER($A969)),ROW()-2&lt;Settings!$B$12),NA(),IF(COUNT(OFFSET(F969,1-Settings!$B$12,0,Settings!$B$12,1))&lt;Settings!$B$12,NA(),STDEV(OFFSET(F969,1-Settings!$B$12,0,Settings!$B$12,1))*SQRT(Settings!$B$13)))</f>
        <v/>
      </c>
      <c r="J969" s="18">
        <f>IF(OR(NOT(ISNUMBER($A969)),ROW()-2&lt;Settings!$B$11),NA(),IF(COUNT(OFFSET(G969,1-Settings!$B$11,0,Settings!$B$11,1))&lt;Settings!$B$11,NA(),STDEV(OFFSET(G969,1-Settings!$B$11,0,Settings!$B$11,1))*SQRT(Settings!$B$13)))</f>
        <v/>
      </c>
      <c r="K969" s="18">
        <f>IF(OR(NOT(ISNUMBER($A969)),ROW()-2&lt;Settings!$B$12),NA(),IF(COUNT(OFFSET(G969,1-Settings!$B$12,0,Settings!$B$12,1))&lt;Settings!$B$12,NA(),STDEV(OFFSET(G969,1-Settings!$B$12,0,Settings!$B$12,1))*SQRT(Settings!$B$13)))</f>
        <v/>
      </c>
      <c r="L969" s="18">
        <f>IF(AND(ISNUMBER(D969),ISNUMBER(H969)),D969-H969,NA())</f>
        <v/>
      </c>
      <c r="M969" s="18">
        <f>IF(AND(ISNUMBER(E969),ISNUMBER(K969)),E969-K969,NA())</f>
        <v/>
      </c>
      <c r="N969" s="18">
        <f>IF(NOT(ISNUMBER($A969)),NA(),IF(COUNT(OFFSET(G969,1,0,Settings!$B$12,1))&lt;Settings!$B$12,NA(),STDEV(OFFSET(G969,1,0,Settings!$B$12,1))*SQRT(Settings!$B$13)))</f>
        <v/>
      </c>
      <c r="O969" s="18">
        <f>IF(AND(ISNUMBER(E969),ISNUMBER(N969)),E969-N969,NA())</f>
        <v/>
      </c>
      <c r="P969" s="17">
        <f>IF(NOT(ISNUMBER($A969)),NA(),IF(OR($A969&lt;MIN(KW_TP!$A$2:$A$2501),$A969&gt;MAX(KW_TP!$A$2:$A$2501)),NA(),INDEX(KW_TP!$C$2:$C$2501,MATCH($A969,KW_TP!$A$2:$A$2501,1))))</f>
        <v/>
      </c>
    </row>
    <row r="970">
      <c r="A970" s="15">
        <f>IF(ISNUMBER(BBG_Data!A970),BBG_Data!A970,"")</f>
        <v/>
      </c>
      <c r="B970" s="16">
        <f>IF(AND(ISNUMBER($A970),ISNUMBER(BBG_Data!B970)),BBG_Data!B970,NA())</f>
        <v/>
      </c>
      <c r="C970" s="16">
        <f>IF(AND(ISNUMBER($A970),ISNUMBER(BBG_Data!C970)),BBG_Data!C970,NA())</f>
        <v/>
      </c>
      <c r="D970" s="17">
        <f>IF(AND(ISNUMBER($A970),ISNUMBER(BBG_Data!D970)),BBG_Data!D970,NA())</f>
        <v/>
      </c>
      <c r="E970" s="17">
        <f>IF(AND(ISNUMBER($A970),ISNUMBER(BBG_Data!E970)),BBG_Data!E970,NA())</f>
        <v/>
      </c>
      <c r="F970" s="18">
        <f>IF(AND(ISNUMBER(B970),ISNUMBER(B969)),(B970-B969)*100,"")</f>
        <v/>
      </c>
      <c r="G970" s="18">
        <f>IF(AND(ISNUMBER(C970),ISNUMBER(C969)),(C970-C969)*100,"")</f>
        <v/>
      </c>
      <c r="H970" s="18">
        <f>IF(OR(NOT(ISNUMBER($A970)),ROW()-2&lt;Settings!$B$11),NA(),IF(COUNT(OFFSET(F970,1-Settings!$B$11,0,Settings!$B$11,1))&lt;Settings!$B$11,NA(),STDEV(OFFSET(F970,1-Settings!$B$11,0,Settings!$B$11,1))*SQRT(Settings!$B$13)))</f>
        <v/>
      </c>
      <c r="I970" s="18">
        <f>IF(OR(NOT(ISNUMBER($A970)),ROW()-2&lt;Settings!$B$12),NA(),IF(COUNT(OFFSET(F970,1-Settings!$B$12,0,Settings!$B$12,1))&lt;Settings!$B$12,NA(),STDEV(OFFSET(F970,1-Settings!$B$12,0,Settings!$B$12,1))*SQRT(Settings!$B$13)))</f>
        <v/>
      </c>
      <c r="J970" s="18">
        <f>IF(OR(NOT(ISNUMBER($A970)),ROW()-2&lt;Settings!$B$11),NA(),IF(COUNT(OFFSET(G970,1-Settings!$B$11,0,Settings!$B$11,1))&lt;Settings!$B$11,NA(),STDEV(OFFSET(G970,1-Settings!$B$11,0,Settings!$B$11,1))*SQRT(Settings!$B$13)))</f>
        <v/>
      </c>
      <c r="K970" s="18">
        <f>IF(OR(NOT(ISNUMBER($A970)),ROW()-2&lt;Settings!$B$12),NA(),IF(COUNT(OFFSET(G970,1-Settings!$B$12,0,Settings!$B$12,1))&lt;Settings!$B$12,NA(),STDEV(OFFSET(G970,1-Settings!$B$12,0,Settings!$B$12,1))*SQRT(Settings!$B$13)))</f>
        <v/>
      </c>
      <c r="L970" s="18">
        <f>IF(AND(ISNUMBER(D970),ISNUMBER(H970)),D970-H970,NA())</f>
        <v/>
      </c>
      <c r="M970" s="18">
        <f>IF(AND(ISNUMBER(E970),ISNUMBER(K970)),E970-K970,NA())</f>
        <v/>
      </c>
      <c r="N970" s="18">
        <f>IF(NOT(ISNUMBER($A970)),NA(),IF(COUNT(OFFSET(G970,1,0,Settings!$B$12,1))&lt;Settings!$B$12,NA(),STDEV(OFFSET(G970,1,0,Settings!$B$12,1))*SQRT(Settings!$B$13)))</f>
        <v/>
      </c>
      <c r="O970" s="18">
        <f>IF(AND(ISNUMBER(E970),ISNUMBER(N970)),E970-N970,NA())</f>
        <v/>
      </c>
      <c r="P970" s="17">
        <f>IF(NOT(ISNUMBER($A970)),NA(),IF(OR($A970&lt;MIN(KW_TP!$A$2:$A$2501),$A970&gt;MAX(KW_TP!$A$2:$A$2501)),NA(),INDEX(KW_TP!$C$2:$C$2501,MATCH($A970,KW_TP!$A$2:$A$2501,1))))</f>
        <v/>
      </c>
    </row>
    <row r="971">
      <c r="A971" s="15">
        <f>IF(ISNUMBER(BBG_Data!A971),BBG_Data!A971,"")</f>
        <v/>
      </c>
      <c r="B971" s="16">
        <f>IF(AND(ISNUMBER($A971),ISNUMBER(BBG_Data!B971)),BBG_Data!B971,NA())</f>
        <v/>
      </c>
      <c r="C971" s="16">
        <f>IF(AND(ISNUMBER($A971),ISNUMBER(BBG_Data!C971)),BBG_Data!C971,NA())</f>
        <v/>
      </c>
      <c r="D971" s="17">
        <f>IF(AND(ISNUMBER($A971),ISNUMBER(BBG_Data!D971)),BBG_Data!D971,NA())</f>
        <v/>
      </c>
      <c r="E971" s="17">
        <f>IF(AND(ISNUMBER($A971),ISNUMBER(BBG_Data!E971)),BBG_Data!E971,NA())</f>
        <v/>
      </c>
      <c r="F971" s="18">
        <f>IF(AND(ISNUMBER(B971),ISNUMBER(B970)),(B971-B970)*100,"")</f>
        <v/>
      </c>
      <c r="G971" s="18">
        <f>IF(AND(ISNUMBER(C971),ISNUMBER(C970)),(C971-C970)*100,"")</f>
        <v/>
      </c>
      <c r="H971" s="18">
        <f>IF(OR(NOT(ISNUMBER($A971)),ROW()-2&lt;Settings!$B$11),NA(),IF(COUNT(OFFSET(F971,1-Settings!$B$11,0,Settings!$B$11,1))&lt;Settings!$B$11,NA(),STDEV(OFFSET(F971,1-Settings!$B$11,0,Settings!$B$11,1))*SQRT(Settings!$B$13)))</f>
        <v/>
      </c>
      <c r="I971" s="18">
        <f>IF(OR(NOT(ISNUMBER($A971)),ROW()-2&lt;Settings!$B$12),NA(),IF(COUNT(OFFSET(F971,1-Settings!$B$12,0,Settings!$B$12,1))&lt;Settings!$B$12,NA(),STDEV(OFFSET(F971,1-Settings!$B$12,0,Settings!$B$12,1))*SQRT(Settings!$B$13)))</f>
        <v/>
      </c>
      <c r="J971" s="18">
        <f>IF(OR(NOT(ISNUMBER($A971)),ROW()-2&lt;Settings!$B$11),NA(),IF(COUNT(OFFSET(G971,1-Settings!$B$11,0,Settings!$B$11,1))&lt;Settings!$B$11,NA(),STDEV(OFFSET(G971,1-Settings!$B$11,0,Settings!$B$11,1))*SQRT(Settings!$B$13)))</f>
        <v/>
      </c>
      <c r="K971" s="18">
        <f>IF(OR(NOT(ISNUMBER($A971)),ROW()-2&lt;Settings!$B$12),NA(),IF(COUNT(OFFSET(G971,1-Settings!$B$12,0,Settings!$B$12,1))&lt;Settings!$B$12,NA(),STDEV(OFFSET(G971,1-Settings!$B$12,0,Settings!$B$12,1))*SQRT(Settings!$B$13)))</f>
        <v/>
      </c>
      <c r="L971" s="18">
        <f>IF(AND(ISNUMBER(D971),ISNUMBER(H971)),D971-H971,NA())</f>
        <v/>
      </c>
      <c r="M971" s="18">
        <f>IF(AND(ISNUMBER(E971),ISNUMBER(K971)),E971-K971,NA())</f>
        <v/>
      </c>
      <c r="N971" s="18">
        <f>IF(NOT(ISNUMBER($A971)),NA(),IF(COUNT(OFFSET(G971,1,0,Settings!$B$12,1))&lt;Settings!$B$12,NA(),STDEV(OFFSET(G971,1,0,Settings!$B$12,1))*SQRT(Settings!$B$13)))</f>
        <v/>
      </c>
      <c r="O971" s="18">
        <f>IF(AND(ISNUMBER(E971),ISNUMBER(N971)),E971-N971,NA())</f>
        <v/>
      </c>
      <c r="P971" s="17">
        <f>IF(NOT(ISNUMBER($A971)),NA(),IF(OR($A971&lt;MIN(KW_TP!$A$2:$A$2501),$A971&gt;MAX(KW_TP!$A$2:$A$2501)),NA(),INDEX(KW_TP!$C$2:$C$2501,MATCH($A971,KW_TP!$A$2:$A$2501,1))))</f>
        <v/>
      </c>
    </row>
    <row r="972">
      <c r="A972" s="15">
        <f>IF(ISNUMBER(BBG_Data!A972),BBG_Data!A972,"")</f>
        <v/>
      </c>
      <c r="B972" s="16">
        <f>IF(AND(ISNUMBER($A972),ISNUMBER(BBG_Data!B972)),BBG_Data!B972,NA())</f>
        <v/>
      </c>
      <c r="C972" s="16">
        <f>IF(AND(ISNUMBER($A972),ISNUMBER(BBG_Data!C972)),BBG_Data!C972,NA())</f>
        <v/>
      </c>
      <c r="D972" s="17">
        <f>IF(AND(ISNUMBER($A972),ISNUMBER(BBG_Data!D972)),BBG_Data!D972,NA())</f>
        <v/>
      </c>
      <c r="E972" s="17">
        <f>IF(AND(ISNUMBER($A972),ISNUMBER(BBG_Data!E972)),BBG_Data!E972,NA())</f>
        <v/>
      </c>
      <c r="F972" s="18">
        <f>IF(AND(ISNUMBER(B972),ISNUMBER(B971)),(B972-B971)*100,"")</f>
        <v/>
      </c>
      <c r="G972" s="18">
        <f>IF(AND(ISNUMBER(C972),ISNUMBER(C971)),(C972-C971)*100,"")</f>
        <v/>
      </c>
      <c r="H972" s="18">
        <f>IF(OR(NOT(ISNUMBER($A972)),ROW()-2&lt;Settings!$B$11),NA(),IF(COUNT(OFFSET(F972,1-Settings!$B$11,0,Settings!$B$11,1))&lt;Settings!$B$11,NA(),STDEV(OFFSET(F972,1-Settings!$B$11,0,Settings!$B$11,1))*SQRT(Settings!$B$13)))</f>
        <v/>
      </c>
      <c r="I972" s="18">
        <f>IF(OR(NOT(ISNUMBER($A972)),ROW()-2&lt;Settings!$B$12),NA(),IF(COUNT(OFFSET(F972,1-Settings!$B$12,0,Settings!$B$12,1))&lt;Settings!$B$12,NA(),STDEV(OFFSET(F972,1-Settings!$B$12,0,Settings!$B$12,1))*SQRT(Settings!$B$13)))</f>
        <v/>
      </c>
      <c r="J972" s="18">
        <f>IF(OR(NOT(ISNUMBER($A972)),ROW()-2&lt;Settings!$B$11),NA(),IF(COUNT(OFFSET(G972,1-Settings!$B$11,0,Settings!$B$11,1))&lt;Settings!$B$11,NA(),STDEV(OFFSET(G972,1-Settings!$B$11,0,Settings!$B$11,1))*SQRT(Settings!$B$13)))</f>
        <v/>
      </c>
      <c r="K972" s="18">
        <f>IF(OR(NOT(ISNUMBER($A972)),ROW()-2&lt;Settings!$B$12),NA(),IF(COUNT(OFFSET(G972,1-Settings!$B$12,0,Settings!$B$12,1))&lt;Settings!$B$12,NA(),STDEV(OFFSET(G972,1-Settings!$B$12,0,Settings!$B$12,1))*SQRT(Settings!$B$13)))</f>
        <v/>
      </c>
      <c r="L972" s="18">
        <f>IF(AND(ISNUMBER(D972),ISNUMBER(H972)),D972-H972,NA())</f>
        <v/>
      </c>
      <c r="M972" s="18">
        <f>IF(AND(ISNUMBER(E972),ISNUMBER(K972)),E972-K972,NA())</f>
        <v/>
      </c>
      <c r="N972" s="18">
        <f>IF(NOT(ISNUMBER($A972)),NA(),IF(COUNT(OFFSET(G972,1,0,Settings!$B$12,1))&lt;Settings!$B$12,NA(),STDEV(OFFSET(G972,1,0,Settings!$B$12,1))*SQRT(Settings!$B$13)))</f>
        <v/>
      </c>
      <c r="O972" s="18">
        <f>IF(AND(ISNUMBER(E972),ISNUMBER(N972)),E972-N972,NA())</f>
        <v/>
      </c>
      <c r="P972" s="17">
        <f>IF(NOT(ISNUMBER($A972)),NA(),IF(OR($A972&lt;MIN(KW_TP!$A$2:$A$2501),$A972&gt;MAX(KW_TP!$A$2:$A$2501)),NA(),INDEX(KW_TP!$C$2:$C$2501,MATCH($A972,KW_TP!$A$2:$A$2501,1))))</f>
        <v/>
      </c>
    </row>
    <row r="973">
      <c r="A973" s="15">
        <f>IF(ISNUMBER(BBG_Data!A973),BBG_Data!A973,"")</f>
        <v/>
      </c>
      <c r="B973" s="16">
        <f>IF(AND(ISNUMBER($A973),ISNUMBER(BBG_Data!B973)),BBG_Data!B973,NA())</f>
        <v/>
      </c>
      <c r="C973" s="16">
        <f>IF(AND(ISNUMBER($A973),ISNUMBER(BBG_Data!C973)),BBG_Data!C973,NA())</f>
        <v/>
      </c>
      <c r="D973" s="17">
        <f>IF(AND(ISNUMBER($A973),ISNUMBER(BBG_Data!D973)),BBG_Data!D973,NA())</f>
        <v/>
      </c>
      <c r="E973" s="17">
        <f>IF(AND(ISNUMBER($A973),ISNUMBER(BBG_Data!E973)),BBG_Data!E973,NA())</f>
        <v/>
      </c>
      <c r="F973" s="18">
        <f>IF(AND(ISNUMBER(B973),ISNUMBER(B972)),(B973-B972)*100,"")</f>
        <v/>
      </c>
      <c r="G973" s="18">
        <f>IF(AND(ISNUMBER(C973),ISNUMBER(C972)),(C973-C972)*100,"")</f>
        <v/>
      </c>
      <c r="H973" s="18">
        <f>IF(OR(NOT(ISNUMBER($A973)),ROW()-2&lt;Settings!$B$11),NA(),IF(COUNT(OFFSET(F973,1-Settings!$B$11,0,Settings!$B$11,1))&lt;Settings!$B$11,NA(),STDEV(OFFSET(F973,1-Settings!$B$11,0,Settings!$B$11,1))*SQRT(Settings!$B$13)))</f>
        <v/>
      </c>
      <c r="I973" s="18">
        <f>IF(OR(NOT(ISNUMBER($A973)),ROW()-2&lt;Settings!$B$12),NA(),IF(COUNT(OFFSET(F973,1-Settings!$B$12,0,Settings!$B$12,1))&lt;Settings!$B$12,NA(),STDEV(OFFSET(F973,1-Settings!$B$12,0,Settings!$B$12,1))*SQRT(Settings!$B$13)))</f>
        <v/>
      </c>
      <c r="J973" s="18">
        <f>IF(OR(NOT(ISNUMBER($A973)),ROW()-2&lt;Settings!$B$11),NA(),IF(COUNT(OFFSET(G973,1-Settings!$B$11,0,Settings!$B$11,1))&lt;Settings!$B$11,NA(),STDEV(OFFSET(G973,1-Settings!$B$11,0,Settings!$B$11,1))*SQRT(Settings!$B$13)))</f>
        <v/>
      </c>
      <c r="K973" s="18">
        <f>IF(OR(NOT(ISNUMBER($A973)),ROW()-2&lt;Settings!$B$12),NA(),IF(COUNT(OFFSET(G973,1-Settings!$B$12,0,Settings!$B$12,1))&lt;Settings!$B$12,NA(),STDEV(OFFSET(G973,1-Settings!$B$12,0,Settings!$B$12,1))*SQRT(Settings!$B$13)))</f>
        <v/>
      </c>
      <c r="L973" s="18">
        <f>IF(AND(ISNUMBER(D973),ISNUMBER(H973)),D973-H973,NA())</f>
        <v/>
      </c>
      <c r="M973" s="18">
        <f>IF(AND(ISNUMBER(E973),ISNUMBER(K973)),E973-K973,NA())</f>
        <v/>
      </c>
      <c r="N973" s="18">
        <f>IF(NOT(ISNUMBER($A973)),NA(),IF(COUNT(OFFSET(G973,1,0,Settings!$B$12,1))&lt;Settings!$B$12,NA(),STDEV(OFFSET(G973,1,0,Settings!$B$12,1))*SQRT(Settings!$B$13)))</f>
        <v/>
      </c>
      <c r="O973" s="18">
        <f>IF(AND(ISNUMBER(E973),ISNUMBER(N973)),E973-N973,NA())</f>
        <v/>
      </c>
      <c r="P973" s="17">
        <f>IF(NOT(ISNUMBER($A973)),NA(),IF(OR($A973&lt;MIN(KW_TP!$A$2:$A$2501),$A973&gt;MAX(KW_TP!$A$2:$A$2501)),NA(),INDEX(KW_TP!$C$2:$C$2501,MATCH($A973,KW_TP!$A$2:$A$2501,1))))</f>
        <v/>
      </c>
    </row>
    <row r="974">
      <c r="A974" s="15">
        <f>IF(ISNUMBER(BBG_Data!A974),BBG_Data!A974,"")</f>
        <v/>
      </c>
      <c r="B974" s="16">
        <f>IF(AND(ISNUMBER($A974),ISNUMBER(BBG_Data!B974)),BBG_Data!B974,NA())</f>
        <v/>
      </c>
      <c r="C974" s="16">
        <f>IF(AND(ISNUMBER($A974),ISNUMBER(BBG_Data!C974)),BBG_Data!C974,NA())</f>
        <v/>
      </c>
      <c r="D974" s="17">
        <f>IF(AND(ISNUMBER($A974),ISNUMBER(BBG_Data!D974)),BBG_Data!D974,NA())</f>
        <v/>
      </c>
      <c r="E974" s="17">
        <f>IF(AND(ISNUMBER($A974),ISNUMBER(BBG_Data!E974)),BBG_Data!E974,NA())</f>
        <v/>
      </c>
      <c r="F974" s="18">
        <f>IF(AND(ISNUMBER(B974),ISNUMBER(B973)),(B974-B973)*100,"")</f>
        <v/>
      </c>
      <c r="G974" s="18">
        <f>IF(AND(ISNUMBER(C974),ISNUMBER(C973)),(C974-C973)*100,"")</f>
        <v/>
      </c>
      <c r="H974" s="18">
        <f>IF(OR(NOT(ISNUMBER($A974)),ROW()-2&lt;Settings!$B$11),NA(),IF(COUNT(OFFSET(F974,1-Settings!$B$11,0,Settings!$B$11,1))&lt;Settings!$B$11,NA(),STDEV(OFFSET(F974,1-Settings!$B$11,0,Settings!$B$11,1))*SQRT(Settings!$B$13)))</f>
        <v/>
      </c>
      <c r="I974" s="18">
        <f>IF(OR(NOT(ISNUMBER($A974)),ROW()-2&lt;Settings!$B$12),NA(),IF(COUNT(OFFSET(F974,1-Settings!$B$12,0,Settings!$B$12,1))&lt;Settings!$B$12,NA(),STDEV(OFFSET(F974,1-Settings!$B$12,0,Settings!$B$12,1))*SQRT(Settings!$B$13)))</f>
        <v/>
      </c>
      <c r="J974" s="18">
        <f>IF(OR(NOT(ISNUMBER($A974)),ROW()-2&lt;Settings!$B$11),NA(),IF(COUNT(OFFSET(G974,1-Settings!$B$11,0,Settings!$B$11,1))&lt;Settings!$B$11,NA(),STDEV(OFFSET(G974,1-Settings!$B$11,0,Settings!$B$11,1))*SQRT(Settings!$B$13)))</f>
        <v/>
      </c>
      <c r="K974" s="18">
        <f>IF(OR(NOT(ISNUMBER($A974)),ROW()-2&lt;Settings!$B$12),NA(),IF(COUNT(OFFSET(G974,1-Settings!$B$12,0,Settings!$B$12,1))&lt;Settings!$B$12,NA(),STDEV(OFFSET(G974,1-Settings!$B$12,0,Settings!$B$12,1))*SQRT(Settings!$B$13)))</f>
        <v/>
      </c>
      <c r="L974" s="18">
        <f>IF(AND(ISNUMBER(D974),ISNUMBER(H974)),D974-H974,NA())</f>
        <v/>
      </c>
      <c r="M974" s="18">
        <f>IF(AND(ISNUMBER(E974),ISNUMBER(K974)),E974-K974,NA())</f>
        <v/>
      </c>
      <c r="N974" s="18">
        <f>IF(NOT(ISNUMBER($A974)),NA(),IF(COUNT(OFFSET(G974,1,0,Settings!$B$12,1))&lt;Settings!$B$12,NA(),STDEV(OFFSET(G974,1,0,Settings!$B$12,1))*SQRT(Settings!$B$13)))</f>
        <v/>
      </c>
      <c r="O974" s="18">
        <f>IF(AND(ISNUMBER(E974),ISNUMBER(N974)),E974-N974,NA())</f>
        <v/>
      </c>
      <c r="P974" s="17">
        <f>IF(NOT(ISNUMBER($A974)),NA(),IF(OR($A974&lt;MIN(KW_TP!$A$2:$A$2501),$A974&gt;MAX(KW_TP!$A$2:$A$2501)),NA(),INDEX(KW_TP!$C$2:$C$2501,MATCH($A974,KW_TP!$A$2:$A$2501,1))))</f>
        <v/>
      </c>
    </row>
    <row r="975">
      <c r="A975" s="15">
        <f>IF(ISNUMBER(BBG_Data!A975),BBG_Data!A975,"")</f>
        <v/>
      </c>
      <c r="B975" s="16">
        <f>IF(AND(ISNUMBER($A975),ISNUMBER(BBG_Data!B975)),BBG_Data!B975,NA())</f>
        <v/>
      </c>
      <c r="C975" s="16">
        <f>IF(AND(ISNUMBER($A975),ISNUMBER(BBG_Data!C975)),BBG_Data!C975,NA())</f>
        <v/>
      </c>
      <c r="D975" s="17">
        <f>IF(AND(ISNUMBER($A975),ISNUMBER(BBG_Data!D975)),BBG_Data!D975,NA())</f>
        <v/>
      </c>
      <c r="E975" s="17">
        <f>IF(AND(ISNUMBER($A975),ISNUMBER(BBG_Data!E975)),BBG_Data!E975,NA())</f>
        <v/>
      </c>
      <c r="F975" s="18">
        <f>IF(AND(ISNUMBER(B975),ISNUMBER(B974)),(B975-B974)*100,"")</f>
        <v/>
      </c>
      <c r="G975" s="18">
        <f>IF(AND(ISNUMBER(C975),ISNUMBER(C974)),(C975-C974)*100,"")</f>
        <v/>
      </c>
      <c r="H975" s="18">
        <f>IF(OR(NOT(ISNUMBER($A975)),ROW()-2&lt;Settings!$B$11),NA(),IF(COUNT(OFFSET(F975,1-Settings!$B$11,0,Settings!$B$11,1))&lt;Settings!$B$11,NA(),STDEV(OFFSET(F975,1-Settings!$B$11,0,Settings!$B$11,1))*SQRT(Settings!$B$13)))</f>
        <v/>
      </c>
      <c r="I975" s="18">
        <f>IF(OR(NOT(ISNUMBER($A975)),ROW()-2&lt;Settings!$B$12),NA(),IF(COUNT(OFFSET(F975,1-Settings!$B$12,0,Settings!$B$12,1))&lt;Settings!$B$12,NA(),STDEV(OFFSET(F975,1-Settings!$B$12,0,Settings!$B$12,1))*SQRT(Settings!$B$13)))</f>
        <v/>
      </c>
      <c r="J975" s="18">
        <f>IF(OR(NOT(ISNUMBER($A975)),ROW()-2&lt;Settings!$B$11),NA(),IF(COUNT(OFFSET(G975,1-Settings!$B$11,0,Settings!$B$11,1))&lt;Settings!$B$11,NA(),STDEV(OFFSET(G975,1-Settings!$B$11,0,Settings!$B$11,1))*SQRT(Settings!$B$13)))</f>
        <v/>
      </c>
      <c r="K975" s="18">
        <f>IF(OR(NOT(ISNUMBER($A975)),ROW()-2&lt;Settings!$B$12),NA(),IF(COUNT(OFFSET(G975,1-Settings!$B$12,0,Settings!$B$12,1))&lt;Settings!$B$12,NA(),STDEV(OFFSET(G975,1-Settings!$B$12,0,Settings!$B$12,1))*SQRT(Settings!$B$13)))</f>
        <v/>
      </c>
      <c r="L975" s="18">
        <f>IF(AND(ISNUMBER(D975),ISNUMBER(H975)),D975-H975,NA())</f>
        <v/>
      </c>
      <c r="M975" s="18">
        <f>IF(AND(ISNUMBER(E975),ISNUMBER(K975)),E975-K975,NA())</f>
        <v/>
      </c>
      <c r="N975" s="18">
        <f>IF(NOT(ISNUMBER($A975)),NA(),IF(COUNT(OFFSET(G975,1,0,Settings!$B$12,1))&lt;Settings!$B$12,NA(),STDEV(OFFSET(G975,1,0,Settings!$B$12,1))*SQRT(Settings!$B$13)))</f>
        <v/>
      </c>
      <c r="O975" s="18">
        <f>IF(AND(ISNUMBER(E975),ISNUMBER(N975)),E975-N975,NA())</f>
        <v/>
      </c>
      <c r="P975" s="17">
        <f>IF(NOT(ISNUMBER($A975)),NA(),IF(OR($A975&lt;MIN(KW_TP!$A$2:$A$2501),$A975&gt;MAX(KW_TP!$A$2:$A$2501)),NA(),INDEX(KW_TP!$C$2:$C$2501,MATCH($A975,KW_TP!$A$2:$A$2501,1))))</f>
        <v/>
      </c>
    </row>
    <row r="976">
      <c r="A976" s="15">
        <f>IF(ISNUMBER(BBG_Data!A976),BBG_Data!A976,"")</f>
        <v/>
      </c>
      <c r="B976" s="16">
        <f>IF(AND(ISNUMBER($A976),ISNUMBER(BBG_Data!B976)),BBG_Data!B976,NA())</f>
        <v/>
      </c>
      <c r="C976" s="16">
        <f>IF(AND(ISNUMBER($A976),ISNUMBER(BBG_Data!C976)),BBG_Data!C976,NA())</f>
        <v/>
      </c>
      <c r="D976" s="17">
        <f>IF(AND(ISNUMBER($A976),ISNUMBER(BBG_Data!D976)),BBG_Data!D976,NA())</f>
        <v/>
      </c>
      <c r="E976" s="17">
        <f>IF(AND(ISNUMBER($A976),ISNUMBER(BBG_Data!E976)),BBG_Data!E976,NA())</f>
        <v/>
      </c>
      <c r="F976" s="18">
        <f>IF(AND(ISNUMBER(B976),ISNUMBER(B975)),(B976-B975)*100,"")</f>
        <v/>
      </c>
      <c r="G976" s="18">
        <f>IF(AND(ISNUMBER(C976),ISNUMBER(C975)),(C976-C975)*100,"")</f>
        <v/>
      </c>
      <c r="H976" s="18">
        <f>IF(OR(NOT(ISNUMBER($A976)),ROW()-2&lt;Settings!$B$11),NA(),IF(COUNT(OFFSET(F976,1-Settings!$B$11,0,Settings!$B$11,1))&lt;Settings!$B$11,NA(),STDEV(OFFSET(F976,1-Settings!$B$11,0,Settings!$B$11,1))*SQRT(Settings!$B$13)))</f>
        <v/>
      </c>
      <c r="I976" s="18">
        <f>IF(OR(NOT(ISNUMBER($A976)),ROW()-2&lt;Settings!$B$12),NA(),IF(COUNT(OFFSET(F976,1-Settings!$B$12,0,Settings!$B$12,1))&lt;Settings!$B$12,NA(),STDEV(OFFSET(F976,1-Settings!$B$12,0,Settings!$B$12,1))*SQRT(Settings!$B$13)))</f>
        <v/>
      </c>
      <c r="J976" s="18">
        <f>IF(OR(NOT(ISNUMBER($A976)),ROW()-2&lt;Settings!$B$11),NA(),IF(COUNT(OFFSET(G976,1-Settings!$B$11,0,Settings!$B$11,1))&lt;Settings!$B$11,NA(),STDEV(OFFSET(G976,1-Settings!$B$11,0,Settings!$B$11,1))*SQRT(Settings!$B$13)))</f>
        <v/>
      </c>
      <c r="K976" s="18">
        <f>IF(OR(NOT(ISNUMBER($A976)),ROW()-2&lt;Settings!$B$12),NA(),IF(COUNT(OFFSET(G976,1-Settings!$B$12,0,Settings!$B$12,1))&lt;Settings!$B$12,NA(),STDEV(OFFSET(G976,1-Settings!$B$12,0,Settings!$B$12,1))*SQRT(Settings!$B$13)))</f>
        <v/>
      </c>
      <c r="L976" s="18">
        <f>IF(AND(ISNUMBER(D976),ISNUMBER(H976)),D976-H976,NA())</f>
        <v/>
      </c>
      <c r="M976" s="18">
        <f>IF(AND(ISNUMBER(E976),ISNUMBER(K976)),E976-K976,NA())</f>
        <v/>
      </c>
      <c r="N976" s="18">
        <f>IF(NOT(ISNUMBER($A976)),NA(),IF(COUNT(OFFSET(G976,1,0,Settings!$B$12,1))&lt;Settings!$B$12,NA(),STDEV(OFFSET(G976,1,0,Settings!$B$12,1))*SQRT(Settings!$B$13)))</f>
        <v/>
      </c>
      <c r="O976" s="18">
        <f>IF(AND(ISNUMBER(E976),ISNUMBER(N976)),E976-N976,NA())</f>
        <v/>
      </c>
      <c r="P976" s="17">
        <f>IF(NOT(ISNUMBER($A976)),NA(),IF(OR($A976&lt;MIN(KW_TP!$A$2:$A$2501),$A976&gt;MAX(KW_TP!$A$2:$A$2501)),NA(),INDEX(KW_TP!$C$2:$C$2501,MATCH($A976,KW_TP!$A$2:$A$2501,1))))</f>
        <v/>
      </c>
    </row>
    <row r="977">
      <c r="A977" s="15">
        <f>IF(ISNUMBER(BBG_Data!A977),BBG_Data!A977,"")</f>
        <v/>
      </c>
      <c r="B977" s="16">
        <f>IF(AND(ISNUMBER($A977),ISNUMBER(BBG_Data!B977)),BBG_Data!B977,NA())</f>
        <v/>
      </c>
      <c r="C977" s="16">
        <f>IF(AND(ISNUMBER($A977),ISNUMBER(BBG_Data!C977)),BBG_Data!C977,NA())</f>
        <v/>
      </c>
      <c r="D977" s="17">
        <f>IF(AND(ISNUMBER($A977),ISNUMBER(BBG_Data!D977)),BBG_Data!D977,NA())</f>
        <v/>
      </c>
      <c r="E977" s="17">
        <f>IF(AND(ISNUMBER($A977),ISNUMBER(BBG_Data!E977)),BBG_Data!E977,NA())</f>
        <v/>
      </c>
      <c r="F977" s="18">
        <f>IF(AND(ISNUMBER(B977),ISNUMBER(B976)),(B977-B976)*100,"")</f>
        <v/>
      </c>
      <c r="G977" s="18">
        <f>IF(AND(ISNUMBER(C977),ISNUMBER(C976)),(C977-C976)*100,"")</f>
        <v/>
      </c>
      <c r="H977" s="18">
        <f>IF(OR(NOT(ISNUMBER($A977)),ROW()-2&lt;Settings!$B$11),NA(),IF(COUNT(OFFSET(F977,1-Settings!$B$11,0,Settings!$B$11,1))&lt;Settings!$B$11,NA(),STDEV(OFFSET(F977,1-Settings!$B$11,0,Settings!$B$11,1))*SQRT(Settings!$B$13)))</f>
        <v/>
      </c>
      <c r="I977" s="18">
        <f>IF(OR(NOT(ISNUMBER($A977)),ROW()-2&lt;Settings!$B$12),NA(),IF(COUNT(OFFSET(F977,1-Settings!$B$12,0,Settings!$B$12,1))&lt;Settings!$B$12,NA(),STDEV(OFFSET(F977,1-Settings!$B$12,0,Settings!$B$12,1))*SQRT(Settings!$B$13)))</f>
        <v/>
      </c>
      <c r="J977" s="18">
        <f>IF(OR(NOT(ISNUMBER($A977)),ROW()-2&lt;Settings!$B$11),NA(),IF(COUNT(OFFSET(G977,1-Settings!$B$11,0,Settings!$B$11,1))&lt;Settings!$B$11,NA(),STDEV(OFFSET(G977,1-Settings!$B$11,0,Settings!$B$11,1))*SQRT(Settings!$B$13)))</f>
        <v/>
      </c>
      <c r="K977" s="18">
        <f>IF(OR(NOT(ISNUMBER($A977)),ROW()-2&lt;Settings!$B$12),NA(),IF(COUNT(OFFSET(G977,1-Settings!$B$12,0,Settings!$B$12,1))&lt;Settings!$B$12,NA(),STDEV(OFFSET(G977,1-Settings!$B$12,0,Settings!$B$12,1))*SQRT(Settings!$B$13)))</f>
        <v/>
      </c>
      <c r="L977" s="18">
        <f>IF(AND(ISNUMBER(D977),ISNUMBER(H977)),D977-H977,NA())</f>
        <v/>
      </c>
      <c r="M977" s="18">
        <f>IF(AND(ISNUMBER(E977),ISNUMBER(K977)),E977-K977,NA())</f>
        <v/>
      </c>
      <c r="N977" s="18">
        <f>IF(NOT(ISNUMBER($A977)),NA(),IF(COUNT(OFFSET(G977,1,0,Settings!$B$12,1))&lt;Settings!$B$12,NA(),STDEV(OFFSET(G977,1,0,Settings!$B$12,1))*SQRT(Settings!$B$13)))</f>
        <v/>
      </c>
      <c r="O977" s="18">
        <f>IF(AND(ISNUMBER(E977),ISNUMBER(N977)),E977-N977,NA())</f>
        <v/>
      </c>
      <c r="P977" s="17">
        <f>IF(NOT(ISNUMBER($A977)),NA(),IF(OR($A977&lt;MIN(KW_TP!$A$2:$A$2501),$A977&gt;MAX(KW_TP!$A$2:$A$2501)),NA(),INDEX(KW_TP!$C$2:$C$2501,MATCH($A977,KW_TP!$A$2:$A$2501,1))))</f>
        <v/>
      </c>
    </row>
    <row r="978">
      <c r="A978" s="15">
        <f>IF(ISNUMBER(BBG_Data!A978),BBG_Data!A978,"")</f>
        <v/>
      </c>
      <c r="B978" s="16">
        <f>IF(AND(ISNUMBER($A978),ISNUMBER(BBG_Data!B978)),BBG_Data!B978,NA())</f>
        <v/>
      </c>
      <c r="C978" s="16">
        <f>IF(AND(ISNUMBER($A978),ISNUMBER(BBG_Data!C978)),BBG_Data!C978,NA())</f>
        <v/>
      </c>
      <c r="D978" s="17">
        <f>IF(AND(ISNUMBER($A978),ISNUMBER(BBG_Data!D978)),BBG_Data!D978,NA())</f>
        <v/>
      </c>
      <c r="E978" s="17">
        <f>IF(AND(ISNUMBER($A978),ISNUMBER(BBG_Data!E978)),BBG_Data!E978,NA())</f>
        <v/>
      </c>
      <c r="F978" s="18">
        <f>IF(AND(ISNUMBER(B978),ISNUMBER(B977)),(B978-B977)*100,"")</f>
        <v/>
      </c>
      <c r="G978" s="18">
        <f>IF(AND(ISNUMBER(C978),ISNUMBER(C977)),(C978-C977)*100,"")</f>
        <v/>
      </c>
      <c r="H978" s="18">
        <f>IF(OR(NOT(ISNUMBER($A978)),ROW()-2&lt;Settings!$B$11),NA(),IF(COUNT(OFFSET(F978,1-Settings!$B$11,0,Settings!$B$11,1))&lt;Settings!$B$11,NA(),STDEV(OFFSET(F978,1-Settings!$B$11,0,Settings!$B$11,1))*SQRT(Settings!$B$13)))</f>
        <v/>
      </c>
      <c r="I978" s="18">
        <f>IF(OR(NOT(ISNUMBER($A978)),ROW()-2&lt;Settings!$B$12),NA(),IF(COUNT(OFFSET(F978,1-Settings!$B$12,0,Settings!$B$12,1))&lt;Settings!$B$12,NA(),STDEV(OFFSET(F978,1-Settings!$B$12,0,Settings!$B$12,1))*SQRT(Settings!$B$13)))</f>
        <v/>
      </c>
      <c r="J978" s="18">
        <f>IF(OR(NOT(ISNUMBER($A978)),ROW()-2&lt;Settings!$B$11),NA(),IF(COUNT(OFFSET(G978,1-Settings!$B$11,0,Settings!$B$11,1))&lt;Settings!$B$11,NA(),STDEV(OFFSET(G978,1-Settings!$B$11,0,Settings!$B$11,1))*SQRT(Settings!$B$13)))</f>
        <v/>
      </c>
      <c r="K978" s="18">
        <f>IF(OR(NOT(ISNUMBER($A978)),ROW()-2&lt;Settings!$B$12),NA(),IF(COUNT(OFFSET(G978,1-Settings!$B$12,0,Settings!$B$12,1))&lt;Settings!$B$12,NA(),STDEV(OFFSET(G978,1-Settings!$B$12,0,Settings!$B$12,1))*SQRT(Settings!$B$13)))</f>
        <v/>
      </c>
      <c r="L978" s="18">
        <f>IF(AND(ISNUMBER(D978),ISNUMBER(H978)),D978-H978,NA())</f>
        <v/>
      </c>
      <c r="M978" s="18">
        <f>IF(AND(ISNUMBER(E978),ISNUMBER(K978)),E978-K978,NA())</f>
        <v/>
      </c>
      <c r="N978" s="18">
        <f>IF(NOT(ISNUMBER($A978)),NA(),IF(COUNT(OFFSET(G978,1,0,Settings!$B$12,1))&lt;Settings!$B$12,NA(),STDEV(OFFSET(G978,1,0,Settings!$B$12,1))*SQRT(Settings!$B$13)))</f>
        <v/>
      </c>
      <c r="O978" s="18">
        <f>IF(AND(ISNUMBER(E978),ISNUMBER(N978)),E978-N978,NA())</f>
        <v/>
      </c>
      <c r="P978" s="17">
        <f>IF(NOT(ISNUMBER($A978)),NA(),IF(OR($A978&lt;MIN(KW_TP!$A$2:$A$2501),$A978&gt;MAX(KW_TP!$A$2:$A$2501)),NA(),INDEX(KW_TP!$C$2:$C$2501,MATCH($A978,KW_TP!$A$2:$A$2501,1))))</f>
        <v/>
      </c>
    </row>
    <row r="979">
      <c r="A979" s="15">
        <f>IF(ISNUMBER(BBG_Data!A979),BBG_Data!A979,"")</f>
        <v/>
      </c>
      <c r="B979" s="16">
        <f>IF(AND(ISNUMBER($A979),ISNUMBER(BBG_Data!B979)),BBG_Data!B979,NA())</f>
        <v/>
      </c>
      <c r="C979" s="16">
        <f>IF(AND(ISNUMBER($A979),ISNUMBER(BBG_Data!C979)),BBG_Data!C979,NA())</f>
        <v/>
      </c>
      <c r="D979" s="17">
        <f>IF(AND(ISNUMBER($A979),ISNUMBER(BBG_Data!D979)),BBG_Data!D979,NA())</f>
        <v/>
      </c>
      <c r="E979" s="17">
        <f>IF(AND(ISNUMBER($A979),ISNUMBER(BBG_Data!E979)),BBG_Data!E979,NA())</f>
        <v/>
      </c>
      <c r="F979" s="18">
        <f>IF(AND(ISNUMBER(B979),ISNUMBER(B978)),(B979-B978)*100,"")</f>
        <v/>
      </c>
      <c r="G979" s="18">
        <f>IF(AND(ISNUMBER(C979),ISNUMBER(C978)),(C979-C978)*100,"")</f>
        <v/>
      </c>
      <c r="H979" s="18">
        <f>IF(OR(NOT(ISNUMBER($A979)),ROW()-2&lt;Settings!$B$11),NA(),IF(COUNT(OFFSET(F979,1-Settings!$B$11,0,Settings!$B$11,1))&lt;Settings!$B$11,NA(),STDEV(OFFSET(F979,1-Settings!$B$11,0,Settings!$B$11,1))*SQRT(Settings!$B$13)))</f>
        <v/>
      </c>
      <c r="I979" s="18">
        <f>IF(OR(NOT(ISNUMBER($A979)),ROW()-2&lt;Settings!$B$12),NA(),IF(COUNT(OFFSET(F979,1-Settings!$B$12,0,Settings!$B$12,1))&lt;Settings!$B$12,NA(),STDEV(OFFSET(F979,1-Settings!$B$12,0,Settings!$B$12,1))*SQRT(Settings!$B$13)))</f>
        <v/>
      </c>
      <c r="J979" s="18">
        <f>IF(OR(NOT(ISNUMBER($A979)),ROW()-2&lt;Settings!$B$11),NA(),IF(COUNT(OFFSET(G979,1-Settings!$B$11,0,Settings!$B$11,1))&lt;Settings!$B$11,NA(),STDEV(OFFSET(G979,1-Settings!$B$11,0,Settings!$B$11,1))*SQRT(Settings!$B$13)))</f>
        <v/>
      </c>
      <c r="K979" s="18">
        <f>IF(OR(NOT(ISNUMBER($A979)),ROW()-2&lt;Settings!$B$12),NA(),IF(COUNT(OFFSET(G979,1-Settings!$B$12,0,Settings!$B$12,1))&lt;Settings!$B$12,NA(),STDEV(OFFSET(G979,1-Settings!$B$12,0,Settings!$B$12,1))*SQRT(Settings!$B$13)))</f>
        <v/>
      </c>
      <c r="L979" s="18">
        <f>IF(AND(ISNUMBER(D979),ISNUMBER(H979)),D979-H979,NA())</f>
        <v/>
      </c>
      <c r="M979" s="18">
        <f>IF(AND(ISNUMBER(E979),ISNUMBER(K979)),E979-K979,NA())</f>
        <v/>
      </c>
      <c r="N979" s="18">
        <f>IF(NOT(ISNUMBER($A979)),NA(),IF(COUNT(OFFSET(G979,1,0,Settings!$B$12,1))&lt;Settings!$B$12,NA(),STDEV(OFFSET(G979,1,0,Settings!$B$12,1))*SQRT(Settings!$B$13)))</f>
        <v/>
      </c>
      <c r="O979" s="18">
        <f>IF(AND(ISNUMBER(E979),ISNUMBER(N979)),E979-N979,NA())</f>
        <v/>
      </c>
      <c r="P979" s="17">
        <f>IF(NOT(ISNUMBER($A979)),NA(),IF(OR($A979&lt;MIN(KW_TP!$A$2:$A$2501),$A979&gt;MAX(KW_TP!$A$2:$A$2501)),NA(),INDEX(KW_TP!$C$2:$C$2501,MATCH($A979,KW_TP!$A$2:$A$2501,1))))</f>
        <v/>
      </c>
    </row>
    <row r="980">
      <c r="A980" s="15">
        <f>IF(ISNUMBER(BBG_Data!A980),BBG_Data!A980,"")</f>
        <v/>
      </c>
      <c r="B980" s="16">
        <f>IF(AND(ISNUMBER($A980),ISNUMBER(BBG_Data!B980)),BBG_Data!B980,NA())</f>
        <v/>
      </c>
      <c r="C980" s="16">
        <f>IF(AND(ISNUMBER($A980),ISNUMBER(BBG_Data!C980)),BBG_Data!C980,NA())</f>
        <v/>
      </c>
      <c r="D980" s="17">
        <f>IF(AND(ISNUMBER($A980),ISNUMBER(BBG_Data!D980)),BBG_Data!D980,NA())</f>
        <v/>
      </c>
      <c r="E980" s="17">
        <f>IF(AND(ISNUMBER($A980),ISNUMBER(BBG_Data!E980)),BBG_Data!E980,NA())</f>
        <v/>
      </c>
      <c r="F980" s="18">
        <f>IF(AND(ISNUMBER(B980),ISNUMBER(B979)),(B980-B979)*100,"")</f>
        <v/>
      </c>
      <c r="G980" s="18">
        <f>IF(AND(ISNUMBER(C980),ISNUMBER(C979)),(C980-C979)*100,"")</f>
        <v/>
      </c>
      <c r="H980" s="18">
        <f>IF(OR(NOT(ISNUMBER($A980)),ROW()-2&lt;Settings!$B$11),NA(),IF(COUNT(OFFSET(F980,1-Settings!$B$11,0,Settings!$B$11,1))&lt;Settings!$B$11,NA(),STDEV(OFFSET(F980,1-Settings!$B$11,0,Settings!$B$11,1))*SQRT(Settings!$B$13)))</f>
        <v/>
      </c>
      <c r="I980" s="18">
        <f>IF(OR(NOT(ISNUMBER($A980)),ROW()-2&lt;Settings!$B$12),NA(),IF(COUNT(OFFSET(F980,1-Settings!$B$12,0,Settings!$B$12,1))&lt;Settings!$B$12,NA(),STDEV(OFFSET(F980,1-Settings!$B$12,0,Settings!$B$12,1))*SQRT(Settings!$B$13)))</f>
        <v/>
      </c>
      <c r="J980" s="18">
        <f>IF(OR(NOT(ISNUMBER($A980)),ROW()-2&lt;Settings!$B$11),NA(),IF(COUNT(OFFSET(G980,1-Settings!$B$11,0,Settings!$B$11,1))&lt;Settings!$B$11,NA(),STDEV(OFFSET(G980,1-Settings!$B$11,0,Settings!$B$11,1))*SQRT(Settings!$B$13)))</f>
        <v/>
      </c>
      <c r="K980" s="18">
        <f>IF(OR(NOT(ISNUMBER($A980)),ROW()-2&lt;Settings!$B$12),NA(),IF(COUNT(OFFSET(G980,1-Settings!$B$12,0,Settings!$B$12,1))&lt;Settings!$B$12,NA(),STDEV(OFFSET(G980,1-Settings!$B$12,0,Settings!$B$12,1))*SQRT(Settings!$B$13)))</f>
        <v/>
      </c>
      <c r="L980" s="18">
        <f>IF(AND(ISNUMBER(D980),ISNUMBER(H980)),D980-H980,NA())</f>
        <v/>
      </c>
      <c r="M980" s="18">
        <f>IF(AND(ISNUMBER(E980),ISNUMBER(K980)),E980-K980,NA())</f>
        <v/>
      </c>
      <c r="N980" s="18">
        <f>IF(NOT(ISNUMBER($A980)),NA(),IF(COUNT(OFFSET(G980,1,0,Settings!$B$12,1))&lt;Settings!$B$12,NA(),STDEV(OFFSET(G980,1,0,Settings!$B$12,1))*SQRT(Settings!$B$13)))</f>
        <v/>
      </c>
      <c r="O980" s="18">
        <f>IF(AND(ISNUMBER(E980),ISNUMBER(N980)),E980-N980,NA())</f>
        <v/>
      </c>
      <c r="P980" s="17">
        <f>IF(NOT(ISNUMBER($A980)),NA(),IF(OR($A980&lt;MIN(KW_TP!$A$2:$A$2501),$A980&gt;MAX(KW_TP!$A$2:$A$2501)),NA(),INDEX(KW_TP!$C$2:$C$2501,MATCH($A980,KW_TP!$A$2:$A$2501,1))))</f>
        <v/>
      </c>
    </row>
    <row r="981">
      <c r="A981" s="15">
        <f>IF(ISNUMBER(BBG_Data!A981),BBG_Data!A981,"")</f>
        <v/>
      </c>
      <c r="B981" s="16">
        <f>IF(AND(ISNUMBER($A981),ISNUMBER(BBG_Data!B981)),BBG_Data!B981,NA())</f>
        <v/>
      </c>
      <c r="C981" s="16">
        <f>IF(AND(ISNUMBER($A981),ISNUMBER(BBG_Data!C981)),BBG_Data!C981,NA())</f>
        <v/>
      </c>
      <c r="D981" s="17">
        <f>IF(AND(ISNUMBER($A981),ISNUMBER(BBG_Data!D981)),BBG_Data!D981,NA())</f>
        <v/>
      </c>
      <c r="E981" s="17">
        <f>IF(AND(ISNUMBER($A981),ISNUMBER(BBG_Data!E981)),BBG_Data!E981,NA())</f>
        <v/>
      </c>
      <c r="F981" s="18">
        <f>IF(AND(ISNUMBER(B981),ISNUMBER(B980)),(B981-B980)*100,"")</f>
        <v/>
      </c>
      <c r="G981" s="18">
        <f>IF(AND(ISNUMBER(C981),ISNUMBER(C980)),(C981-C980)*100,"")</f>
        <v/>
      </c>
      <c r="H981" s="18">
        <f>IF(OR(NOT(ISNUMBER($A981)),ROW()-2&lt;Settings!$B$11),NA(),IF(COUNT(OFFSET(F981,1-Settings!$B$11,0,Settings!$B$11,1))&lt;Settings!$B$11,NA(),STDEV(OFFSET(F981,1-Settings!$B$11,0,Settings!$B$11,1))*SQRT(Settings!$B$13)))</f>
        <v/>
      </c>
      <c r="I981" s="18">
        <f>IF(OR(NOT(ISNUMBER($A981)),ROW()-2&lt;Settings!$B$12),NA(),IF(COUNT(OFFSET(F981,1-Settings!$B$12,0,Settings!$B$12,1))&lt;Settings!$B$12,NA(),STDEV(OFFSET(F981,1-Settings!$B$12,0,Settings!$B$12,1))*SQRT(Settings!$B$13)))</f>
        <v/>
      </c>
      <c r="J981" s="18">
        <f>IF(OR(NOT(ISNUMBER($A981)),ROW()-2&lt;Settings!$B$11),NA(),IF(COUNT(OFFSET(G981,1-Settings!$B$11,0,Settings!$B$11,1))&lt;Settings!$B$11,NA(),STDEV(OFFSET(G981,1-Settings!$B$11,0,Settings!$B$11,1))*SQRT(Settings!$B$13)))</f>
        <v/>
      </c>
      <c r="K981" s="18">
        <f>IF(OR(NOT(ISNUMBER($A981)),ROW()-2&lt;Settings!$B$12),NA(),IF(COUNT(OFFSET(G981,1-Settings!$B$12,0,Settings!$B$12,1))&lt;Settings!$B$12,NA(),STDEV(OFFSET(G981,1-Settings!$B$12,0,Settings!$B$12,1))*SQRT(Settings!$B$13)))</f>
        <v/>
      </c>
      <c r="L981" s="18">
        <f>IF(AND(ISNUMBER(D981),ISNUMBER(H981)),D981-H981,NA())</f>
        <v/>
      </c>
      <c r="M981" s="18">
        <f>IF(AND(ISNUMBER(E981),ISNUMBER(K981)),E981-K981,NA())</f>
        <v/>
      </c>
      <c r="N981" s="18">
        <f>IF(NOT(ISNUMBER($A981)),NA(),IF(COUNT(OFFSET(G981,1,0,Settings!$B$12,1))&lt;Settings!$B$12,NA(),STDEV(OFFSET(G981,1,0,Settings!$B$12,1))*SQRT(Settings!$B$13)))</f>
        <v/>
      </c>
      <c r="O981" s="18">
        <f>IF(AND(ISNUMBER(E981),ISNUMBER(N981)),E981-N981,NA())</f>
        <v/>
      </c>
      <c r="P981" s="17">
        <f>IF(NOT(ISNUMBER($A981)),NA(),IF(OR($A981&lt;MIN(KW_TP!$A$2:$A$2501),$A981&gt;MAX(KW_TP!$A$2:$A$2501)),NA(),INDEX(KW_TP!$C$2:$C$2501,MATCH($A981,KW_TP!$A$2:$A$2501,1))))</f>
        <v/>
      </c>
    </row>
    <row r="982">
      <c r="A982" s="15">
        <f>IF(ISNUMBER(BBG_Data!A982),BBG_Data!A982,"")</f>
        <v/>
      </c>
      <c r="B982" s="16">
        <f>IF(AND(ISNUMBER($A982),ISNUMBER(BBG_Data!B982)),BBG_Data!B982,NA())</f>
        <v/>
      </c>
      <c r="C982" s="16">
        <f>IF(AND(ISNUMBER($A982),ISNUMBER(BBG_Data!C982)),BBG_Data!C982,NA())</f>
        <v/>
      </c>
      <c r="D982" s="17">
        <f>IF(AND(ISNUMBER($A982),ISNUMBER(BBG_Data!D982)),BBG_Data!D982,NA())</f>
        <v/>
      </c>
      <c r="E982" s="17">
        <f>IF(AND(ISNUMBER($A982),ISNUMBER(BBG_Data!E982)),BBG_Data!E982,NA())</f>
        <v/>
      </c>
      <c r="F982" s="18">
        <f>IF(AND(ISNUMBER(B982),ISNUMBER(B981)),(B982-B981)*100,"")</f>
        <v/>
      </c>
      <c r="G982" s="18">
        <f>IF(AND(ISNUMBER(C982),ISNUMBER(C981)),(C982-C981)*100,"")</f>
        <v/>
      </c>
      <c r="H982" s="18">
        <f>IF(OR(NOT(ISNUMBER($A982)),ROW()-2&lt;Settings!$B$11),NA(),IF(COUNT(OFFSET(F982,1-Settings!$B$11,0,Settings!$B$11,1))&lt;Settings!$B$11,NA(),STDEV(OFFSET(F982,1-Settings!$B$11,0,Settings!$B$11,1))*SQRT(Settings!$B$13)))</f>
        <v/>
      </c>
      <c r="I982" s="18">
        <f>IF(OR(NOT(ISNUMBER($A982)),ROW()-2&lt;Settings!$B$12),NA(),IF(COUNT(OFFSET(F982,1-Settings!$B$12,0,Settings!$B$12,1))&lt;Settings!$B$12,NA(),STDEV(OFFSET(F982,1-Settings!$B$12,0,Settings!$B$12,1))*SQRT(Settings!$B$13)))</f>
        <v/>
      </c>
      <c r="J982" s="18">
        <f>IF(OR(NOT(ISNUMBER($A982)),ROW()-2&lt;Settings!$B$11),NA(),IF(COUNT(OFFSET(G982,1-Settings!$B$11,0,Settings!$B$11,1))&lt;Settings!$B$11,NA(),STDEV(OFFSET(G982,1-Settings!$B$11,0,Settings!$B$11,1))*SQRT(Settings!$B$13)))</f>
        <v/>
      </c>
      <c r="K982" s="18">
        <f>IF(OR(NOT(ISNUMBER($A982)),ROW()-2&lt;Settings!$B$12),NA(),IF(COUNT(OFFSET(G982,1-Settings!$B$12,0,Settings!$B$12,1))&lt;Settings!$B$12,NA(),STDEV(OFFSET(G982,1-Settings!$B$12,0,Settings!$B$12,1))*SQRT(Settings!$B$13)))</f>
        <v/>
      </c>
      <c r="L982" s="18">
        <f>IF(AND(ISNUMBER(D982),ISNUMBER(H982)),D982-H982,NA())</f>
        <v/>
      </c>
      <c r="M982" s="18">
        <f>IF(AND(ISNUMBER(E982),ISNUMBER(K982)),E982-K982,NA())</f>
        <v/>
      </c>
      <c r="N982" s="18">
        <f>IF(NOT(ISNUMBER($A982)),NA(),IF(COUNT(OFFSET(G982,1,0,Settings!$B$12,1))&lt;Settings!$B$12,NA(),STDEV(OFFSET(G982,1,0,Settings!$B$12,1))*SQRT(Settings!$B$13)))</f>
        <v/>
      </c>
      <c r="O982" s="18">
        <f>IF(AND(ISNUMBER(E982),ISNUMBER(N982)),E982-N982,NA())</f>
        <v/>
      </c>
      <c r="P982" s="17">
        <f>IF(NOT(ISNUMBER($A982)),NA(),IF(OR($A982&lt;MIN(KW_TP!$A$2:$A$2501),$A982&gt;MAX(KW_TP!$A$2:$A$2501)),NA(),INDEX(KW_TP!$C$2:$C$2501,MATCH($A982,KW_TP!$A$2:$A$2501,1))))</f>
        <v/>
      </c>
    </row>
    <row r="983">
      <c r="A983" s="15">
        <f>IF(ISNUMBER(BBG_Data!A983),BBG_Data!A983,"")</f>
        <v/>
      </c>
      <c r="B983" s="16">
        <f>IF(AND(ISNUMBER($A983),ISNUMBER(BBG_Data!B983)),BBG_Data!B983,NA())</f>
        <v/>
      </c>
      <c r="C983" s="16">
        <f>IF(AND(ISNUMBER($A983),ISNUMBER(BBG_Data!C983)),BBG_Data!C983,NA())</f>
        <v/>
      </c>
      <c r="D983" s="17">
        <f>IF(AND(ISNUMBER($A983),ISNUMBER(BBG_Data!D983)),BBG_Data!D983,NA())</f>
        <v/>
      </c>
      <c r="E983" s="17">
        <f>IF(AND(ISNUMBER($A983),ISNUMBER(BBG_Data!E983)),BBG_Data!E983,NA())</f>
        <v/>
      </c>
      <c r="F983" s="18">
        <f>IF(AND(ISNUMBER(B983),ISNUMBER(B982)),(B983-B982)*100,"")</f>
        <v/>
      </c>
      <c r="G983" s="18">
        <f>IF(AND(ISNUMBER(C983),ISNUMBER(C982)),(C983-C982)*100,"")</f>
        <v/>
      </c>
      <c r="H983" s="18">
        <f>IF(OR(NOT(ISNUMBER($A983)),ROW()-2&lt;Settings!$B$11),NA(),IF(COUNT(OFFSET(F983,1-Settings!$B$11,0,Settings!$B$11,1))&lt;Settings!$B$11,NA(),STDEV(OFFSET(F983,1-Settings!$B$11,0,Settings!$B$11,1))*SQRT(Settings!$B$13)))</f>
        <v/>
      </c>
      <c r="I983" s="18">
        <f>IF(OR(NOT(ISNUMBER($A983)),ROW()-2&lt;Settings!$B$12),NA(),IF(COUNT(OFFSET(F983,1-Settings!$B$12,0,Settings!$B$12,1))&lt;Settings!$B$12,NA(),STDEV(OFFSET(F983,1-Settings!$B$12,0,Settings!$B$12,1))*SQRT(Settings!$B$13)))</f>
        <v/>
      </c>
      <c r="J983" s="18">
        <f>IF(OR(NOT(ISNUMBER($A983)),ROW()-2&lt;Settings!$B$11),NA(),IF(COUNT(OFFSET(G983,1-Settings!$B$11,0,Settings!$B$11,1))&lt;Settings!$B$11,NA(),STDEV(OFFSET(G983,1-Settings!$B$11,0,Settings!$B$11,1))*SQRT(Settings!$B$13)))</f>
        <v/>
      </c>
      <c r="K983" s="18">
        <f>IF(OR(NOT(ISNUMBER($A983)),ROW()-2&lt;Settings!$B$12),NA(),IF(COUNT(OFFSET(G983,1-Settings!$B$12,0,Settings!$B$12,1))&lt;Settings!$B$12,NA(),STDEV(OFFSET(G983,1-Settings!$B$12,0,Settings!$B$12,1))*SQRT(Settings!$B$13)))</f>
        <v/>
      </c>
      <c r="L983" s="18">
        <f>IF(AND(ISNUMBER(D983),ISNUMBER(H983)),D983-H983,NA())</f>
        <v/>
      </c>
      <c r="M983" s="18">
        <f>IF(AND(ISNUMBER(E983),ISNUMBER(K983)),E983-K983,NA())</f>
        <v/>
      </c>
      <c r="N983" s="18">
        <f>IF(NOT(ISNUMBER($A983)),NA(),IF(COUNT(OFFSET(G983,1,0,Settings!$B$12,1))&lt;Settings!$B$12,NA(),STDEV(OFFSET(G983,1,0,Settings!$B$12,1))*SQRT(Settings!$B$13)))</f>
        <v/>
      </c>
      <c r="O983" s="18">
        <f>IF(AND(ISNUMBER(E983),ISNUMBER(N983)),E983-N983,NA())</f>
        <v/>
      </c>
      <c r="P983" s="17">
        <f>IF(NOT(ISNUMBER($A983)),NA(),IF(OR($A983&lt;MIN(KW_TP!$A$2:$A$2501),$A983&gt;MAX(KW_TP!$A$2:$A$2501)),NA(),INDEX(KW_TP!$C$2:$C$2501,MATCH($A983,KW_TP!$A$2:$A$2501,1))))</f>
        <v/>
      </c>
    </row>
    <row r="984">
      <c r="A984" s="15">
        <f>IF(ISNUMBER(BBG_Data!A984),BBG_Data!A984,"")</f>
        <v/>
      </c>
      <c r="B984" s="16">
        <f>IF(AND(ISNUMBER($A984),ISNUMBER(BBG_Data!B984)),BBG_Data!B984,NA())</f>
        <v/>
      </c>
      <c r="C984" s="16">
        <f>IF(AND(ISNUMBER($A984),ISNUMBER(BBG_Data!C984)),BBG_Data!C984,NA())</f>
        <v/>
      </c>
      <c r="D984" s="17">
        <f>IF(AND(ISNUMBER($A984),ISNUMBER(BBG_Data!D984)),BBG_Data!D984,NA())</f>
        <v/>
      </c>
      <c r="E984" s="17">
        <f>IF(AND(ISNUMBER($A984),ISNUMBER(BBG_Data!E984)),BBG_Data!E984,NA())</f>
        <v/>
      </c>
      <c r="F984" s="18">
        <f>IF(AND(ISNUMBER(B984),ISNUMBER(B983)),(B984-B983)*100,"")</f>
        <v/>
      </c>
      <c r="G984" s="18">
        <f>IF(AND(ISNUMBER(C984),ISNUMBER(C983)),(C984-C983)*100,"")</f>
        <v/>
      </c>
      <c r="H984" s="18">
        <f>IF(OR(NOT(ISNUMBER($A984)),ROW()-2&lt;Settings!$B$11),NA(),IF(COUNT(OFFSET(F984,1-Settings!$B$11,0,Settings!$B$11,1))&lt;Settings!$B$11,NA(),STDEV(OFFSET(F984,1-Settings!$B$11,0,Settings!$B$11,1))*SQRT(Settings!$B$13)))</f>
        <v/>
      </c>
      <c r="I984" s="18">
        <f>IF(OR(NOT(ISNUMBER($A984)),ROW()-2&lt;Settings!$B$12),NA(),IF(COUNT(OFFSET(F984,1-Settings!$B$12,0,Settings!$B$12,1))&lt;Settings!$B$12,NA(),STDEV(OFFSET(F984,1-Settings!$B$12,0,Settings!$B$12,1))*SQRT(Settings!$B$13)))</f>
        <v/>
      </c>
      <c r="J984" s="18">
        <f>IF(OR(NOT(ISNUMBER($A984)),ROW()-2&lt;Settings!$B$11),NA(),IF(COUNT(OFFSET(G984,1-Settings!$B$11,0,Settings!$B$11,1))&lt;Settings!$B$11,NA(),STDEV(OFFSET(G984,1-Settings!$B$11,0,Settings!$B$11,1))*SQRT(Settings!$B$13)))</f>
        <v/>
      </c>
      <c r="K984" s="18">
        <f>IF(OR(NOT(ISNUMBER($A984)),ROW()-2&lt;Settings!$B$12),NA(),IF(COUNT(OFFSET(G984,1-Settings!$B$12,0,Settings!$B$12,1))&lt;Settings!$B$12,NA(),STDEV(OFFSET(G984,1-Settings!$B$12,0,Settings!$B$12,1))*SQRT(Settings!$B$13)))</f>
        <v/>
      </c>
      <c r="L984" s="18">
        <f>IF(AND(ISNUMBER(D984),ISNUMBER(H984)),D984-H984,NA())</f>
        <v/>
      </c>
      <c r="M984" s="18">
        <f>IF(AND(ISNUMBER(E984),ISNUMBER(K984)),E984-K984,NA())</f>
        <v/>
      </c>
      <c r="N984" s="18">
        <f>IF(NOT(ISNUMBER($A984)),NA(),IF(COUNT(OFFSET(G984,1,0,Settings!$B$12,1))&lt;Settings!$B$12,NA(),STDEV(OFFSET(G984,1,0,Settings!$B$12,1))*SQRT(Settings!$B$13)))</f>
        <v/>
      </c>
      <c r="O984" s="18">
        <f>IF(AND(ISNUMBER(E984),ISNUMBER(N984)),E984-N984,NA())</f>
        <v/>
      </c>
      <c r="P984" s="17">
        <f>IF(NOT(ISNUMBER($A984)),NA(),IF(OR($A984&lt;MIN(KW_TP!$A$2:$A$2501),$A984&gt;MAX(KW_TP!$A$2:$A$2501)),NA(),INDEX(KW_TP!$C$2:$C$2501,MATCH($A984,KW_TP!$A$2:$A$2501,1))))</f>
        <v/>
      </c>
    </row>
    <row r="985">
      <c r="A985" s="15">
        <f>IF(ISNUMBER(BBG_Data!A985),BBG_Data!A985,"")</f>
        <v/>
      </c>
      <c r="B985" s="16">
        <f>IF(AND(ISNUMBER($A985),ISNUMBER(BBG_Data!B985)),BBG_Data!B985,NA())</f>
        <v/>
      </c>
      <c r="C985" s="16">
        <f>IF(AND(ISNUMBER($A985),ISNUMBER(BBG_Data!C985)),BBG_Data!C985,NA())</f>
        <v/>
      </c>
      <c r="D985" s="17">
        <f>IF(AND(ISNUMBER($A985),ISNUMBER(BBG_Data!D985)),BBG_Data!D985,NA())</f>
        <v/>
      </c>
      <c r="E985" s="17">
        <f>IF(AND(ISNUMBER($A985),ISNUMBER(BBG_Data!E985)),BBG_Data!E985,NA())</f>
        <v/>
      </c>
      <c r="F985" s="18">
        <f>IF(AND(ISNUMBER(B985),ISNUMBER(B984)),(B985-B984)*100,"")</f>
        <v/>
      </c>
      <c r="G985" s="18">
        <f>IF(AND(ISNUMBER(C985),ISNUMBER(C984)),(C985-C984)*100,"")</f>
        <v/>
      </c>
      <c r="H985" s="18">
        <f>IF(OR(NOT(ISNUMBER($A985)),ROW()-2&lt;Settings!$B$11),NA(),IF(COUNT(OFFSET(F985,1-Settings!$B$11,0,Settings!$B$11,1))&lt;Settings!$B$11,NA(),STDEV(OFFSET(F985,1-Settings!$B$11,0,Settings!$B$11,1))*SQRT(Settings!$B$13)))</f>
        <v/>
      </c>
      <c r="I985" s="18">
        <f>IF(OR(NOT(ISNUMBER($A985)),ROW()-2&lt;Settings!$B$12),NA(),IF(COUNT(OFFSET(F985,1-Settings!$B$12,0,Settings!$B$12,1))&lt;Settings!$B$12,NA(),STDEV(OFFSET(F985,1-Settings!$B$12,0,Settings!$B$12,1))*SQRT(Settings!$B$13)))</f>
        <v/>
      </c>
      <c r="J985" s="18">
        <f>IF(OR(NOT(ISNUMBER($A985)),ROW()-2&lt;Settings!$B$11),NA(),IF(COUNT(OFFSET(G985,1-Settings!$B$11,0,Settings!$B$11,1))&lt;Settings!$B$11,NA(),STDEV(OFFSET(G985,1-Settings!$B$11,0,Settings!$B$11,1))*SQRT(Settings!$B$13)))</f>
        <v/>
      </c>
      <c r="K985" s="18">
        <f>IF(OR(NOT(ISNUMBER($A985)),ROW()-2&lt;Settings!$B$12),NA(),IF(COUNT(OFFSET(G985,1-Settings!$B$12,0,Settings!$B$12,1))&lt;Settings!$B$12,NA(),STDEV(OFFSET(G985,1-Settings!$B$12,0,Settings!$B$12,1))*SQRT(Settings!$B$13)))</f>
        <v/>
      </c>
      <c r="L985" s="18">
        <f>IF(AND(ISNUMBER(D985),ISNUMBER(H985)),D985-H985,NA())</f>
        <v/>
      </c>
      <c r="M985" s="18">
        <f>IF(AND(ISNUMBER(E985),ISNUMBER(K985)),E985-K985,NA())</f>
        <v/>
      </c>
      <c r="N985" s="18">
        <f>IF(NOT(ISNUMBER($A985)),NA(),IF(COUNT(OFFSET(G985,1,0,Settings!$B$12,1))&lt;Settings!$B$12,NA(),STDEV(OFFSET(G985,1,0,Settings!$B$12,1))*SQRT(Settings!$B$13)))</f>
        <v/>
      </c>
      <c r="O985" s="18">
        <f>IF(AND(ISNUMBER(E985),ISNUMBER(N985)),E985-N985,NA())</f>
        <v/>
      </c>
      <c r="P985" s="17">
        <f>IF(NOT(ISNUMBER($A985)),NA(),IF(OR($A985&lt;MIN(KW_TP!$A$2:$A$2501),$A985&gt;MAX(KW_TP!$A$2:$A$2501)),NA(),INDEX(KW_TP!$C$2:$C$2501,MATCH($A985,KW_TP!$A$2:$A$2501,1))))</f>
        <v/>
      </c>
    </row>
    <row r="986">
      <c r="A986" s="15">
        <f>IF(ISNUMBER(BBG_Data!A986),BBG_Data!A986,"")</f>
        <v/>
      </c>
      <c r="B986" s="16">
        <f>IF(AND(ISNUMBER($A986),ISNUMBER(BBG_Data!B986)),BBG_Data!B986,NA())</f>
        <v/>
      </c>
      <c r="C986" s="16">
        <f>IF(AND(ISNUMBER($A986),ISNUMBER(BBG_Data!C986)),BBG_Data!C986,NA())</f>
        <v/>
      </c>
      <c r="D986" s="17">
        <f>IF(AND(ISNUMBER($A986),ISNUMBER(BBG_Data!D986)),BBG_Data!D986,NA())</f>
        <v/>
      </c>
      <c r="E986" s="17">
        <f>IF(AND(ISNUMBER($A986),ISNUMBER(BBG_Data!E986)),BBG_Data!E986,NA())</f>
        <v/>
      </c>
      <c r="F986" s="18">
        <f>IF(AND(ISNUMBER(B986),ISNUMBER(B985)),(B986-B985)*100,"")</f>
        <v/>
      </c>
      <c r="G986" s="18">
        <f>IF(AND(ISNUMBER(C986),ISNUMBER(C985)),(C986-C985)*100,"")</f>
        <v/>
      </c>
      <c r="H986" s="18">
        <f>IF(OR(NOT(ISNUMBER($A986)),ROW()-2&lt;Settings!$B$11),NA(),IF(COUNT(OFFSET(F986,1-Settings!$B$11,0,Settings!$B$11,1))&lt;Settings!$B$11,NA(),STDEV(OFFSET(F986,1-Settings!$B$11,0,Settings!$B$11,1))*SQRT(Settings!$B$13)))</f>
        <v/>
      </c>
      <c r="I986" s="18">
        <f>IF(OR(NOT(ISNUMBER($A986)),ROW()-2&lt;Settings!$B$12),NA(),IF(COUNT(OFFSET(F986,1-Settings!$B$12,0,Settings!$B$12,1))&lt;Settings!$B$12,NA(),STDEV(OFFSET(F986,1-Settings!$B$12,0,Settings!$B$12,1))*SQRT(Settings!$B$13)))</f>
        <v/>
      </c>
      <c r="J986" s="18">
        <f>IF(OR(NOT(ISNUMBER($A986)),ROW()-2&lt;Settings!$B$11),NA(),IF(COUNT(OFFSET(G986,1-Settings!$B$11,0,Settings!$B$11,1))&lt;Settings!$B$11,NA(),STDEV(OFFSET(G986,1-Settings!$B$11,0,Settings!$B$11,1))*SQRT(Settings!$B$13)))</f>
        <v/>
      </c>
      <c r="K986" s="18">
        <f>IF(OR(NOT(ISNUMBER($A986)),ROW()-2&lt;Settings!$B$12),NA(),IF(COUNT(OFFSET(G986,1-Settings!$B$12,0,Settings!$B$12,1))&lt;Settings!$B$12,NA(),STDEV(OFFSET(G986,1-Settings!$B$12,0,Settings!$B$12,1))*SQRT(Settings!$B$13)))</f>
        <v/>
      </c>
      <c r="L986" s="18">
        <f>IF(AND(ISNUMBER(D986),ISNUMBER(H986)),D986-H986,NA())</f>
        <v/>
      </c>
      <c r="M986" s="18">
        <f>IF(AND(ISNUMBER(E986),ISNUMBER(K986)),E986-K986,NA())</f>
        <v/>
      </c>
      <c r="N986" s="18">
        <f>IF(NOT(ISNUMBER($A986)),NA(),IF(COUNT(OFFSET(G986,1,0,Settings!$B$12,1))&lt;Settings!$B$12,NA(),STDEV(OFFSET(G986,1,0,Settings!$B$12,1))*SQRT(Settings!$B$13)))</f>
        <v/>
      </c>
      <c r="O986" s="18">
        <f>IF(AND(ISNUMBER(E986),ISNUMBER(N986)),E986-N986,NA())</f>
        <v/>
      </c>
      <c r="P986" s="17">
        <f>IF(NOT(ISNUMBER($A986)),NA(),IF(OR($A986&lt;MIN(KW_TP!$A$2:$A$2501),$A986&gt;MAX(KW_TP!$A$2:$A$2501)),NA(),INDEX(KW_TP!$C$2:$C$2501,MATCH($A986,KW_TP!$A$2:$A$2501,1))))</f>
        <v/>
      </c>
    </row>
    <row r="987">
      <c r="A987" s="15">
        <f>IF(ISNUMBER(BBG_Data!A987),BBG_Data!A987,"")</f>
        <v/>
      </c>
      <c r="B987" s="16">
        <f>IF(AND(ISNUMBER($A987),ISNUMBER(BBG_Data!B987)),BBG_Data!B987,NA())</f>
        <v/>
      </c>
      <c r="C987" s="16">
        <f>IF(AND(ISNUMBER($A987),ISNUMBER(BBG_Data!C987)),BBG_Data!C987,NA())</f>
        <v/>
      </c>
      <c r="D987" s="17">
        <f>IF(AND(ISNUMBER($A987),ISNUMBER(BBG_Data!D987)),BBG_Data!D987,NA())</f>
        <v/>
      </c>
      <c r="E987" s="17">
        <f>IF(AND(ISNUMBER($A987),ISNUMBER(BBG_Data!E987)),BBG_Data!E987,NA())</f>
        <v/>
      </c>
      <c r="F987" s="18">
        <f>IF(AND(ISNUMBER(B987),ISNUMBER(B986)),(B987-B986)*100,"")</f>
        <v/>
      </c>
      <c r="G987" s="18">
        <f>IF(AND(ISNUMBER(C987),ISNUMBER(C986)),(C987-C986)*100,"")</f>
        <v/>
      </c>
      <c r="H987" s="18">
        <f>IF(OR(NOT(ISNUMBER($A987)),ROW()-2&lt;Settings!$B$11),NA(),IF(COUNT(OFFSET(F987,1-Settings!$B$11,0,Settings!$B$11,1))&lt;Settings!$B$11,NA(),STDEV(OFFSET(F987,1-Settings!$B$11,0,Settings!$B$11,1))*SQRT(Settings!$B$13)))</f>
        <v/>
      </c>
      <c r="I987" s="18">
        <f>IF(OR(NOT(ISNUMBER($A987)),ROW()-2&lt;Settings!$B$12),NA(),IF(COUNT(OFFSET(F987,1-Settings!$B$12,0,Settings!$B$12,1))&lt;Settings!$B$12,NA(),STDEV(OFFSET(F987,1-Settings!$B$12,0,Settings!$B$12,1))*SQRT(Settings!$B$13)))</f>
        <v/>
      </c>
      <c r="J987" s="18">
        <f>IF(OR(NOT(ISNUMBER($A987)),ROW()-2&lt;Settings!$B$11),NA(),IF(COUNT(OFFSET(G987,1-Settings!$B$11,0,Settings!$B$11,1))&lt;Settings!$B$11,NA(),STDEV(OFFSET(G987,1-Settings!$B$11,0,Settings!$B$11,1))*SQRT(Settings!$B$13)))</f>
        <v/>
      </c>
      <c r="K987" s="18">
        <f>IF(OR(NOT(ISNUMBER($A987)),ROW()-2&lt;Settings!$B$12),NA(),IF(COUNT(OFFSET(G987,1-Settings!$B$12,0,Settings!$B$12,1))&lt;Settings!$B$12,NA(),STDEV(OFFSET(G987,1-Settings!$B$12,0,Settings!$B$12,1))*SQRT(Settings!$B$13)))</f>
        <v/>
      </c>
      <c r="L987" s="18">
        <f>IF(AND(ISNUMBER(D987),ISNUMBER(H987)),D987-H987,NA())</f>
        <v/>
      </c>
      <c r="M987" s="18">
        <f>IF(AND(ISNUMBER(E987),ISNUMBER(K987)),E987-K987,NA())</f>
        <v/>
      </c>
      <c r="N987" s="18">
        <f>IF(NOT(ISNUMBER($A987)),NA(),IF(COUNT(OFFSET(G987,1,0,Settings!$B$12,1))&lt;Settings!$B$12,NA(),STDEV(OFFSET(G987,1,0,Settings!$B$12,1))*SQRT(Settings!$B$13)))</f>
        <v/>
      </c>
      <c r="O987" s="18">
        <f>IF(AND(ISNUMBER(E987),ISNUMBER(N987)),E987-N987,NA())</f>
        <v/>
      </c>
      <c r="P987" s="17">
        <f>IF(NOT(ISNUMBER($A987)),NA(),IF(OR($A987&lt;MIN(KW_TP!$A$2:$A$2501),$A987&gt;MAX(KW_TP!$A$2:$A$2501)),NA(),INDEX(KW_TP!$C$2:$C$2501,MATCH($A987,KW_TP!$A$2:$A$2501,1))))</f>
        <v/>
      </c>
    </row>
    <row r="988">
      <c r="A988" s="15">
        <f>IF(ISNUMBER(BBG_Data!A988),BBG_Data!A988,"")</f>
        <v/>
      </c>
      <c r="B988" s="16">
        <f>IF(AND(ISNUMBER($A988),ISNUMBER(BBG_Data!B988)),BBG_Data!B988,NA())</f>
        <v/>
      </c>
      <c r="C988" s="16">
        <f>IF(AND(ISNUMBER($A988),ISNUMBER(BBG_Data!C988)),BBG_Data!C988,NA())</f>
        <v/>
      </c>
      <c r="D988" s="17">
        <f>IF(AND(ISNUMBER($A988),ISNUMBER(BBG_Data!D988)),BBG_Data!D988,NA())</f>
        <v/>
      </c>
      <c r="E988" s="17">
        <f>IF(AND(ISNUMBER($A988),ISNUMBER(BBG_Data!E988)),BBG_Data!E988,NA())</f>
        <v/>
      </c>
      <c r="F988" s="18">
        <f>IF(AND(ISNUMBER(B988),ISNUMBER(B987)),(B988-B987)*100,"")</f>
        <v/>
      </c>
      <c r="G988" s="18">
        <f>IF(AND(ISNUMBER(C988),ISNUMBER(C987)),(C988-C987)*100,"")</f>
        <v/>
      </c>
      <c r="H988" s="18">
        <f>IF(OR(NOT(ISNUMBER($A988)),ROW()-2&lt;Settings!$B$11),NA(),IF(COUNT(OFFSET(F988,1-Settings!$B$11,0,Settings!$B$11,1))&lt;Settings!$B$11,NA(),STDEV(OFFSET(F988,1-Settings!$B$11,0,Settings!$B$11,1))*SQRT(Settings!$B$13)))</f>
        <v/>
      </c>
      <c r="I988" s="18">
        <f>IF(OR(NOT(ISNUMBER($A988)),ROW()-2&lt;Settings!$B$12),NA(),IF(COUNT(OFFSET(F988,1-Settings!$B$12,0,Settings!$B$12,1))&lt;Settings!$B$12,NA(),STDEV(OFFSET(F988,1-Settings!$B$12,0,Settings!$B$12,1))*SQRT(Settings!$B$13)))</f>
        <v/>
      </c>
      <c r="J988" s="18">
        <f>IF(OR(NOT(ISNUMBER($A988)),ROW()-2&lt;Settings!$B$11),NA(),IF(COUNT(OFFSET(G988,1-Settings!$B$11,0,Settings!$B$11,1))&lt;Settings!$B$11,NA(),STDEV(OFFSET(G988,1-Settings!$B$11,0,Settings!$B$11,1))*SQRT(Settings!$B$13)))</f>
        <v/>
      </c>
      <c r="K988" s="18">
        <f>IF(OR(NOT(ISNUMBER($A988)),ROW()-2&lt;Settings!$B$12),NA(),IF(COUNT(OFFSET(G988,1-Settings!$B$12,0,Settings!$B$12,1))&lt;Settings!$B$12,NA(),STDEV(OFFSET(G988,1-Settings!$B$12,0,Settings!$B$12,1))*SQRT(Settings!$B$13)))</f>
        <v/>
      </c>
      <c r="L988" s="18">
        <f>IF(AND(ISNUMBER(D988),ISNUMBER(H988)),D988-H988,NA())</f>
        <v/>
      </c>
      <c r="M988" s="18">
        <f>IF(AND(ISNUMBER(E988),ISNUMBER(K988)),E988-K988,NA())</f>
        <v/>
      </c>
      <c r="N988" s="18">
        <f>IF(NOT(ISNUMBER($A988)),NA(),IF(COUNT(OFFSET(G988,1,0,Settings!$B$12,1))&lt;Settings!$B$12,NA(),STDEV(OFFSET(G988,1,0,Settings!$B$12,1))*SQRT(Settings!$B$13)))</f>
        <v/>
      </c>
      <c r="O988" s="18">
        <f>IF(AND(ISNUMBER(E988),ISNUMBER(N988)),E988-N988,NA())</f>
        <v/>
      </c>
      <c r="P988" s="17">
        <f>IF(NOT(ISNUMBER($A988)),NA(),IF(OR($A988&lt;MIN(KW_TP!$A$2:$A$2501),$A988&gt;MAX(KW_TP!$A$2:$A$2501)),NA(),INDEX(KW_TP!$C$2:$C$2501,MATCH($A988,KW_TP!$A$2:$A$2501,1))))</f>
        <v/>
      </c>
    </row>
    <row r="989">
      <c r="A989" s="15">
        <f>IF(ISNUMBER(BBG_Data!A989),BBG_Data!A989,"")</f>
        <v/>
      </c>
      <c r="B989" s="16">
        <f>IF(AND(ISNUMBER($A989),ISNUMBER(BBG_Data!B989)),BBG_Data!B989,NA())</f>
        <v/>
      </c>
      <c r="C989" s="16">
        <f>IF(AND(ISNUMBER($A989),ISNUMBER(BBG_Data!C989)),BBG_Data!C989,NA())</f>
        <v/>
      </c>
      <c r="D989" s="17">
        <f>IF(AND(ISNUMBER($A989),ISNUMBER(BBG_Data!D989)),BBG_Data!D989,NA())</f>
        <v/>
      </c>
      <c r="E989" s="17">
        <f>IF(AND(ISNUMBER($A989),ISNUMBER(BBG_Data!E989)),BBG_Data!E989,NA())</f>
        <v/>
      </c>
      <c r="F989" s="18">
        <f>IF(AND(ISNUMBER(B989),ISNUMBER(B988)),(B989-B988)*100,"")</f>
        <v/>
      </c>
      <c r="G989" s="18">
        <f>IF(AND(ISNUMBER(C989),ISNUMBER(C988)),(C989-C988)*100,"")</f>
        <v/>
      </c>
      <c r="H989" s="18">
        <f>IF(OR(NOT(ISNUMBER($A989)),ROW()-2&lt;Settings!$B$11),NA(),IF(COUNT(OFFSET(F989,1-Settings!$B$11,0,Settings!$B$11,1))&lt;Settings!$B$11,NA(),STDEV(OFFSET(F989,1-Settings!$B$11,0,Settings!$B$11,1))*SQRT(Settings!$B$13)))</f>
        <v/>
      </c>
      <c r="I989" s="18">
        <f>IF(OR(NOT(ISNUMBER($A989)),ROW()-2&lt;Settings!$B$12),NA(),IF(COUNT(OFFSET(F989,1-Settings!$B$12,0,Settings!$B$12,1))&lt;Settings!$B$12,NA(),STDEV(OFFSET(F989,1-Settings!$B$12,0,Settings!$B$12,1))*SQRT(Settings!$B$13)))</f>
        <v/>
      </c>
      <c r="J989" s="18">
        <f>IF(OR(NOT(ISNUMBER($A989)),ROW()-2&lt;Settings!$B$11),NA(),IF(COUNT(OFFSET(G989,1-Settings!$B$11,0,Settings!$B$11,1))&lt;Settings!$B$11,NA(),STDEV(OFFSET(G989,1-Settings!$B$11,0,Settings!$B$11,1))*SQRT(Settings!$B$13)))</f>
        <v/>
      </c>
      <c r="K989" s="18">
        <f>IF(OR(NOT(ISNUMBER($A989)),ROW()-2&lt;Settings!$B$12),NA(),IF(COUNT(OFFSET(G989,1-Settings!$B$12,0,Settings!$B$12,1))&lt;Settings!$B$12,NA(),STDEV(OFFSET(G989,1-Settings!$B$12,0,Settings!$B$12,1))*SQRT(Settings!$B$13)))</f>
        <v/>
      </c>
      <c r="L989" s="18">
        <f>IF(AND(ISNUMBER(D989),ISNUMBER(H989)),D989-H989,NA())</f>
        <v/>
      </c>
      <c r="M989" s="18">
        <f>IF(AND(ISNUMBER(E989),ISNUMBER(K989)),E989-K989,NA())</f>
        <v/>
      </c>
      <c r="N989" s="18">
        <f>IF(NOT(ISNUMBER($A989)),NA(),IF(COUNT(OFFSET(G989,1,0,Settings!$B$12,1))&lt;Settings!$B$12,NA(),STDEV(OFFSET(G989,1,0,Settings!$B$12,1))*SQRT(Settings!$B$13)))</f>
        <v/>
      </c>
      <c r="O989" s="18">
        <f>IF(AND(ISNUMBER(E989),ISNUMBER(N989)),E989-N989,NA())</f>
        <v/>
      </c>
      <c r="P989" s="17">
        <f>IF(NOT(ISNUMBER($A989)),NA(),IF(OR($A989&lt;MIN(KW_TP!$A$2:$A$2501),$A989&gt;MAX(KW_TP!$A$2:$A$2501)),NA(),INDEX(KW_TP!$C$2:$C$2501,MATCH($A989,KW_TP!$A$2:$A$2501,1))))</f>
        <v/>
      </c>
    </row>
    <row r="990">
      <c r="A990" s="15">
        <f>IF(ISNUMBER(BBG_Data!A990),BBG_Data!A990,"")</f>
        <v/>
      </c>
      <c r="B990" s="16">
        <f>IF(AND(ISNUMBER($A990),ISNUMBER(BBG_Data!B990)),BBG_Data!B990,NA())</f>
        <v/>
      </c>
      <c r="C990" s="16">
        <f>IF(AND(ISNUMBER($A990),ISNUMBER(BBG_Data!C990)),BBG_Data!C990,NA())</f>
        <v/>
      </c>
      <c r="D990" s="17">
        <f>IF(AND(ISNUMBER($A990),ISNUMBER(BBG_Data!D990)),BBG_Data!D990,NA())</f>
        <v/>
      </c>
      <c r="E990" s="17">
        <f>IF(AND(ISNUMBER($A990),ISNUMBER(BBG_Data!E990)),BBG_Data!E990,NA())</f>
        <v/>
      </c>
      <c r="F990" s="18">
        <f>IF(AND(ISNUMBER(B990),ISNUMBER(B989)),(B990-B989)*100,"")</f>
        <v/>
      </c>
      <c r="G990" s="18">
        <f>IF(AND(ISNUMBER(C990),ISNUMBER(C989)),(C990-C989)*100,"")</f>
        <v/>
      </c>
      <c r="H990" s="18">
        <f>IF(OR(NOT(ISNUMBER($A990)),ROW()-2&lt;Settings!$B$11),NA(),IF(COUNT(OFFSET(F990,1-Settings!$B$11,0,Settings!$B$11,1))&lt;Settings!$B$11,NA(),STDEV(OFFSET(F990,1-Settings!$B$11,0,Settings!$B$11,1))*SQRT(Settings!$B$13)))</f>
        <v/>
      </c>
      <c r="I990" s="18">
        <f>IF(OR(NOT(ISNUMBER($A990)),ROW()-2&lt;Settings!$B$12),NA(),IF(COUNT(OFFSET(F990,1-Settings!$B$12,0,Settings!$B$12,1))&lt;Settings!$B$12,NA(),STDEV(OFFSET(F990,1-Settings!$B$12,0,Settings!$B$12,1))*SQRT(Settings!$B$13)))</f>
        <v/>
      </c>
      <c r="J990" s="18">
        <f>IF(OR(NOT(ISNUMBER($A990)),ROW()-2&lt;Settings!$B$11),NA(),IF(COUNT(OFFSET(G990,1-Settings!$B$11,0,Settings!$B$11,1))&lt;Settings!$B$11,NA(),STDEV(OFFSET(G990,1-Settings!$B$11,0,Settings!$B$11,1))*SQRT(Settings!$B$13)))</f>
        <v/>
      </c>
      <c r="K990" s="18">
        <f>IF(OR(NOT(ISNUMBER($A990)),ROW()-2&lt;Settings!$B$12),NA(),IF(COUNT(OFFSET(G990,1-Settings!$B$12,0,Settings!$B$12,1))&lt;Settings!$B$12,NA(),STDEV(OFFSET(G990,1-Settings!$B$12,0,Settings!$B$12,1))*SQRT(Settings!$B$13)))</f>
        <v/>
      </c>
      <c r="L990" s="18">
        <f>IF(AND(ISNUMBER(D990),ISNUMBER(H990)),D990-H990,NA())</f>
        <v/>
      </c>
      <c r="M990" s="18">
        <f>IF(AND(ISNUMBER(E990),ISNUMBER(K990)),E990-K990,NA())</f>
        <v/>
      </c>
      <c r="N990" s="18">
        <f>IF(NOT(ISNUMBER($A990)),NA(),IF(COUNT(OFFSET(G990,1,0,Settings!$B$12,1))&lt;Settings!$B$12,NA(),STDEV(OFFSET(G990,1,0,Settings!$B$12,1))*SQRT(Settings!$B$13)))</f>
        <v/>
      </c>
      <c r="O990" s="18">
        <f>IF(AND(ISNUMBER(E990),ISNUMBER(N990)),E990-N990,NA())</f>
        <v/>
      </c>
      <c r="P990" s="17">
        <f>IF(NOT(ISNUMBER($A990)),NA(),IF(OR($A990&lt;MIN(KW_TP!$A$2:$A$2501),$A990&gt;MAX(KW_TP!$A$2:$A$2501)),NA(),INDEX(KW_TP!$C$2:$C$2501,MATCH($A990,KW_TP!$A$2:$A$2501,1))))</f>
        <v/>
      </c>
    </row>
    <row r="991">
      <c r="A991" s="15">
        <f>IF(ISNUMBER(BBG_Data!A991),BBG_Data!A991,"")</f>
        <v/>
      </c>
      <c r="B991" s="16">
        <f>IF(AND(ISNUMBER($A991),ISNUMBER(BBG_Data!B991)),BBG_Data!B991,NA())</f>
        <v/>
      </c>
      <c r="C991" s="16">
        <f>IF(AND(ISNUMBER($A991),ISNUMBER(BBG_Data!C991)),BBG_Data!C991,NA())</f>
        <v/>
      </c>
      <c r="D991" s="17">
        <f>IF(AND(ISNUMBER($A991),ISNUMBER(BBG_Data!D991)),BBG_Data!D991,NA())</f>
        <v/>
      </c>
      <c r="E991" s="17">
        <f>IF(AND(ISNUMBER($A991),ISNUMBER(BBG_Data!E991)),BBG_Data!E991,NA())</f>
        <v/>
      </c>
      <c r="F991" s="18">
        <f>IF(AND(ISNUMBER(B991),ISNUMBER(B990)),(B991-B990)*100,"")</f>
        <v/>
      </c>
      <c r="G991" s="18">
        <f>IF(AND(ISNUMBER(C991),ISNUMBER(C990)),(C991-C990)*100,"")</f>
        <v/>
      </c>
      <c r="H991" s="18">
        <f>IF(OR(NOT(ISNUMBER($A991)),ROW()-2&lt;Settings!$B$11),NA(),IF(COUNT(OFFSET(F991,1-Settings!$B$11,0,Settings!$B$11,1))&lt;Settings!$B$11,NA(),STDEV(OFFSET(F991,1-Settings!$B$11,0,Settings!$B$11,1))*SQRT(Settings!$B$13)))</f>
        <v/>
      </c>
      <c r="I991" s="18">
        <f>IF(OR(NOT(ISNUMBER($A991)),ROW()-2&lt;Settings!$B$12),NA(),IF(COUNT(OFFSET(F991,1-Settings!$B$12,0,Settings!$B$12,1))&lt;Settings!$B$12,NA(),STDEV(OFFSET(F991,1-Settings!$B$12,0,Settings!$B$12,1))*SQRT(Settings!$B$13)))</f>
        <v/>
      </c>
      <c r="J991" s="18">
        <f>IF(OR(NOT(ISNUMBER($A991)),ROW()-2&lt;Settings!$B$11),NA(),IF(COUNT(OFFSET(G991,1-Settings!$B$11,0,Settings!$B$11,1))&lt;Settings!$B$11,NA(),STDEV(OFFSET(G991,1-Settings!$B$11,0,Settings!$B$11,1))*SQRT(Settings!$B$13)))</f>
        <v/>
      </c>
      <c r="K991" s="18">
        <f>IF(OR(NOT(ISNUMBER($A991)),ROW()-2&lt;Settings!$B$12),NA(),IF(COUNT(OFFSET(G991,1-Settings!$B$12,0,Settings!$B$12,1))&lt;Settings!$B$12,NA(),STDEV(OFFSET(G991,1-Settings!$B$12,0,Settings!$B$12,1))*SQRT(Settings!$B$13)))</f>
        <v/>
      </c>
      <c r="L991" s="18">
        <f>IF(AND(ISNUMBER(D991),ISNUMBER(H991)),D991-H991,NA())</f>
        <v/>
      </c>
      <c r="M991" s="18">
        <f>IF(AND(ISNUMBER(E991),ISNUMBER(K991)),E991-K991,NA())</f>
        <v/>
      </c>
      <c r="N991" s="18">
        <f>IF(NOT(ISNUMBER($A991)),NA(),IF(COUNT(OFFSET(G991,1,0,Settings!$B$12,1))&lt;Settings!$B$12,NA(),STDEV(OFFSET(G991,1,0,Settings!$B$12,1))*SQRT(Settings!$B$13)))</f>
        <v/>
      </c>
      <c r="O991" s="18">
        <f>IF(AND(ISNUMBER(E991),ISNUMBER(N991)),E991-N991,NA())</f>
        <v/>
      </c>
      <c r="P991" s="17">
        <f>IF(NOT(ISNUMBER($A991)),NA(),IF(OR($A991&lt;MIN(KW_TP!$A$2:$A$2501),$A991&gt;MAX(KW_TP!$A$2:$A$2501)),NA(),INDEX(KW_TP!$C$2:$C$2501,MATCH($A991,KW_TP!$A$2:$A$2501,1))))</f>
        <v/>
      </c>
    </row>
    <row r="992">
      <c r="A992" s="15">
        <f>IF(ISNUMBER(BBG_Data!A992),BBG_Data!A992,"")</f>
        <v/>
      </c>
      <c r="B992" s="16">
        <f>IF(AND(ISNUMBER($A992),ISNUMBER(BBG_Data!B992)),BBG_Data!B992,NA())</f>
        <v/>
      </c>
      <c r="C992" s="16">
        <f>IF(AND(ISNUMBER($A992),ISNUMBER(BBG_Data!C992)),BBG_Data!C992,NA())</f>
        <v/>
      </c>
      <c r="D992" s="17">
        <f>IF(AND(ISNUMBER($A992),ISNUMBER(BBG_Data!D992)),BBG_Data!D992,NA())</f>
        <v/>
      </c>
      <c r="E992" s="17">
        <f>IF(AND(ISNUMBER($A992),ISNUMBER(BBG_Data!E992)),BBG_Data!E992,NA())</f>
        <v/>
      </c>
      <c r="F992" s="18">
        <f>IF(AND(ISNUMBER(B992),ISNUMBER(B991)),(B992-B991)*100,"")</f>
        <v/>
      </c>
      <c r="G992" s="18">
        <f>IF(AND(ISNUMBER(C992),ISNUMBER(C991)),(C992-C991)*100,"")</f>
        <v/>
      </c>
      <c r="H992" s="18">
        <f>IF(OR(NOT(ISNUMBER($A992)),ROW()-2&lt;Settings!$B$11),NA(),IF(COUNT(OFFSET(F992,1-Settings!$B$11,0,Settings!$B$11,1))&lt;Settings!$B$11,NA(),STDEV(OFFSET(F992,1-Settings!$B$11,0,Settings!$B$11,1))*SQRT(Settings!$B$13)))</f>
        <v/>
      </c>
      <c r="I992" s="18">
        <f>IF(OR(NOT(ISNUMBER($A992)),ROW()-2&lt;Settings!$B$12),NA(),IF(COUNT(OFFSET(F992,1-Settings!$B$12,0,Settings!$B$12,1))&lt;Settings!$B$12,NA(),STDEV(OFFSET(F992,1-Settings!$B$12,0,Settings!$B$12,1))*SQRT(Settings!$B$13)))</f>
        <v/>
      </c>
      <c r="J992" s="18">
        <f>IF(OR(NOT(ISNUMBER($A992)),ROW()-2&lt;Settings!$B$11),NA(),IF(COUNT(OFFSET(G992,1-Settings!$B$11,0,Settings!$B$11,1))&lt;Settings!$B$11,NA(),STDEV(OFFSET(G992,1-Settings!$B$11,0,Settings!$B$11,1))*SQRT(Settings!$B$13)))</f>
        <v/>
      </c>
      <c r="K992" s="18">
        <f>IF(OR(NOT(ISNUMBER($A992)),ROW()-2&lt;Settings!$B$12),NA(),IF(COUNT(OFFSET(G992,1-Settings!$B$12,0,Settings!$B$12,1))&lt;Settings!$B$12,NA(),STDEV(OFFSET(G992,1-Settings!$B$12,0,Settings!$B$12,1))*SQRT(Settings!$B$13)))</f>
        <v/>
      </c>
      <c r="L992" s="18">
        <f>IF(AND(ISNUMBER(D992),ISNUMBER(H992)),D992-H992,NA())</f>
        <v/>
      </c>
      <c r="M992" s="18">
        <f>IF(AND(ISNUMBER(E992),ISNUMBER(K992)),E992-K992,NA())</f>
        <v/>
      </c>
      <c r="N992" s="18">
        <f>IF(NOT(ISNUMBER($A992)),NA(),IF(COUNT(OFFSET(G992,1,0,Settings!$B$12,1))&lt;Settings!$B$12,NA(),STDEV(OFFSET(G992,1,0,Settings!$B$12,1))*SQRT(Settings!$B$13)))</f>
        <v/>
      </c>
      <c r="O992" s="18">
        <f>IF(AND(ISNUMBER(E992),ISNUMBER(N992)),E992-N992,NA())</f>
        <v/>
      </c>
      <c r="P992" s="17">
        <f>IF(NOT(ISNUMBER($A992)),NA(),IF(OR($A992&lt;MIN(KW_TP!$A$2:$A$2501),$A992&gt;MAX(KW_TP!$A$2:$A$2501)),NA(),INDEX(KW_TP!$C$2:$C$2501,MATCH($A992,KW_TP!$A$2:$A$2501,1))))</f>
        <v/>
      </c>
    </row>
    <row r="993">
      <c r="A993" s="15">
        <f>IF(ISNUMBER(BBG_Data!A993),BBG_Data!A993,"")</f>
        <v/>
      </c>
      <c r="B993" s="16">
        <f>IF(AND(ISNUMBER($A993),ISNUMBER(BBG_Data!B993)),BBG_Data!B993,NA())</f>
        <v/>
      </c>
      <c r="C993" s="16">
        <f>IF(AND(ISNUMBER($A993),ISNUMBER(BBG_Data!C993)),BBG_Data!C993,NA())</f>
        <v/>
      </c>
      <c r="D993" s="17">
        <f>IF(AND(ISNUMBER($A993),ISNUMBER(BBG_Data!D993)),BBG_Data!D993,NA())</f>
        <v/>
      </c>
      <c r="E993" s="17">
        <f>IF(AND(ISNUMBER($A993),ISNUMBER(BBG_Data!E993)),BBG_Data!E993,NA())</f>
        <v/>
      </c>
      <c r="F993" s="18">
        <f>IF(AND(ISNUMBER(B993),ISNUMBER(B992)),(B993-B992)*100,"")</f>
        <v/>
      </c>
      <c r="G993" s="18">
        <f>IF(AND(ISNUMBER(C993),ISNUMBER(C992)),(C993-C992)*100,"")</f>
        <v/>
      </c>
      <c r="H993" s="18">
        <f>IF(OR(NOT(ISNUMBER($A993)),ROW()-2&lt;Settings!$B$11),NA(),IF(COUNT(OFFSET(F993,1-Settings!$B$11,0,Settings!$B$11,1))&lt;Settings!$B$11,NA(),STDEV(OFFSET(F993,1-Settings!$B$11,0,Settings!$B$11,1))*SQRT(Settings!$B$13)))</f>
        <v/>
      </c>
      <c r="I993" s="18">
        <f>IF(OR(NOT(ISNUMBER($A993)),ROW()-2&lt;Settings!$B$12),NA(),IF(COUNT(OFFSET(F993,1-Settings!$B$12,0,Settings!$B$12,1))&lt;Settings!$B$12,NA(),STDEV(OFFSET(F993,1-Settings!$B$12,0,Settings!$B$12,1))*SQRT(Settings!$B$13)))</f>
        <v/>
      </c>
      <c r="J993" s="18">
        <f>IF(OR(NOT(ISNUMBER($A993)),ROW()-2&lt;Settings!$B$11),NA(),IF(COUNT(OFFSET(G993,1-Settings!$B$11,0,Settings!$B$11,1))&lt;Settings!$B$11,NA(),STDEV(OFFSET(G993,1-Settings!$B$11,0,Settings!$B$11,1))*SQRT(Settings!$B$13)))</f>
        <v/>
      </c>
      <c r="K993" s="18">
        <f>IF(OR(NOT(ISNUMBER($A993)),ROW()-2&lt;Settings!$B$12),NA(),IF(COUNT(OFFSET(G993,1-Settings!$B$12,0,Settings!$B$12,1))&lt;Settings!$B$12,NA(),STDEV(OFFSET(G993,1-Settings!$B$12,0,Settings!$B$12,1))*SQRT(Settings!$B$13)))</f>
        <v/>
      </c>
      <c r="L993" s="18">
        <f>IF(AND(ISNUMBER(D993),ISNUMBER(H993)),D993-H993,NA())</f>
        <v/>
      </c>
      <c r="M993" s="18">
        <f>IF(AND(ISNUMBER(E993),ISNUMBER(K993)),E993-K993,NA())</f>
        <v/>
      </c>
      <c r="N993" s="18">
        <f>IF(NOT(ISNUMBER($A993)),NA(),IF(COUNT(OFFSET(G993,1,0,Settings!$B$12,1))&lt;Settings!$B$12,NA(),STDEV(OFFSET(G993,1,0,Settings!$B$12,1))*SQRT(Settings!$B$13)))</f>
        <v/>
      </c>
      <c r="O993" s="18">
        <f>IF(AND(ISNUMBER(E993),ISNUMBER(N993)),E993-N993,NA())</f>
        <v/>
      </c>
      <c r="P993" s="17">
        <f>IF(NOT(ISNUMBER($A993)),NA(),IF(OR($A993&lt;MIN(KW_TP!$A$2:$A$2501),$A993&gt;MAX(KW_TP!$A$2:$A$2501)),NA(),INDEX(KW_TP!$C$2:$C$2501,MATCH($A993,KW_TP!$A$2:$A$2501,1))))</f>
        <v/>
      </c>
    </row>
    <row r="994">
      <c r="A994" s="15">
        <f>IF(ISNUMBER(BBG_Data!A994),BBG_Data!A994,"")</f>
        <v/>
      </c>
      <c r="B994" s="16">
        <f>IF(AND(ISNUMBER($A994),ISNUMBER(BBG_Data!B994)),BBG_Data!B994,NA())</f>
        <v/>
      </c>
      <c r="C994" s="16">
        <f>IF(AND(ISNUMBER($A994),ISNUMBER(BBG_Data!C994)),BBG_Data!C994,NA())</f>
        <v/>
      </c>
      <c r="D994" s="17">
        <f>IF(AND(ISNUMBER($A994),ISNUMBER(BBG_Data!D994)),BBG_Data!D994,NA())</f>
        <v/>
      </c>
      <c r="E994" s="17">
        <f>IF(AND(ISNUMBER($A994),ISNUMBER(BBG_Data!E994)),BBG_Data!E994,NA())</f>
        <v/>
      </c>
      <c r="F994" s="18">
        <f>IF(AND(ISNUMBER(B994),ISNUMBER(B993)),(B994-B993)*100,"")</f>
        <v/>
      </c>
      <c r="G994" s="18">
        <f>IF(AND(ISNUMBER(C994),ISNUMBER(C993)),(C994-C993)*100,"")</f>
        <v/>
      </c>
      <c r="H994" s="18">
        <f>IF(OR(NOT(ISNUMBER($A994)),ROW()-2&lt;Settings!$B$11),NA(),IF(COUNT(OFFSET(F994,1-Settings!$B$11,0,Settings!$B$11,1))&lt;Settings!$B$11,NA(),STDEV(OFFSET(F994,1-Settings!$B$11,0,Settings!$B$11,1))*SQRT(Settings!$B$13)))</f>
        <v/>
      </c>
      <c r="I994" s="18">
        <f>IF(OR(NOT(ISNUMBER($A994)),ROW()-2&lt;Settings!$B$12),NA(),IF(COUNT(OFFSET(F994,1-Settings!$B$12,0,Settings!$B$12,1))&lt;Settings!$B$12,NA(),STDEV(OFFSET(F994,1-Settings!$B$12,0,Settings!$B$12,1))*SQRT(Settings!$B$13)))</f>
        <v/>
      </c>
      <c r="J994" s="18">
        <f>IF(OR(NOT(ISNUMBER($A994)),ROW()-2&lt;Settings!$B$11),NA(),IF(COUNT(OFFSET(G994,1-Settings!$B$11,0,Settings!$B$11,1))&lt;Settings!$B$11,NA(),STDEV(OFFSET(G994,1-Settings!$B$11,0,Settings!$B$11,1))*SQRT(Settings!$B$13)))</f>
        <v/>
      </c>
      <c r="K994" s="18">
        <f>IF(OR(NOT(ISNUMBER($A994)),ROW()-2&lt;Settings!$B$12),NA(),IF(COUNT(OFFSET(G994,1-Settings!$B$12,0,Settings!$B$12,1))&lt;Settings!$B$12,NA(),STDEV(OFFSET(G994,1-Settings!$B$12,0,Settings!$B$12,1))*SQRT(Settings!$B$13)))</f>
        <v/>
      </c>
      <c r="L994" s="18">
        <f>IF(AND(ISNUMBER(D994),ISNUMBER(H994)),D994-H994,NA())</f>
        <v/>
      </c>
      <c r="M994" s="18">
        <f>IF(AND(ISNUMBER(E994),ISNUMBER(K994)),E994-K994,NA())</f>
        <v/>
      </c>
      <c r="N994" s="18">
        <f>IF(NOT(ISNUMBER($A994)),NA(),IF(COUNT(OFFSET(G994,1,0,Settings!$B$12,1))&lt;Settings!$B$12,NA(),STDEV(OFFSET(G994,1,0,Settings!$B$12,1))*SQRT(Settings!$B$13)))</f>
        <v/>
      </c>
      <c r="O994" s="18">
        <f>IF(AND(ISNUMBER(E994),ISNUMBER(N994)),E994-N994,NA())</f>
        <v/>
      </c>
      <c r="P994" s="17">
        <f>IF(NOT(ISNUMBER($A994)),NA(),IF(OR($A994&lt;MIN(KW_TP!$A$2:$A$2501),$A994&gt;MAX(KW_TP!$A$2:$A$2501)),NA(),INDEX(KW_TP!$C$2:$C$2501,MATCH($A994,KW_TP!$A$2:$A$2501,1))))</f>
        <v/>
      </c>
    </row>
    <row r="995">
      <c r="A995" s="15">
        <f>IF(ISNUMBER(BBG_Data!A995),BBG_Data!A995,"")</f>
        <v/>
      </c>
      <c r="B995" s="16">
        <f>IF(AND(ISNUMBER($A995),ISNUMBER(BBG_Data!B995)),BBG_Data!B995,NA())</f>
        <v/>
      </c>
      <c r="C995" s="16">
        <f>IF(AND(ISNUMBER($A995),ISNUMBER(BBG_Data!C995)),BBG_Data!C995,NA())</f>
        <v/>
      </c>
      <c r="D995" s="17">
        <f>IF(AND(ISNUMBER($A995),ISNUMBER(BBG_Data!D995)),BBG_Data!D995,NA())</f>
        <v/>
      </c>
      <c r="E995" s="17">
        <f>IF(AND(ISNUMBER($A995),ISNUMBER(BBG_Data!E995)),BBG_Data!E995,NA())</f>
        <v/>
      </c>
      <c r="F995" s="18">
        <f>IF(AND(ISNUMBER(B995),ISNUMBER(B994)),(B995-B994)*100,"")</f>
        <v/>
      </c>
      <c r="G995" s="18">
        <f>IF(AND(ISNUMBER(C995),ISNUMBER(C994)),(C995-C994)*100,"")</f>
        <v/>
      </c>
      <c r="H995" s="18">
        <f>IF(OR(NOT(ISNUMBER($A995)),ROW()-2&lt;Settings!$B$11),NA(),IF(COUNT(OFFSET(F995,1-Settings!$B$11,0,Settings!$B$11,1))&lt;Settings!$B$11,NA(),STDEV(OFFSET(F995,1-Settings!$B$11,0,Settings!$B$11,1))*SQRT(Settings!$B$13)))</f>
        <v/>
      </c>
      <c r="I995" s="18">
        <f>IF(OR(NOT(ISNUMBER($A995)),ROW()-2&lt;Settings!$B$12),NA(),IF(COUNT(OFFSET(F995,1-Settings!$B$12,0,Settings!$B$12,1))&lt;Settings!$B$12,NA(),STDEV(OFFSET(F995,1-Settings!$B$12,0,Settings!$B$12,1))*SQRT(Settings!$B$13)))</f>
        <v/>
      </c>
      <c r="J995" s="18">
        <f>IF(OR(NOT(ISNUMBER($A995)),ROW()-2&lt;Settings!$B$11),NA(),IF(COUNT(OFFSET(G995,1-Settings!$B$11,0,Settings!$B$11,1))&lt;Settings!$B$11,NA(),STDEV(OFFSET(G995,1-Settings!$B$11,0,Settings!$B$11,1))*SQRT(Settings!$B$13)))</f>
        <v/>
      </c>
      <c r="K995" s="18">
        <f>IF(OR(NOT(ISNUMBER($A995)),ROW()-2&lt;Settings!$B$12),NA(),IF(COUNT(OFFSET(G995,1-Settings!$B$12,0,Settings!$B$12,1))&lt;Settings!$B$12,NA(),STDEV(OFFSET(G995,1-Settings!$B$12,0,Settings!$B$12,1))*SQRT(Settings!$B$13)))</f>
        <v/>
      </c>
      <c r="L995" s="18">
        <f>IF(AND(ISNUMBER(D995),ISNUMBER(H995)),D995-H995,NA())</f>
        <v/>
      </c>
      <c r="M995" s="18">
        <f>IF(AND(ISNUMBER(E995),ISNUMBER(K995)),E995-K995,NA())</f>
        <v/>
      </c>
      <c r="N995" s="18">
        <f>IF(NOT(ISNUMBER($A995)),NA(),IF(COUNT(OFFSET(G995,1,0,Settings!$B$12,1))&lt;Settings!$B$12,NA(),STDEV(OFFSET(G995,1,0,Settings!$B$12,1))*SQRT(Settings!$B$13)))</f>
        <v/>
      </c>
      <c r="O995" s="18">
        <f>IF(AND(ISNUMBER(E995),ISNUMBER(N995)),E995-N995,NA())</f>
        <v/>
      </c>
      <c r="P995" s="17">
        <f>IF(NOT(ISNUMBER($A995)),NA(),IF(OR($A995&lt;MIN(KW_TP!$A$2:$A$2501),$A995&gt;MAX(KW_TP!$A$2:$A$2501)),NA(),INDEX(KW_TP!$C$2:$C$2501,MATCH($A995,KW_TP!$A$2:$A$2501,1))))</f>
        <v/>
      </c>
    </row>
    <row r="996">
      <c r="A996" s="15">
        <f>IF(ISNUMBER(BBG_Data!A996),BBG_Data!A996,"")</f>
        <v/>
      </c>
      <c r="B996" s="16">
        <f>IF(AND(ISNUMBER($A996),ISNUMBER(BBG_Data!B996)),BBG_Data!B996,NA())</f>
        <v/>
      </c>
      <c r="C996" s="16">
        <f>IF(AND(ISNUMBER($A996),ISNUMBER(BBG_Data!C996)),BBG_Data!C996,NA())</f>
        <v/>
      </c>
      <c r="D996" s="17">
        <f>IF(AND(ISNUMBER($A996),ISNUMBER(BBG_Data!D996)),BBG_Data!D996,NA())</f>
        <v/>
      </c>
      <c r="E996" s="17">
        <f>IF(AND(ISNUMBER($A996),ISNUMBER(BBG_Data!E996)),BBG_Data!E996,NA())</f>
        <v/>
      </c>
      <c r="F996" s="18">
        <f>IF(AND(ISNUMBER(B996),ISNUMBER(B995)),(B996-B995)*100,"")</f>
        <v/>
      </c>
      <c r="G996" s="18">
        <f>IF(AND(ISNUMBER(C996),ISNUMBER(C995)),(C996-C995)*100,"")</f>
        <v/>
      </c>
      <c r="H996" s="18">
        <f>IF(OR(NOT(ISNUMBER($A996)),ROW()-2&lt;Settings!$B$11),NA(),IF(COUNT(OFFSET(F996,1-Settings!$B$11,0,Settings!$B$11,1))&lt;Settings!$B$11,NA(),STDEV(OFFSET(F996,1-Settings!$B$11,0,Settings!$B$11,1))*SQRT(Settings!$B$13)))</f>
        <v/>
      </c>
      <c r="I996" s="18">
        <f>IF(OR(NOT(ISNUMBER($A996)),ROW()-2&lt;Settings!$B$12),NA(),IF(COUNT(OFFSET(F996,1-Settings!$B$12,0,Settings!$B$12,1))&lt;Settings!$B$12,NA(),STDEV(OFFSET(F996,1-Settings!$B$12,0,Settings!$B$12,1))*SQRT(Settings!$B$13)))</f>
        <v/>
      </c>
      <c r="J996" s="18">
        <f>IF(OR(NOT(ISNUMBER($A996)),ROW()-2&lt;Settings!$B$11),NA(),IF(COUNT(OFFSET(G996,1-Settings!$B$11,0,Settings!$B$11,1))&lt;Settings!$B$11,NA(),STDEV(OFFSET(G996,1-Settings!$B$11,0,Settings!$B$11,1))*SQRT(Settings!$B$13)))</f>
        <v/>
      </c>
      <c r="K996" s="18">
        <f>IF(OR(NOT(ISNUMBER($A996)),ROW()-2&lt;Settings!$B$12),NA(),IF(COUNT(OFFSET(G996,1-Settings!$B$12,0,Settings!$B$12,1))&lt;Settings!$B$12,NA(),STDEV(OFFSET(G996,1-Settings!$B$12,0,Settings!$B$12,1))*SQRT(Settings!$B$13)))</f>
        <v/>
      </c>
      <c r="L996" s="18">
        <f>IF(AND(ISNUMBER(D996),ISNUMBER(H996)),D996-H996,NA())</f>
        <v/>
      </c>
      <c r="M996" s="18">
        <f>IF(AND(ISNUMBER(E996),ISNUMBER(K996)),E996-K996,NA())</f>
        <v/>
      </c>
      <c r="N996" s="18">
        <f>IF(NOT(ISNUMBER($A996)),NA(),IF(COUNT(OFFSET(G996,1,0,Settings!$B$12,1))&lt;Settings!$B$12,NA(),STDEV(OFFSET(G996,1,0,Settings!$B$12,1))*SQRT(Settings!$B$13)))</f>
        <v/>
      </c>
      <c r="O996" s="18">
        <f>IF(AND(ISNUMBER(E996),ISNUMBER(N996)),E996-N996,NA())</f>
        <v/>
      </c>
      <c r="P996" s="17">
        <f>IF(NOT(ISNUMBER($A996)),NA(),IF(OR($A996&lt;MIN(KW_TP!$A$2:$A$2501),$A996&gt;MAX(KW_TP!$A$2:$A$2501)),NA(),INDEX(KW_TP!$C$2:$C$2501,MATCH($A996,KW_TP!$A$2:$A$2501,1))))</f>
        <v/>
      </c>
    </row>
    <row r="997">
      <c r="A997" s="15">
        <f>IF(ISNUMBER(BBG_Data!A997),BBG_Data!A997,"")</f>
        <v/>
      </c>
      <c r="B997" s="16">
        <f>IF(AND(ISNUMBER($A997),ISNUMBER(BBG_Data!B997)),BBG_Data!B997,NA())</f>
        <v/>
      </c>
      <c r="C997" s="16">
        <f>IF(AND(ISNUMBER($A997),ISNUMBER(BBG_Data!C997)),BBG_Data!C997,NA())</f>
        <v/>
      </c>
      <c r="D997" s="17">
        <f>IF(AND(ISNUMBER($A997),ISNUMBER(BBG_Data!D997)),BBG_Data!D997,NA())</f>
        <v/>
      </c>
      <c r="E997" s="17">
        <f>IF(AND(ISNUMBER($A997),ISNUMBER(BBG_Data!E997)),BBG_Data!E997,NA())</f>
        <v/>
      </c>
      <c r="F997" s="18">
        <f>IF(AND(ISNUMBER(B997),ISNUMBER(B996)),(B997-B996)*100,"")</f>
        <v/>
      </c>
      <c r="G997" s="18">
        <f>IF(AND(ISNUMBER(C997),ISNUMBER(C996)),(C997-C996)*100,"")</f>
        <v/>
      </c>
      <c r="H997" s="18">
        <f>IF(OR(NOT(ISNUMBER($A997)),ROW()-2&lt;Settings!$B$11),NA(),IF(COUNT(OFFSET(F997,1-Settings!$B$11,0,Settings!$B$11,1))&lt;Settings!$B$11,NA(),STDEV(OFFSET(F997,1-Settings!$B$11,0,Settings!$B$11,1))*SQRT(Settings!$B$13)))</f>
        <v/>
      </c>
      <c r="I997" s="18">
        <f>IF(OR(NOT(ISNUMBER($A997)),ROW()-2&lt;Settings!$B$12),NA(),IF(COUNT(OFFSET(F997,1-Settings!$B$12,0,Settings!$B$12,1))&lt;Settings!$B$12,NA(),STDEV(OFFSET(F997,1-Settings!$B$12,0,Settings!$B$12,1))*SQRT(Settings!$B$13)))</f>
        <v/>
      </c>
      <c r="J997" s="18">
        <f>IF(OR(NOT(ISNUMBER($A997)),ROW()-2&lt;Settings!$B$11),NA(),IF(COUNT(OFFSET(G997,1-Settings!$B$11,0,Settings!$B$11,1))&lt;Settings!$B$11,NA(),STDEV(OFFSET(G997,1-Settings!$B$11,0,Settings!$B$11,1))*SQRT(Settings!$B$13)))</f>
        <v/>
      </c>
      <c r="K997" s="18">
        <f>IF(OR(NOT(ISNUMBER($A997)),ROW()-2&lt;Settings!$B$12),NA(),IF(COUNT(OFFSET(G997,1-Settings!$B$12,0,Settings!$B$12,1))&lt;Settings!$B$12,NA(),STDEV(OFFSET(G997,1-Settings!$B$12,0,Settings!$B$12,1))*SQRT(Settings!$B$13)))</f>
        <v/>
      </c>
      <c r="L997" s="18">
        <f>IF(AND(ISNUMBER(D997),ISNUMBER(H997)),D997-H997,NA())</f>
        <v/>
      </c>
      <c r="M997" s="18">
        <f>IF(AND(ISNUMBER(E997),ISNUMBER(K997)),E997-K997,NA())</f>
        <v/>
      </c>
      <c r="N997" s="18">
        <f>IF(NOT(ISNUMBER($A997)),NA(),IF(COUNT(OFFSET(G997,1,0,Settings!$B$12,1))&lt;Settings!$B$12,NA(),STDEV(OFFSET(G997,1,0,Settings!$B$12,1))*SQRT(Settings!$B$13)))</f>
        <v/>
      </c>
      <c r="O997" s="18">
        <f>IF(AND(ISNUMBER(E997),ISNUMBER(N997)),E997-N997,NA())</f>
        <v/>
      </c>
      <c r="P997" s="17">
        <f>IF(NOT(ISNUMBER($A997)),NA(),IF(OR($A997&lt;MIN(KW_TP!$A$2:$A$2501),$A997&gt;MAX(KW_TP!$A$2:$A$2501)),NA(),INDEX(KW_TP!$C$2:$C$2501,MATCH($A997,KW_TP!$A$2:$A$2501,1))))</f>
        <v/>
      </c>
    </row>
    <row r="998">
      <c r="A998" s="15">
        <f>IF(ISNUMBER(BBG_Data!A998),BBG_Data!A998,"")</f>
        <v/>
      </c>
      <c r="B998" s="16">
        <f>IF(AND(ISNUMBER($A998),ISNUMBER(BBG_Data!B998)),BBG_Data!B998,NA())</f>
        <v/>
      </c>
      <c r="C998" s="16">
        <f>IF(AND(ISNUMBER($A998),ISNUMBER(BBG_Data!C998)),BBG_Data!C998,NA())</f>
        <v/>
      </c>
      <c r="D998" s="17">
        <f>IF(AND(ISNUMBER($A998),ISNUMBER(BBG_Data!D998)),BBG_Data!D998,NA())</f>
        <v/>
      </c>
      <c r="E998" s="17">
        <f>IF(AND(ISNUMBER($A998),ISNUMBER(BBG_Data!E998)),BBG_Data!E998,NA())</f>
        <v/>
      </c>
      <c r="F998" s="18">
        <f>IF(AND(ISNUMBER(B998),ISNUMBER(B997)),(B998-B997)*100,"")</f>
        <v/>
      </c>
      <c r="G998" s="18">
        <f>IF(AND(ISNUMBER(C998),ISNUMBER(C997)),(C998-C997)*100,"")</f>
        <v/>
      </c>
      <c r="H998" s="18">
        <f>IF(OR(NOT(ISNUMBER($A998)),ROW()-2&lt;Settings!$B$11),NA(),IF(COUNT(OFFSET(F998,1-Settings!$B$11,0,Settings!$B$11,1))&lt;Settings!$B$11,NA(),STDEV(OFFSET(F998,1-Settings!$B$11,0,Settings!$B$11,1))*SQRT(Settings!$B$13)))</f>
        <v/>
      </c>
      <c r="I998" s="18">
        <f>IF(OR(NOT(ISNUMBER($A998)),ROW()-2&lt;Settings!$B$12),NA(),IF(COUNT(OFFSET(F998,1-Settings!$B$12,0,Settings!$B$12,1))&lt;Settings!$B$12,NA(),STDEV(OFFSET(F998,1-Settings!$B$12,0,Settings!$B$12,1))*SQRT(Settings!$B$13)))</f>
        <v/>
      </c>
      <c r="J998" s="18">
        <f>IF(OR(NOT(ISNUMBER($A998)),ROW()-2&lt;Settings!$B$11),NA(),IF(COUNT(OFFSET(G998,1-Settings!$B$11,0,Settings!$B$11,1))&lt;Settings!$B$11,NA(),STDEV(OFFSET(G998,1-Settings!$B$11,0,Settings!$B$11,1))*SQRT(Settings!$B$13)))</f>
        <v/>
      </c>
      <c r="K998" s="18">
        <f>IF(OR(NOT(ISNUMBER($A998)),ROW()-2&lt;Settings!$B$12),NA(),IF(COUNT(OFFSET(G998,1-Settings!$B$12,0,Settings!$B$12,1))&lt;Settings!$B$12,NA(),STDEV(OFFSET(G998,1-Settings!$B$12,0,Settings!$B$12,1))*SQRT(Settings!$B$13)))</f>
        <v/>
      </c>
      <c r="L998" s="18">
        <f>IF(AND(ISNUMBER(D998),ISNUMBER(H998)),D998-H998,NA())</f>
        <v/>
      </c>
      <c r="M998" s="18">
        <f>IF(AND(ISNUMBER(E998),ISNUMBER(K998)),E998-K998,NA())</f>
        <v/>
      </c>
      <c r="N998" s="18">
        <f>IF(NOT(ISNUMBER($A998)),NA(),IF(COUNT(OFFSET(G998,1,0,Settings!$B$12,1))&lt;Settings!$B$12,NA(),STDEV(OFFSET(G998,1,0,Settings!$B$12,1))*SQRT(Settings!$B$13)))</f>
        <v/>
      </c>
      <c r="O998" s="18">
        <f>IF(AND(ISNUMBER(E998),ISNUMBER(N998)),E998-N998,NA())</f>
        <v/>
      </c>
      <c r="P998" s="17">
        <f>IF(NOT(ISNUMBER($A998)),NA(),IF(OR($A998&lt;MIN(KW_TP!$A$2:$A$2501),$A998&gt;MAX(KW_TP!$A$2:$A$2501)),NA(),INDEX(KW_TP!$C$2:$C$2501,MATCH($A998,KW_TP!$A$2:$A$2501,1))))</f>
        <v/>
      </c>
    </row>
    <row r="999">
      <c r="A999" s="15">
        <f>IF(ISNUMBER(BBG_Data!A999),BBG_Data!A999,"")</f>
        <v/>
      </c>
      <c r="B999" s="16">
        <f>IF(AND(ISNUMBER($A999),ISNUMBER(BBG_Data!B999)),BBG_Data!B999,NA())</f>
        <v/>
      </c>
      <c r="C999" s="16">
        <f>IF(AND(ISNUMBER($A999),ISNUMBER(BBG_Data!C999)),BBG_Data!C999,NA())</f>
        <v/>
      </c>
      <c r="D999" s="17">
        <f>IF(AND(ISNUMBER($A999),ISNUMBER(BBG_Data!D999)),BBG_Data!D999,NA())</f>
        <v/>
      </c>
      <c r="E999" s="17">
        <f>IF(AND(ISNUMBER($A999),ISNUMBER(BBG_Data!E999)),BBG_Data!E999,NA())</f>
        <v/>
      </c>
      <c r="F999" s="18">
        <f>IF(AND(ISNUMBER(B999),ISNUMBER(B998)),(B999-B998)*100,"")</f>
        <v/>
      </c>
      <c r="G999" s="18">
        <f>IF(AND(ISNUMBER(C999),ISNUMBER(C998)),(C999-C998)*100,"")</f>
        <v/>
      </c>
      <c r="H999" s="18">
        <f>IF(OR(NOT(ISNUMBER($A999)),ROW()-2&lt;Settings!$B$11),NA(),IF(COUNT(OFFSET(F999,1-Settings!$B$11,0,Settings!$B$11,1))&lt;Settings!$B$11,NA(),STDEV(OFFSET(F999,1-Settings!$B$11,0,Settings!$B$11,1))*SQRT(Settings!$B$13)))</f>
        <v/>
      </c>
      <c r="I999" s="18">
        <f>IF(OR(NOT(ISNUMBER($A999)),ROW()-2&lt;Settings!$B$12),NA(),IF(COUNT(OFFSET(F999,1-Settings!$B$12,0,Settings!$B$12,1))&lt;Settings!$B$12,NA(),STDEV(OFFSET(F999,1-Settings!$B$12,0,Settings!$B$12,1))*SQRT(Settings!$B$13)))</f>
        <v/>
      </c>
      <c r="J999" s="18">
        <f>IF(OR(NOT(ISNUMBER($A999)),ROW()-2&lt;Settings!$B$11),NA(),IF(COUNT(OFFSET(G999,1-Settings!$B$11,0,Settings!$B$11,1))&lt;Settings!$B$11,NA(),STDEV(OFFSET(G999,1-Settings!$B$11,0,Settings!$B$11,1))*SQRT(Settings!$B$13)))</f>
        <v/>
      </c>
      <c r="K999" s="18">
        <f>IF(OR(NOT(ISNUMBER($A999)),ROW()-2&lt;Settings!$B$12),NA(),IF(COUNT(OFFSET(G999,1-Settings!$B$12,0,Settings!$B$12,1))&lt;Settings!$B$12,NA(),STDEV(OFFSET(G999,1-Settings!$B$12,0,Settings!$B$12,1))*SQRT(Settings!$B$13)))</f>
        <v/>
      </c>
      <c r="L999" s="18">
        <f>IF(AND(ISNUMBER(D999),ISNUMBER(H999)),D999-H999,NA())</f>
        <v/>
      </c>
      <c r="M999" s="18">
        <f>IF(AND(ISNUMBER(E999),ISNUMBER(K999)),E999-K999,NA())</f>
        <v/>
      </c>
      <c r="N999" s="18">
        <f>IF(NOT(ISNUMBER($A999)),NA(),IF(COUNT(OFFSET(G999,1,0,Settings!$B$12,1))&lt;Settings!$B$12,NA(),STDEV(OFFSET(G999,1,0,Settings!$B$12,1))*SQRT(Settings!$B$13)))</f>
        <v/>
      </c>
      <c r="O999" s="18">
        <f>IF(AND(ISNUMBER(E999),ISNUMBER(N999)),E999-N999,NA())</f>
        <v/>
      </c>
      <c r="P999" s="17">
        <f>IF(NOT(ISNUMBER($A999)),NA(),IF(OR($A999&lt;MIN(KW_TP!$A$2:$A$2501),$A999&gt;MAX(KW_TP!$A$2:$A$2501)),NA(),INDEX(KW_TP!$C$2:$C$2501,MATCH($A999,KW_TP!$A$2:$A$2501,1))))</f>
        <v/>
      </c>
    </row>
    <row r="1000">
      <c r="A1000" s="15">
        <f>IF(ISNUMBER(BBG_Data!A1000),BBG_Data!A1000,"")</f>
        <v/>
      </c>
      <c r="B1000" s="16">
        <f>IF(AND(ISNUMBER($A1000),ISNUMBER(BBG_Data!B1000)),BBG_Data!B1000,NA())</f>
        <v/>
      </c>
      <c r="C1000" s="16">
        <f>IF(AND(ISNUMBER($A1000),ISNUMBER(BBG_Data!C1000)),BBG_Data!C1000,NA())</f>
        <v/>
      </c>
      <c r="D1000" s="17">
        <f>IF(AND(ISNUMBER($A1000),ISNUMBER(BBG_Data!D1000)),BBG_Data!D1000,NA())</f>
        <v/>
      </c>
      <c r="E1000" s="17">
        <f>IF(AND(ISNUMBER($A1000),ISNUMBER(BBG_Data!E1000)),BBG_Data!E1000,NA())</f>
        <v/>
      </c>
      <c r="F1000" s="18">
        <f>IF(AND(ISNUMBER(B1000),ISNUMBER(B999)),(B1000-B999)*100,"")</f>
        <v/>
      </c>
      <c r="G1000" s="18">
        <f>IF(AND(ISNUMBER(C1000),ISNUMBER(C999)),(C1000-C999)*100,"")</f>
        <v/>
      </c>
      <c r="H1000" s="18">
        <f>IF(OR(NOT(ISNUMBER($A1000)),ROW()-2&lt;Settings!$B$11),NA(),IF(COUNT(OFFSET(F1000,1-Settings!$B$11,0,Settings!$B$11,1))&lt;Settings!$B$11,NA(),STDEV(OFFSET(F1000,1-Settings!$B$11,0,Settings!$B$11,1))*SQRT(Settings!$B$13)))</f>
        <v/>
      </c>
      <c r="I1000" s="18">
        <f>IF(OR(NOT(ISNUMBER($A1000)),ROW()-2&lt;Settings!$B$12),NA(),IF(COUNT(OFFSET(F1000,1-Settings!$B$12,0,Settings!$B$12,1))&lt;Settings!$B$12,NA(),STDEV(OFFSET(F1000,1-Settings!$B$12,0,Settings!$B$12,1))*SQRT(Settings!$B$13)))</f>
        <v/>
      </c>
      <c r="J1000" s="18">
        <f>IF(OR(NOT(ISNUMBER($A1000)),ROW()-2&lt;Settings!$B$11),NA(),IF(COUNT(OFFSET(G1000,1-Settings!$B$11,0,Settings!$B$11,1))&lt;Settings!$B$11,NA(),STDEV(OFFSET(G1000,1-Settings!$B$11,0,Settings!$B$11,1))*SQRT(Settings!$B$13)))</f>
        <v/>
      </c>
      <c r="K1000" s="18">
        <f>IF(OR(NOT(ISNUMBER($A1000)),ROW()-2&lt;Settings!$B$12),NA(),IF(COUNT(OFFSET(G1000,1-Settings!$B$12,0,Settings!$B$12,1))&lt;Settings!$B$12,NA(),STDEV(OFFSET(G1000,1-Settings!$B$12,0,Settings!$B$12,1))*SQRT(Settings!$B$13)))</f>
        <v/>
      </c>
      <c r="L1000" s="18">
        <f>IF(AND(ISNUMBER(D1000),ISNUMBER(H1000)),D1000-H1000,NA())</f>
        <v/>
      </c>
      <c r="M1000" s="18">
        <f>IF(AND(ISNUMBER(E1000),ISNUMBER(K1000)),E1000-K1000,NA())</f>
        <v/>
      </c>
      <c r="N1000" s="18">
        <f>IF(NOT(ISNUMBER($A1000)),NA(),IF(COUNT(OFFSET(G1000,1,0,Settings!$B$12,1))&lt;Settings!$B$12,NA(),STDEV(OFFSET(G1000,1,0,Settings!$B$12,1))*SQRT(Settings!$B$13)))</f>
        <v/>
      </c>
      <c r="O1000" s="18">
        <f>IF(AND(ISNUMBER(E1000),ISNUMBER(N1000)),E1000-N1000,NA())</f>
        <v/>
      </c>
      <c r="P1000" s="17">
        <f>IF(NOT(ISNUMBER($A1000)),NA(),IF(OR($A1000&lt;MIN(KW_TP!$A$2:$A$2501),$A1000&gt;MAX(KW_TP!$A$2:$A$2501)),NA(),INDEX(KW_TP!$C$2:$C$2501,MATCH($A1000,KW_TP!$A$2:$A$2501,1))))</f>
        <v/>
      </c>
    </row>
    <row r="1001">
      <c r="A1001" s="15">
        <f>IF(ISNUMBER(BBG_Data!A1001),BBG_Data!A1001,"")</f>
        <v/>
      </c>
      <c r="B1001" s="16">
        <f>IF(AND(ISNUMBER($A1001),ISNUMBER(BBG_Data!B1001)),BBG_Data!B1001,NA())</f>
        <v/>
      </c>
      <c r="C1001" s="16">
        <f>IF(AND(ISNUMBER($A1001),ISNUMBER(BBG_Data!C1001)),BBG_Data!C1001,NA())</f>
        <v/>
      </c>
      <c r="D1001" s="17">
        <f>IF(AND(ISNUMBER($A1001),ISNUMBER(BBG_Data!D1001)),BBG_Data!D1001,NA())</f>
        <v/>
      </c>
      <c r="E1001" s="17">
        <f>IF(AND(ISNUMBER($A1001),ISNUMBER(BBG_Data!E1001)),BBG_Data!E1001,NA())</f>
        <v/>
      </c>
      <c r="F1001" s="18">
        <f>IF(AND(ISNUMBER(B1001),ISNUMBER(B1000)),(B1001-B1000)*100,"")</f>
        <v/>
      </c>
      <c r="G1001" s="18">
        <f>IF(AND(ISNUMBER(C1001),ISNUMBER(C1000)),(C1001-C1000)*100,"")</f>
        <v/>
      </c>
      <c r="H1001" s="18">
        <f>IF(OR(NOT(ISNUMBER($A1001)),ROW()-2&lt;Settings!$B$11),NA(),IF(COUNT(OFFSET(F1001,1-Settings!$B$11,0,Settings!$B$11,1))&lt;Settings!$B$11,NA(),STDEV(OFFSET(F1001,1-Settings!$B$11,0,Settings!$B$11,1))*SQRT(Settings!$B$13)))</f>
        <v/>
      </c>
      <c r="I1001" s="18">
        <f>IF(OR(NOT(ISNUMBER($A1001)),ROW()-2&lt;Settings!$B$12),NA(),IF(COUNT(OFFSET(F1001,1-Settings!$B$12,0,Settings!$B$12,1))&lt;Settings!$B$12,NA(),STDEV(OFFSET(F1001,1-Settings!$B$12,0,Settings!$B$12,1))*SQRT(Settings!$B$13)))</f>
        <v/>
      </c>
      <c r="J1001" s="18">
        <f>IF(OR(NOT(ISNUMBER($A1001)),ROW()-2&lt;Settings!$B$11),NA(),IF(COUNT(OFFSET(G1001,1-Settings!$B$11,0,Settings!$B$11,1))&lt;Settings!$B$11,NA(),STDEV(OFFSET(G1001,1-Settings!$B$11,0,Settings!$B$11,1))*SQRT(Settings!$B$13)))</f>
        <v/>
      </c>
      <c r="K1001" s="18">
        <f>IF(OR(NOT(ISNUMBER($A1001)),ROW()-2&lt;Settings!$B$12),NA(),IF(COUNT(OFFSET(G1001,1-Settings!$B$12,0,Settings!$B$12,1))&lt;Settings!$B$12,NA(),STDEV(OFFSET(G1001,1-Settings!$B$12,0,Settings!$B$12,1))*SQRT(Settings!$B$13)))</f>
        <v/>
      </c>
      <c r="L1001" s="18">
        <f>IF(AND(ISNUMBER(D1001),ISNUMBER(H1001)),D1001-H1001,NA())</f>
        <v/>
      </c>
      <c r="M1001" s="18">
        <f>IF(AND(ISNUMBER(E1001),ISNUMBER(K1001)),E1001-K1001,NA())</f>
        <v/>
      </c>
      <c r="N1001" s="18">
        <f>IF(NOT(ISNUMBER($A1001)),NA(),IF(COUNT(OFFSET(G1001,1,0,Settings!$B$12,1))&lt;Settings!$B$12,NA(),STDEV(OFFSET(G1001,1,0,Settings!$B$12,1))*SQRT(Settings!$B$13)))</f>
        <v/>
      </c>
      <c r="O1001" s="18">
        <f>IF(AND(ISNUMBER(E1001),ISNUMBER(N1001)),E1001-N1001,NA())</f>
        <v/>
      </c>
      <c r="P1001" s="17">
        <f>IF(NOT(ISNUMBER($A1001)),NA(),IF(OR($A1001&lt;MIN(KW_TP!$A$2:$A$2501),$A1001&gt;MAX(KW_TP!$A$2:$A$2501)),NA(),INDEX(KW_TP!$C$2:$C$2501,MATCH($A1001,KW_TP!$A$2:$A$2501,1))))</f>
        <v/>
      </c>
    </row>
    <row r="1002">
      <c r="A1002" s="15">
        <f>IF(ISNUMBER(BBG_Data!A1002),BBG_Data!A1002,"")</f>
        <v/>
      </c>
      <c r="B1002" s="16">
        <f>IF(AND(ISNUMBER($A1002),ISNUMBER(BBG_Data!B1002)),BBG_Data!B1002,NA())</f>
        <v/>
      </c>
      <c r="C1002" s="16">
        <f>IF(AND(ISNUMBER($A1002),ISNUMBER(BBG_Data!C1002)),BBG_Data!C1002,NA())</f>
        <v/>
      </c>
      <c r="D1002" s="17">
        <f>IF(AND(ISNUMBER($A1002),ISNUMBER(BBG_Data!D1002)),BBG_Data!D1002,NA())</f>
        <v/>
      </c>
      <c r="E1002" s="17">
        <f>IF(AND(ISNUMBER($A1002),ISNUMBER(BBG_Data!E1002)),BBG_Data!E1002,NA())</f>
        <v/>
      </c>
      <c r="F1002" s="18">
        <f>IF(AND(ISNUMBER(B1002),ISNUMBER(B1001)),(B1002-B1001)*100,"")</f>
        <v/>
      </c>
      <c r="G1002" s="18">
        <f>IF(AND(ISNUMBER(C1002),ISNUMBER(C1001)),(C1002-C1001)*100,"")</f>
        <v/>
      </c>
      <c r="H1002" s="18">
        <f>IF(OR(NOT(ISNUMBER($A1002)),ROW()-2&lt;Settings!$B$11),NA(),IF(COUNT(OFFSET(F1002,1-Settings!$B$11,0,Settings!$B$11,1))&lt;Settings!$B$11,NA(),STDEV(OFFSET(F1002,1-Settings!$B$11,0,Settings!$B$11,1))*SQRT(Settings!$B$13)))</f>
        <v/>
      </c>
      <c r="I1002" s="18">
        <f>IF(OR(NOT(ISNUMBER($A1002)),ROW()-2&lt;Settings!$B$12),NA(),IF(COUNT(OFFSET(F1002,1-Settings!$B$12,0,Settings!$B$12,1))&lt;Settings!$B$12,NA(),STDEV(OFFSET(F1002,1-Settings!$B$12,0,Settings!$B$12,1))*SQRT(Settings!$B$13)))</f>
        <v/>
      </c>
      <c r="J1002" s="18">
        <f>IF(OR(NOT(ISNUMBER($A1002)),ROW()-2&lt;Settings!$B$11),NA(),IF(COUNT(OFFSET(G1002,1-Settings!$B$11,0,Settings!$B$11,1))&lt;Settings!$B$11,NA(),STDEV(OFFSET(G1002,1-Settings!$B$11,0,Settings!$B$11,1))*SQRT(Settings!$B$13)))</f>
        <v/>
      </c>
      <c r="K1002" s="18">
        <f>IF(OR(NOT(ISNUMBER($A1002)),ROW()-2&lt;Settings!$B$12),NA(),IF(COUNT(OFFSET(G1002,1-Settings!$B$12,0,Settings!$B$12,1))&lt;Settings!$B$12,NA(),STDEV(OFFSET(G1002,1-Settings!$B$12,0,Settings!$B$12,1))*SQRT(Settings!$B$13)))</f>
        <v/>
      </c>
      <c r="L1002" s="18">
        <f>IF(AND(ISNUMBER(D1002),ISNUMBER(H1002)),D1002-H1002,NA())</f>
        <v/>
      </c>
      <c r="M1002" s="18">
        <f>IF(AND(ISNUMBER(E1002),ISNUMBER(K1002)),E1002-K1002,NA())</f>
        <v/>
      </c>
      <c r="N1002" s="18">
        <f>IF(NOT(ISNUMBER($A1002)),NA(),IF(COUNT(OFFSET(G1002,1,0,Settings!$B$12,1))&lt;Settings!$B$12,NA(),STDEV(OFFSET(G1002,1,0,Settings!$B$12,1))*SQRT(Settings!$B$13)))</f>
        <v/>
      </c>
      <c r="O1002" s="18">
        <f>IF(AND(ISNUMBER(E1002),ISNUMBER(N1002)),E1002-N1002,NA())</f>
        <v/>
      </c>
      <c r="P1002" s="17">
        <f>IF(NOT(ISNUMBER($A1002)),NA(),IF(OR($A1002&lt;MIN(KW_TP!$A$2:$A$2501),$A1002&gt;MAX(KW_TP!$A$2:$A$2501)),NA(),INDEX(KW_TP!$C$2:$C$2501,MATCH($A1002,KW_TP!$A$2:$A$2501,1))))</f>
        <v/>
      </c>
    </row>
    <row r="1003">
      <c r="A1003" s="15">
        <f>IF(ISNUMBER(BBG_Data!A1003),BBG_Data!A1003,"")</f>
        <v/>
      </c>
      <c r="B1003" s="16">
        <f>IF(AND(ISNUMBER($A1003),ISNUMBER(BBG_Data!B1003)),BBG_Data!B1003,NA())</f>
        <v/>
      </c>
      <c r="C1003" s="16">
        <f>IF(AND(ISNUMBER($A1003),ISNUMBER(BBG_Data!C1003)),BBG_Data!C1003,NA())</f>
        <v/>
      </c>
      <c r="D1003" s="17">
        <f>IF(AND(ISNUMBER($A1003),ISNUMBER(BBG_Data!D1003)),BBG_Data!D1003,NA())</f>
        <v/>
      </c>
      <c r="E1003" s="17">
        <f>IF(AND(ISNUMBER($A1003),ISNUMBER(BBG_Data!E1003)),BBG_Data!E1003,NA())</f>
        <v/>
      </c>
      <c r="F1003" s="18">
        <f>IF(AND(ISNUMBER(B1003),ISNUMBER(B1002)),(B1003-B1002)*100,"")</f>
        <v/>
      </c>
      <c r="G1003" s="18">
        <f>IF(AND(ISNUMBER(C1003),ISNUMBER(C1002)),(C1003-C1002)*100,"")</f>
        <v/>
      </c>
      <c r="H1003" s="18">
        <f>IF(OR(NOT(ISNUMBER($A1003)),ROW()-2&lt;Settings!$B$11),NA(),IF(COUNT(OFFSET(F1003,1-Settings!$B$11,0,Settings!$B$11,1))&lt;Settings!$B$11,NA(),STDEV(OFFSET(F1003,1-Settings!$B$11,0,Settings!$B$11,1))*SQRT(Settings!$B$13)))</f>
        <v/>
      </c>
      <c r="I1003" s="18">
        <f>IF(OR(NOT(ISNUMBER($A1003)),ROW()-2&lt;Settings!$B$12),NA(),IF(COUNT(OFFSET(F1003,1-Settings!$B$12,0,Settings!$B$12,1))&lt;Settings!$B$12,NA(),STDEV(OFFSET(F1003,1-Settings!$B$12,0,Settings!$B$12,1))*SQRT(Settings!$B$13)))</f>
        <v/>
      </c>
      <c r="J1003" s="18">
        <f>IF(OR(NOT(ISNUMBER($A1003)),ROW()-2&lt;Settings!$B$11),NA(),IF(COUNT(OFFSET(G1003,1-Settings!$B$11,0,Settings!$B$11,1))&lt;Settings!$B$11,NA(),STDEV(OFFSET(G1003,1-Settings!$B$11,0,Settings!$B$11,1))*SQRT(Settings!$B$13)))</f>
        <v/>
      </c>
      <c r="K1003" s="18">
        <f>IF(OR(NOT(ISNUMBER($A1003)),ROW()-2&lt;Settings!$B$12),NA(),IF(COUNT(OFFSET(G1003,1-Settings!$B$12,0,Settings!$B$12,1))&lt;Settings!$B$12,NA(),STDEV(OFFSET(G1003,1-Settings!$B$12,0,Settings!$B$12,1))*SQRT(Settings!$B$13)))</f>
        <v/>
      </c>
      <c r="L1003" s="18">
        <f>IF(AND(ISNUMBER(D1003),ISNUMBER(H1003)),D1003-H1003,NA())</f>
        <v/>
      </c>
      <c r="M1003" s="18">
        <f>IF(AND(ISNUMBER(E1003),ISNUMBER(K1003)),E1003-K1003,NA())</f>
        <v/>
      </c>
      <c r="N1003" s="18">
        <f>IF(NOT(ISNUMBER($A1003)),NA(),IF(COUNT(OFFSET(G1003,1,0,Settings!$B$12,1))&lt;Settings!$B$12,NA(),STDEV(OFFSET(G1003,1,0,Settings!$B$12,1))*SQRT(Settings!$B$13)))</f>
        <v/>
      </c>
      <c r="O1003" s="18">
        <f>IF(AND(ISNUMBER(E1003),ISNUMBER(N1003)),E1003-N1003,NA())</f>
        <v/>
      </c>
      <c r="P1003" s="17">
        <f>IF(NOT(ISNUMBER($A1003)),NA(),IF(OR($A1003&lt;MIN(KW_TP!$A$2:$A$2501),$A1003&gt;MAX(KW_TP!$A$2:$A$2501)),NA(),INDEX(KW_TP!$C$2:$C$2501,MATCH($A1003,KW_TP!$A$2:$A$2501,1))))</f>
        <v/>
      </c>
    </row>
    <row r="1004">
      <c r="A1004" s="15">
        <f>IF(ISNUMBER(BBG_Data!A1004),BBG_Data!A1004,"")</f>
        <v/>
      </c>
      <c r="B1004" s="16">
        <f>IF(AND(ISNUMBER($A1004),ISNUMBER(BBG_Data!B1004)),BBG_Data!B1004,NA())</f>
        <v/>
      </c>
      <c r="C1004" s="16">
        <f>IF(AND(ISNUMBER($A1004),ISNUMBER(BBG_Data!C1004)),BBG_Data!C1004,NA())</f>
        <v/>
      </c>
      <c r="D1004" s="17">
        <f>IF(AND(ISNUMBER($A1004),ISNUMBER(BBG_Data!D1004)),BBG_Data!D1004,NA())</f>
        <v/>
      </c>
      <c r="E1004" s="17">
        <f>IF(AND(ISNUMBER($A1004),ISNUMBER(BBG_Data!E1004)),BBG_Data!E1004,NA())</f>
        <v/>
      </c>
      <c r="F1004" s="18">
        <f>IF(AND(ISNUMBER(B1004),ISNUMBER(B1003)),(B1004-B1003)*100,"")</f>
        <v/>
      </c>
      <c r="G1004" s="18">
        <f>IF(AND(ISNUMBER(C1004),ISNUMBER(C1003)),(C1004-C1003)*100,"")</f>
        <v/>
      </c>
      <c r="H1004" s="18">
        <f>IF(OR(NOT(ISNUMBER($A1004)),ROW()-2&lt;Settings!$B$11),NA(),IF(COUNT(OFFSET(F1004,1-Settings!$B$11,0,Settings!$B$11,1))&lt;Settings!$B$11,NA(),STDEV(OFFSET(F1004,1-Settings!$B$11,0,Settings!$B$11,1))*SQRT(Settings!$B$13)))</f>
        <v/>
      </c>
      <c r="I1004" s="18">
        <f>IF(OR(NOT(ISNUMBER($A1004)),ROW()-2&lt;Settings!$B$12),NA(),IF(COUNT(OFFSET(F1004,1-Settings!$B$12,0,Settings!$B$12,1))&lt;Settings!$B$12,NA(),STDEV(OFFSET(F1004,1-Settings!$B$12,0,Settings!$B$12,1))*SQRT(Settings!$B$13)))</f>
        <v/>
      </c>
      <c r="J1004" s="18">
        <f>IF(OR(NOT(ISNUMBER($A1004)),ROW()-2&lt;Settings!$B$11),NA(),IF(COUNT(OFFSET(G1004,1-Settings!$B$11,0,Settings!$B$11,1))&lt;Settings!$B$11,NA(),STDEV(OFFSET(G1004,1-Settings!$B$11,0,Settings!$B$11,1))*SQRT(Settings!$B$13)))</f>
        <v/>
      </c>
      <c r="K1004" s="18">
        <f>IF(OR(NOT(ISNUMBER($A1004)),ROW()-2&lt;Settings!$B$12),NA(),IF(COUNT(OFFSET(G1004,1-Settings!$B$12,0,Settings!$B$12,1))&lt;Settings!$B$12,NA(),STDEV(OFFSET(G1004,1-Settings!$B$12,0,Settings!$B$12,1))*SQRT(Settings!$B$13)))</f>
        <v/>
      </c>
      <c r="L1004" s="18">
        <f>IF(AND(ISNUMBER(D1004),ISNUMBER(H1004)),D1004-H1004,NA())</f>
        <v/>
      </c>
      <c r="M1004" s="18">
        <f>IF(AND(ISNUMBER(E1004),ISNUMBER(K1004)),E1004-K1004,NA())</f>
        <v/>
      </c>
      <c r="N1004" s="18">
        <f>IF(NOT(ISNUMBER($A1004)),NA(),IF(COUNT(OFFSET(G1004,1,0,Settings!$B$12,1))&lt;Settings!$B$12,NA(),STDEV(OFFSET(G1004,1,0,Settings!$B$12,1))*SQRT(Settings!$B$13)))</f>
        <v/>
      </c>
      <c r="O1004" s="18">
        <f>IF(AND(ISNUMBER(E1004),ISNUMBER(N1004)),E1004-N1004,NA())</f>
        <v/>
      </c>
      <c r="P1004" s="17">
        <f>IF(NOT(ISNUMBER($A1004)),NA(),IF(OR($A1004&lt;MIN(KW_TP!$A$2:$A$2501),$A1004&gt;MAX(KW_TP!$A$2:$A$2501)),NA(),INDEX(KW_TP!$C$2:$C$2501,MATCH($A1004,KW_TP!$A$2:$A$2501,1))))</f>
        <v/>
      </c>
    </row>
    <row r="1005">
      <c r="A1005" s="15">
        <f>IF(ISNUMBER(BBG_Data!A1005),BBG_Data!A1005,"")</f>
        <v/>
      </c>
      <c r="B1005" s="16">
        <f>IF(AND(ISNUMBER($A1005),ISNUMBER(BBG_Data!B1005)),BBG_Data!B1005,NA())</f>
        <v/>
      </c>
      <c r="C1005" s="16">
        <f>IF(AND(ISNUMBER($A1005),ISNUMBER(BBG_Data!C1005)),BBG_Data!C1005,NA())</f>
        <v/>
      </c>
      <c r="D1005" s="17">
        <f>IF(AND(ISNUMBER($A1005),ISNUMBER(BBG_Data!D1005)),BBG_Data!D1005,NA())</f>
        <v/>
      </c>
      <c r="E1005" s="17">
        <f>IF(AND(ISNUMBER($A1005),ISNUMBER(BBG_Data!E1005)),BBG_Data!E1005,NA())</f>
        <v/>
      </c>
      <c r="F1005" s="18">
        <f>IF(AND(ISNUMBER(B1005),ISNUMBER(B1004)),(B1005-B1004)*100,"")</f>
        <v/>
      </c>
      <c r="G1005" s="18">
        <f>IF(AND(ISNUMBER(C1005),ISNUMBER(C1004)),(C1005-C1004)*100,"")</f>
        <v/>
      </c>
      <c r="H1005" s="18">
        <f>IF(OR(NOT(ISNUMBER($A1005)),ROW()-2&lt;Settings!$B$11),NA(),IF(COUNT(OFFSET(F1005,1-Settings!$B$11,0,Settings!$B$11,1))&lt;Settings!$B$11,NA(),STDEV(OFFSET(F1005,1-Settings!$B$11,0,Settings!$B$11,1))*SQRT(Settings!$B$13)))</f>
        <v/>
      </c>
      <c r="I1005" s="18">
        <f>IF(OR(NOT(ISNUMBER($A1005)),ROW()-2&lt;Settings!$B$12),NA(),IF(COUNT(OFFSET(F1005,1-Settings!$B$12,0,Settings!$B$12,1))&lt;Settings!$B$12,NA(),STDEV(OFFSET(F1005,1-Settings!$B$12,0,Settings!$B$12,1))*SQRT(Settings!$B$13)))</f>
        <v/>
      </c>
      <c r="J1005" s="18">
        <f>IF(OR(NOT(ISNUMBER($A1005)),ROW()-2&lt;Settings!$B$11),NA(),IF(COUNT(OFFSET(G1005,1-Settings!$B$11,0,Settings!$B$11,1))&lt;Settings!$B$11,NA(),STDEV(OFFSET(G1005,1-Settings!$B$11,0,Settings!$B$11,1))*SQRT(Settings!$B$13)))</f>
        <v/>
      </c>
      <c r="K1005" s="18">
        <f>IF(OR(NOT(ISNUMBER($A1005)),ROW()-2&lt;Settings!$B$12),NA(),IF(COUNT(OFFSET(G1005,1-Settings!$B$12,0,Settings!$B$12,1))&lt;Settings!$B$12,NA(),STDEV(OFFSET(G1005,1-Settings!$B$12,0,Settings!$B$12,1))*SQRT(Settings!$B$13)))</f>
        <v/>
      </c>
      <c r="L1005" s="18">
        <f>IF(AND(ISNUMBER(D1005),ISNUMBER(H1005)),D1005-H1005,NA())</f>
        <v/>
      </c>
      <c r="M1005" s="18">
        <f>IF(AND(ISNUMBER(E1005),ISNUMBER(K1005)),E1005-K1005,NA())</f>
        <v/>
      </c>
      <c r="N1005" s="18">
        <f>IF(NOT(ISNUMBER($A1005)),NA(),IF(COUNT(OFFSET(G1005,1,0,Settings!$B$12,1))&lt;Settings!$B$12,NA(),STDEV(OFFSET(G1005,1,0,Settings!$B$12,1))*SQRT(Settings!$B$13)))</f>
        <v/>
      </c>
      <c r="O1005" s="18">
        <f>IF(AND(ISNUMBER(E1005),ISNUMBER(N1005)),E1005-N1005,NA())</f>
        <v/>
      </c>
      <c r="P1005" s="17">
        <f>IF(NOT(ISNUMBER($A1005)),NA(),IF(OR($A1005&lt;MIN(KW_TP!$A$2:$A$2501),$A1005&gt;MAX(KW_TP!$A$2:$A$2501)),NA(),INDEX(KW_TP!$C$2:$C$2501,MATCH($A1005,KW_TP!$A$2:$A$2501,1))))</f>
        <v/>
      </c>
    </row>
    <row r="1006">
      <c r="A1006" s="15">
        <f>IF(ISNUMBER(BBG_Data!A1006),BBG_Data!A1006,"")</f>
        <v/>
      </c>
      <c r="B1006" s="16">
        <f>IF(AND(ISNUMBER($A1006),ISNUMBER(BBG_Data!B1006)),BBG_Data!B1006,NA())</f>
        <v/>
      </c>
      <c r="C1006" s="16">
        <f>IF(AND(ISNUMBER($A1006),ISNUMBER(BBG_Data!C1006)),BBG_Data!C1006,NA())</f>
        <v/>
      </c>
      <c r="D1006" s="17">
        <f>IF(AND(ISNUMBER($A1006),ISNUMBER(BBG_Data!D1006)),BBG_Data!D1006,NA())</f>
        <v/>
      </c>
      <c r="E1006" s="17">
        <f>IF(AND(ISNUMBER($A1006),ISNUMBER(BBG_Data!E1006)),BBG_Data!E1006,NA())</f>
        <v/>
      </c>
      <c r="F1006" s="18">
        <f>IF(AND(ISNUMBER(B1006),ISNUMBER(B1005)),(B1006-B1005)*100,"")</f>
        <v/>
      </c>
      <c r="G1006" s="18">
        <f>IF(AND(ISNUMBER(C1006),ISNUMBER(C1005)),(C1006-C1005)*100,"")</f>
        <v/>
      </c>
      <c r="H1006" s="18">
        <f>IF(OR(NOT(ISNUMBER($A1006)),ROW()-2&lt;Settings!$B$11),NA(),IF(COUNT(OFFSET(F1006,1-Settings!$B$11,0,Settings!$B$11,1))&lt;Settings!$B$11,NA(),STDEV(OFFSET(F1006,1-Settings!$B$11,0,Settings!$B$11,1))*SQRT(Settings!$B$13)))</f>
        <v/>
      </c>
      <c r="I1006" s="18">
        <f>IF(OR(NOT(ISNUMBER($A1006)),ROW()-2&lt;Settings!$B$12),NA(),IF(COUNT(OFFSET(F1006,1-Settings!$B$12,0,Settings!$B$12,1))&lt;Settings!$B$12,NA(),STDEV(OFFSET(F1006,1-Settings!$B$12,0,Settings!$B$12,1))*SQRT(Settings!$B$13)))</f>
        <v/>
      </c>
      <c r="J1006" s="18">
        <f>IF(OR(NOT(ISNUMBER($A1006)),ROW()-2&lt;Settings!$B$11),NA(),IF(COUNT(OFFSET(G1006,1-Settings!$B$11,0,Settings!$B$11,1))&lt;Settings!$B$11,NA(),STDEV(OFFSET(G1006,1-Settings!$B$11,0,Settings!$B$11,1))*SQRT(Settings!$B$13)))</f>
        <v/>
      </c>
      <c r="K1006" s="18">
        <f>IF(OR(NOT(ISNUMBER($A1006)),ROW()-2&lt;Settings!$B$12),NA(),IF(COUNT(OFFSET(G1006,1-Settings!$B$12,0,Settings!$B$12,1))&lt;Settings!$B$12,NA(),STDEV(OFFSET(G1006,1-Settings!$B$12,0,Settings!$B$12,1))*SQRT(Settings!$B$13)))</f>
        <v/>
      </c>
      <c r="L1006" s="18">
        <f>IF(AND(ISNUMBER(D1006),ISNUMBER(H1006)),D1006-H1006,NA())</f>
        <v/>
      </c>
      <c r="M1006" s="18">
        <f>IF(AND(ISNUMBER(E1006),ISNUMBER(K1006)),E1006-K1006,NA())</f>
        <v/>
      </c>
      <c r="N1006" s="18">
        <f>IF(NOT(ISNUMBER($A1006)),NA(),IF(COUNT(OFFSET(G1006,1,0,Settings!$B$12,1))&lt;Settings!$B$12,NA(),STDEV(OFFSET(G1006,1,0,Settings!$B$12,1))*SQRT(Settings!$B$13)))</f>
        <v/>
      </c>
      <c r="O1006" s="18">
        <f>IF(AND(ISNUMBER(E1006),ISNUMBER(N1006)),E1006-N1006,NA())</f>
        <v/>
      </c>
      <c r="P1006" s="17">
        <f>IF(NOT(ISNUMBER($A1006)),NA(),IF(OR($A1006&lt;MIN(KW_TP!$A$2:$A$2501),$A1006&gt;MAX(KW_TP!$A$2:$A$2501)),NA(),INDEX(KW_TP!$C$2:$C$2501,MATCH($A1006,KW_TP!$A$2:$A$2501,1))))</f>
        <v/>
      </c>
    </row>
    <row r="1007">
      <c r="A1007" s="15">
        <f>IF(ISNUMBER(BBG_Data!A1007),BBG_Data!A1007,"")</f>
        <v/>
      </c>
      <c r="B1007" s="16">
        <f>IF(AND(ISNUMBER($A1007),ISNUMBER(BBG_Data!B1007)),BBG_Data!B1007,NA())</f>
        <v/>
      </c>
      <c r="C1007" s="16">
        <f>IF(AND(ISNUMBER($A1007),ISNUMBER(BBG_Data!C1007)),BBG_Data!C1007,NA())</f>
        <v/>
      </c>
      <c r="D1007" s="17">
        <f>IF(AND(ISNUMBER($A1007),ISNUMBER(BBG_Data!D1007)),BBG_Data!D1007,NA())</f>
        <v/>
      </c>
      <c r="E1007" s="17">
        <f>IF(AND(ISNUMBER($A1007),ISNUMBER(BBG_Data!E1007)),BBG_Data!E1007,NA())</f>
        <v/>
      </c>
      <c r="F1007" s="18">
        <f>IF(AND(ISNUMBER(B1007),ISNUMBER(B1006)),(B1007-B1006)*100,"")</f>
        <v/>
      </c>
      <c r="G1007" s="18">
        <f>IF(AND(ISNUMBER(C1007),ISNUMBER(C1006)),(C1007-C1006)*100,"")</f>
        <v/>
      </c>
      <c r="H1007" s="18">
        <f>IF(OR(NOT(ISNUMBER($A1007)),ROW()-2&lt;Settings!$B$11),NA(),IF(COUNT(OFFSET(F1007,1-Settings!$B$11,0,Settings!$B$11,1))&lt;Settings!$B$11,NA(),STDEV(OFFSET(F1007,1-Settings!$B$11,0,Settings!$B$11,1))*SQRT(Settings!$B$13)))</f>
        <v/>
      </c>
      <c r="I1007" s="18">
        <f>IF(OR(NOT(ISNUMBER($A1007)),ROW()-2&lt;Settings!$B$12),NA(),IF(COUNT(OFFSET(F1007,1-Settings!$B$12,0,Settings!$B$12,1))&lt;Settings!$B$12,NA(),STDEV(OFFSET(F1007,1-Settings!$B$12,0,Settings!$B$12,1))*SQRT(Settings!$B$13)))</f>
        <v/>
      </c>
      <c r="J1007" s="18">
        <f>IF(OR(NOT(ISNUMBER($A1007)),ROW()-2&lt;Settings!$B$11),NA(),IF(COUNT(OFFSET(G1007,1-Settings!$B$11,0,Settings!$B$11,1))&lt;Settings!$B$11,NA(),STDEV(OFFSET(G1007,1-Settings!$B$11,0,Settings!$B$11,1))*SQRT(Settings!$B$13)))</f>
        <v/>
      </c>
      <c r="K1007" s="18">
        <f>IF(OR(NOT(ISNUMBER($A1007)),ROW()-2&lt;Settings!$B$12),NA(),IF(COUNT(OFFSET(G1007,1-Settings!$B$12,0,Settings!$B$12,1))&lt;Settings!$B$12,NA(),STDEV(OFFSET(G1007,1-Settings!$B$12,0,Settings!$B$12,1))*SQRT(Settings!$B$13)))</f>
        <v/>
      </c>
      <c r="L1007" s="18">
        <f>IF(AND(ISNUMBER(D1007),ISNUMBER(H1007)),D1007-H1007,NA())</f>
        <v/>
      </c>
      <c r="M1007" s="18">
        <f>IF(AND(ISNUMBER(E1007),ISNUMBER(K1007)),E1007-K1007,NA())</f>
        <v/>
      </c>
      <c r="N1007" s="18">
        <f>IF(NOT(ISNUMBER($A1007)),NA(),IF(COUNT(OFFSET(G1007,1,0,Settings!$B$12,1))&lt;Settings!$B$12,NA(),STDEV(OFFSET(G1007,1,0,Settings!$B$12,1))*SQRT(Settings!$B$13)))</f>
        <v/>
      </c>
      <c r="O1007" s="18">
        <f>IF(AND(ISNUMBER(E1007),ISNUMBER(N1007)),E1007-N1007,NA())</f>
        <v/>
      </c>
      <c r="P1007" s="17">
        <f>IF(NOT(ISNUMBER($A1007)),NA(),IF(OR($A1007&lt;MIN(KW_TP!$A$2:$A$2501),$A1007&gt;MAX(KW_TP!$A$2:$A$2501)),NA(),INDEX(KW_TP!$C$2:$C$2501,MATCH($A1007,KW_TP!$A$2:$A$2501,1))))</f>
        <v/>
      </c>
    </row>
    <row r="1008">
      <c r="A1008" s="15">
        <f>IF(ISNUMBER(BBG_Data!A1008),BBG_Data!A1008,"")</f>
        <v/>
      </c>
      <c r="B1008" s="16">
        <f>IF(AND(ISNUMBER($A1008),ISNUMBER(BBG_Data!B1008)),BBG_Data!B1008,NA())</f>
        <v/>
      </c>
      <c r="C1008" s="16">
        <f>IF(AND(ISNUMBER($A1008),ISNUMBER(BBG_Data!C1008)),BBG_Data!C1008,NA())</f>
        <v/>
      </c>
      <c r="D1008" s="17">
        <f>IF(AND(ISNUMBER($A1008),ISNUMBER(BBG_Data!D1008)),BBG_Data!D1008,NA())</f>
        <v/>
      </c>
      <c r="E1008" s="17">
        <f>IF(AND(ISNUMBER($A1008),ISNUMBER(BBG_Data!E1008)),BBG_Data!E1008,NA())</f>
        <v/>
      </c>
      <c r="F1008" s="18">
        <f>IF(AND(ISNUMBER(B1008),ISNUMBER(B1007)),(B1008-B1007)*100,"")</f>
        <v/>
      </c>
      <c r="G1008" s="18">
        <f>IF(AND(ISNUMBER(C1008),ISNUMBER(C1007)),(C1008-C1007)*100,"")</f>
        <v/>
      </c>
      <c r="H1008" s="18">
        <f>IF(OR(NOT(ISNUMBER($A1008)),ROW()-2&lt;Settings!$B$11),NA(),IF(COUNT(OFFSET(F1008,1-Settings!$B$11,0,Settings!$B$11,1))&lt;Settings!$B$11,NA(),STDEV(OFFSET(F1008,1-Settings!$B$11,0,Settings!$B$11,1))*SQRT(Settings!$B$13)))</f>
        <v/>
      </c>
      <c r="I1008" s="18">
        <f>IF(OR(NOT(ISNUMBER($A1008)),ROW()-2&lt;Settings!$B$12),NA(),IF(COUNT(OFFSET(F1008,1-Settings!$B$12,0,Settings!$B$12,1))&lt;Settings!$B$12,NA(),STDEV(OFFSET(F1008,1-Settings!$B$12,0,Settings!$B$12,1))*SQRT(Settings!$B$13)))</f>
        <v/>
      </c>
      <c r="J1008" s="18">
        <f>IF(OR(NOT(ISNUMBER($A1008)),ROW()-2&lt;Settings!$B$11),NA(),IF(COUNT(OFFSET(G1008,1-Settings!$B$11,0,Settings!$B$11,1))&lt;Settings!$B$11,NA(),STDEV(OFFSET(G1008,1-Settings!$B$11,0,Settings!$B$11,1))*SQRT(Settings!$B$13)))</f>
        <v/>
      </c>
      <c r="K1008" s="18">
        <f>IF(OR(NOT(ISNUMBER($A1008)),ROW()-2&lt;Settings!$B$12),NA(),IF(COUNT(OFFSET(G1008,1-Settings!$B$12,0,Settings!$B$12,1))&lt;Settings!$B$12,NA(),STDEV(OFFSET(G1008,1-Settings!$B$12,0,Settings!$B$12,1))*SQRT(Settings!$B$13)))</f>
        <v/>
      </c>
      <c r="L1008" s="18">
        <f>IF(AND(ISNUMBER(D1008),ISNUMBER(H1008)),D1008-H1008,NA())</f>
        <v/>
      </c>
      <c r="M1008" s="18">
        <f>IF(AND(ISNUMBER(E1008),ISNUMBER(K1008)),E1008-K1008,NA())</f>
        <v/>
      </c>
      <c r="N1008" s="18">
        <f>IF(NOT(ISNUMBER($A1008)),NA(),IF(COUNT(OFFSET(G1008,1,0,Settings!$B$12,1))&lt;Settings!$B$12,NA(),STDEV(OFFSET(G1008,1,0,Settings!$B$12,1))*SQRT(Settings!$B$13)))</f>
        <v/>
      </c>
      <c r="O1008" s="18">
        <f>IF(AND(ISNUMBER(E1008),ISNUMBER(N1008)),E1008-N1008,NA())</f>
        <v/>
      </c>
      <c r="P1008" s="17">
        <f>IF(NOT(ISNUMBER($A1008)),NA(),IF(OR($A1008&lt;MIN(KW_TP!$A$2:$A$2501),$A1008&gt;MAX(KW_TP!$A$2:$A$2501)),NA(),INDEX(KW_TP!$C$2:$C$2501,MATCH($A1008,KW_TP!$A$2:$A$2501,1))))</f>
        <v/>
      </c>
    </row>
    <row r="1009">
      <c r="A1009" s="15">
        <f>IF(ISNUMBER(BBG_Data!A1009),BBG_Data!A1009,"")</f>
        <v/>
      </c>
      <c r="B1009" s="16">
        <f>IF(AND(ISNUMBER($A1009),ISNUMBER(BBG_Data!B1009)),BBG_Data!B1009,NA())</f>
        <v/>
      </c>
      <c r="C1009" s="16">
        <f>IF(AND(ISNUMBER($A1009),ISNUMBER(BBG_Data!C1009)),BBG_Data!C1009,NA())</f>
        <v/>
      </c>
      <c r="D1009" s="17">
        <f>IF(AND(ISNUMBER($A1009),ISNUMBER(BBG_Data!D1009)),BBG_Data!D1009,NA())</f>
        <v/>
      </c>
      <c r="E1009" s="17">
        <f>IF(AND(ISNUMBER($A1009),ISNUMBER(BBG_Data!E1009)),BBG_Data!E1009,NA())</f>
        <v/>
      </c>
      <c r="F1009" s="18">
        <f>IF(AND(ISNUMBER(B1009),ISNUMBER(B1008)),(B1009-B1008)*100,"")</f>
        <v/>
      </c>
      <c r="G1009" s="18">
        <f>IF(AND(ISNUMBER(C1009),ISNUMBER(C1008)),(C1009-C1008)*100,"")</f>
        <v/>
      </c>
      <c r="H1009" s="18">
        <f>IF(OR(NOT(ISNUMBER($A1009)),ROW()-2&lt;Settings!$B$11),NA(),IF(COUNT(OFFSET(F1009,1-Settings!$B$11,0,Settings!$B$11,1))&lt;Settings!$B$11,NA(),STDEV(OFFSET(F1009,1-Settings!$B$11,0,Settings!$B$11,1))*SQRT(Settings!$B$13)))</f>
        <v/>
      </c>
      <c r="I1009" s="18">
        <f>IF(OR(NOT(ISNUMBER($A1009)),ROW()-2&lt;Settings!$B$12),NA(),IF(COUNT(OFFSET(F1009,1-Settings!$B$12,0,Settings!$B$12,1))&lt;Settings!$B$12,NA(),STDEV(OFFSET(F1009,1-Settings!$B$12,0,Settings!$B$12,1))*SQRT(Settings!$B$13)))</f>
        <v/>
      </c>
      <c r="J1009" s="18">
        <f>IF(OR(NOT(ISNUMBER($A1009)),ROW()-2&lt;Settings!$B$11),NA(),IF(COUNT(OFFSET(G1009,1-Settings!$B$11,0,Settings!$B$11,1))&lt;Settings!$B$11,NA(),STDEV(OFFSET(G1009,1-Settings!$B$11,0,Settings!$B$11,1))*SQRT(Settings!$B$13)))</f>
        <v/>
      </c>
      <c r="K1009" s="18">
        <f>IF(OR(NOT(ISNUMBER($A1009)),ROW()-2&lt;Settings!$B$12),NA(),IF(COUNT(OFFSET(G1009,1-Settings!$B$12,0,Settings!$B$12,1))&lt;Settings!$B$12,NA(),STDEV(OFFSET(G1009,1-Settings!$B$12,0,Settings!$B$12,1))*SQRT(Settings!$B$13)))</f>
        <v/>
      </c>
      <c r="L1009" s="18">
        <f>IF(AND(ISNUMBER(D1009),ISNUMBER(H1009)),D1009-H1009,NA())</f>
        <v/>
      </c>
      <c r="M1009" s="18">
        <f>IF(AND(ISNUMBER(E1009),ISNUMBER(K1009)),E1009-K1009,NA())</f>
        <v/>
      </c>
      <c r="N1009" s="18">
        <f>IF(NOT(ISNUMBER($A1009)),NA(),IF(COUNT(OFFSET(G1009,1,0,Settings!$B$12,1))&lt;Settings!$B$12,NA(),STDEV(OFFSET(G1009,1,0,Settings!$B$12,1))*SQRT(Settings!$B$13)))</f>
        <v/>
      </c>
      <c r="O1009" s="18">
        <f>IF(AND(ISNUMBER(E1009),ISNUMBER(N1009)),E1009-N1009,NA())</f>
        <v/>
      </c>
      <c r="P1009" s="17">
        <f>IF(NOT(ISNUMBER($A1009)),NA(),IF(OR($A1009&lt;MIN(KW_TP!$A$2:$A$2501),$A1009&gt;MAX(KW_TP!$A$2:$A$2501)),NA(),INDEX(KW_TP!$C$2:$C$2501,MATCH($A1009,KW_TP!$A$2:$A$2501,1))))</f>
        <v/>
      </c>
    </row>
    <row r="1010">
      <c r="A1010" s="15">
        <f>IF(ISNUMBER(BBG_Data!A1010),BBG_Data!A1010,"")</f>
        <v/>
      </c>
      <c r="B1010" s="16">
        <f>IF(AND(ISNUMBER($A1010),ISNUMBER(BBG_Data!B1010)),BBG_Data!B1010,NA())</f>
        <v/>
      </c>
      <c r="C1010" s="16">
        <f>IF(AND(ISNUMBER($A1010),ISNUMBER(BBG_Data!C1010)),BBG_Data!C1010,NA())</f>
        <v/>
      </c>
      <c r="D1010" s="17">
        <f>IF(AND(ISNUMBER($A1010),ISNUMBER(BBG_Data!D1010)),BBG_Data!D1010,NA())</f>
        <v/>
      </c>
      <c r="E1010" s="17">
        <f>IF(AND(ISNUMBER($A1010),ISNUMBER(BBG_Data!E1010)),BBG_Data!E1010,NA())</f>
        <v/>
      </c>
      <c r="F1010" s="18">
        <f>IF(AND(ISNUMBER(B1010),ISNUMBER(B1009)),(B1010-B1009)*100,"")</f>
        <v/>
      </c>
      <c r="G1010" s="18">
        <f>IF(AND(ISNUMBER(C1010),ISNUMBER(C1009)),(C1010-C1009)*100,"")</f>
        <v/>
      </c>
      <c r="H1010" s="18">
        <f>IF(OR(NOT(ISNUMBER($A1010)),ROW()-2&lt;Settings!$B$11),NA(),IF(COUNT(OFFSET(F1010,1-Settings!$B$11,0,Settings!$B$11,1))&lt;Settings!$B$11,NA(),STDEV(OFFSET(F1010,1-Settings!$B$11,0,Settings!$B$11,1))*SQRT(Settings!$B$13)))</f>
        <v/>
      </c>
      <c r="I1010" s="18">
        <f>IF(OR(NOT(ISNUMBER($A1010)),ROW()-2&lt;Settings!$B$12),NA(),IF(COUNT(OFFSET(F1010,1-Settings!$B$12,0,Settings!$B$12,1))&lt;Settings!$B$12,NA(),STDEV(OFFSET(F1010,1-Settings!$B$12,0,Settings!$B$12,1))*SQRT(Settings!$B$13)))</f>
        <v/>
      </c>
      <c r="J1010" s="18">
        <f>IF(OR(NOT(ISNUMBER($A1010)),ROW()-2&lt;Settings!$B$11),NA(),IF(COUNT(OFFSET(G1010,1-Settings!$B$11,0,Settings!$B$11,1))&lt;Settings!$B$11,NA(),STDEV(OFFSET(G1010,1-Settings!$B$11,0,Settings!$B$11,1))*SQRT(Settings!$B$13)))</f>
        <v/>
      </c>
      <c r="K1010" s="18">
        <f>IF(OR(NOT(ISNUMBER($A1010)),ROW()-2&lt;Settings!$B$12),NA(),IF(COUNT(OFFSET(G1010,1-Settings!$B$12,0,Settings!$B$12,1))&lt;Settings!$B$12,NA(),STDEV(OFFSET(G1010,1-Settings!$B$12,0,Settings!$B$12,1))*SQRT(Settings!$B$13)))</f>
        <v/>
      </c>
      <c r="L1010" s="18">
        <f>IF(AND(ISNUMBER(D1010),ISNUMBER(H1010)),D1010-H1010,NA())</f>
        <v/>
      </c>
      <c r="M1010" s="18">
        <f>IF(AND(ISNUMBER(E1010),ISNUMBER(K1010)),E1010-K1010,NA())</f>
        <v/>
      </c>
      <c r="N1010" s="18">
        <f>IF(NOT(ISNUMBER($A1010)),NA(),IF(COUNT(OFFSET(G1010,1,0,Settings!$B$12,1))&lt;Settings!$B$12,NA(),STDEV(OFFSET(G1010,1,0,Settings!$B$12,1))*SQRT(Settings!$B$13)))</f>
        <v/>
      </c>
      <c r="O1010" s="18">
        <f>IF(AND(ISNUMBER(E1010),ISNUMBER(N1010)),E1010-N1010,NA())</f>
        <v/>
      </c>
      <c r="P1010" s="17">
        <f>IF(NOT(ISNUMBER($A1010)),NA(),IF(OR($A1010&lt;MIN(KW_TP!$A$2:$A$2501),$A1010&gt;MAX(KW_TP!$A$2:$A$2501)),NA(),INDEX(KW_TP!$C$2:$C$2501,MATCH($A1010,KW_TP!$A$2:$A$2501,1))))</f>
        <v/>
      </c>
    </row>
    <row r="1011">
      <c r="A1011" s="15">
        <f>IF(ISNUMBER(BBG_Data!A1011),BBG_Data!A1011,"")</f>
        <v/>
      </c>
      <c r="B1011" s="16">
        <f>IF(AND(ISNUMBER($A1011),ISNUMBER(BBG_Data!B1011)),BBG_Data!B1011,NA())</f>
        <v/>
      </c>
      <c r="C1011" s="16">
        <f>IF(AND(ISNUMBER($A1011),ISNUMBER(BBG_Data!C1011)),BBG_Data!C1011,NA())</f>
        <v/>
      </c>
      <c r="D1011" s="17">
        <f>IF(AND(ISNUMBER($A1011),ISNUMBER(BBG_Data!D1011)),BBG_Data!D1011,NA())</f>
        <v/>
      </c>
      <c r="E1011" s="17">
        <f>IF(AND(ISNUMBER($A1011),ISNUMBER(BBG_Data!E1011)),BBG_Data!E1011,NA())</f>
        <v/>
      </c>
      <c r="F1011" s="18">
        <f>IF(AND(ISNUMBER(B1011),ISNUMBER(B1010)),(B1011-B1010)*100,"")</f>
        <v/>
      </c>
      <c r="G1011" s="18">
        <f>IF(AND(ISNUMBER(C1011),ISNUMBER(C1010)),(C1011-C1010)*100,"")</f>
        <v/>
      </c>
      <c r="H1011" s="18">
        <f>IF(OR(NOT(ISNUMBER($A1011)),ROW()-2&lt;Settings!$B$11),NA(),IF(COUNT(OFFSET(F1011,1-Settings!$B$11,0,Settings!$B$11,1))&lt;Settings!$B$11,NA(),STDEV(OFFSET(F1011,1-Settings!$B$11,0,Settings!$B$11,1))*SQRT(Settings!$B$13)))</f>
        <v/>
      </c>
      <c r="I1011" s="18">
        <f>IF(OR(NOT(ISNUMBER($A1011)),ROW()-2&lt;Settings!$B$12),NA(),IF(COUNT(OFFSET(F1011,1-Settings!$B$12,0,Settings!$B$12,1))&lt;Settings!$B$12,NA(),STDEV(OFFSET(F1011,1-Settings!$B$12,0,Settings!$B$12,1))*SQRT(Settings!$B$13)))</f>
        <v/>
      </c>
      <c r="J1011" s="18">
        <f>IF(OR(NOT(ISNUMBER($A1011)),ROW()-2&lt;Settings!$B$11),NA(),IF(COUNT(OFFSET(G1011,1-Settings!$B$11,0,Settings!$B$11,1))&lt;Settings!$B$11,NA(),STDEV(OFFSET(G1011,1-Settings!$B$11,0,Settings!$B$11,1))*SQRT(Settings!$B$13)))</f>
        <v/>
      </c>
      <c r="K1011" s="18">
        <f>IF(OR(NOT(ISNUMBER($A1011)),ROW()-2&lt;Settings!$B$12),NA(),IF(COUNT(OFFSET(G1011,1-Settings!$B$12,0,Settings!$B$12,1))&lt;Settings!$B$12,NA(),STDEV(OFFSET(G1011,1-Settings!$B$12,0,Settings!$B$12,1))*SQRT(Settings!$B$13)))</f>
        <v/>
      </c>
      <c r="L1011" s="18">
        <f>IF(AND(ISNUMBER(D1011),ISNUMBER(H1011)),D1011-H1011,NA())</f>
        <v/>
      </c>
      <c r="M1011" s="18">
        <f>IF(AND(ISNUMBER(E1011),ISNUMBER(K1011)),E1011-K1011,NA())</f>
        <v/>
      </c>
      <c r="N1011" s="18">
        <f>IF(NOT(ISNUMBER($A1011)),NA(),IF(COUNT(OFFSET(G1011,1,0,Settings!$B$12,1))&lt;Settings!$B$12,NA(),STDEV(OFFSET(G1011,1,0,Settings!$B$12,1))*SQRT(Settings!$B$13)))</f>
        <v/>
      </c>
      <c r="O1011" s="18">
        <f>IF(AND(ISNUMBER(E1011),ISNUMBER(N1011)),E1011-N1011,NA())</f>
        <v/>
      </c>
      <c r="P1011" s="17">
        <f>IF(NOT(ISNUMBER($A1011)),NA(),IF(OR($A1011&lt;MIN(KW_TP!$A$2:$A$2501),$A1011&gt;MAX(KW_TP!$A$2:$A$2501)),NA(),INDEX(KW_TP!$C$2:$C$2501,MATCH($A1011,KW_TP!$A$2:$A$2501,1))))</f>
        <v/>
      </c>
    </row>
    <row r="1012">
      <c r="A1012" s="15">
        <f>IF(ISNUMBER(BBG_Data!A1012),BBG_Data!A1012,"")</f>
        <v/>
      </c>
      <c r="B1012" s="16">
        <f>IF(AND(ISNUMBER($A1012),ISNUMBER(BBG_Data!B1012)),BBG_Data!B1012,NA())</f>
        <v/>
      </c>
      <c r="C1012" s="16">
        <f>IF(AND(ISNUMBER($A1012),ISNUMBER(BBG_Data!C1012)),BBG_Data!C1012,NA())</f>
        <v/>
      </c>
      <c r="D1012" s="17">
        <f>IF(AND(ISNUMBER($A1012),ISNUMBER(BBG_Data!D1012)),BBG_Data!D1012,NA())</f>
        <v/>
      </c>
      <c r="E1012" s="17">
        <f>IF(AND(ISNUMBER($A1012),ISNUMBER(BBG_Data!E1012)),BBG_Data!E1012,NA())</f>
        <v/>
      </c>
      <c r="F1012" s="18">
        <f>IF(AND(ISNUMBER(B1012),ISNUMBER(B1011)),(B1012-B1011)*100,"")</f>
        <v/>
      </c>
      <c r="G1012" s="18">
        <f>IF(AND(ISNUMBER(C1012),ISNUMBER(C1011)),(C1012-C1011)*100,"")</f>
        <v/>
      </c>
      <c r="H1012" s="18">
        <f>IF(OR(NOT(ISNUMBER($A1012)),ROW()-2&lt;Settings!$B$11),NA(),IF(COUNT(OFFSET(F1012,1-Settings!$B$11,0,Settings!$B$11,1))&lt;Settings!$B$11,NA(),STDEV(OFFSET(F1012,1-Settings!$B$11,0,Settings!$B$11,1))*SQRT(Settings!$B$13)))</f>
        <v/>
      </c>
      <c r="I1012" s="18">
        <f>IF(OR(NOT(ISNUMBER($A1012)),ROW()-2&lt;Settings!$B$12),NA(),IF(COUNT(OFFSET(F1012,1-Settings!$B$12,0,Settings!$B$12,1))&lt;Settings!$B$12,NA(),STDEV(OFFSET(F1012,1-Settings!$B$12,0,Settings!$B$12,1))*SQRT(Settings!$B$13)))</f>
        <v/>
      </c>
      <c r="J1012" s="18">
        <f>IF(OR(NOT(ISNUMBER($A1012)),ROW()-2&lt;Settings!$B$11),NA(),IF(COUNT(OFFSET(G1012,1-Settings!$B$11,0,Settings!$B$11,1))&lt;Settings!$B$11,NA(),STDEV(OFFSET(G1012,1-Settings!$B$11,0,Settings!$B$11,1))*SQRT(Settings!$B$13)))</f>
        <v/>
      </c>
      <c r="K1012" s="18">
        <f>IF(OR(NOT(ISNUMBER($A1012)),ROW()-2&lt;Settings!$B$12),NA(),IF(COUNT(OFFSET(G1012,1-Settings!$B$12,0,Settings!$B$12,1))&lt;Settings!$B$12,NA(),STDEV(OFFSET(G1012,1-Settings!$B$12,0,Settings!$B$12,1))*SQRT(Settings!$B$13)))</f>
        <v/>
      </c>
      <c r="L1012" s="18">
        <f>IF(AND(ISNUMBER(D1012),ISNUMBER(H1012)),D1012-H1012,NA())</f>
        <v/>
      </c>
      <c r="M1012" s="18">
        <f>IF(AND(ISNUMBER(E1012),ISNUMBER(K1012)),E1012-K1012,NA())</f>
        <v/>
      </c>
      <c r="N1012" s="18">
        <f>IF(NOT(ISNUMBER($A1012)),NA(),IF(COUNT(OFFSET(G1012,1,0,Settings!$B$12,1))&lt;Settings!$B$12,NA(),STDEV(OFFSET(G1012,1,0,Settings!$B$12,1))*SQRT(Settings!$B$13)))</f>
        <v/>
      </c>
      <c r="O1012" s="18">
        <f>IF(AND(ISNUMBER(E1012),ISNUMBER(N1012)),E1012-N1012,NA())</f>
        <v/>
      </c>
      <c r="P1012" s="17">
        <f>IF(NOT(ISNUMBER($A1012)),NA(),IF(OR($A1012&lt;MIN(KW_TP!$A$2:$A$2501),$A1012&gt;MAX(KW_TP!$A$2:$A$2501)),NA(),INDEX(KW_TP!$C$2:$C$2501,MATCH($A1012,KW_TP!$A$2:$A$2501,1))))</f>
        <v/>
      </c>
    </row>
    <row r="1013">
      <c r="A1013" s="15">
        <f>IF(ISNUMBER(BBG_Data!A1013),BBG_Data!A1013,"")</f>
        <v/>
      </c>
      <c r="B1013" s="16">
        <f>IF(AND(ISNUMBER($A1013),ISNUMBER(BBG_Data!B1013)),BBG_Data!B1013,NA())</f>
        <v/>
      </c>
      <c r="C1013" s="16">
        <f>IF(AND(ISNUMBER($A1013),ISNUMBER(BBG_Data!C1013)),BBG_Data!C1013,NA())</f>
        <v/>
      </c>
      <c r="D1013" s="17">
        <f>IF(AND(ISNUMBER($A1013),ISNUMBER(BBG_Data!D1013)),BBG_Data!D1013,NA())</f>
        <v/>
      </c>
      <c r="E1013" s="17">
        <f>IF(AND(ISNUMBER($A1013),ISNUMBER(BBG_Data!E1013)),BBG_Data!E1013,NA())</f>
        <v/>
      </c>
      <c r="F1013" s="18">
        <f>IF(AND(ISNUMBER(B1013),ISNUMBER(B1012)),(B1013-B1012)*100,"")</f>
        <v/>
      </c>
      <c r="G1013" s="18">
        <f>IF(AND(ISNUMBER(C1013),ISNUMBER(C1012)),(C1013-C1012)*100,"")</f>
        <v/>
      </c>
      <c r="H1013" s="18">
        <f>IF(OR(NOT(ISNUMBER($A1013)),ROW()-2&lt;Settings!$B$11),NA(),IF(COUNT(OFFSET(F1013,1-Settings!$B$11,0,Settings!$B$11,1))&lt;Settings!$B$11,NA(),STDEV(OFFSET(F1013,1-Settings!$B$11,0,Settings!$B$11,1))*SQRT(Settings!$B$13)))</f>
        <v/>
      </c>
      <c r="I1013" s="18">
        <f>IF(OR(NOT(ISNUMBER($A1013)),ROW()-2&lt;Settings!$B$12),NA(),IF(COUNT(OFFSET(F1013,1-Settings!$B$12,0,Settings!$B$12,1))&lt;Settings!$B$12,NA(),STDEV(OFFSET(F1013,1-Settings!$B$12,0,Settings!$B$12,1))*SQRT(Settings!$B$13)))</f>
        <v/>
      </c>
      <c r="J1013" s="18">
        <f>IF(OR(NOT(ISNUMBER($A1013)),ROW()-2&lt;Settings!$B$11),NA(),IF(COUNT(OFFSET(G1013,1-Settings!$B$11,0,Settings!$B$11,1))&lt;Settings!$B$11,NA(),STDEV(OFFSET(G1013,1-Settings!$B$11,0,Settings!$B$11,1))*SQRT(Settings!$B$13)))</f>
        <v/>
      </c>
      <c r="K1013" s="18">
        <f>IF(OR(NOT(ISNUMBER($A1013)),ROW()-2&lt;Settings!$B$12),NA(),IF(COUNT(OFFSET(G1013,1-Settings!$B$12,0,Settings!$B$12,1))&lt;Settings!$B$12,NA(),STDEV(OFFSET(G1013,1-Settings!$B$12,0,Settings!$B$12,1))*SQRT(Settings!$B$13)))</f>
        <v/>
      </c>
      <c r="L1013" s="18">
        <f>IF(AND(ISNUMBER(D1013),ISNUMBER(H1013)),D1013-H1013,NA())</f>
        <v/>
      </c>
      <c r="M1013" s="18">
        <f>IF(AND(ISNUMBER(E1013),ISNUMBER(K1013)),E1013-K1013,NA())</f>
        <v/>
      </c>
      <c r="N1013" s="18">
        <f>IF(NOT(ISNUMBER($A1013)),NA(),IF(COUNT(OFFSET(G1013,1,0,Settings!$B$12,1))&lt;Settings!$B$12,NA(),STDEV(OFFSET(G1013,1,0,Settings!$B$12,1))*SQRT(Settings!$B$13)))</f>
        <v/>
      </c>
      <c r="O1013" s="18">
        <f>IF(AND(ISNUMBER(E1013),ISNUMBER(N1013)),E1013-N1013,NA())</f>
        <v/>
      </c>
      <c r="P1013" s="17">
        <f>IF(NOT(ISNUMBER($A1013)),NA(),IF(OR($A1013&lt;MIN(KW_TP!$A$2:$A$2501),$A1013&gt;MAX(KW_TP!$A$2:$A$2501)),NA(),INDEX(KW_TP!$C$2:$C$2501,MATCH($A1013,KW_TP!$A$2:$A$2501,1))))</f>
        <v/>
      </c>
    </row>
    <row r="1014">
      <c r="A1014" s="15">
        <f>IF(ISNUMBER(BBG_Data!A1014),BBG_Data!A1014,"")</f>
        <v/>
      </c>
      <c r="B1014" s="16">
        <f>IF(AND(ISNUMBER($A1014),ISNUMBER(BBG_Data!B1014)),BBG_Data!B1014,NA())</f>
        <v/>
      </c>
      <c r="C1014" s="16">
        <f>IF(AND(ISNUMBER($A1014),ISNUMBER(BBG_Data!C1014)),BBG_Data!C1014,NA())</f>
        <v/>
      </c>
      <c r="D1014" s="17">
        <f>IF(AND(ISNUMBER($A1014),ISNUMBER(BBG_Data!D1014)),BBG_Data!D1014,NA())</f>
        <v/>
      </c>
      <c r="E1014" s="17">
        <f>IF(AND(ISNUMBER($A1014),ISNUMBER(BBG_Data!E1014)),BBG_Data!E1014,NA())</f>
        <v/>
      </c>
      <c r="F1014" s="18">
        <f>IF(AND(ISNUMBER(B1014),ISNUMBER(B1013)),(B1014-B1013)*100,"")</f>
        <v/>
      </c>
      <c r="G1014" s="18">
        <f>IF(AND(ISNUMBER(C1014),ISNUMBER(C1013)),(C1014-C1013)*100,"")</f>
        <v/>
      </c>
      <c r="H1014" s="18">
        <f>IF(OR(NOT(ISNUMBER($A1014)),ROW()-2&lt;Settings!$B$11),NA(),IF(COUNT(OFFSET(F1014,1-Settings!$B$11,0,Settings!$B$11,1))&lt;Settings!$B$11,NA(),STDEV(OFFSET(F1014,1-Settings!$B$11,0,Settings!$B$11,1))*SQRT(Settings!$B$13)))</f>
        <v/>
      </c>
      <c r="I1014" s="18">
        <f>IF(OR(NOT(ISNUMBER($A1014)),ROW()-2&lt;Settings!$B$12),NA(),IF(COUNT(OFFSET(F1014,1-Settings!$B$12,0,Settings!$B$12,1))&lt;Settings!$B$12,NA(),STDEV(OFFSET(F1014,1-Settings!$B$12,0,Settings!$B$12,1))*SQRT(Settings!$B$13)))</f>
        <v/>
      </c>
      <c r="J1014" s="18">
        <f>IF(OR(NOT(ISNUMBER($A1014)),ROW()-2&lt;Settings!$B$11),NA(),IF(COUNT(OFFSET(G1014,1-Settings!$B$11,0,Settings!$B$11,1))&lt;Settings!$B$11,NA(),STDEV(OFFSET(G1014,1-Settings!$B$11,0,Settings!$B$11,1))*SQRT(Settings!$B$13)))</f>
        <v/>
      </c>
      <c r="K1014" s="18">
        <f>IF(OR(NOT(ISNUMBER($A1014)),ROW()-2&lt;Settings!$B$12),NA(),IF(COUNT(OFFSET(G1014,1-Settings!$B$12,0,Settings!$B$12,1))&lt;Settings!$B$12,NA(),STDEV(OFFSET(G1014,1-Settings!$B$12,0,Settings!$B$12,1))*SQRT(Settings!$B$13)))</f>
        <v/>
      </c>
      <c r="L1014" s="18">
        <f>IF(AND(ISNUMBER(D1014),ISNUMBER(H1014)),D1014-H1014,NA())</f>
        <v/>
      </c>
      <c r="M1014" s="18">
        <f>IF(AND(ISNUMBER(E1014),ISNUMBER(K1014)),E1014-K1014,NA())</f>
        <v/>
      </c>
      <c r="N1014" s="18">
        <f>IF(NOT(ISNUMBER($A1014)),NA(),IF(COUNT(OFFSET(G1014,1,0,Settings!$B$12,1))&lt;Settings!$B$12,NA(),STDEV(OFFSET(G1014,1,0,Settings!$B$12,1))*SQRT(Settings!$B$13)))</f>
        <v/>
      </c>
      <c r="O1014" s="18">
        <f>IF(AND(ISNUMBER(E1014),ISNUMBER(N1014)),E1014-N1014,NA())</f>
        <v/>
      </c>
      <c r="P1014" s="17">
        <f>IF(NOT(ISNUMBER($A1014)),NA(),IF(OR($A1014&lt;MIN(KW_TP!$A$2:$A$2501),$A1014&gt;MAX(KW_TP!$A$2:$A$2501)),NA(),INDEX(KW_TP!$C$2:$C$2501,MATCH($A1014,KW_TP!$A$2:$A$2501,1))))</f>
        <v/>
      </c>
    </row>
    <row r="1015">
      <c r="A1015" s="15">
        <f>IF(ISNUMBER(BBG_Data!A1015),BBG_Data!A1015,"")</f>
        <v/>
      </c>
      <c r="B1015" s="16">
        <f>IF(AND(ISNUMBER($A1015),ISNUMBER(BBG_Data!B1015)),BBG_Data!B1015,NA())</f>
        <v/>
      </c>
      <c r="C1015" s="16">
        <f>IF(AND(ISNUMBER($A1015),ISNUMBER(BBG_Data!C1015)),BBG_Data!C1015,NA())</f>
        <v/>
      </c>
      <c r="D1015" s="17">
        <f>IF(AND(ISNUMBER($A1015),ISNUMBER(BBG_Data!D1015)),BBG_Data!D1015,NA())</f>
        <v/>
      </c>
      <c r="E1015" s="17">
        <f>IF(AND(ISNUMBER($A1015),ISNUMBER(BBG_Data!E1015)),BBG_Data!E1015,NA())</f>
        <v/>
      </c>
      <c r="F1015" s="18">
        <f>IF(AND(ISNUMBER(B1015),ISNUMBER(B1014)),(B1015-B1014)*100,"")</f>
        <v/>
      </c>
      <c r="G1015" s="18">
        <f>IF(AND(ISNUMBER(C1015),ISNUMBER(C1014)),(C1015-C1014)*100,"")</f>
        <v/>
      </c>
      <c r="H1015" s="18">
        <f>IF(OR(NOT(ISNUMBER($A1015)),ROW()-2&lt;Settings!$B$11),NA(),IF(COUNT(OFFSET(F1015,1-Settings!$B$11,0,Settings!$B$11,1))&lt;Settings!$B$11,NA(),STDEV(OFFSET(F1015,1-Settings!$B$11,0,Settings!$B$11,1))*SQRT(Settings!$B$13)))</f>
        <v/>
      </c>
      <c r="I1015" s="18">
        <f>IF(OR(NOT(ISNUMBER($A1015)),ROW()-2&lt;Settings!$B$12),NA(),IF(COUNT(OFFSET(F1015,1-Settings!$B$12,0,Settings!$B$12,1))&lt;Settings!$B$12,NA(),STDEV(OFFSET(F1015,1-Settings!$B$12,0,Settings!$B$12,1))*SQRT(Settings!$B$13)))</f>
        <v/>
      </c>
      <c r="J1015" s="18">
        <f>IF(OR(NOT(ISNUMBER($A1015)),ROW()-2&lt;Settings!$B$11),NA(),IF(COUNT(OFFSET(G1015,1-Settings!$B$11,0,Settings!$B$11,1))&lt;Settings!$B$11,NA(),STDEV(OFFSET(G1015,1-Settings!$B$11,0,Settings!$B$11,1))*SQRT(Settings!$B$13)))</f>
        <v/>
      </c>
      <c r="K1015" s="18">
        <f>IF(OR(NOT(ISNUMBER($A1015)),ROW()-2&lt;Settings!$B$12),NA(),IF(COUNT(OFFSET(G1015,1-Settings!$B$12,0,Settings!$B$12,1))&lt;Settings!$B$12,NA(),STDEV(OFFSET(G1015,1-Settings!$B$12,0,Settings!$B$12,1))*SQRT(Settings!$B$13)))</f>
        <v/>
      </c>
      <c r="L1015" s="18">
        <f>IF(AND(ISNUMBER(D1015),ISNUMBER(H1015)),D1015-H1015,NA())</f>
        <v/>
      </c>
      <c r="M1015" s="18">
        <f>IF(AND(ISNUMBER(E1015),ISNUMBER(K1015)),E1015-K1015,NA())</f>
        <v/>
      </c>
      <c r="N1015" s="18">
        <f>IF(NOT(ISNUMBER($A1015)),NA(),IF(COUNT(OFFSET(G1015,1,0,Settings!$B$12,1))&lt;Settings!$B$12,NA(),STDEV(OFFSET(G1015,1,0,Settings!$B$12,1))*SQRT(Settings!$B$13)))</f>
        <v/>
      </c>
      <c r="O1015" s="18">
        <f>IF(AND(ISNUMBER(E1015),ISNUMBER(N1015)),E1015-N1015,NA())</f>
        <v/>
      </c>
      <c r="P1015" s="17">
        <f>IF(NOT(ISNUMBER($A1015)),NA(),IF(OR($A1015&lt;MIN(KW_TP!$A$2:$A$2501),$A1015&gt;MAX(KW_TP!$A$2:$A$2501)),NA(),INDEX(KW_TP!$C$2:$C$2501,MATCH($A1015,KW_TP!$A$2:$A$2501,1))))</f>
        <v/>
      </c>
    </row>
    <row r="1016">
      <c r="A1016" s="15">
        <f>IF(ISNUMBER(BBG_Data!A1016),BBG_Data!A1016,"")</f>
        <v/>
      </c>
      <c r="B1016" s="16">
        <f>IF(AND(ISNUMBER($A1016),ISNUMBER(BBG_Data!B1016)),BBG_Data!B1016,NA())</f>
        <v/>
      </c>
      <c r="C1016" s="16">
        <f>IF(AND(ISNUMBER($A1016),ISNUMBER(BBG_Data!C1016)),BBG_Data!C1016,NA())</f>
        <v/>
      </c>
      <c r="D1016" s="17">
        <f>IF(AND(ISNUMBER($A1016),ISNUMBER(BBG_Data!D1016)),BBG_Data!D1016,NA())</f>
        <v/>
      </c>
      <c r="E1016" s="17">
        <f>IF(AND(ISNUMBER($A1016),ISNUMBER(BBG_Data!E1016)),BBG_Data!E1016,NA())</f>
        <v/>
      </c>
      <c r="F1016" s="18">
        <f>IF(AND(ISNUMBER(B1016),ISNUMBER(B1015)),(B1016-B1015)*100,"")</f>
        <v/>
      </c>
      <c r="G1016" s="18">
        <f>IF(AND(ISNUMBER(C1016),ISNUMBER(C1015)),(C1016-C1015)*100,"")</f>
        <v/>
      </c>
      <c r="H1016" s="18">
        <f>IF(OR(NOT(ISNUMBER($A1016)),ROW()-2&lt;Settings!$B$11),NA(),IF(COUNT(OFFSET(F1016,1-Settings!$B$11,0,Settings!$B$11,1))&lt;Settings!$B$11,NA(),STDEV(OFFSET(F1016,1-Settings!$B$11,0,Settings!$B$11,1))*SQRT(Settings!$B$13)))</f>
        <v/>
      </c>
      <c r="I1016" s="18">
        <f>IF(OR(NOT(ISNUMBER($A1016)),ROW()-2&lt;Settings!$B$12),NA(),IF(COUNT(OFFSET(F1016,1-Settings!$B$12,0,Settings!$B$12,1))&lt;Settings!$B$12,NA(),STDEV(OFFSET(F1016,1-Settings!$B$12,0,Settings!$B$12,1))*SQRT(Settings!$B$13)))</f>
        <v/>
      </c>
      <c r="J1016" s="18">
        <f>IF(OR(NOT(ISNUMBER($A1016)),ROW()-2&lt;Settings!$B$11),NA(),IF(COUNT(OFFSET(G1016,1-Settings!$B$11,0,Settings!$B$11,1))&lt;Settings!$B$11,NA(),STDEV(OFFSET(G1016,1-Settings!$B$11,0,Settings!$B$11,1))*SQRT(Settings!$B$13)))</f>
        <v/>
      </c>
      <c r="K1016" s="18">
        <f>IF(OR(NOT(ISNUMBER($A1016)),ROW()-2&lt;Settings!$B$12),NA(),IF(COUNT(OFFSET(G1016,1-Settings!$B$12,0,Settings!$B$12,1))&lt;Settings!$B$12,NA(),STDEV(OFFSET(G1016,1-Settings!$B$12,0,Settings!$B$12,1))*SQRT(Settings!$B$13)))</f>
        <v/>
      </c>
      <c r="L1016" s="18">
        <f>IF(AND(ISNUMBER(D1016),ISNUMBER(H1016)),D1016-H1016,NA())</f>
        <v/>
      </c>
      <c r="M1016" s="18">
        <f>IF(AND(ISNUMBER(E1016),ISNUMBER(K1016)),E1016-K1016,NA())</f>
        <v/>
      </c>
      <c r="N1016" s="18">
        <f>IF(NOT(ISNUMBER($A1016)),NA(),IF(COUNT(OFFSET(G1016,1,0,Settings!$B$12,1))&lt;Settings!$B$12,NA(),STDEV(OFFSET(G1016,1,0,Settings!$B$12,1))*SQRT(Settings!$B$13)))</f>
        <v/>
      </c>
      <c r="O1016" s="18">
        <f>IF(AND(ISNUMBER(E1016),ISNUMBER(N1016)),E1016-N1016,NA())</f>
        <v/>
      </c>
      <c r="P1016" s="17">
        <f>IF(NOT(ISNUMBER($A1016)),NA(),IF(OR($A1016&lt;MIN(KW_TP!$A$2:$A$2501),$A1016&gt;MAX(KW_TP!$A$2:$A$2501)),NA(),INDEX(KW_TP!$C$2:$C$2501,MATCH($A1016,KW_TP!$A$2:$A$2501,1))))</f>
        <v/>
      </c>
    </row>
    <row r="1017">
      <c r="A1017" s="15">
        <f>IF(ISNUMBER(BBG_Data!A1017),BBG_Data!A1017,"")</f>
        <v/>
      </c>
      <c r="B1017" s="16">
        <f>IF(AND(ISNUMBER($A1017),ISNUMBER(BBG_Data!B1017)),BBG_Data!B1017,NA())</f>
        <v/>
      </c>
      <c r="C1017" s="16">
        <f>IF(AND(ISNUMBER($A1017),ISNUMBER(BBG_Data!C1017)),BBG_Data!C1017,NA())</f>
        <v/>
      </c>
      <c r="D1017" s="17">
        <f>IF(AND(ISNUMBER($A1017),ISNUMBER(BBG_Data!D1017)),BBG_Data!D1017,NA())</f>
        <v/>
      </c>
      <c r="E1017" s="17">
        <f>IF(AND(ISNUMBER($A1017),ISNUMBER(BBG_Data!E1017)),BBG_Data!E1017,NA())</f>
        <v/>
      </c>
      <c r="F1017" s="18">
        <f>IF(AND(ISNUMBER(B1017),ISNUMBER(B1016)),(B1017-B1016)*100,"")</f>
        <v/>
      </c>
      <c r="G1017" s="18">
        <f>IF(AND(ISNUMBER(C1017),ISNUMBER(C1016)),(C1017-C1016)*100,"")</f>
        <v/>
      </c>
      <c r="H1017" s="18">
        <f>IF(OR(NOT(ISNUMBER($A1017)),ROW()-2&lt;Settings!$B$11),NA(),IF(COUNT(OFFSET(F1017,1-Settings!$B$11,0,Settings!$B$11,1))&lt;Settings!$B$11,NA(),STDEV(OFFSET(F1017,1-Settings!$B$11,0,Settings!$B$11,1))*SQRT(Settings!$B$13)))</f>
        <v/>
      </c>
      <c r="I1017" s="18">
        <f>IF(OR(NOT(ISNUMBER($A1017)),ROW()-2&lt;Settings!$B$12),NA(),IF(COUNT(OFFSET(F1017,1-Settings!$B$12,0,Settings!$B$12,1))&lt;Settings!$B$12,NA(),STDEV(OFFSET(F1017,1-Settings!$B$12,0,Settings!$B$12,1))*SQRT(Settings!$B$13)))</f>
        <v/>
      </c>
      <c r="J1017" s="18">
        <f>IF(OR(NOT(ISNUMBER($A1017)),ROW()-2&lt;Settings!$B$11),NA(),IF(COUNT(OFFSET(G1017,1-Settings!$B$11,0,Settings!$B$11,1))&lt;Settings!$B$11,NA(),STDEV(OFFSET(G1017,1-Settings!$B$11,0,Settings!$B$11,1))*SQRT(Settings!$B$13)))</f>
        <v/>
      </c>
      <c r="K1017" s="18">
        <f>IF(OR(NOT(ISNUMBER($A1017)),ROW()-2&lt;Settings!$B$12),NA(),IF(COUNT(OFFSET(G1017,1-Settings!$B$12,0,Settings!$B$12,1))&lt;Settings!$B$12,NA(),STDEV(OFFSET(G1017,1-Settings!$B$12,0,Settings!$B$12,1))*SQRT(Settings!$B$13)))</f>
        <v/>
      </c>
      <c r="L1017" s="18">
        <f>IF(AND(ISNUMBER(D1017),ISNUMBER(H1017)),D1017-H1017,NA())</f>
        <v/>
      </c>
      <c r="M1017" s="18">
        <f>IF(AND(ISNUMBER(E1017),ISNUMBER(K1017)),E1017-K1017,NA())</f>
        <v/>
      </c>
      <c r="N1017" s="18">
        <f>IF(NOT(ISNUMBER($A1017)),NA(),IF(COUNT(OFFSET(G1017,1,0,Settings!$B$12,1))&lt;Settings!$B$12,NA(),STDEV(OFFSET(G1017,1,0,Settings!$B$12,1))*SQRT(Settings!$B$13)))</f>
        <v/>
      </c>
      <c r="O1017" s="18">
        <f>IF(AND(ISNUMBER(E1017),ISNUMBER(N1017)),E1017-N1017,NA())</f>
        <v/>
      </c>
      <c r="P1017" s="17">
        <f>IF(NOT(ISNUMBER($A1017)),NA(),IF(OR($A1017&lt;MIN(KW_TP!$A$2:$A$2501),$A1017&gt;MAX(KW_TP!$A$2:$A$2501)),NA(),INDEX(KW_TP!$C$2:$C$2501,MATCH($A1017,KW_TP!$A$2:$A$2501,1))))</f>
        <v/>
      </c>
    </row>
    <row r="1018">
      <c r="A1018" s="15">
        <f>IF(ISNUMBER(BBG_Data!A1018),BBG_Data!A1018,"")</f>
        <v/>
      </c>
      <c r="B1018" s="16">
        <f>IF(AND(ISNUMBER($A1018),ISNUMBER(BBG_Data!B1018)),BBG_Data!B1018,NA())</f>
        <v/>
      </c>
      <c r="C1018" s="16">
        <f>IF(AND(ISNUMBER($A1018),ISNUMBER(BBG_Data!C1018)),BBG_Data!C1018,NA())</f>
        <v/>
      </c>
      <c r="D1018" s="17">
        <f>IF(AND(ISNUMBER($A1018),ISNUMBER(BBG_Data!D1018)),BBG_Data!D1018,NA())</f>
        <v/>
      </c>
      <c r="E1018" s="17">
        <f>IF(AND(ISNUMBER($A1018),ISNUMBER(BBG_Data!E1018)),BBG_Data!E1018,NA())</f>
        <v/>
      </c>
      <c r="F1018" s="18">
        <f>IF(AND(ISNUMBER(B1018),ISNUMBER(B1017)),(B1018-B1017)*100,"")</f>
        <v/>
      </c>
      <c r="G1018" s="18">
        <f>IF(AND(ISNUMBER(C1018),ISNUMBER(C1017)),(C1018-C1017)*100,"")</f>
        <v/>
      </c>
      <c r="H1018" s="18">
        <f>IF(OR(NOT(ISNUMBER($A1018)),ROW()-2&lt;Settings!$B$11),NA(),IF(COUNT(OFFSET(F1018,1-Settings!$B$11,0,Settings!$B$11,1))&lt;Settings!$B$11,NA(),STDEV(OFFSET(F1018,1-Settings!$B$11,0,Settings!$B$11,1))*SQRT(Settings!$B$13)))</f>
        <v/>
      </c>
      <c r="I1018" s="18">
        <f>IF(OR(NOT(ISNUMBER($A1018)),ROW()-2&lt;Settings!$B$12),NA(),IF(COUNT(OFFSET(F1018,1-Settings!$B$12,0,Settings!$B$12,1))&lt;Settings!$B$12,NA(),STDEV(OFFSET(F1018,1-Settings!$B$12,0,Settings!$B$12,1))*SQRT(Settings!$B$13)))</f>
        <v/>
      </c>
      <c r="J1018" s="18">
        <f>IF(OR(NOT(ISNUMBER($A1018)),ROW()-2&lt;Settings!$B$11),NA(),IF(COUNT(OFFSET(G1018,1-Settings!$B$11,0,Settings!$B$11,1))&lt;Settings!$B$11,NA(),STDEV(OFFSET(G1018,1-Settings!$B$11,0,Settings!$B$11,1))*SQRT(Settings!$B$13)))</f>
        <v/>
      </c>
      <c r="K1018" s="18">
        <f>IF(OR(NOT(ISNUMBER($A1018)),ROW()-2&lt;Settings!$B$12),NA(),IF(COUNT(OFFSET(G1018,1-Settings!$B$12,0,Settings!$B$12,1))&lt;Settings!$B$12,NA(),STDEV(OFFSET(G1018,1-Settings!$B$12,0,Settings!$B$12,1))*SQRT(Settings!$B$13)))</f>
        <v/>
      </c>
      <c r="L1018" s="18">
        <f>IF(AND(ISNUMBER(D1018),ISNUMBER(H1018)),D1018-H1018,NA())</f>
        <v/>
      </c>
      <c r="M1018" s="18">
        <f>IF(AND(ISNUMBER(E1018),ISNUMBER(K1018)),E1018-K1018,NA())</f>
        <v/>
      </c>
      <c r="N1018" s="18">
        <f>IF(NOT(ISNUMBER($A1018)),NA(),IF(COUNT(OFFSET(G1018,1,0,Settings!$B$12,1))&lt;Settings!$B$12,NA(),STDEV(OFFSET(G1018,1,0,Settings!$B$12,1))*SQRT(Settings!$B$13)))</f>
        <v/>
      </c>
      <c r="O1018" s="18">
        <f>IF(AND(ISNUMBER(E1018),ISNUMBER(N1018)),E1018-N1018,NA())</f>
        <v/>
      </c>
      <c r="P1018" s="17">
        <f>IF(NOT(ISNUMBER($A1018)),NA(),IF(OR($A1018&lt;MIN(KW_TP!$A$2:$A$2501),$A1018&gt;MAX(KW_TP!$A$2:$A$2501)),NA(),INDEX(KW_TP!$C$2:$C$2501,MATCH($A1018,KW_TP!$A$2:$A$2501,1))))</f>
        <v/>
      </c>
    </row>
    <row r="1019">
      <c r="A1019" s="15">
        <f>IF(ISNUMBER(BBG_Data!A1019),BBG_Data!A1019,"")</f>
        <v/>
      </c>
      <c r="B1019" s="16">
        <f>IF(AND(ISNUMBER($A1019),ISNUMBER(BBG_Data!B1019)),BBG_Data!B1019,NA())</f>
        <v/>
      </c>
      <c r="C1019" s="16">
        <f>IF(AND(ISNUMBER($A1019),ISNUMBER(BBG_Data!C1019)),BBG_Data!C1019,NA())</f>
        <v/>
      </c>
      <c r="D1019" s="17">
        <f>IF(AND(ISNUMBER($A1019),ISNUMBER(BBG_Data!D1019)),BBG_Data!D1019,NA())</f>
        <v/>
      </c>
      <c r="E1019" s="17">
        <f>IF(AND(ISNUMBER($A1019),ISNUMBER(BBG_Data!E1019)),BBG_Data!E1019,NA())</f>
        <v/>
      </c>
      <c r="F1019" s="18">
        <f>IF(AND(ISNUMBER(B1019),ISNUMBER(B1018)),(B1019-B1018)*100,"")</f>
        <v/>
      </c>
      <c r="G1019" s="18">
        <f>IF(AND(ISNUMBER(C1019),ISNUMBER(C1018)),(C1019-C1018)*100,"")</f>
        <v/>
      </c>
      <c r="H1019" s="18">
        <f>IF(OR(NOT(ISNUMBER($A1019)),ROW()-2&lt;Settings!$B$11),NA(),IF(COUNT(OFFSET(F1019,1-Settings!$B$11,0,Settings!$B$11,1))&lt;Settings!$B$11,NA(),STDEV(OFFSET(F1019,1-Settings!$B$11,0,Settings!$B$11,1))*SQRT(Settings!$B$13)))</f>
        <v/>
      </c>
      <c r="I1019" s="18">
        <f>IF(OR(NOT(ISNUMBER($A1019)),ROW()-2&lt;Settings!$B$12),NA(),IF(COUNT(OFFSET(F1019,1-Settings!$B$12,0,Settings!$B$12,1))&lt;Settings!$B$12,NA(),STDEV(OFFSET(F1019,1-Settings!$B$12,0,Settings!$B$12,1))*SQRT(Settings!$B$13)))</f>
        <v/>
      </c>
      <c r="J1019" s="18">
        <f>IF(OR(NOT(ISNUMBER($A1019)),ROW()-2&lt;Settings!$B$11),NA(),IF(COUNT(OFFSET(G1019,1-Settings!$B$11,0,Settings!$B$11,1))&lt;Settings!$B$11,NA(),STDEV(OFFSET(G1019,1-Settings!$B$11,0,Settings!$B$11,1))*SQRT(Settings!$B$13)))</f>
        <v/>
      </c>
      <c r="K1019" s="18">
        <f>IF(OR(NOT(ISNUMBER($A1019)),ROW()-2&lt;Settings!$B$12),NA(),IF(COUNT(OFFSET(G1019,1-Settings!$B$12,0,Settings!$B$12,1))&lt;Settings!$B$12,NA(),STDEV(OFFSET(G1019,1-Settings!$B$12,0,Settings!$B$12,1))*SQRT(Settings!$B$13)))</f>
        <v/>
      </c>
      <c r="L1019" s="18">
        <f>IF(AND(ISNUMBER(D1019),ISNUMBER(H1019)),D1019-H1019,NA())</f>
        <v/>
      </c>
      <c r="M1019" s="18">
        <f>IF(AND(ISNUMBER(E1019),ISNUMBER(K1019)),E1019-K1019,NA())</f>
        <v/>
      </c>
      <c r="N1019" s="18">
        <f>IF(NOT(ISNUMBER($A1019)),NA(),IF(COUNT(OFFSET(G1019,1,0,Settings!$B$12,1))&lt;Settings!$B$12,NA(),STDEV(OFFSET(G1019,1,0,Settings!$B$12,1))*SQRT(Settings!$B$13)))</f>
        <v/>
      </c>
      <c r="O1019" s="18">
        <f>IF(AND(ISNUMBER(E1019),ISNUMBER(N1019)),E1019-N1019,NA())</f>
        <v/>
      </c>
      <c r="P1019" s="17">
        <f>IF(NOT(ISNUMBER($A1019)),NA(),IF(OR($A1019&lt;MIN(KW_TP!$A$2:$A$2501),$A1019&gt;MAX(KW_TP!$A$2:$A$2501)),NA(),INDEX(KW_TP!$C$2:$C$2501,MATCH($A1019,KW_TP!$A$2:$A$2501,1))))</f>
        <v/>
      </c>
    </row>
    <row r="1020">
      <c r="A1020" s="15">
        <f>IF(ISNUMBER(BBG_Data!A1020),BBG_Data!A1020,"")</f>
        <v/>
      </c>
      <c r="B1020" s="16">
        <f>IF(AND(ISNUMBER($A1020),ISNUMBER(BBG_Data!B1020)),BBG_Data!B1020,NA())</f>
        <v/>
      </c>
      <c r="C1020" s="16">
        <f>IF(AND(ISNUMBER($A1020),ISNUMBER(BBG_Data!C1020)),BBG_Data!C1020,NA())</f>
        <v/>
      </c>
      <c r="D1020" s="17">
        <f>IF(AND(ISNUMBER($A1020),ISNUMBER(BBG_Data!D1020)),BBG_Data!D1020,NA())</f>
        <v/>
      </c>
      <c r="E1020" s="17">
        <f>IF(AND(ISNUMBER($A1020),ISNUMBER(BBG_Data!E1020)),BBG_Data!E1020,NA())</f>
        <v/>
      </c>
      <c r="F1020" s="18">
        <f>IF(AND(ISNUMBER(B1020),ISNUMBER(B1019)),(B1020-B1019)*100,"")</f>
        <v/>
      </c>
      <c r="G1020" s="18">
        <f>IF(AND(ISNUMBER(C1020),ISNUMBER(C1019)),(C1020-C1019)*100,"")</f>
        <v/>
      </c>
      <c r="H1020" s="18">
        <f>IF(OR(NOT(ISNUMBER($A1020)),ROW()-2&lt;Settings!$B$11),NA(),IF(COUNT(OFFSET(F1020,1-Settings!$B$11,0,Settings!$B$11,1))&lt;Settings!$B$11,NA(),STDEV(OFFSET(F1020,1-Settings!$B$11,0,Settings!$B$11,1))*SQRT(Settings!$B$13)))</f>
        <v/>
      </c>
      <c r="I1020" s="18">
        <f>IF(OR(NOT(ISNUMBER($A1020)),ROW()-2&lt;Settings!$B$12),NA(),IF(COUNT(OFFSET(F1020,1-Settings!$B$12,0,Settings!$B$12,1))&lt;Settings!$B$12,NA(),STDEV(OFFSET(F1020,1-Settings!$B$12,0,Settings!$B$12,1))*SQRT(Settings!$B$13)))</f>
        <v/>
      </c>
      <c r="J1020" s="18">
        <f>IF(OR(NOT(ISNUMBER($A1020)),ROW()-2&lt;Settings!$B$11),NA(),IF(COUNT(OFFSET(G1020,1-Settings!$B$11,0,Settings!$B$11,1))&lt;Settings!$B$11,NA(),STDEV(OFFSET(G1020,1-Settings!$B$11,0,Settings!$B$11,1))*SQRT(Settings!$B$13)))</f>
        <v/>
      </c>
      <c r="K1020" s="18">
        <f>IF(OR(NOT(ISNUMBER($A1020)),ROW()-2&lt;Settings!$B$12),NA(),IF(COUNT(OFFSET(G1020,1-Settings!$B$12,0,Settings!$B$12,1))&lt;Settings!$B$12,NA(),STDEV(OFFSET(G1020,1-Settings!$B$12,0,Settings!$B$12,1))*SQRT(Settings!$B$13)))</f>
        <v/>
      </c>
      <c r="L1020" s="18">
        <f>IF(AND(ISNUMBER(D1020),ISNUMBER(H1020)),D1020-H1020,NA())</f>
        <v/>
      </c>
      <c r="M1020" s="18">
        <f>IF(AND(ISNUMBER(E1020),ISNUMBER(K1020)),E1020-K1020,NA())</f>
        <v/>
      </c>
      <c r="N1020" s="18">
        <f>IF(NOT(ISNUMBER($A1020)),NA(),IF(COUNT(OFFSET(G1020,1,0,Settings!$B$12,1))&lt;Settings!$B$12,NA(),STDEV(OFFSET(G1020,1,0,Settings!$B$12,1))*SQRT(Settings!$B$13)))</f>
        <v/>
      </c>
      <c r="O1020" s="18">
        <f>IF(AND(ISNUMBER(E1020),ISNUMBER(N1020)),E1020-N1020,NA())</f>
        <v/>
      </c>
      <c r="P1020" s="17">
        <f>IF(NOT(ISNUMBER($A1020)),NA(),IF(OR($A1020&lt;MIN(KW_TP!$A$2:$A$2501),$A1020&gt;MAX(KW_TP!$A$2:$A$2501)),NA(),INDEX(KW_TP!$C$2:$C$2501,MATCH($A1020,KW_TP!$A$2:$A$2501,1))))</f>
        <v/>
      </c>
    </row>
    <row r="1021">
      <c r="A1021" s="15">
        <f>IF(ISNUMBER(BBG_Data!A1021),BBG_Data!A1021,"")</f>
        <v/>
      </c>
      <c r="B1021" s="16">
        <f>IF(AND(ISNUMBER($A1021),ISNUMBER(BBG_Data!B1021)),BBG_Data!B1021,NA())</f>
        <v/>
      </c>
      <c r="C1021" s="16">
        <f>IF(AND(ISNUMBER($A1021),ISNUMBER(BBG_Data!C1021)),BBG_Data!C1021,NA())</f>
        <v/>
      </c>
      <c r="D1021" s="17">
        <f>IF(AND(ISNUMBER($A1021),ISNUMBER(BBG_Data!D1021)),BBG_Data!D1021,NA())</f>
        <v/>
      </c>
      <c r="E1021" s="17">
        <f>IF(AND(ISNUMBER($A1021),ISNUMBER(BBG_Data!E1021)),BBG_Data!E1021,NA())</f>
        <v/>
      </c>
      <c r="F1021" s="18">
        <f>IF(AND(ISNUMBER(B1021),ISNUMBER(B1020)),(B1021-B1020)*100,"")</f>
        <v/>
      </c>
      <c r="G1021" s="18">
        <f>IF(AND(ISNUMBER(C1021),ISNUMBER(C1020)),(C1021-C1020)*100,"")</f>
        <v/>
      </c>
      <c r="H1021" s="18">
        <f>IF(OR(NOT(ISNUMBER($A1021)),ROW()-2&lt;Settings!$B$11),NA(),IF(COUNT(OFFSET(F1021,1-Settings!$B$11,0,Settings!$B$11,1))&lt;Settings!$B$11,NA(),STDEV(OFFSET(F1021,1-Settings!$B$11,0,Settings!$B$11,1))*SQRT(Settings!$B$13)))</f>
        <v/>
      </c>
      <c r="I1021" s="18">
        <f>IF(OR(NOT(ISNUMBER($A1021)),ROW()-2&lt;Settings!$B$12),NA(),IF(COUNT(OFFSET(F1021,1-Settings!$B$12,0,Settings!$B$12,1))&lt;Settings!$B$12,NA(),STDEV(OFFSET(F1021,1-Settings!$B$12,0,Settings!$B$12,1))*SQRT(Settings!$B$13)))</f>
        <v/>
      </c>
      <c r="J1021" s="18">
        <f>IF(OR(NOT(ISNUMBER($A1021)),ROW()-2&lt;Settings!$B$11),NA(),IF(COUNT(OFFSET(G1021,1-Settings!$B$11,0,Settings!$B$11,1))&lt;Settings!$B$11,NA(),STDEV(OFFSET(G1021,1-Settings!$B$11,0,Settings!$B$11,1))*SQRT(Settings!$B$13)))</f>
        <v/>
      </c>
      <c r="K1021" s="18">
        <f>IF(OR(NOT(ISNUMBER($A1021)),ROW()-2&lt;Settings!$B$12),NA(),IF(COUNT(OFFSET(G1021,1-Settings!$B$12,0,Settings!$B$12,1))&lt;Settings!$B$12,NA(),STDEV(OFFSET(G1021,1-Settings!$B$12,0,Settings!$B$12,1))*SQRT(Settings!$B$13)))</f>
        <v/>
      </c>
      <c r="L1021" s="18">
        <f>IF(AND(ISNUMBER(D1021),ISNUMBER(H1021)),D1021-H1021,NA())</f>
        <v/>
      </c>
      <c r="M1021" s="18">
        <f>IF(AND(ISNUMBER(E1021),ISNUMBER(K1021)),E1021-K1021,NA())</f>
        <v/>
      </c>
      <c r="N1021" s="18">
        <f>IF(NOT(ISNUMBER($A1021)),NA(),IF(COUNT(OFFSET(G1021,1,0,Settings!$B$12,1))&lt;Settings!$B$12,NA(),STDEV(OFFSET(G1021,1,0,Settings!$B$12,1))*SQRT(Settings!$B$13)))</f>
        <v/>
      </c>
      <c r="O1021" s="18">
        <f>IF(AND(ISNUMBER(E1021),ISNUMBER(N1021)),E1021-N1021,NA())</f>
        <v/>
      </c>
      <c r="P1021" s="17">
        <f>IF(NOT(ISNUMBER($A1021)),NA(),IF(OR($A1021&lt;MIN(KW_TP!$A$2:$A$2501),$A1021&gt;MAX(KW_TP!$A$2:$A$2501)),NA(),INDEX(KW_TP!$C$2:$C$2501,MATCH($A1021,KW_TP!$A$2:$A$2501,1))))</f>
        <v/>
      </c>
    </row>
    <row r="1022">
      <c r="A1022" s="15">
        <f>IF(ISNUMBER(BBG_Data!A1022),BBG_Data!A1022,"")</f>
        <v/>
      </c>
      <c r="B1022" s="16">
        <f>IF(AND(ISNUMBER($A1022),ISNUMBER(BBG_Data!B1022)),BBG_Data!B1022,NA())</f>
        <v/>
      </c>
      <c r="C1022" s="16">
        <f>IF(AND(ISNUMBER($A1022),ISNUMBER(BBG_Data!C1022)),BBG_Data!C1022,NA())</f>
        <v/>
      </c>
      <c r="D1022" s="17">
        <f>IF(AND(ISNUMBER($A1022),ISNUMBER(BBG_Data!D1022)),BBG_Data!D1022,NA())</f>
        <v/>
      </c>
      <c r="E1022" s="17">
        <f>IF(AND(ISNUMBER($A1022),ISNUMBER(BBG_Data!E1022)),BBG_Data!E1022,NA())</f>
        <v/>
      </c>
      <c r="F1022" s="18">
        <f>IF(AND(ISNUMBER(B1022),ISNUMBER(B1021)),(B1022-B1021)*100,"")</f>
        <v/>
      </c>
      <c r="G1022" s="18">
        <f>IF(AND(ISNUMBER(C1022),ISNUMBER(C1021)),(C1022-C1021)*100,"")</f>
        <v/>
      </c>
      <c r="H1022" s="18">
        <f>IF(OR(NOT(ISNUMBER($A1022)),ROW()-2&lt;Settings!$B$11),NA(),IF(COUNT(OFFSET(F1022,1-Settings!$B$11,0,Settings!$B$11,1))&lt;Settings!$B$11,NA(),STDEV(OFFSET(F1022,1-Settings!$B$11,0,Settings!$B$11,1))*SQRT(Settings!$B$13)))</f>
        <v/>
      </c>
      <c r="I1022" s="18">
        <f>IF(OR(NOT(ISNUMBER($A1022)),ROW()-2&lt;Settings!$B$12),NA(),IF(COUNT(OFFSET(F1022,1-Settings!$B$12,0,Settings!$B$12,1))&lt;Settings!$B$12,NA(),STDEV(OFFSET(F1022,1-Settings!$B$12,0,Settings!$B$12,1))*SQRT(Settings!$B$13)))</f>
        <v/>
      </c>
      <c r="J1022" s="18">
        <f>IF(OR(NOT(ISNUMBER($A1022)),ROW()-2&lt;Settings!$B$11),NA(),IF(COUNT(OFFSET(G1022,1-Settings!$B$11,0,Settings!$B$11,1))&lt;Settings!$B$11,NA(),STDEV(OFFSET(G1022,1-Settings!$B$11,0,Settings!$B$11,1))*SQRT(Settings!$B$13)))</f>
        <v/>
      </c>
      <c r="K1022" s="18">
        <f>IF(OR(NOT(ISNUMBER($A1022)),ROW()-2&lt;Settings!$B$12),NA(),IF(COUNT(OFFSET(G1022,1-Settings!$B$12,0,Settings!$B$12,1))&lt;Settings!$B$12,NA(),STDEV(OFFSET(G1022,1-Settings!$B$12,0,Settings!$B$12,1))*SQRT(Settings!$B$13)))</f>
        <v/>
      </c>
      <c r="L1022" s="18">
        <f>IF(AND(ISNUMBER(D1022),ISNUMBER(H1022)),D1022-H1022,NA())</f>
        <v/>
      </c>
      <c r="M1022" s="18">
        <f>IF(AND(ISNUMBER(E1022),ISNUMBER(K1022)),E1022-K1022,NA())</f>
        <v/>
      </c>
      <c r="N1022" s="18">
        <f>IF(NOT(ISNUMBER($A1022)),NA(),IF(COUNT(OFFSET(G1022,1,0,Settings!$B$12,1))&lt;Settings!$B$12,NA(),STDEV(OFFSET(G1022,1,0,Settings!$B$12,1))*SQRT(Settings!$B$13)))</f>
        <v/>
      </c>
      <c r="O1022" s="18">
        <f>IF(AND(ISNUMBER(E1022),ISNUMBER(N1022)),E1022-N1022,NA())</f>
        <v/>
      </c>
      <c r="P1022" s="17">
        <f>IF(NOT(ISNUMBER($A1022)),NA(),IF(OR($A1022&lt;MIN(KW_TP!$A$2:$A$2501),$A1022&gt;MAX(KW_TP!$A$2:$A$2501)),NA(),INDEX(KW_TP!$C$2:$C$2501,MATCH($A1022,KW_TP!$A$2:$A$2501,1))))</f>
        <v/>
      </c>
    </row>
    <row r="1023">
      <c r="A1023" s="15">
        <f>IF(ISNUMBER(BBG_Data!A1023),BBG_Data!A1023,"")</f>
        <v/>
      </c>
      <c r="B1023" s="16">
        <f>IF(AND(ISNUMBER($A1023),ISNUMBER(BBG_Data!B1023)),BBG_Data!B1023,NA())</f>
        <v/>
      </c>
      <c r="C1023" s="16">
        <f>IF(AND(ISNUMBER($A1023),ISNUMBER(BBG_Data!C1023)),BBG_Data!C1023,NA())</f>
        <v/>
      </c>
      <c r="D1023" s="17">
        <f>IF(AND(ISNUMBER($A1023),ISNUMBER(BBG_Data!D1023)),BBG_Data!D1023,NA())</f>
        <v/>
      </c>
      <c r="E1023" s="17">
        <f>IF(AND(ISNUMBER($A1023),ISNUMBER(BBG_Data!E1023)),BBG_Data!E1023,NA())</f>
        <v/>
      </c>
      <c r="F1023" s="18">
        <f>IF(AND(ISNUMBER(B1023),ISNUMBER(B1022)),(B1023-B1022)*100,"")</f>
        <v/>
      </c>
      <c r="G1023" s="18">
        <f>IF(AND(ISNUMBER(C1023),ISNUMBER(C1022)),(C1023-C1022)*100,"")</f>
        <v/>
      </c>
      <c r="H1023" s="18">
        <f>IF(OR(NOT(ISNUMBER($A1023)),ROW()-2&lt;Settings!$B$11),NA(),IF(COUNT(OFFSET(F1023,1-Settings!$B$11,0,Settings!$B$11,1))&lt;Settings!$B$11,NA(),STDEV(OFFSET(F1023,1-Settings!$B$11,0,Settings!$B$11,1))*SQRT(Settings!$B$13)))</f>
        <v/>
      </c>
      <c r="I1023" s="18">
        <f>IF(OR(NOT(ISNUMBER($A1023)),ROW()-2&lt;Settings!$B$12),NA(),IF(COUNT(OFFSET(F1023,1-Settings!$B$12,0,Settings!$B$12,1))&lt;Settings!$B$12,NA(),STDEV(OFFSET(F1023,1-Settings!$B$12,0,Settings!$B$12,1))*SQRT(Settings!$B$13)))</f>
        <v/>
      </c>
      <c r="J1023" s="18">
        <f>IF(OR(NOT(ISNUMBER($A1023)),ROW()-2&lt;Settings!$B$11),NA(),IF(COUNT(OFFSET(G1023,1-Settings!$B$11,0,Settings!$B$11,1))&lt;Settings!$B$11,NA(),STDEV(OFFSET(G1023,1-Settings!$B$11,0,Settings!$B$11,1))*SQRT(Settings!$B$13)))</f>
        <v/>
      </c>
      <c r="K1023" s="18">
        <f>IF(OR(NOT(ISNUMBER($A1023)),ROW()-2&lt;Settings!$B$12),NA(),IF(COUNT(OFFSET(G1023,1-Settings!$B$12,0,Settings!$B$12,1))&lt;Settings!$B$12,NA(),STDEV(OFFSET(G1023,1-Settings!$B$12,0,Settings!$B$12,1))*SQRT(Settings!$B$13)))</f>
        <v/>
      </c>
      <c r="L1023" s="18">
        <f>IF(AND(ISNUMBER(D1023),ISNUMBER(H1023)),D1023-H1023,NA())</f>
        <v/>
      </c>
      <c r="M1023" s="18">
        <f>IF(AND(ISNUMBER(E1023),ISNUMBER(K1023)),E1023-K1023,NA())</f>
        <v/>
      </c>
      <c r="N1023" s="18">
        <f>IF(NOT(ISNUMBER($A1023)),NA(),IF(COUNT(OFFSET(G1023,1,0,Settings!$B$12,1))&lt;Settings!$B$12,NA(),STDEV(OFFSET(G1023,1,0,Settings!$B$12,1))*SQRT(Settings!$B$13)))</f>
        <v/>
      </c>
      <c r="O1023" s="18">
        <f>IF(AND(ISNUMBER(E1023),ISNUMBER(N1023)),E1023-N1023,NA())</f>
        <v/>
      </c>
      <c r="P1023" s="17">
        <f>IF(NOT(ISNUMBER($A1023)),NA(),IF(OR($A1023&lt;MIN(KW_TP!$A$2:$A$2501),$A1023&gt;MAX(KW_TP!$A$2:$A$2501)),NA(),INDEX(KW_TP!$C$2:$C$2501,MATCH($A1023,KW_TP!$A$2:$A$2501,1))))</f>
        <v/>
      </c>
    </row>
    <row r="1024">
      <c r="A1024" s="15">
        <f>IF(ISNUMBER(BBG_Data!A1024),BBG_Data!A1024,"")</f>
        <v/>
      </c>
      <c r="B1024" s="16">
        <f>IF(AND(ISNUMBER($A1024),ISNUMBER(BBG_Data!B1024)),BBG_Data!B1024,NA())</f>
        <v/>
      </c>
      <c r="C1024" s="16">
        <f>IF(AND(ISNUMBER($A1024),ISNUMBER(BBG_Data!C1024)),BBG_Data!C1024,NA())</f>
        <v/>
      </c>
      <c r="D1024" s="17">
        <f>IF(AND(ISNUMBER($A1024),ISNUMBER(BBG_Data!D1024)),BBG_Data!D1024,NA())</f>
        <v/>
      </c>
      <c r="E1024" s="17">
        <f>IF(AND(ISNUMBER($A1024),ISNUMBER(BBG_Data!E1024)),BBG_Data!E1024,NA())</f>
        <v/>
      </c>
      <c r="F1024" s="18">
        <f>IF(AND(ISNUMBER(B1024),ISNUMBER(B1023)),(B1024-B1023)*100,"")</f>
        <v/>
      </c>
      <c r="G1024" s="18">
        <f>IF(AND(ISNUMBER(C1024),ISNUMBER(C1023)),(C1024-C1023)*100,"")</f>
        <v/>
      </c>
      <c r="H1024" s="18">
        <f>IF(OR(NOT(ISNUMBER($A1024)),ROW()-2&lt;Settings!$B$11),NA(),IF(COUNT(OFFSET(F1024,1-Settings!$B$11,0,Settings!$B$11,1))&lt;Settings!$B$11,NA(),STDEV(OFFSET(F1024,1-Settings!$B$11,0,Settings!$B$11,1))*SQRT(Settings!$B$13)))</f>
        <v/>
      </c>
      <c r="I1024" s="18">
        <f>IF(OR(NOT(ISNUMBER($A1024)),ROW()-2&lt;Settings!$B$12),NA(),IF(COUNT(OFFSET(F1024,1-Settings!$B$12,0,Settings!$B$12,1))&lt;Settings!$B$12,NA(),STDEV(OFFSET(F1024,1-Settings!$B$12,0,Settings!$B$12,1))*SQRT(Settings!$B$13)))</f>
        <v/>
      </c>
      <c r="J1024" s="18">
        <f>IF(OR(NOT(ISNUMBER($A1024)),ROW()-2&lt;Settings!$B$11),NA(),IF(COUNT(OFFSET(G1024,1-Settings!$B$11,0,Settings!$B$11,1))&lt;Settings!$B$11,NA(),STDEV(OFFSET(G1024,1-Settings!$B$11,0,Settings!$B$11,1))*SQRT(Settings!$B$13)))</f>
        <v/>
      </c>
      <c r="K1024" s="18">
        <f>IF(OR(NOT(ISNUMBER($A1024)),ROW()-2&lt;Settings!$B$12),NA(),IF(COUNT(OFFSET(G1024,1-Settings!$B$12,0,Settings!$B$12,1))&lt;Settings!$B$12,NA(),STDEV(OFFSET(G1024,1-Settings!$B$12,0,Settings!$B$12,1))*SQRT(Settings!$B$13)))</f>
        <v/>
      </c>
      <c r="L1024" s="18">
        <f>IF(AND(ISNUMBER(D1024),ISNUMBER(H1024)),D1024-H1024,NA())</f>
        <v/>
      </c>
      <c r="M1024" s="18">
        <f>IF(AND(ISNUMBER(E1024),ISNUMBER(K1024)),E1024-K1024,NA())</f>
        <v/>
      </c>
      <c r="N1024" s="18">
        <f>IF(NOT(ISNUMBER($A1024)),NA(),IF(COUNT(OFFSET(G1024,1,0,Settings!$B$12,1))&lt;Settings!$B$12,NA(),STDEV(OFFSET(G1024,1,0,Settings!$B$12,1))*SQRT(Settings!$B$13)))</f>
        <v/>
      </c>
      <c r="O1024" s="18">
        <f>IF(AND(ISNUMBER(E1024),ISNUMBER(N1024)),E1024-N1024,NA())</f>
        <v/>
      </c>
      <c r="P1024" s="17">
        <f>IF(NOT(ISNUMBER($A1024)),NA(),IF(OR($A1024&lt;MIN(KW_TP!$A$2:$A$2501),$A1024&gt;MAX(KW_TP!$A$2:$A$2501)),NA(),INDEX(KW_TP!$C$2:$C$2501,MATCH($A1024,KW_TP!$A$2:$A$2501,1))))</f>
        <v/>
      </c>
    </row>
    <row r="1025">
      <c r="A1025" s="15">
        <f>IF(ISNUMBER(BBG_Data!A1025),BBG_Data!A1025,"")</f>
        <v/>
      </c>
      <c r="B1025" s="16">
        <f>IF(AND(ISNUMBER($A1025),ISNUMBER(BBG_Data!B1025)),BBG_Data!B1025,NA())</f>
        <v/>
      </c>
      <c r="C1025" s="16">
        <f>IF(AND(ISNUMBER($A1025),ISNUMBER(BBG_Data!C1025)),BBG_Data!C1025,NA())</f>
        <v/>
      </c>
      <c r="D1025" s="17">
        <f>IF(AND(ISNUMBER($A1025),ISNUMBER(BBG_Data!D1025)),BBG_Data!D1025,NA())</f>
        <v/>
      </c>
      <c r="E1025" s="17">
        <f>IF(AND(ISNUMBER($A1025),ISNUMBER(BBG_Data!E1025)),BBG_Data!E1025,NA())</f>
        <v/>
      </c>
      <c r="F1025" s="18">
        <f>IF(AND(ISNUMBER(B1025),ISNUMBER(B1024)),(B1025-B1024)*100,"")</f>
        <v/>
      </c>
      <c r="G1025" s="18">
        <f>IF(AND(ISNUMBER(C1025),ISNUMBER(C1024)),(C1025-C1024)*100,"")</f>
        <v/>
      </c>
      <c r="H1025" s="18">
        <f>IF(OR(NOT(ISNUMBER($A1025)),ROW()-2&lt;Settings!$B$11),NA(),IF(COUNT(OFFSET(F1025,1-Settings!$B$11,0,Settings!$B$11,1))&lt;Settings!$B$11,NA(),STDEV(OFFSET(F1025,1-Settings!$B$11,0,Settings!$B$11,1))*SQRT(Settings!$B$13)))</f>
        <v/>
      </c>
      <c r="I1025" s="18">
        <f>IF(OR(NOT(ISNUMBER($A1025)),ROW()-2&lt;Settings!$B$12),NA(),IF(COUNT(OFFSET(F1025,1-Settings!$B$12,0,Settings!$B$12,1))&lt;Settings!$B$12,NA(),STDEV(OFFSET(F1025,1-Settings!$B$12,0,Settings!$B$12,1))*SQRT(Settings!$B$13)))</f>
        <v/>
      </c>
      <c r="J1025" s="18">
        <f>IF(OR(NOT(ISNUMBER($A1025)),ROW()-2&lt;Settings!$B$11),NA(),IF(COUNT(OFFSET(G1025,1-Settings!$B$11,0,Settings!$B$11,1))&lt;Settings!$B$11,NA(),STDEV(OFFSET(G1025,1-Settings!$B$11,0,Settings!$B$11,1))*SQRT(Settings!$B$13)))</f>
        <v/>
      </c>
      <c r="K1025" s="18">
        <f>IF(OR(NOT(ISNUMBER($A1025)),ROW()-2&lt;Settings!$B$12),NA(),IF(COUNT(OFFSET(G1025,1-Settings!$B$12,0,Settings!$B$12,1))&lt;Settings!$B$12,NA(),STDEV(OFFSET(G1025,1-Settings!$B$12,0,Settings!$B$12,1))*SQRT(Settings!$B$13)))</f>
        <v/>
      </c>
      <c r="L1025" s="18">
        <f>IF(AND(ISNUMBER(D1025),ISNUMBER(H1025)),D1025-H1025,NA())</f>
        <v/>
      </c>
      <c r="M1025" s="18">
        <f>IF(AND(ISNUMBER(E1025),ISNUMBER(K1025)),E1025-K1025,NA())</f>
        <v/>
      </c>
      <c r="N1025" s="18">
        <f>IF(NOT(ISNUMBER($A1025)),NA(),IF(COUNT(OFFSET(G1025,1,0,Settings!$B$12,1))&lt;Settings!$B$12,NA(),STDEV(OFFSET(G1025,1,0,Settings!$B$12,1))*SQRT(Settings!$B$13)))</f>
        <v/>
      </c>
      <c r="O1025" s="18">
        <f>IF(AND(ISNUMBER(E1025),ISNUMBER(N1025)),E1025-N1025,NA())</f>
        <v/>
      </c>
      <c r="P1025" s="17">
        <f>IF(NOT(ISNUMBER($A1025)),NA(),IF(OR($A1025&lt;MIN(KW_TP!$A$2:$A$2501),$A1025&gt;MAX(KW_TP!$A$2:$A$2501)),NA(),INDEX(KW_TP!$C$2:$C$2501,MATCH($A1025,KW_TP!$A$2:$A$2501,1))))</f>
        <v/>
      </c>
    </row>
    <row r="1026">
      <c r="A1026" s="15">
        <f>IF(ISNUMBER(BBG_Data!A1026),BBG_Data!A1026,"")</f>
        <v/>
      </c>
      <c r="B1026" s="16">
        <f>IF(AND(ISNUMBER($A1026),ISNUMBER(BBG_Data!B1026)),BBG_Data!B1026,NA())</f>
        <v/>
      </c>
      <c r="C1026" s="16">
        <f>IF(AND(ISNUMBER($A1026),ISNUMBER(BBG_Data!C1026)),BBG_Data!C1026,NA())</f>
        <v/>
      </c>
      <c r="D1026" s="17">
        <f>IF(AND(ISNUMBER($A1026),ISNUMBER(BBG_Data!D1026)),BBG_Data!D1026,NA())</f>
        <v/>
      </c>
      <c r="E1026" s="17">
        <f>IF(AND(ISNUMBER($A1026),ISNUMBER(BBG_Data!E1026)),BBG_Data!E1026,NA())</f>
        <v/>
      </c>
      <c r="F1026" s="18">
        <f>IF(AND(ISNUMBER(B1026),ISNUMBER(B1025)),(B1026-B1025)*100,"")</f>
        <v/>
      </c>
      <c r="G1026" s="18">
        <f>IF(AND(ISNUMBER(C1026),ISNUMBER(C1025)),(C1026-C1025)*100,"")</f>
        <v/>
      </c>
      <c r="H1026" s="18">
        <f>IF(OR(NOT(ISNUMBER($A1026)),ROW()-2&lt;Settings!$B$11),NA(),IF(COUNT(OFFSET(F1026,1-Settings!$B$11,0,Settings!$B$11,1))&lt;Settings!$B$11,NA(),STDEV(OFFSET(F1026,1-Settings!$B$11,0,Settings!$B$11,1))*SQRT(Settings!$B$13)))</f>
        <v/>
      </c>
      <c r="I1026" s="18">
        <f>IF(OR(NOT(ISNUMBER($A1026)),ROW()-2&lt;Settings!$B$12),NA(),IF(COUNT(OFFSET(F1026,1-Settings!$B$12,0,Settings!$B$12,1))&lt;Settings!$B$12,NA(),STDEV(OFFSET(F1026,1-Settings!$B$12,0,Settings!$B$12,1))*SQRT(Settings!$B$13)))</f>
        <v/>
      </c>
      <c r="J1026" s="18">
        <f>IF(OR(NOT(ISNUMBER($A1026)),ROW()-2&lt;Settings!$B$11),NA(),IF(COUNT(OFFSET(G1026,1-Settings!$B$11,0,Settings!$B$11,1))&lt;Settings!$B$11,NA(),STDEV(OFFSET(G1026,1-Settings!$B$11,0,Settings!$B$11,1))*SQRT(Settings!$B$13)))</f>
        <v/>
      </c>
      <c r="K1026" s="18">
        <f>IF(OR(NOT(ISNUMBER($A1026)),ROW()-2&lt;Settings!$B$12),NA(),IF(COUNT(OFFSET(G1026,1-Settings!$B$12,0,Settings!$B$12,1))&lt;Settings!$B$12,NA(),STDEV(OFFSET(G1026,1-Settings!$B$12,0,Settings!$B$12,1))*SQRT(Settings!$B$13)))</f>
        <v/>
      </c>
      <c r="L1026" s="18">
        <f>IF(AND(ISNUMBER(D1026),ISNUMBER(H1026)),D1026-H1026,NA())</f>
        <v/>
      </c>
      <c r="M1026" s="18">
        <f>IF(AND(ISNUMBER(E1026),ISNUMBER(K1026)),E1026-K1026,NA())</f>
        <v/>
      </c>
      <c r="N1026" s="18">
        <f>IF(NOT(ISNUMBER($A1026)),NA(),IF(COUNT(OFFSET(G1026,1,0,Settings!$B$12,1))&lt;Settings!$B$12,NA(),STDEV(OFFSET(G1026,1,0,Settings!$B$12,1))*SQRT(Settings!$B$13)))</f>
        <v/>
      </c>
      <c r="O1026" s="18">
        <f>IF(AND(ISNUMBER(E1026),ISNUMBER(N1026)),E1026-N1026,NA())</f>
        <v/>
      </c>
      <c r="P1026" s="17">
        <f>IF(NOT(ISNUMBER($A1026)),NA(),IF(OR($A1026&lt;MIN(KW_TP!$A$2:$A$2501),$A1026&gt;MAX(KW_TP!$A$2:$A$2501)),NA(),INDEX(KW_TP!$C$2:$C$2501,MATCH($A1026,KW_TP!$A$2:$A$2501,1))))</f>
        <v/>
      </c>
    </row>
    <row r="1027">
      <c r="A1027" s="15">
        <f>IF(ISNUMBER(BBG_Data!A1027),BBG_Data!A1027,"")</f>
        <v/>
      </c>
      <c r="B1027" s="16">
        <f>IF(AND(ISNUMBER($A1027),ISNUMBER(BBG_Data!B1027)),BBG_Data!B1027,NA())</f>
        <v/>
      </c>
      <c r="C1027" s="16">
        <f>IF(AND(ISNUMBER($A1027),ISNUMBER(BBG_Data!C1027)),BBG_Data!C1027,NA())</f>
        <v/>
      </c>
      <c r="D1027" s="17">
        <f>IF(AND(ISNUMBER($A1027),ISNUMBER(BBG_Data!D1027)),BBG_Data!D1027,NA())</f>
        <v/>
      </c>
      <c r="E1027" s="17">
        <f>IF(AND(ISNUMBER($A1027),ISNUMBER(BBG_Data!E1027)),BBG_Data!E1027,NA())</f>
        <v/>
      </c>
      <c r="F1027" s="18">
        <f>IF(AND(ISNUMBER(B1027),ISNUMBER(B1026)),(B1027-B1026)*100,"")</f>
        <v/>
      </c>
      <c r="G1027" s="18">
        <f>IF(AND(ISNUMBER(C1027),ISNUMBER(C1026)),(C1027-C1026)*100,"")</f>
        <v/>
      </c>
      <c r="H1027" s="18">
        <f>IF(OR(NOT(ISNUMBER($A1027)),ROW()-2&lt;Settings!$B$11),NA(),IF(COUNT(OFFSET(F1027,1-Settings!$B$11,0,Settings!$B$11,1))&lt;Settings!$B$11,NA(),STDEV(OFFSET(F1027,1-Settings!$B$11,0,Settings!$B$11,1))*SQRT(Settings!$B$13)))</f>
        <v/>
      </c>
      <c r="I1027" s="18">
        <f>IF(OR(NOT(ISNUMBER($A1027)),ROW()-2&lt;Settings!$B$12),NA(),IF(COUNT(OFFSET(F1027,1-Settings!$B$12,0,Settings!$B$12,1))&lt;Settings!$B$12,NA(),STDEV(OFFSET(F1027,1-Settings!$B$12,0,Settings!$B$12,1))*SQRT(Settings!$B$13)))</f>
        <v/>
      </c>
      <c r="J1027" s="18">
        <f>IF(OR(NOT(ISNUMBER($A1027)),ROW()-2&lt;Settings!$B$11),NA(),IF(COUNT(OFFSET(G1027,1-Settings!$B$11,0,Settings!$B$11,1))&lt;Settings!$B$11,NA(),STDEV(OFFSET(G1027,1-Settings!$B$11,0,Settings!$B$11,1))*SQRT(Settings!$B$13)))</f>
        <v/>
      </c>
      <c r="K1027" s="18">
        <f>IF(OR(NOT(ISNUMBER($A1027)),ROW()-2&lt;Settings!$B$12),NA(),IF(COUNT(OFFSET(G1027,1-Settings!$B$12,0,Settings!$B$12,1))&lt;Settings!$B$12,NA(),STDEV(OFFSET(G1027,1-Settings!$B$12,0,Settings!$B$12,1))*SQRT(Settings!$B$13)))</f>
        <v/>
      </c>
      <c r="L1027" s="18">
        <f>IF(AND(ISNUMBER(D1027),ISNUMBER(H1027)),D1027-H1027,NA())</f>
        <v/>
      </c>
      <c r="M1027" s="18">
        <f>IF(AND(ISNUMBER(E1027),ISNUMBER(K1027)),E1027-K1027,NA())</f>
        <v/>
      </c>
      <c r="N1027" s="18">
        <f>IF(NOT(ISNUMBER($A1027)),NA(),IF(COUNT(OFFSET(G1027,1,0,Settings!$B$12,1))&lt;Settings!$B$12,NA(),STDEV(OFFSET(G1027,1,0,Settings!$B$12,1))*SQRT(Settings!$B$13)))</f>
        <v/>
      </c>
      <c r="O1027" s="18">
        <f>IF(AND(ISNUMBER(E1027),ISNUMBER(N1027)),E1027-N1027,NA())</f>
        <v/>
      </c>
      <c r="P1027" s="17">
        <f>IF(NOT(ISNUMBER($A1027)),NA(),IF(OR($A1027&lt;MIN(KW_TP!$A$2:$A$2501),$A1027&gt;MAX(KW_TP!$A$2:$A$2501)),NA(),INDEX(KW_TP!$C$2:$C$2501,MATCH($A1027,KW_TP!$A$2:$A$2501,1))))</f>
        <v/>
      </c>
    </row>
    <row r="1028">
      <c r="A1028" s="15">
        <f>IF(ISNUMBER(BBG_Data!A1028),BBG_Data!A1028,"")</f>
        <v/>
      </c>
      <c r="B1028" s="16">
        <f>IF(AND(ISNUMBER($A1028),ISNUMBER(BBG_Data!B1028)),BBG_Data!B1028,NA())</f>
        <v/>
      </c>
      <c r="C1028" s="16">
        <f>IF(AND(ISNUMBER($A1028),ISNUMBER(BBG_Data!C1028)),BBG_Data!C1028,NA())</f>
        <v/>
      </c>
      <c r="D1028" s="17">
        <f>IF(AND(ISNUMBER($A1028),ISNUMBER(BBG_Data!D1028)),BBG_Data!D1028,NA())</f>
        <v/>
      </c>
      <c r="E1028" s="17">
        <f>IF(AND(ISNUMBER($A1028),ISNUMBER(BBG_Data!E1028)),BBG_Data!E1028,NA())</f>
        <v/>
      </c>
      <c r="F1028" s="18">
        <f>IF(AND(ISNUMBER(B1028),ISNUMBER(B1027)),(B1028-B1027)*100,"")</f>
        <v/>
      </c>
      <c r="G1028" s="18">
        <f>IF(AND(ISNUMBER(C1028),ISNUMBER(C1027)),(C1028-C1027)*100,"")</f>
        <v/>
      </c>
      <c r="H1028" s="18">
        <f>IF(OR(NOT(ISNUMBER($A1028)),ROW()-2&lt;Settings!$B$11),NA(),IF(COUNT(OFFSET(F1028,1-Settings!$B$11,0,Settings!$B$11,1))&lt;Settings!$B$11,NA(),STDEV(OFFSET(F1028,1-Settings!$B$11,0,Settings!$B$11,1))*SQRT(Settings!$B$13)))</f>
        <v/>
      </c>
      <c r="I1028" s="18">
        <f>IF(OR(NOT(ISNUMBER($A1028)),ROW()-2&lt;Settings!$B$12),NA(),IF(COUNT(OFFSET(F1028,1-Settings!$B$12,0,Settings!$B$12,1))&lt;Settings!$B$12,NA(),STDEV(OFFSET(F1028,1-Settings!$B$12,0,Settings!$B$12,1))*SQRT(Settings!$B$13)))</f>
        <v/>
      </c>
      <c r="J1028" s="18">
        <f>IF(OR(NOT(ISNUMBER($A1028)),ROW()-2&lt;Settings!$B$11),NA(),IF(COUNT(OFFSET(G1028,1-Settings!$B$11,0,Settings!$B$11,1))&lt;Settings!$B$11,NA(),STDEV(OFFSET(G1028,1-Settings!$B$11,0,Settings!$B$11,1))*SQRT(Settings!$B$13)))</f>
        <v/>
      </c>
      <c r="K1028" s="18">
        <f>IF(OR(NOT(ISNUMBER($A1028)),ROW()-2&lt;Settings!$B$12),NA(),IF(COUNT(OFFSET(G1028,1-Settings!$B$12,0,Settings!$B$12,1))&lt;Settings!$B$12,NA(),STDEV(OFFSET(G1028,1-Settings!$B$12,0,Settings!$B$12,1))*SQRT(Settings!$B$13)))</f>
        <v/>
      </c>
      <c r="L1028" s="18">
        <f>IF(AND(ISNUMBER(D1028),ISNUMBER(H1028)),D1028-H1028,NA())</f>
        <v/>
      </c>
      <c r="M1028" s="18">
        <f>IF(AND(ISNUMBER(E1028),ISNUMBER(K1028)),E1028-K1028,NA())</f>
        <v/>
      </c>
      <c r="N1028" s="18">
        <f>IF(NOT(ISNUMBER($A1028)),NA(),IF(COUNT(OFFSET(G1028,1,0,Settings!$B$12,1))&lt;Settings!$B$12,NA(),STDEV(OFFSET(G1028,1,0,Settings!$B$12,1))*SQRT(Settings!$B$13)))</f>
        <v/>
      </c>
      <c r="O1028" s="18">
        <f>IF(AND(ISNUMBER(E1028),ISNUMBER(N1028)),E1028-N1028,NA())</f>
        <v/>
      </c>
      <c r="P1028" s="17">
        <f>IF(NOT(ISNUMBER($A1028)),NA(),IF(OR($A1028&lt;MIN(KW_TP!$A$2:$A$2501),$A1028&gt;MAX(KW_TP!$A$2:$A$2501)),NA(),INDEX(KW_TP!$C$2:$C$2501,MATCH($A1028,KW_TP!$A$2:$A$2501,1))))</f>
        <v/>
      </c>
    </row>
    <row r="1029">
      <c r="A1029" s="15">
        <f>IF(ISNUMBER(BBG_Data!A1029),BBG_Data!A1029,"")</f>
        <v/>
      </c>
      <c r="B1029" s="16">
        <f>IF(AND(ISNUMBER($A1029),ISNUMBER(BBG_Data!B1029)),BBG_Data!B1029,NA())</f>
        <v/>
      </c>
      <c r="C1029" s="16">
        <f>IF(AND(ISNUMBER($A1029),ISNUMBER(BBG_Data!C1029)),BBG_Data!C1029,NA())</f>
        <v/>
      </c>
      <c r="D1029" s="17">
        <f>IF(AND(ISNUMBER($A1029),ISNUMBER(BBG_Data!D1029)),BBG_Data!D1029,NA())</f>
        <v/>
      </c>
      <c r="E1029" s="17">
        <f>IF(AND(ISNUMBER($A1029),ISNUMBER(BBG_Data!E1029)),BBG_Data!E1029,NA())</f>
        <v/>
      </c>
      <c r="F1029" s="18">
        <f>IF(AND(ISNUMBER(B1029),ISNUMBER(B1028)),(B1029-B1028)*100,"")</f>
        <v/>
      </c>
      <c r="G1029" s="18">
        <f>IF(AND(ISNUMBER(C1029),ISNUMBER(C1028)),(C1029-C1028)*100,"")</f>
        <v/>
      </c>
      <c r="H1029" s="18">
        <f>IF(OR(NOT(ISNUMBER($A1029)),ROW()-2&lt;Settings!$B$11),NA(),IF(COUNT(OFFSET(F1029,1-Settings!$B$11,0,Settings!$B$11,1))&lt;Settings!$B$11,NA(),STDEV(OFFSET(F1029,1-Settings!$B$11,0,Settings!$B$11,1))*SQRT(Settings!$B$13)))</f>
        <v/>
      </c>
      <c r="I1029" s="18">
        <f>IF(OR(NOT(ISNUMBER($A1029)),ROW()-2&lt;Settings!$B$12),NA(),IF(COUNT(OFFSET(F1029,1-Settings!$B$12,0,Settings!$B$12,1))&lt;Settings!$B$12,NA(),STDEV(OFFSET(F1029,1-Settings!$B$12,0,Settings!$B$12,1))*SQRT(Settings!$B$13)))</f>
        <v/>
      </c>
      <c r="J1029" s="18">
        <f>IF(OR(NOT(ISNUMBER($A1029)),ROW()-2&lt;Settings!$B$11),NA(),IF(COUNT(OFFSET(G1029,1-Settings!$B$11,0,Settings!$B$11,1))&lt;Settings!$B$11,NA(),STDEV(OFFSET(G1029,1-Settings!$B$11,0,Settings!$B$11,1))*SQRT(Settings!$B$13)))</f>
        <v/>
      </c>
      <c r="K1029" s="18">
        <f>IF(OR(NOT(ISNUMBER($A1029)),ROW()-2&lt;Settings!$B$12),NA(),IF(COUNT(OFFSET(G1029,1-Settings!$B$12,0,Settings!$B$12,1))&lt;Settings!$B$12,NA(),STDEV(OFFSET(G1029,1-Settings!$B$12,0,Settings!$B$12,1))*SQRT(Settings!$B$13)))</f>
        <v/>
      </c>
      <c r="L1029" s="18">
        <f>IF(AND(ISNUMBER(D1029),ISNUMBER(H1029)),D1029-H1029,NA())</f>
        <v/>
      </c>
      <c r="M1029" s="18">
        <f>IF(AND(ISNUMBER(E1029),ISNUMBER(K1029)),E1029-K1029,NA())</f>
        <v/>
      </c>
      <c r="N1029" s="18">
        <f>IF(NOT(ISNUMBER($A1029)),NA(),IF(COUNT(OFFSET(G1029,1,0,Settings!$B$12,1))&lt;Settings!$B$12,NA(),STDEV(OFFSET(G1029,1,0,Settings!$B$12,1))*SQRT(Settings!$B$13)))</f>
        <v/>
      </c>
      <c r="O1029" s="18">
        <f>IF(AND(ISNUMBER(E1029),ISNUMBER(N1029)),E1029-N1029,NA())</f>
        <v/>
      </c>
      <c r="P1029" s="17">
        <f>IF(NOT(ISNUMBER($A1029)),NA(),IF(OR($A1029&lt;MIN(KW_TP!$A$2:$A$2501),$A1029&gt;MAX(KW_TP!$A$2:$A$2501)),NA(),INDEX(KW_TP!$C$2:$C$2501,MATCH($A1029,KW_TP!$A$2:$A$2501,1))))</f>
        <v/>
      </c>
    </row>
    <row r="1030">
      <c r="A1030" s="15">
        <f>IF(ISNUMBER(BBG_Data!A1030),BBG_Data!A1030,"")</f>
        <v/>
      </c>
      <c r="B1030" s="16">
        <f>IF(AND(ISNUMBER($A1030),ISNUMBER(BBG_Data!B1030)),BBG_Data!B1030,NA())</f>
        <v/>
      </c>
      <c r="C1030" s="16">
        <f>IF(AND(ISNUMBER($A1030),ISNUMBER(BBG_Data!C1030)),BBG_Data!C1030,NA())</f>
        <v/>
      </c>
      <c r="D1030" s="17">
        <f>IF(AND(ISNUMBER($A1030),ISNUMBER(BBG_Data!D1030)),BBG_Data!D1030,NA())</f>
        <v/>
      </c>
      <c r="E1030" s="17">
        <f>IF(AND(ISNUMBER($A1030),ISNUMBER(BBG_Data!E1030)),BBG_Data!E1030,NA())</f>
        <v/>
      </c>
      <c r="F1030" s="18">
        <f>IF(AND(ISNUMBER(B1030),ISNUMBER(B1029)),(B1030-B1029)*100,"")</f>
        <v/>
      </c>
      <c r="G1030" s="18">
        <f>IF(AND(ISNUMBER(C1030),ISNUMBER(C1029)),(C1030-C1029)*100,"")</f>
        <v/>
      </c>
      <c r="H1030" s="18">
        <f>IF(OR(NOT(ISNUMBER($A1030)),ROW()-2&lt;Settings!$B$11),NA(),IF(COUNT(OFFSET(F1030,1-Settings!$B$11,0,Settings!$B$11,1))&lt;Settings!$B$11,NA(),STDEV(OFFSET(F1030,1-Settings!$B$11,0,Settings!$B$11,1))*SQRT(Settings!$B$13)))</f>
        <v/>
      </c>
      <c r="I1030" s="18">
        <f>IF(OR(NOT(ISNUMBER($A1030)),ROW()-2&lt;Settings!$B$12),NA(),IF(COUNT(OFFSET(F1030,1-Settings!$B$12,0,Settings!$B$12,1))&lt;Settings!$B$12,NA(),STDEV(OFFSET(F1030,1-Settings!$B$12,0,Settings!$B$12,1))*SQRT(Settings!$B$13)))</f>
        <v/>
      </c>
      <c r="J1030" s="18">
        <f>IF(OR(NOT(ISNUMBER($A1030)),ROW()-2&lt;Settings!$B$11),NA(),IF(COUNT(OFFSET(G1030,1-Settings!$B$11,0,Settings!$B$11,1))&lt;Settings!$B$11,NA(),STDEV(OFFSET(G1030,1-Settings!$B$11,0,Settings!$B$11,1))*SQRT(Settings!$B$13)))</f>
        <v/>
      </c>
      <c r="K1030" s="18">
        <f>IF(OR(NOT(ISNUMBER($A1030)),ROW()-2&lt;Settings!$B$12),NA(),IF(COUNT(OFFSET(G1030,1-Settings!$B$12,0,Settings!$B$12,1))&lt;Settings!$B$12,NA(),STDEV(OFFSET(G1030,1-Settings!$B$12,0,Settings!$B$12,1))*SQRT(Settings!$B$13)))</f>
        <v/>
      </c>
      <c r="L1030" s="18">
        <f>IF(AND(ISNUMBER(D1030),ISNUMBER(H1030)),D1030-H1030,NA())</f>
        <v/>
      </c>
      <c r="M1030" s="18">
        <f>IF(AND(ISNUMBER(E1030),ISNUMBER(K1030)),E1030-K1030,NA())</f>
        <v/>
      </c>
      <c r="N1030" s="18">
        <f>IF(NOT(ISNUMBER($A1030)),NA(),IF(COUNT(OFFSET(G1030,1,0,Settings!$B$12,1))&lt;Settings!$B$12,NA(),STDEV(OFFSET(G1030,1,0,Settings!$B$12,1))*SQRT(Settings!$B$13)))</f>
        <v/>
      </c>
      <c r="O1030" s="18">
        <f>IF(AND(ISNUMBER(E1030),ISNUMBER(N1030)),E1030-N1030,NA())</f>
        <v/>
      </c>
      <c r="P1030" s="17">
        <f>IF(NOT(ISNUMBER($A1030)),NA(),IF(OR($A1030&lt;MIN(KW_TP!$A$2:$A$2501),$A1030&gt;MAX(KW_TP!$A$2:$A$2501)),NA(),INDEX(KW_TP!$C$2:$C$2501,MATCH($A1030,KW_TP!$A$2:$A$2501,1))))</f>
        <v/>
      </c>
    </row>
    <row r="1031">
      <c r="A1031" s="15">
        <f>IF(ISNUMBER(BBG_Data!A1031),BBG_Data!A1031,"")</f>
        <v/>
      </c>
      <c r="B1031" s="16">
        <f>IF(AND(ISNUMBER($A1031),ISNUMBER(BBG_Data!B1031)),BBG_Data!B1031,NA())</f>
        <v/>
      </c>
      <c r="C1031" s="16">
        <f>IF(AND(ISNUMBER($A1031),ISNUMBER(BBG_Data!C1031)),BBG_Data!C1031,NA())</f>
        <v/>
      </c>
      <c r="D1031" s="17">
        <f>IF(AND(ISNUMBER($A1031),ISNUMBER(BBG_Data!D1031)),BBG_Data!D1031,NA())</f>
        <v/>
      </c>
      <c r="E1031" s="17">
        <f>IF(AND(ISNUMBER($A1031),ISNUMBER(BBG_Data!E1031)),BBG_Data!E1031,NA())</f>
        <v/>
      </c>
      <c r="F1031" s="18">
        <f>IF(AND(ISNUMBER(B1031),ISNUMBER(B1030)),(B1031-B1030)*100,"")</f>
        <v/>
      </c>
      <c r="G1031" s="18">
        <f>IF(AND(ISNUMBER(C1031),ISNUMBER(C1030)),(C1031-C1030)*100,"")</f>
        <v/>
      </c>
      <c r="H1031" s="18">
        <f>IF(OR(NOT(ISNUMBER($A1031)),ROW()-2&lt;Settings!$B$11),NA(),IF(COUNT(OFFSET(F1031,1-Settings!$B$11,0,Settings!$B$11,1))&lt;Settings!$B$11,NA(),STDEV(OFFSET(F1031,1-Settings!$B$11,0,Settings!$B$11,1))*SQRT(Settings!$B$13)))</f>
        <v/>
      </c>
      <c r="I1031" s="18">
        <f>IF(OR(NOT(ISNUMBER($A1031)),ROW()-2&lt;Settings!$B$12),NA(),IF(COUNT(OFFSET(F1031,1-Settings!$B$12,0,Settings!$B$12,1))&lt;Settings!$B$12,NA(),STDEV(OFFSET(F1031,1-Settings!$B$12,0,Settings!$B$12,1))*SQRT(Settings!$B$13)))</f>
        <v/>
      </c>
      <c r="J1031" s="18">
        <f>IF(OR(NOT(ISNUMBER($A1031)),ROW()-2&lt;Settings!$B$11),NA(),IF(COUNT(OFFSET(G1031,1-Settings!$B$11,0,Settings!$B$11,1))&lt;Settings!$B$11,NA(),STDEV(OFFSET(G1031,1-Settings!$B$11,0,Settings!$B$11,1))*SQRT(Settings!$B$13)))</f>
        <v/>
      </c>
      <c r="K1031" s="18">
        <f>IF(OR(NOT(ISNUMBER($A1031)),ROW()-2&lt;Settings!$B$12),NA(),IF(COUNT(OFFSET(G1031,1-Settings!$B$12,0,Settings!$B$12,1))&lt;Settings!$B$12,NA(),STDEV(OFFSET(G1031,1-Settings!$B$12,0,Settings!$B$12,1))*SQRT(Settings!$B$13)))</f>
        <v/>
      </c>
      <c r="L1031" s="18">
        <f>IF(AND(ISNUMBER(D1031),ISNUMBER(H1031)),D1031-H1031,NA())</f>
        <v/>
      </c>
      <c r="M1031" s="18">
        <f>IF(AND(ISNUMBER(E1031),ISNUMBER(K1031)),E1031-K1031,NA())</f>
        <v/>
      </c>
      <c r="N1031" s="18">
        <f>IF(NOT(ISNUMBER($A1031)),NA(),IF(COUNT(OFFSET(G1031,1,0,Settings!$B$12,1))&lt;Settings!$B$12,NA(),STDEV(OFFSET(G1031,1,0,Settings!$B$12,1))*SQRT(Settings!$B$13)))</f>
        <v/>
      </c>
      <c r="O1031" s="18">
        <f>IF(AND(ISNUMBER(E1031),ISNUMBER(N1031)),E1031-N1031,NA())</f>
        <v/>
      </c>
      <c r="P1031" s="17">
        <f>IF(NOT(ISNUMBER($A1031)),NA(),IF(OR($A1031&lt;MIN(KW_TP!$A$2:$A$2501),$A1031&gt;MAX(KW_TP!$A$2:$A$2501)),NA(),INDEX(KW_TP!$C$2:$C$2501,MATCH($A1031,KW_TP!$A$2:$A$2501,1))))</f>
        <v/>
      </c>
    </row>
    <row r="1032">
      <c r="A1032" s="15">
        <f>IF(ISNUMBER(BBG_Data!A1032),BBG_Data!A1032,"")</f>
        <v/>
      </c>
      <c r="B1032" s="16">
        <f>IF(AND(ISNUMBER($A1032),ISNUMBER(BBG_Data!B1032)),BBG_Data!B1032,NA())</f>
        <v/>
      </c>
      <c r="C1032" s="16">
        <f>IF(AND(ISNUMBER($A1032),ISNUMBER(BBG_Data!C1032)),BBG_Data!C1032,NA())</f>
        <v/>
      </c>
      <c r="D1032" s="17">
        <f>IF(AND(ISNUMBER($A1032),ISNUMBER(BBG_Data!D1032)),BBG_Data!D1032,NA())</f>
        <v/>
      </c>
      <c r="E1032" s="17">
        <f>IF(AND(ISNUMBER($A1032),ISNUMBER(BBG_Data!E1032)),BBG_Data!E1032,NA())</f>
        <v/>
      </c>
      <c r="F1032" s="18">
        <f>IF(AND(ISNUMBER(B1032),ISNUMBER(B1031)),(B1032-B1031)*100,"")</f>
        <v/>
      </c>
      <c r="G1032" s="18">
        <f>IF(AND(ISNUMBER(C1032),ISNUMBER(C1031)),(C1032-C1031)*100,"")</f>
        <v/>
      </c>
      <c r="H1032" s="18">
        <f>IF(OR(NOT(ISNUMBER($A1032)),ROW()-2&lt;Settings!$B$11),NA(),IF(COUNT(OFFSET(F1032,1-Settings!$B$11,0,Settings!$B$11,1))&lt;Settings!$B$11,NA(),STDEV(OFFSET(F1032,1-Settings!$B$11,0,Settings!$B$11,1))*SQRT(Settings!$B$13)))</f>
        <v/>
      </c>
      <c r="I1032" s="18">
        <f>IF(OR(NOT(ISNUMBER($A1032)),ROW()-2&lt;Settings!$B$12),NA(),IF(COUNT(OFFSET(F1032,1-Settings!$B$12,0,Settings!$B$12,1))&lt;Settings!$B$12,NA(),STDEV(OFFSET(F1032,1-Settings!$B$12,0,Settings!$B$12,1))*SQRT(Settings!$B$13)))</f>
        <v/>
      </c>
      <c r="J1032" s="18">
        <f>IF(OR(NOT(ISNUMBER($A1032)),ROW()-2&lt;Settings!$B$11),NA(),IF(COUNT(OFFSET(G1032,1-Settings!$B$11,0,Settings!$B$11,1))&lt;Settings!$B$11,NA(),STDEV(OFFSET(G1032,1-Settings!$B$11,0,Settings!$B$11,1))*SQRT(Settings!$B$13)))</f>
        <v/>
      </c>
      <c r="K1032" s="18">
        <f>IF(OR(NOT(ISNUMBER($A1032)),ROW()-2&lt;Settings!$B$12),NA(),IF(COUNT(OFFSET(G1032,1-Settings!$B$12,0,Settings!$B$12,1))&lt;Settings!$B$12,NA(),STDEV(OFFSET(G1032,1-Settings!$B$12,0,Settings!$B$12,1))*SQRT(Settings!$B$13)))</f>
        <v/>
      </c>
      <c r="L1032" s="18">
        <f>IF(AND(ISNUMBER(D1032),ISNUMBER(H1032)),D1032-H1032,NA())</f>
        <v/>
      </c>
      <c r="M1032" s="18">
        <f>IF(AND(ISNUMBER(E1032),ISNUMBER(K1032)),E1032-K1032,NA())</f>
        <v/>
      </c>
      <c r="N1032" s="18">
        <f>IF(NOT(ISNUMBER($A1032)),NA(),IF(COUNT(OFFSET(G1032,1,0,Settings!$B$12,1))&lt;Settings!$B$12,NA(),STDEV(OFFSET(G1032,1,0,Settings!$B$12,1))*SQRT(Settings!$B$13)))</f>
        <v/>
      </c>
      <c r="O1032" s="18">
        <f>IF(AND(ISNUMBER(E1032),ISNUMBER(N1032)),E1032-N1032,NA())</f>
        <v/>
      </c>
      <c r="P1032" s="17">
        <f>IF(NOT(ISNUMBER($A1032)),NA(),IF(OR($A1032&lt;MIN(KW_TP!$A$2:$A$2501),$A1032&gt;MAX(KW_TP!$A$2:$A$2501)),NA(),INDEX(KW_TP!$C$2:$C$2501,MATCH($A1032,KW_TP!$A$2:$A$2501,1))))</f>
        <v/>
      </c>
    </row>
    <row r="1033">
      <c r="A1033" s="15">
        <f>IF(ISNUMBER(BBG_Data!A1033),BBG_Data!A1033,"")</f>
        <v/>
      </c>
      <c r="B1033" s="16">
        <f>IF(AND(ISNUMBER($A1033),ISNUMBER(BBG_Data!B1033)),BBG_Data!B1033,NA())</f>
        <v/>
      </c>
      <c r="C1033" s="16">
        <f>IF(AND(ISNUMBER($A1033),ISNUMBER(BBG_Data!C1033)),BBG_Data!C1033,NA())</f>
        <v/>
      </c>
      <c r="D1033" s="17">
        <f>IF(AND(ISNUMBER($A1033),ISNUMBER(BBG_Data!D1033)),BBG_Data!D1033,NA())</f>
        <v/>
      </c>
      <c r="E1033" s="17">
        <f>IF(AND(ISNUMBER($A1033),ISNUMBER(BBG_Data!E1033)),BBG_Data!E1033,NA())</f>
        <v/>
      </c>
      <c r="F1033" s="18">
        <f>IF(AND(ISNUMBER(B1033),ISNUMBER(B1032)),(B1033-B1032)*100,"")</f>
        <v/>
      </c>
      <c r="G1033" s="18">
        <f>IF(AND(ISNUMBER(C1033),ISNUMBER(C1032)),(C1033-C1032)*100,"")</f>
        <v/>
      </c>
      <c r="H1033" s="18">
        <f>IF(OR(NOT(ISNUMBER($A1033)),ROW()-2&lt;Settings!$B$11),NA(),IF(COUNT(OFFSET(F1033,1-Settings!$B$11,0,Settings!$B$11,1))&lt;Settings!$B$11,NA(),STDEV(OFFSET(F1033,1-Settings!$B$11,0,Settings!$B$11,1))*SQRT(Settings!$B$13)))</f>
        <v/>
      </c>
      <c r="I1033" s="18">
        <f>IF(OR(NOT(ISNUMBER($A1033)),ROW()-2&lt;Settings!$B$12),NA(),IF(COUNT(OFFSET(F1033,1-Settings!$B$12,0,Settings!$B$12,1))&lt;Settings!$B$12,NA(),STDEV(OFFSET(F1033,1-Settings!$B$12,0,Settings!$B$12,1))*SQRT(Settings!$B$13)))</f>
        <v/>
      </c>
      <c r="J1033" s="18">
        <f>IF(OR(NOT(ISNUMBER($A1033)),ROW()-2&lt;Settings!$B$11),NA(),IF(COUNT(OFFSET(G1033,1-Settings!$B$11,0,Settings!$B$11,1))&lt;Settings!$B$11,NA(),STDEV(OFFSET(G1033,1-Settings!$B$11,0,Settings!$B$11,1))*SQRT(Settings!$B$13)))</f>
        <v/>
      </c>
      <c r="K1033" s="18">
        <f>IF(OR(NOT(ISNUMBER($A1033)),ROW()-2&lt;Settings!$B$12),NA(),IF(COUNT(OFFSET(G1033,1-Settings!$B$12,0,Settings!$B$12,1))&lt;Settings!$B$12,NA(),STDEV(OFFSET(G1033,1-Settings!$B$12,0,Settings!$B$12,1))*SQRT(Settings!$B$13)))</f>
        <v/>
      </c>
      <c r="L1033" s="18">
        <f>IF(AND(ISNUMBER(D1033),ISNUMBER(H1033)),D1033-H1033,NA())</f>
        <v/>
      </c>
      <c r="M1033" s="18">
        <f>IF(AND(ISNUMBER(E1033),ISNUMBER(K1033)),E1033-K1033,NA())</f>
        <v/>
      </c>
      <c r="N1033" s="18">
        <f>IF(NOT(ISNUMBER($A1033)),NA(),IF(COUNT(OFFSET(G1033,1,0,Settings!$B$12,1))&lt;Settings!$B$12,NA(),STDEV(OFFSET(G1033,1,0,Settings!$B$12,1))*SQRT(Settings!$B$13)))</f>
        <v/>
      </c>
      <c r="O1033" s="18">
        <f>IF(AND(ISNUMBER(E1033),ISNUMBER(N1033)),E1033-N1033,NA())</f>
        <v/>
      </c>
      <c r="P1033" s="17">
        <f>IF(NOT(ISNUMBER($A1033)),NA(),IF(OR($A1033&lt;MIN(KW_TP!$A$2:$A$2501),$A1033&gt;MAX(KW_TP!$A$2:$A$2501)),NA(),INDEX(KW_TP!$C$2:$C$2501,MATCH($A1033,KW_TP!$A$2:$A$2501,1))))</f>
        <v/>
      </c>
    </row>
    <row r="1034">
      <c r="A1034" s="15">
        <f>IF(ISNUMBER(BBG_Data!A1034),BBG_Data!A1034,"")</f>
        <v/>
      </c>
      <c r="B1034" s="16">
        <f>IF(AND(ISNUMBER($A1034),ISNUMBER(BBG_Data!B1034)),BBG_Data!B1034,NA())</f>
        <v/>
      </c>
      <c r="C1034" s="16">
        <f>IF(AND(ISNUMBER($A1034),ISNUMBER(BBG_Data!C1034)),BBG_Data!C1034,NA())</f>
        <v/>
      </c>
      <c r="D1034" s="17">
        <f>IF(AND(ISNUMBER($A1034),ISNUMBER(BBG_Data!D1034)),BBG_Data!D1034,NA())</f>
        <v/>
      </c>
      <c r="E1034" s="17">
        <f>IF(AND(ISNUMBER($A1034),ISNUMBER(BBG_Data!E1034)),BBG_Data!E1034,NA())</f>
        <v/>
      </c>
      <c r="F1034" s="18">
        <f>IF(AND(ISNUMBER(B1034),ISNUMBER(B1033)),(B1034-B1033)*100,"")</f>
        <v/>
      </c>
      <c r="G1034" s="18">
        <f>IF(AND(ISNUMBER(C1034),ISNUMBER(C1033)),(C1034-C1033)*100,"")</f>
        <v/>
      </c>
      <c r="H1034" s="18">
        <f>IF(OR(NOT(ISNUMBER($A1034)),ROW()-2&lt;Settings!$B$11),NA(),IF(COUNT(OFFSET(F1034,1-Settings!$B$11,0,Settings!$B$11,1))&lt;Settings!$B$11,NA(),STDEV(OFFSET(F1034,1-Settings!$B$11,0,Settings!$B$11,1))*SQRT(Settings!$B$13)))</f>
        <v/>
      </c>
      <c r="I1034" s="18">
        <f>IF(OR(NOT(ISNUMBER($A1034)),ROW()-2&lt;Settings!$B$12),NA(),IF(COUNT(OFFSET(F1034,1-Settings!$B$12,0,Settings!$B$12,1))&lt;Settings!$B$12,NA(),STDEV(OFFSET(F1034,1-Settings!$B$12,0,Settings!$B$12,1))*SQRT(Settings!$B$13)))</f>
        <v/>
      </c>
      <c r="J1034" s="18">
        <f>IF(OR(NOT(ISNUMBER($A1034)),ROW()-2&lt;Settings!$B$11),NA(),IF(COUNT(OFFSET(G1034,1-Settings!$B$11,0,Settings!$B$11,1))&lt;Settings!$B$11,NA(),STDEV(OFFSET(G1034,1-Settings!$B$11,0,Settings!$B$11,1))*SQRT(Settings!$B$13)))</f>
        <v/>
      </c>
      <c r="K1034" s="18">
        <f>IF(OR(NOT(ISNUMBER($A1034)),ROW()-2&lt;Settings!$B$12),NA(),IF(COUNT(OFFSET(G1034,1-Settings!$B$12,0,Settings!$B$12,1))&lt;Settings!$B$12,NA(),STDEV(OFFSET(G1034,1-Settings!$B$12,0,Settings!$B$12,1))*SQRT(Settings!$B$13)))</f>
        <v/>
      </c>
      <c r="L1034" s="18">
        <f>IF(AND(ISNUMBER(D1034),ISNUMBER(H1034)),D1034-H1034,NA())</f>
        <v/>
      </c>
      <c r="M1034" s="18">
        <f>IF(AND(ISNUMBER(E1034),ISNUMBER(K1034)),E1034-K1034,NA())</f>
        <v/>
      </c>
      <c r="N1034" s="18">
        <f>IF(NOT(ISNUMBER($A1034)),NA(),IF(COUNT(OFFSET(G1034,1,0,Settings!$B$12,1))&lt;Settings!$B$12,NA(),STDEV(OFFSET(G1034,1,0,Settings!$B$12,1))*SQRT(Settings!$B$13)))</f>
        <v/>
      </c>
      <c r="O1034" s="18">
        <f>IF(AND(ISNUMBER(E1034),ISNUMBER(N1034)),E1034-N1034,NA())</f>
        <v/>
      </c>
      <c r="P1034" s="17">
        <f>IF(NOT(ISNUMBER($A1034)),NA(),IF(OR($A1034&lt;MIN(KW_TP!$A$2:$A$2501),$A1034&gt;MAX(KW_TP!$A$2:$A$2501)),NA(),INDEX(KW_TP!$C$2:$C$2501,MATCH($A1034,KW_TP!$A$2:$A$2501,1))))</f>
        <v/>
      </c>
    </row>
    <row r="1035">
      <c r="A1035" s="15">
        <f>IF(ISNUMBER(BBG_Data!A1035),BBG_Data!A1035,"")</f>
        <v/>
      </c>
      <c r="B1035" s="16">
        <f>IF(AND(ISNUMBER($A1035),ISNUMBER(BBG_Data!B1035)),BBG_Data!B1035,NA())</f>
        <v/>
      </c>
      <c r="C1035" s="16">
        <f>IF(AND(ISNUMBER($A1035),ISNUMBER(BBG_Data!C1035)),BBG_Data!C1035,NA())</f>
        <v/>
      </c>
      <c r="D1035" s="17">
        <f>IF(AND(ISNUMBER($A1035),ISNUMBER(BBG_Data!D1035)),BBG_Data!D1035,NA())</f>
        <v/>
      </c>
      <c r="E1035" s="17">
        <f>IF(AND(ISNUMBER($A1035),ISNUMBER(BBG_Data!E1035)),BBG_Data!E1035,NA())</f>
        <v/>
      </c>
      <c r="F1035" s="18">
        <f>IF(AND(ISNUMBER(B1035),ISNUMBER(B1034)),(B1035-B1034)*100,"")</f>
        <v/>
      </c>
      <c r="G1035" s="18">
        <f>IF(AND(ISNUMBER(C1035),ISNUMBER(C1034)),(C1035-C1034)*100,"")</f>
        <v/>
      </c>
      <c r="H1035" s="18">
        <f>IF(OR(NOT(ISNUMBER($A1035)),ROW()-2&lt;Settings!$B$11),NA(),IF(COUNT(OFFSET(F1035,1-Settings!$B$11,0,Settings!$B$11,1))&lt;Settings!$B$11,NA(),STDEV(OFFSET(F1035,1-Settings!$B$11,0,Settings!$B$11,1))*SQRT(Settings!$B$13)))</f>
        <v/>
      </c>
      <c r="I1035" s="18">
        <f>IF(OR(NOT(ISNUMBER($A1035)),ROW()-2&lt;Settings!$B$12),NA(),IF(COUNT(OFFSET(F1035,1-Settings!$B$12,0,Settings!$B$12,1))&lt;Settings!$B$12,NA(),STDEV(OFFSET(F1035,1-Settings!$B$12,0,Settings!$B$12,1))*SQRT(Settings!$B$13)))</f>
        <v/>
      </c>
      <c r="J1035" s="18">
        <f>IF(OR(NOT(ISNUMBER($A1035)),ROW()-2&lt;Settings!$B$11),NA(),IF(COUNT(OFFSET(G1035,1-Settings!$B$11,0,Settings!$B$11,1))&lt;Settings!$B$11,NA(),STDEV(OFFSET(G1035,1-Settings!$B$11,0,Settings!$B$11,1))*SQRT(Settings!$B$13)))</f>
        <v/>
      </c>
      <c r="K1035" s="18">
        <f>IF(OR(NOT(ISNUMBER($A1035)),ROW()-2&lt;Settings!$B$12),NA(),IF(COUNT(OFFSET(G1035,1-Settings!$B$12,0,Settings!$B$12,1))&lt;Settings!$B$12,NA(),STDEV(OFFSET(G1035,1-Settings!$B$12,0,Settings!$B$12,1))*SQRT(Settings!$B$13)))</f>
        <v/>
      </c>
      <c r="L1035" s="18">
        <f>IF(AND(ISNUMBER(D1035),ISNUMBER(H1035)),D1035-H1035,NA())</f>
        <v/>
      </c>
      <c r="M1035" s="18">
        <f>IF(AND(ISNUMBER(E1035),ISNUMBER(K1035)),E1035-K1035,NA())</f>
        <v/>
      </c>
      <c r="N1035" s="18">
        <f>IF(NOT(ISNUMBER($A1035)),NA(),IF(COUNT(OFFSET(G1035,1,0,Settings!$B$12,1))&lt;Settings!$B$12,NA(),STDEV(OFFSET(G1035,1,0,Settings!$B$12,1))*SQRT(Settings!$B$13)))</f>
        <v/>
      </c>
      <c r="O1035" s="18">
        <f>IF(AND(ISNUMBER(E1035),ISNUMBER(N1035)),E1035-N1035,NA())</f>
        <v/>
      </c>
      <c r="P1035" s="17">
        <f>IF(NOT(ISNUMBER($A1035)),NA(),IF(OR($A1035&lt;MIN(KW_TP!$A$2:$A$2501),$A1035&gt;MAX(KW_TP!$A$2:$A$2501)),NA(),INDEX(KW_TP!$C$2:$C$2501,MATCH($A1035,KW_TP!$A$2:$A$2501,1))))</f>
        <v/>
      </c>
    </row>
    <row r="1036">
      <c r="A1036" s="15">
        <f>IF(ISNUMBER(BBG_Data!A1036),BBG_Data!A1036,"")</f>
        <v/>
      </c>
      <c r="B1036" s="16">
        <f>IF(AND(ISNUMBER($A1036),ISNUMBER(BBG_Data!B1036)),BBG_Data!B1036,NA())</f>
        <v/>
      </c>
      <c r="C1036" s="16">
        <f>IF(AND(ISNUMBER($A1036),ISNUMBER(BBG_Data!C1036)),BBG_Data!C1036,NA())</f>
        <v/>
      </c>
      <c r="D1036" s="17">
        <f>IF(AND(ISNUMBER($A1036),ISNUMBER(BBG_Data!D1036)),BBG_Data!D1036,NA())</f>
        <v/>
      </c>
      <c r="E1036" s="17">
        <f>IF(AND(ISNUMBER($A1036),ISNUMBER(BBG_Data!E1036)),BBG_Data!E1036,NA())</f>
        <v/>
      </c>
      <c r="F1036" s="18">
        <f>IF(AND(ISNUMBER(B1036),ISNUMBER(B1035)),(B1036-B1035)*100,"")</f>
        <v/>
      </c>
      <c r="G1036" s="18">
        <f>IF(AND(ISNUMBER(C1036),ISNUMBER(C1035)),(C1036-C1035)*100,"")</f>
        <v/>
      </c>
      <c r="H1036" s="18">
        <f>IF(OR(NOT(ISNUMBER($A1036)),ROW()-2&lt;Settings!$B$11),NA(),IF(COUNT(OFFSET(F1036,1-Settings!$B$11,0,Settings!$B$11,1))&lt;Settings!$B$11,NA(),STDEV(OFFSET(F1036,1-Settings!$B$11,0,Settings!$B$11,1))*SQRT(Settings!$B$13)))</f>
        <v/>
      </c>
      <c r="I1036" s="18">
        <f>IF(OR(NOT(ISNUMBER($A1036)),ROW()-2&lt;Settings!$B$12),NA(),IF(COUNT(OFFSET(F1036,1-Settings!$B$12,0,Settings!$B$12,1))&lt;Settings!$B$12,NA(),STDEV(OFFSET(F1036,1-Settings!$B$12,0,Settings!$B$12,1))*SQRT(Settings!$B$13)))</f>
        <v/>
      </c>
      <c r="J1036" s="18">
        <f>IF(OR(NOT(ISNUMBER($A1036)),ROW()-2&lt;Settings!$B$11),NA(),IF(COUNT(OFFSET(G1036,1-Settings!$B$11,0,Settings!$B$11,1))&lt;Settings!$B$11,NA(),STDEV(OFFSET(G1036,1-Settings!$B$11,0,Settings!$B$11,1))*SQRT(Settings!$B$13)))</f>
        <v/>
      </c>
      <c r="K1036" s="18">
        <f>IF(OR(NOT(ISNUMBER($A1036)),ROW()-2&lt;Settings!$B$12),NA(),IF(COUNT(OFFSET(G1036,1-Settings!$B$12,0,Settings!$B$12,1))&lt;Settings!$B$12,NA(),STDEV(OFFSET(G1036,1-Settings!$B$12,0,Settings!$B$12,1))*SQRT(Settings!$B$13)))</f>
        <v/>
      </c>
      <c r="L1036" s="18">
        <f>IF(AND(ISNUMBER(D1036),ISNUMBER(H1036)),D1036-H1036,NA())</f>
        <v/>
      </c>
      <c r="M1036" s="18">
        <f>IF(AND(ISNUMBER(E1036),ISNUMBER(K1036)),E1036-K1036,NA())</f>
        <v/>
      </c>
      <c r="N1036" s="18">
        <f>IF(NOT(ISNUMBER($A1036)),NA(),IF(COUNT(OFFSET(G1036,1,0,Settings!$B$12,1))&lt;Settings!$B$12,NA(),STDEV(OFFSET(G1036,1,0,Settings!$B$12,1))*SQRT(Settings!$B$13)))</f>
        <v/>
      </c>
      <c r="O1036" s="18">
        <f>IF(AND(ISNUMBER(E1036),ISNUMBER(N1036)),E1036-N1036,NA())</f>
        <v/>
      </c>
      <c r="P1036" s="17">
        <f>IF(NOT(ISNUMBER($A1036)),NA(),IF(OR($A1036&lt;MIN(KW_TP!$A$2:$A$2501),$A1036&gt;MAX(KW_TP!$A$2:$A$2501)),NA(),INDEX(KW_TP!$C$2:$C$2501,MATCH($A1036,KW_TP!$A$2:$A$2501,1))))</f>
        <v/>
      </c>
    </row>
    <row r="1037">
      <c r="A1037" s="15">
        <f>IF(ISNUMBER(BBG_Data!A1037),BBG_Data!A1037,"")</f>
        <v/>
      </c>
      <c r="B1037" s="16">
        <f>IF(AND(ISNUMBER($A1037),ISNUMBER(BBG_Data!B1037)),BBG_Data!B1037,NA())</f>
        <v/>
      </c>
      <c r="C1037" s="16">
        <f>IF(AND(ISNUMBER($A1037),ISNUMBER(BBG_Data!C1037)),BBG_Data!C1037,NA())</f>
        <v/>
      </c>
      <c r="D1037" s="17">
        <f>IF(AND(ISNUMBER($A1037),ISNUMBER(BBG_Data!D1037)),BBG_Data!D1037,NA())</f>
        <v/>
      </c>
      <c r="E1037" s="17">
        <f>IF(AND(ISNUMBER($A1037),ISNUMBER(BBG_Data!E1037)),BBG_Data!E1037,NA())</f>
        <v/>
      </c>
      <c r="F1037" s="18">
        <f>IF(AND(ISNUMBER(B1037),ISNUMBER(B1036)),(B1037-B1036)*100,"")</f>
        <v/>
      </c>
      <c r="G1037" s="18">
        <f>IF(AND(ISNUMBER(C1037),ISNUMBER(C1036)),(C1037-C1036)*100,"")</f>
        <v/>
      </c>
      <c r="H1037" s="18">
        <f>IF(OR(NOT(ISNUMBER($A1037)),ROW()-2&lt;Settings!$B$11),NA(),IF(COUNT(OFFSET(F1037,1-Settings!$B$11,0,Settings!$B$11,1))&lt;Settings!$B$11,NA(),STDEV(OFFSET(F1037,1-Settings!$B$11,0,Settings!$B$11,1))*SQRT(Settings!$B$13)))</f>
        <v/>
      </c>
      <c r="I1037" s="18">
        <f>IF(OR(NOT(ISNUMBER($A1037)),ROW()-2&lt;Settings!$B$12),NA(),IF(COUNT(OFFSET(F1037,1-Settings!$B$12,0,Settings!$B$12,1))&lt;Settings!$B$12,NA(),STDEV(OFFSET(F1037,1-Settings!$B$12,0,Settings!$B$12,1))*SQRT(Settings!$B$13)))</f>
        <v/>
      </c>
      <c r="J1037" s="18">
        <f>IF(OR(NOT(ISNUMBER($A1037)),ROW()-2&lt;Settings!$B$11),NA(),IF(COUNT(OFFSET(G1037,1-Settings!$B$11,0,Settings!$B$11,1))&lt;Settings!$B$11,NA(),STDEV(OFFSET(G1037,1-Settings!$B$11,0,Settings!$B$11,1))*SQRT(Settings!$B$13)))</f>
        <v/>
      </c>
      <c r="K1037" s="18">
        <f>IF(OR(NOT(ISNUMBER($A1037)),ROW()-2&lt;Settings!$B$12),NA(),IF(COUNT(OFFSET(G1037,1-Settings!$B$12,0,Settings!$B$12,1))&lt;Settings!$B$12,NA(),STDEV(OFFSET(G1037,1-Settings!$B$12,0,Settings!$B$12,1))*SQRT(Settings!$B$13)))</f>
        <v/>
      </c>
      <c r="L1037" s="18">
        <f>IF(AND(ISNUMBER(D1037),ISNUMBER(H1037)),D1037-H1037,NA())</f>
        <v/>
      </c>
      <c r="M1037" s="18">
        <f>IF(AND(ISNUMBER(E1037),ISNUMBER(K1037)),E1037-K1037,NA())</f>
        <v/>
      </c>
      <c r="N1037" s="18">
        <f>IF(NOT(ISNUMBER($A1037)),NA(),IF(COUNT(OFFSET(G1037,1,0,Settings!$B$12,1))&lt;Settings!$B$12,NA(),STDEV(OFFSET(G1037,1,0,Settings!$B$12,1))*SQRT(Settings!$B$13)))</f>
        <v/>
      </c>
      <c r="O1037" s="18">
        <f>IF(AND(ISNUMBER(E1037),ISNUMBER(N1037)),E1037-N1037,NA())</f>
        <v/>
      </c>
      <c r="P1037" s="17">
        <f>IF(NOT(ISNUMBER($A1037)),NA(),IF(OR($A1037&lt;MIN(KW_TP!$A$2:$A$2501),$A1037&gt;MAX(KW_TP!$A$2:$A$2501)),NA(),INDEX(KW_TP!$C$2:$C$2501,MATCH($A1037,KW_TP!$A$2:$A$2501,1))))</f>
        <v/>
      </c>
    </row>
    <row r="1038">
      <c r="A1038" s="15">
        <f>IF(ISNUMBER(BBG_Data!A1038),BBG_Data!A1038,"")</f>
        <v/>
      </c>
      <c r="B1038" s="16">
        <f>IF(AND(ISNUMBER($A1038),ISNUMBER(BBG_Data!B1038)),BBG_Data!B1038,NA())</f>
        <v/>
      </c>
      <c r="C1038" s="16">
        <f>IF(AND(ISNUMBER($A1038),ISNUMBER(BBG_Data!C1038)),BBG_Data!C1038,NA())</f>
        <v/>
      </c>
      <c r="D1038" s="17">
        <f>IF(AND(ISNUMBER($A1038),ISNUMBER(BBG_Data!D1038)),BBG_Data!D1038,NA())</f>
        <v/>
      </c>
      <c r="E1038" s="17">
        <f>IF(AND(ISNUMBER($A1038),ISNUMBER(BBG_Data!E1038)),BBG_Data!E1038,NA())</f>
        <v/>
      </c>
      <c r="F1038" s="18">
        <f>IF(AND(ISNUMBER(B1038),ISNUMBER(B1037)),(B1038-B1037)*100,"")</f>
        <v/>
      </c>
      <c r="G1038" s="18">
        <f>IF(AND(ISNUMBER(C1038),ISNUMBER(C1037)),(C1038-C1037)*100,"")</f>
        <v/>
      </c>
      <c r="H1038" s="18">
        <f>IF(OR(NOT(ISNUMBER($A1038)),ROW()-2&lt;Settings!$B$11),NA(),IF(COUNT(OFFSET(F1038,1-Settings!$B$11,0,Settings!$B$11,1))&lt;Settings!$B$11,NA(),STDEV(OFFSET(F1038,1-Settings!$B$11,0,Settings!$B$11,1))*SQRT(Settings!$B$13)))</f>
        <v/>
      </c>
      <c r="I1038" s="18">
        <f>IF(OR(NOT(ISNUMBER($A1038)),ROW()-2&lt;Settings!$B$12),NA(),IF(COUNT(OFFSET(F1038,1-Settings!$B$12,0,Settings!$B$12,1))&lt;Settings!$B$12,NA(),STDEV(OFFSET(F1038,1-Settings!$B$12,0,Settings!$B$12,1))*SQRT(Settings!$B$13)))</f>
        <v/>
      </c>
      <c r="J1038" s="18">
        <f>IF(OR(NOT(ISNUMBER($A1038)),ROW()-2&lt;Settings!$B$11),NA(),IF(COUNT(OFFSET(G1038,1-Settings!$B$11,0,Settings!$B$11,1))&lt;Settings!$B$11,NA(),STDEV(OFFSET(G1038,1-Settings!$B$11,0,Settings!$B$11,1))*SQRT(Settings!$B$13)))</f>
        <v/>
      </c>
      <c r="K1038" s="18">
        <f>IF(OR(NOT(ISNUMBER($A1038)),ROW()-2&lt;Settings!$B$12),NA(),IF(COUNT(OFFSET(G1038,1-Settings!$B$12,0,Settings!$B$12,1))&lt;Settings!$B$12,NA(),STDEV(OFFSET(G1038,1-Settings!$B$12,0,Settings!$B$12,1))*SQRT(Settings!$B$13)))</f>
        <v/>
      </c>
      <c r="L1038" s="18">
        <f>IF(AND(ISNUMBER(D1038),ISNUMBER(H1038)),D1038-H1038,NA())</f>
        <v/>
      </c>
      <c r="M1038" s="18">
        <f>IF(AND(ISNUMBER(E1038),ISNUMBER(K1038)),E1038-K1038,NA())</f>
        <v/>
      </c>
      <c r="N1038" s="18">
        <f>IF(NOT(ISNUMBER($A1038)),NA(),IF(COUNT(OFFSET(G1038,1,0,Settings!$B$12,1))&lt;Settings!$B$12,NA(),STDEV(OFFSET(G1038,1,0,Settings!$B$12,1))*SQRT(Settings!$B$13)))</f>
        <v/>
      </c>
      <c r="O1038" s="18">
        <f>IF(AND(ISNUMBER(E1038),ISNUMBER(N1038)),E1038-N1038,NA())</f>
        <v/>
      </c>
      <c r="P1038" s="17">
        <f>IF(NOT(ISNUMBER($A1038)),NA(),IF(OR($A1038&lt;MIN(KW_TP!$A$2:$A$2501),$A1038&gt;MAX(KW_TP!$A$2:$A$2501)),NA(),INDEX(KW_TP!$C$2:$C$2501,MATCH($A1038,KW_TP!$A$2:$A$2501,1))))</f>
        <v/>
      </c>
    </row>
    <row r="1039">
      <c r="A1039" s="15">
        <f>IF(ISNUMBER(BBG_Data!A1039),BBG_Data!A1039,"")</f>
        <v/>
      </c>
      <c r="B1039" s="16">
        <f>IF(AND(ISNUMBER($A1039),ISNUMBER(BBG_Data!B1039)),BBG_Data!B1039,NA())</f>
        <v/>
      </c>
      <c r="C1039" s="16">
        <f>IF(AND(ISNUMBER($A1039),ISNUMBER(BBG_Data!C1039)),BBG_Data!C1039,NA())</f>
        <v/>
      </c>
      <c r="D1039" s="17">
        <f>IF(AND(ISNUMBER($A1039),ISNUMBER(BBG_Data!D1039)),BBG_Data!D1039,NA())</f>
        <v/>
      </c>
      <c r="E1039" s="17">
        <f>IF(AND(ISNUMBER($A1039),ISNUMBER(BBG_Data!E1039)),BBG_Data!E1039,NA())</f>
        <v/>
      </c>
      <c r="F1039" s="18">
        <f>IF(AND(ISNUMBER(B1039),ISNUMBER(B1038)),(B1039-B1038)*100,"")</f>
        <v/>
      </c>
      <c r="G1039" s="18">
        <f>IF(AND(ISNUMBER(C1039),ISNUMBER(C1038)),(C1039-C1038)*100,"")</f>
        <v/>
      </c>
      <c r="H1039" s="18">
        <f>IF(OR(NOT(ISNUMBER($A1039)),ROW()-2&lt;Settings!$B$11),NA(),IF(COUNT(OFFSET(F1039,1-Settings!$B$11,0,Settings!$B$11,1))&lt;Settings!$B$11,NA(),STDEV(OFFSET(F1039,1-Settings!$B$11,0,Settings!$B$11,1))*SQRT(Settings!$B$13)))</f>
        <v/>
      </c>
      <c r="I1039" s="18">
        <f>IF(OR(NOT(ISNUMBER($A1039)),ROW()-2&lt;Settings!$B$12),NA(),IF(COUNT(OFFSET(F1039,1-Settings!$B$12,0,Settings!$B$12,1))&lt;Settings!$B$12,NA(),STDEV(OFFSET(F1039,1-Settings!$B$12,0,Settings!$B$12,1))*SQRT(Settings!$B$13)))</f>
        <v/>
      </c>
      <c r="J1039" s="18">
        <f>IF(OR(NOT(ISNUMBER($A1039)),ROW()-2&lt;Settings!$B$11),NA(),IF(COUNT(OFFSET(G1039,1-Settings!$B$11,0,Settings!$B$11,1))&lt;Settings!$B$11,NA(),STDEV(OFFSET(G1039,1-Settings!$B$11,0,Settings!$B$11,1))*SQRT(Settings!$B$13)))</f>
        <v/>
      </c>
      <c r="K1039" s="18">
        <f>IF(OR(NOT(ISNUMBER($A1039)),ROW()-2&lt;Settings!$B$12),NA(),IF(COUNT(OFFSET(G1039,1-Settings!$B$12,0,Settings!$B$12,1))&lt;Settings!$B$12,NA(),STDEV(OFFSET(G1039,1-Settings!$B$12,0,Settings!$B$12,1))*SQRT(Settings!$B$13)))</f>
        <v/>
      </c>
      <c r="L1039" s="18">
        <f>IF(AND(ISNUMBER(D1039),ISNUMBER(H1039)),D1039-H1039,NA())</f>
        <v/>
      </c>
      <c r="M1039" s="18">
        <f>IF(AND(ISNUMBER(E1039),ISNUMBER(K1039)),E1039-K1039,NA())</f>
        <v/>
      </c>
      <c r="N1039" s="18">
        <f>IF(NOT(ISNUMBER($A1039)),NA(),IF(COUNT(OFFSET(G1039,1,0,Settings!$B$12,1))&lt;Settings!$B$12,NA(),STDEV(OFFSET(G1039,1,0,Settings!$B$12,1))*SQRT(Settings!$B$13)))</f>
        <v/>
      </c>
      <c r="O1039" s="18">
        <f>IF(AND(ISNUMBER(E1039),ISNUMBER(N1039)),E1039-N1039,NA())</f>
        <v/>
      </c>
      <c r="P1039" s="17">
        <f>IF(NOT(ISNUMBER($A1039)),NA(),IF(OR($A1039&lt;MIN(KW_TP!$A$2:$A$2501),$A1039&gt;MAX(KW_TP!$A$2:$A$2501)),NA(),INDEX(KW_TP!$C$2:$C$2501,MATCH($A1039,KW_TP!$A$2:$A$2501,1))))</f>
        <v/>
      </c>
    </row>
    <row r="1040">
      <c r="A1040" s="15">
        <f>IF(ISNUMBER(BBG_Data!A1040),BBG_Data!A1040,"")</f>
        <v/>
      </c>
      <c r="B1040" s="16">
        <f>IF(AND(ISNUMBER($A1040),ISNUMBER(BBG_Data!B1040)),BBG_Data!B1040,NA())</f>
        <v/>
      </c>
      <c r="C1040" s="16">
        <f>IF(AND(ISNUMBER($A1040),ISNUMBER(BBG_Data!C1040)),BBG_Data!C1040,NA())</f>
        <v/>
      </c>
      <c r="D1040" s="17">
        <f>IF(AND(ISNUMBER($A1040),ISNUMBER(BBG_Data!D1040)),BBG_Data!D1040,NA())</f>
        <v/>
      </c>
      <c r="E1040" s="17">
        <f>IF(AND(ISNUMBER($A1040),ISNUMBER(BBG_Data!E1040)),BBG_Data!E1040,NA())</f>
        <v/>
      </c>
      <c r="F1040" s="18">
        <f>IF(AND(ISNUMBER(B1040),ISNUMBER(B1039)),(B1040-B1039)*100,"")</f>
        <v/>
      </c>
      <c r="G1040" s="18">
        <f>IF(AND(ISNUMBER(C1040),ISNUMBER(C1039)),(C1040-C1039)*100,"")</f>
        <v/>
      </c>
      <c r="H1040" s="18">
        <f>IF(OR(NOT(ISNUMBER($A1040)),ROW()-2&lt;Settings!$B$11),NA(),IF(COUNT(OFFSET(F1040,1-Settings!$B$11,0,Settings!$B$11,1))&lt;Settings!$B$11,NA(),STDEV(OFFSET(F1040,1-Settings!$B$11,0,Settings!$B$11,1))*SQRT(Settings!$B$13)))</f>
        <v/>
      </c>
      <c r="I1040" s="18">
        <f>IF(OR(NOT(ISNUMBER($A1040)),ROW()-2&lt;Settings!$B$12),NA(),IF(COUNT(OFFSET(F1040,1-Settings!$B$12,0,Settings!$B$12,1))&lt;Settings!$B$12,NA(),STDEV(OFFSET(F1040,1-Settings!$B$12,0,Settings!$B$12,1))*SQRT(Settings!$B$13)))</f>
        <v/>
      </c>
      <c r="J1040" s="18">
        <f>IF(OR(NOT(ISNUMBER($A1040)),ROW()-2&lt;Settings!$B$11),NA(),IF(COUNT(OFFSET(G1040,1-Settings!$B$11,0,Settings!$B$11,1))&lt;Settings!$B$11,NA(),STDEV(OFFSET(G1040,1-Settings!$B$11,0,Settings!$B$11,1))*SQRT(Settings!$B$13)))</f>
        <v/>
      </c>
      <c r="K1040" s="18">
        <f>IF(OR(NOT(ISNUMBER($A1040)),ROW()-2&lt;Settings!$B$12),NA(),IF(COUNT(OFFSET(G1040,1-Settings!$B$12,0,Settings!$B$12,1))&lt;Settings!$B$12,NA(),STDEV(OFFSET(G1040,1-Settings!$B$12,0,Settings!$B$12,1))*SQRT(Settings!$B$13)))</f>
        <v/>
      </c>
      <c r="L1040" s="18">
        <f>IF(AND(ISNUMBER(D1040),ISNUMBER(H1040)),D1040-H1040,NA())</f>
        <v/>
      </c>
      <c r="M1040" s="18">
        <f>IF(AND(ISNUMBER(E1040),ISNUMBER(K1040)),E1040-K1040,NA())</f>
        <v/>
      </c>
      <c r="N1040" s="18">
        <f>IF(NOT(ISNUMBER($A1040)),NA(),IF(COUNT(OFFSET(G1040,1,0,Settings!$B$12,1))&lt;Settings!$B$12,NA(),STDEV(OFFSET(G1040,1,0,Settings!$B$12,1))*SQRT(Settings!$B$13)))</f>
        <v/>
      </c>
      <c r="O1040" s="18">
        <f>IF(AND(ISNUMBER(E1040),ISNUMBER(N1040)),E1040-N1040,NA())</f>
        <v/>
      </c>
      <c r="P1040" s="17">
        <f>IF(NOT(ISNUMBER($A1040)),NA(),IF(OR($A1040&lt;MIN(KW_TP!$A$2:$A$2501),$A1040&gt;MAX(KW_TP!$A$2:$A$2501)),NA(),INDEX(KW_TP!$C$2:$C$2501,MATCH($A1040,KW_TP!$A$2:$A$2501,1))))</f>
        <v/>
      </c>
    </row>
    <row r="1041">
      <c r="A1041" s="15">
        <f>IF(ISNUMBER(BBG_Data!A1041),BBG_Data!A1041,"")</f>
        <v/>
      </c>
      <c r="B1041" s="16">
        <f>IF(AND(ISNUMBER($A1041),ISNUMBER(BBG_Data!B1041)),BBG_Data!B1041,NA())</f>
        <v/>
      </c>
      <c r="C1041" s="16">
        <f>IF(AND(ISNUMBER($A1041),ISNUMBER(BBG_Data!C1041)),BBG_Data!C1041,NA())</f>
        <v/>
      </c>
      <c r="D1041" s="17">
        <f>IF(AND(ISNUMBER($A1041),ISNUMBER(BBG_Data!D1041)),BBG_Data!D1041,NA())</f>
        <v/>
      </c>
      <c r="E1041" s="17">
        <f>IF(AND(ISNUMBER($A1041),ISNUMBER(BBG_Data!E1041)),BBG_Data!E1041,NA())</f>
        <v/>
      </c>
      <c r="F1041" s="18">
        <f>IF(AND(ISNUMBER(B1041),ISNUMBER(B1040)),(B1041-B1040)*100,"")</f>
        <v/>
      </c>
      <c r="G1041" s="18">
        <f>IF(AND(ISNUMBER(C1041),ISNUMBER(C1040)),(C1041-C1040)*100,"")</f>
        <v/>
      </c>
      <c r="H1041" s="18">
        <f>IF(OR(NOT(ISNUMBER($A1041)),ROW()-2&lt;Settings!$B$11),NA(),IF(COUNT(OFFSET(F1041,1-Settings!$B$11,0,Settings!$B$11,1))&lt;Settings!$B$11,NA(),STDEV(OFFSET(F1041,1-Settings!$B$11,0,Settings!$B$11,1))*SQRT(Settings!$B$13)))</f>
        <v/>
      </c>
      <c r="I1041" s="18">
        <f>IF(OR(NOT(ISNUMBER($A1041)),ROW()-2&lt;Settings!$B$12),NA(),IF(COUNT(OFFSET(F1041,1-Settings!$B$12,0,Settings!$B$12,1))&lt;Settings!$B$12,NA(),STDEV(OFFSET(F1041,1-Settings!$B$12,0,Settings!$B$12,1))*SQRT(Settings!$B$13)))</f>
        <v/>
      </c>
      <c r="J1041" s="18">
        <f>IF(OR(NOT(ISNUMBER($A1041)),ROW()-2&lt;Settings!$B$11),NA(),IF(COUNT(OFFSET(G1041,1-Settings!$B$11,0,Settings!$B$11,1))&lt;Settings!$B$11,NA(),STDEV(OFFSET(G1041,1-Settings!$B$11,0,Settings!$B$11,1))*SQRT(Settings!$B$13)))</f>
        <v/>
      </c>
      <c r="K1041" s="18">
        <f>IF(OR(NOT(ISNUMBER($A1041)),ROW()-2&lt;Settings!$B$12),NA(),IF(COUNT(OFFSET(G1041,1-Settings!$B$12,0,Settings!$B$12,1))&lt;Settings!$B$12,NA(),STDEV(OFFSET(G1041,1-Settings!$B$12,0,Settings!$B$12,1))*SQRT(Settings!$B$13)))</f>
        <v/>
      </c>
      <c r="L1041" s="18">
        <f>IF(AND(ISNUMBER(D1041),ISNUMBER(H1041)),D1041-H1041,NA())</f>
        <v/>
      </c>
      <c r="M1041" s="18">
        <f>IF(AND(ISNUMBER(E1041),ISNUMBER(K1041)),E1041-K1041,NA())</f>
        <v/>
      </c>
      <c r="N1041" s="18">
        <f>IF(NOT(ISNUMBER($A1041)),NA(),IF(COUNT(OFFSET(G1041,1,0,Settings!$B$12,1))&lt;Settings!$B$12,NA(),STDEV(OFFSET(G1041,1,0,Settings!$B$12,1))*SQRT(Settings!$B$13)))</f>
        <v/>
      </c>
      <c r="O1041" s="18">
        <f>IF(AND(ISNUMBER(E1041),ISNUMBER(N1041)),E1041-N1041,NA())</f>
        <v/>
      </c>
      <c r="P1041" s="17">
        <f>IF(NOT(ISNUMBER($A1041)),NA(),IF(OR($A1041&lt;MIN(KW_TP!$A$2:$A$2501),$A1041&gt;MAX(KW_TP!$A$2:$A$2501)),NA(),INDEX(KW_TP!$C$2:$C$2501,MATCH($A1041,KW_TP!$A$2:$A$2501,1))))</f>
        <v/>
      </c>
    </row>
    <row r="1042">
      <c r="A1042" s="15">
        <f>IF(ISNUMBER(BBG_Data!A1042),BBG_Data!A1042,"")</f>
        <v/>
      </c>
      <c r="B1042" s="16">
        <f>IF(AND(ISNUMBER($A1042),ISNUMBER(BBG_Data!B1042)),BBG_Data!B1042,NA())</f>
        <v/>
      </c>
      <c r="C1042" s="16">
        <f>IF(AND(ISNUMBER($A1042),ISNUMBER(BBG_Data!C1042)),BBG_Data!C1042,NA())</f>
        <v/>
      </c>
      <c r="D1042" s="17">
        <f>IF(AND(ISNUMBER($A1042),ISNUMBER(BBG_Data!D1042)),BBG_Data!D1042,NA())</f>
        <v/>
      </c>
      <c r="E1042" s="17">
        <f>IF(AND(ISNUMBER($A1042),ISNUMBER(BBG_Data!E1042)),BBG_Data!E1042,NA())</f>
        <v/>
      </c>
      <c r="F1042" s="18">
        <f>IF(AND(ISNUMBER(B1042),ISNUMBER(B1041)),(B1042-B1041)*100,"")</f>
        <v/>
      </c>
      <c r="G1042" s="18">
        <f>IF(AND(ISNUMBER(C1042),ISNUMBER(C1041)),(C1042-C1041)*100,"")</f>
        <v/>
      </c>
      <c r="H1042" s="18">
        <f>IF(OR(NOT(ISNUMBER($A1042)),ROW()-2&lt;Settings!$B$11),NA(),IF(COUNT(OFFSET(F1042,1-Settings!$B$11,0,Settings!$B$11,1))&lt;Settings!$B$11,NA(),STDEV(OFFSET(F1042,1-Settings!$B$11,0,Settings!$B$11,1))*SQRT(Settings!$B$13)))</f>
        <v/>
      </c>
      <c r="I1042" s="18">
        <f>IF(OR(NOT(ISNUMBER($A1042)),ROW()-2&lt;Settings!$B$12),NA(),IF(COUNT(OFFSET(F1042,1-Settings!$B$12,0,Settings!$B$12,1))&lt;Settings!$B$12,NA(),STDEV(OFFSET(F1042,1-Settings!$B$12,0,Settings!$B$12,1))*SQRT(Settings!$B$13)))</f>
        <v/>
      </c>
      <c r="J1042" s="18">
        <f>IF(OR(NOT(ISNUMBER($A1042)),ROW()-2&lt;Settings!$B$11),NA(),IF(COUNT(OFFSET(G1042,1-Settings!$B$11,0,Settings!$B$11,1))&lt;Settings!$B$11,NA(),STDEV(OFFSET(G1042,1-Settings!$B$11,0,Settings!$B$11,1))*SQRT(Settings!$B$13)))</f>
        <v/>
      </c>
      <c r="K1042" s="18">
        <f>IF(OR(NOT(ISNUMBER($A1042)),ROW()-2&lt;Settings!$B$12),NA(),IF(COUNT(OFFSET(G1042,1-Settings!$B$12,0,Settings!$B$12,1))&lt;Settings!$B$12,NA(),STDEV(OFFSET(G1042,1-Settings!$B$12,0,Settings!$B$12,1))*SQRT(Settings!$B$13)))</f>
        <v/>
      </c>
      <c r="L1042" s="18">
        <f>IF(AND(ISNUMBER(D1042),ISNUMBER(H1042)),D1042-H1042,NA())</f>
        <v/>
      </c>
      <c r="M1042" s="18">
        <f>IF(AND(ISNUMBER(E1042),ISNUMBER(K1042)),E1042-K1042,NA())</f>
        <v/>
      </c>
      <c r="N1042" s="18">
        <f>IF(NOT(ISNUMBER($A1042)),NA(),IF(COUNT(OFFSET(G1042,1,0,Settings!$B$12,1))&lt;Settings!$B$12,NA(),STDEV(OFFSET(G1042,1,0,Settings!$B$12,1))*SQRT(Settings!$B$13)))</f>
        <v/>
      </c>
      <c r="O1042" s="18">
        <f>IF(AND(ISNUMBER(E1042),ISNUMBER(N1042)),E1042-N1042,NA())</f>
        <v/>
      </c>
      <c r="P1042" s="17">
        <f>IF(NOT(ISNUMBER($A1042)),NA(),IF(OR($A1042&lt;MIN(KW_TP!$A$2:$A$2501),$A1042&gt;MAX(KW_TP!$A$2:$A$2501)),NA(),INDEX(KW_TP!$C$2:$C$2501,MATCH($A1042,KW_TP!$A$2:$A$2501,1))))</f>
        <v/>
      </c>
    </row>
    <row r="1043">
      <c r="A1043" s="15">
        <f>IF(ISNUMBER(BBG_Data!A1043),BBG_Data!A1043,"")</f>
        <v/>
      </c>
      <c r="B1043" s="16">
        <f>IF(AND(ISNUMBER($A1043),ISNUMBER(BBG_Data!B1043)),BBG_Data!B1043,NA())</f>
        <v/>
      </c>
      <c r="C1043" s="16">
        <f>IF(AND(ISNUMBER($A1043),ISNUMBER(BBG_Data!C1043)),BBG_Data!C1043,NA())</f>
        <v/>
      </c>
      <c r="D1043" s="17">
        <f>IF(AND(ISNUMBER($A1043),ISNUMBER(BBG_Data!D1043)),BBG_Data!D1043,NA())</f>
        <v/>
      </c>
      <c r="E1043" s="17">
        <f>IF(AND(ISNUMBER($A1043),ISNUMBER(BBG_Data!E1043)),BBG_Data!E1043,NA())</f>
        <v/>
      </c>
      <c r="F1043" s="18">
        <f>IF(AND(ISNUMBER(B1043),ISNUMBER(B1042)),(B1043-B1042)*100,"")</f>
        <v/>
      </c>
      <c r="G1043" s="18">
        <f>IF(AND(ISNUMBER(C1043),ISNUMBER(C1042)),(C1043-C1042)*100,"")</f>
        <v/>
      </c>
      <c r="H1043" s="18">
        <f>IF(OR(NOT(ISNUMBER($A1043)),ROW()-2&lt;Settings!$B$11),NA(),IF(COUNT(OFFSET(F1043,1-Settings!$B$11,0,Settings!$B$11,1))&lt;Settings!$B$11,NA(),STDEV(OFFSET(F1043,1-Settings!$B$11,0,Settings!$B$11,1))*SQRT(Settings!$B$13)))</f>
        <v/>
      </c>
      <c r="I1043" s="18">
        <f>IF(OR(NOT(ISNUMBER($A1043)),ROW()-2&lt;Settings!$B$12),NA(),IF(COUNT(OFFSET(F1043,1-Settings!$B$12,0,Settings!$B$12,1))&lt;Settings!$B$12,NA(),STDEV(OFFSET(F1043,1-Settings!$B$12,0,Settings!$B$12,1))*SQRT(Settings!$B$13)))</f>
        <v/>
      </c>
      <c r="J1043" s="18">
        <f>IF(OR(NOT(ISNUMBER($A1043)),ROW()-2&lt;Settings!$B$11),NA(),IF(COUNT(OFFSET(G1043,1-Settings!$B$11,0,Settings!$B$11,1))&lt;Settings!$B$11,NA(),STDEV(OFFSET(G1043,1-Settings!$B$11,0,Settings!$B$11,1))*SQRT(Settings!$B$13)))</f>
        <v/>
      </c>
      <c r="K1043" s="18">
        <f>IF(OR(NOT(ISNUMBER($A1043)),ROW()-2&lt;Settings!$B$12),NA(),IF(COUNT(OFFSET(G1043,1-Settings!$B$12,0,Settings!$B$12,1))&lt;Settings!$B$12,NA(),STDEV(OFFSET(G1043,1-Settings!$B$12,0,Settings!$B$12,1))*SQRT(Settings!$B$13)))</f>
        <v/>
      </c>
      <c r="L1043" s="18">
        <f>IF(AND(ISNUMBER(D1043),ISNUMBER(H1043)),D1043-H1043,NA())</f>
        <v/>
      </c>
      <c r="M1043" s="18">
        <f>IF(AND(ISNUMBER(E1043),ISNUMBER(K1043)),E1043-K1043,NA())</f>
        <v/>
      </c>
      <c r="N1043" s="18">
        <f>IF(NOT(ISNUMBER($A1043)),NA(),IF(COUNT(OFFSET(G1043,1,0,Settings!$B$12,1))&lt;Settings!$B$12,NA(),STDEV(OFFSET(G1043,1,0,Settings!$B$12,1))*SQRT(Settings!$B$13)))</f>
        <v/>
      </c>
      <c r="O1043" s="18">
        <f>IF(AND(ISNUMBER(E1043),ISNUMBER(N1043)),E1043-N1043,NA())</f>
        <v/>
      </c>
      <c r="P1043" s="17">
        <f>IF(NOT(ISNUMBER($A1043)),NA(),IF(OR($A1043&lt;MIN(KW_TP!$A$2:$A$2501),$A1043&gt;MAX(KW_TP!$A$2:$A$2501)),NA(),INDEX(KW_TP!$C$2:$C$2501,MATCH($A1043,KW_TP!$A$2:$A$2501,1))))</f>
        <v/>
      </c>
    </row>
    <row r="1044">
      <c r="A1044" s="15">
        <f>IF(ISNUMBER(BBG_Data!A1044),BBG_Data!A1044,"")</f>
        <v/>
      </c>
      <c r="B1044" s="16">
        <f>IF(AND(ISNUMBER($A1044),ISNUMBER(BBG_Data!B1044)),BBG_Data!B1044,NA())</f>
        <v/>
      </c>
      <c r="C1044" s="16">
        <f>IF(AND(ISNUMBER($A1044),ISNUMBER(BBG_Data!C1044)),BBG_Data!C1044,NA())</f>
        <v/>
      </c>
      <c r="D1044" s="17">
        <f>IF(AND(ISNUMBER($A1044),ISNUMBER(BBG_Data!D1044)),BBG_Data!D1044,NA())</f>
        <v/>
      </c>
      <c r="E1044" s="17">
        <f>IF(AND(ISNUMBER($A1044),ISNUMBER(BBG_Data!E1044)),BBG_Data!E1044,NA())</f>
        <v/>
      </c>
      <c r="F1044" s="18">
        <f>IF(AND(ISNUMBER(B1044),ISNUMBER(B1043)),(B1044-B1043)*100,"")</f>
        <v/>
      </c>
      <c r="G1044" s="18">
        <f>IF(AND(ISNUMBER(C1044),ISNUMBER(C1043)),(C1044-C1043)*100,"")</f>
        <v/>
      </c>
      <c r="H1044" s="18">
        <f>IF(OR(NOT(ISNUMBER($A1044)),ROW()-2&lt;Settings!$B$11),NA(),IF(COUNT(OFFSET(F1044,1-Settings!$B$11,0,Settings!$B$11,1))&lt;Settings!$B$11,NA(),STDEV(OFFSET(F1044,1-Settings!$B$11,0,Settings!$B$11,1))*SQRT(Settings!$B$13)))</f>
        <v/>
      </c>
      <c r="I1044" s="18">
        <f>IF(OR(NOT(ISNUMBER($A1044)),ROW()-2&lt;Settings!$B$12),NA(),IF(COUNT(OFFSET(F1044,1-Settings!$B$12,0,Settings!$B$12,1))&lt;Settings!$B$12,NA(),STDEV(OFFSET(F1044,1-Settings!$B$12,0,Settings!$B$12,1))*SQRT(Settings!$B$13)))</f>
        <v/>
      </c>
      <c r="J1044" s="18">
        <f>IF(OR(NOT(ISNUMBER($A1044)),ROW()-2&lt;Settings!$B$11),NA(),IF(COUNT(OFFSET(G1044,1-Settings!$B$11,0,Settings!$B$11,1))&lt;Settings!$B$11,NA(),STDEV(OFFSET(G1044,1-Settings!$B$11,0,Settings!$B$11,1))*SQRT(Settings!$B$13)))</f>
        <v/>
      </c>
      <c r="K1044" s="18">
        <f>IF(OR(NOT(ISNUMBER($A1044)),ROW()-2&lt;Settings!$B$12),NA(),IF(COUNT(OFFSET(G1044,1-Settings!$B$12,0,Settings!$B$12,1))&lt;Settings!$B$12,NA(),STDEV(OFFSET(G1044,1-Settings!$B$12,0,Settings!$B$12,1))*SQRT(Settings!$B$13)))</f>
        <v/>
      </c>
      <c r="L1044" s="18">
        <f>IF(AND(ISNUMBER(D1044),ISNUMBER(H1044)),D1044-H1044,NA())</f>
        <v/>
      </c>
      <c r="M1044" s="18">
        <f>IF(AND(ISNUMBER(E1044),ISNUMBER(K1044)),E1044-K1044,NA())</f>
        <v/>
      </c>
      <c r="N1044" s="18">
        <f>IF(NOT(ISNUMBER($A1044)),NA(),IF(COUNT(OFFSET(G1044,1,0,Settings!$B$12,1))&lt;Settings!$B$12,NA(),STDEV(OFFSET(G1044,1,0,Settings!$B$12,1))*SQRT(Settings!$B$13)))</f>
        <v/>
      </c>
      <c r="O1044" s="18">
        <f>IF(AND(ISNUMBER(E1044),ISNUMBER(N1044)),E1044-N1044,NA())</f>
        <v/>
      </c>
      <c r="P1044" s="17">
        <f>IF(NOT(ISNUMBER($A1044)),NA(),IF(OR($A1044&lt;MIN(KW_TP!$A$2:$A$2501),$A1044&gt;MAX(KW_TP!$A$2:$A$2501)),NA(),INDEX(KW_TP!$C$2:$C$2501,MATCH($A1044,KW_TP!$A$2:$A$2501,1))))</f>
        <v/>
      </c>
    </row>
    <row r="1045">
      <c r="A1045" s="15">
        <f>IF(ISNUMBER(BBG_Data!A1045),BBG_Data!A1045,"")</f>
        <v/>
      </c>
      <c r="B1045" s="16">
        <f>IF(AND(ISNUMBER($A1045),ISNUMBER(BBG_Data!B1045)),BBG_Data!B1045,NA())</f>
        <v/>
      </c>
      <c r="C1045" s="16">
        <f>IF(AND(ISNUMBER($A1045),ISNUMBER(BBG_Data!C1045)),BBG_Data!C1045,NA())</f>
        <v/>
      </c>
      <c r="D1045" s="17">
        <f>IF(AND(ISNUMBER($A1045),ISNUMBER(BBG_Data!D1045)),BBG_Data!D1045,NA())</f>
        <v/>
      </c>
      <c r="E1045" s="17">
        <f>IF(AND(ISNUMBER($A1045),ISNUMBER(BBG_Data!E1045)),BBG_Data!E1045,NA())</f>
        <v/>
      </c>
      <c r="F1045" s="18">
        <f>IF(AND(ISNUMBER(B1045),ISNUMBER(B1044)),(B1045-B1044)*100,"")</f>
        <v/>
      </c>
      <c r="G1045" s="18">
        <f>IF(AND(ISNUMBER(C1045),ISNUMBER(C1044)),(C1045-C1044)*100,"")</f>
        <v/>
      </c>
      <c r="H1045" s="18">
        <f>IF(OR(NOT(ISNUMBER($A1045)),ROW()-2&lt;Settings!$B$11),NA(),IF(COUNT(OFFSET(F1045,1-Settings!$B$11,0,Settings!$B$11,1))&lt;Settings!$B$11,NA(),STDEV(OFFSET(F1045,1-Settings!$B$11,0,Settings!$B$11,1))*SQRT(Settings!$B$13)))</f>
        <v/>
      </c>
      <c r="I1045" s="18">
        <f>IF(OR(NOT(ISNUMBER($A1045)),ROW()-2&lt;Settings!$B$12),NA(),IF(COUNT(OFFSET(F1045,1-Settings!$B$12,0,Settings!$B$12,1))&lt;Settings!$B$12,NA(),STDEV(OFFSET(F1045,1-Settings!$B$12,0,Settings!$B$12,1))*SQRT(Settings!$B$13)))</f>
        <v/>
      </c>
      <c r="J1045" s="18">
        <f>IF(OR(NOT(ISNUMBER($A1045)),ROW()-2&lt;Settings!$B$11),NA(),IF(COUNT(OFFSET(G1045,1-Settings!$B$11,0,Settings!$B$11,1))&lt;Settings!$B$11,NA(),STDEV(OFFSET(G1045,1-Settings!$B$11,0,Settings!$B$11,1))*SQRT(Settings!$B$13)))</f>
        <v/>
      </c>
      <c r="K1045" s="18">
        <f>IF(OR(NOT(ISNUMBER($A1045)),ROW()-2&lt;Settings!$B$12),NA(),IF(COUNT(OFFSET(G1045,1-Settings!$B$12,0,Settings!$B$12,1))&lt;Settings!$B$12,NA(),STDEV(OFFSET(G1045,1-Settings!$B$12,0,Settings!$B$12,1))*SQRT(Settings!$B$13)))</f>
        <v/>
      </c>
      <c r="L1045" s="18">
        <f>IF(AND(ISNUMBER(D1045),ISNUMBER(H1045)),D1045-H1045,NA())</f>
        <v/>
      </c>
      <c r="M1045" s="18">
        <f>IF(AND(ISNUMBER(E1045),ISNUMBER(K1045)),E1045-K1045,NA())</f>
        <v/>
      </c>
      <c r="N1045" s="18">
        <f>IF(NOT(ISNUMBER($A1045)),NA(),IF(COUNT(OFFSET(G1045,1,0,Settings!$B$12,1))&lt;Settings!$B$12,NA(),STDEV(OFFSET(G1045,1,0,Settings!$B$12,1))*SQRT(Settings!$B$13)))</f>
        <v/>
      </c>
      <c r="O1045" s="18">
        <f>IF(AND(ISNUMBER(E1045),ISNUMBER(N1045)),E1045-N1045,NA())</f>
        <v/>
      </c>
      <c r="P1045" s="17">
        <f>IF(NOT(ISNUMBER($A1045)),NA(),IF(OR($A1045&lt;MIN(KW_TP!$A$2:$A$2501),$A1045&gt;MAX(KW_TP!$A$2:$A$2501)),NA(),INDEX(KW_TP!$C$2:$C$2501,MATCH($A1045,KW_TP!$A$2:$A$2501,1))))</f>
        <v/>
      </c>
    </row>
    <row r="1046">
      <c r="A1046" s="15">
        <f>IF(ISNUMBER(BBG_Data!A1046),BBG_Data!A1046,"")</f>
        <v/>
      </c>
      <c r="B1046" s="16">
        <f>IF(AND(ISNUMBER($A1046),ISNUMBER(BBG_Data!B1046)),BBG_Data!B1046,NA())</f>
        <v/>
      </c>
      <c r="C1046" s="16">
        <f>IF(AND(ISNUMBER($A1046),ISNUMBER(BBG_Data!C1046)),BBG_Data!C1046,NA())</f>
        <v/>
      </c>
      <c r="D1046" s="17">
        <f>IF(AND(ISNUMBER($A1046),ISNUMBER(BBG_Data!D1046)),BBG_Data!D1046,NA())</f>
        <v/>
      </c>
      <c r="E1046" s="17">
        <f>IF(AND(ISNUMBER($A1046),ISNUMBER(BBG_Data!E1046)),BBG_Data!E1046,NA())</f>
        <v/>
      </c>
      <c r="F1046" s="18">
        <f>IF(AND(ISNUMBER(B1046),ISNUMBER(B1045)),(B1046-B1045)*100,"")</f>
        <v/>
      </c>
      <c r="G1046" s="18">
        <f>IF(AND(ISNUMBER(C1046),ISNUMBER(C1045)),(C1046-C1045)*100,"")</f>
        <v/>
      </c>
      <c r="H1046" s="18">
        <f>IF(OR(NOT(ISNUMBER($A1046)),ROW()-2&lt;Settings!$B$11),NA(),IF(COUNT(OFFSET(F1046,1-Settings!$B$11,0,Settings!$B$11,1))&lt;Settings!$B$11,NA(),STDEV(OFFSET(F1046,1-Settings!$B$11,0,Settings!$B$11,1))*SQRT(Settings!$B$13)))</f>
        <v/>
      </c>
      <c r="I1046" s="18">
        <f>IF(OR(NOT(ISNUMBER($A1046)),ROW()-2&lt;Settings!$B$12),NA(),IF(COUNT(OFFSET(F1046,1-Settings!$B$12,0,Settings!$B$12,1))&lt;Settings!$B$12,NA(),STDEV(OFFSET(F1046,1-Settings!$B$12,0,Settings!$B$12,1))*SQRT(Settings!$B$13)))</f>
        <v/>
      </c>
      <c r="J1046" s="18">
        <f>IF(OR(NOT(ISNUMBER($A1046)),ROW()-2&lt;Settings!$B$11),NA(),IF(COUNT(OFFSET(G1046,1-Settings!$B$11,0,Settings!$B$11,1))&lt;Settings!$B$11,NA(),STDEV(OFFSET(G1046,1-Settings!$B$11,0,Settings!$B$11,1))*SQRT(Settings!$B$13)))</f>
        <v/>
      </c>
      <c r="K1046" s="18">
        <f>IF(OR(NOT(ISNUMBER($A1046)),ROW()-2&lt;Settings!$B$12),NA(),IF(COUNT(OFFSET(G1046,1-Settings!$B$12,0,Settings!$B$12,1))&lt;Settings!$B$12,NA(),STDEV(OFFSET(G1046,1-Settings!$B$12,0,Settings!$B$12,1))*SQRT(Settings!$B$13)))</f>
        <v/>
      </c>
      <c r="L1046" s="18">
        <f>IF(AND(ISNUMBER(D1046),ISNUMBER(H1046)),D1046-H1046,NA())</f>
        <v/>
      </c>
      <c r="M1046" s="18">
        <f>IF(AND(ISNUMBER(E1046),ISNUMBER(K1046)),E1046-K1046,NA())</f>
        <v/>
      </c>
      <c r="N1046" s="18">
        <f>IF(NOT(ISNUMBER($A1046)),NA(),IF(COUNT(OFFSET(G1046,1,0,Settings!$B$12,1))&lt;Settings!$B$12,NA(),STDEV(OFFSET(G1046,1,0,Settings!$B$12,1))*SQRT(Settings!$B$13)))</f>
        <v/>
      </c>
      <c r="O1046" s="18">
        <f>IF(AND(ISNUMBER(E1046),ISNUMBER(N1046)),E1046-N1046,NA())</f>
        <v/>
      </c>
      <c r="P1046" s="17">
        <f>IF(NOT(ISNUMBER($A1046)),NA(),IF(OR($A1046&lt;MIN(KW_TP!$A$2:$A$2501),$A1046&gt;MAX(KW_TP!$A$2:$A$2501)),NA(),INDEX(KW_TP!$C$2:$C$2501,MATCH($A1046,KW_TP!$A$2:$A$2501,1))))</f>
        <v/>
      </c>
    </row>
    <row r="1047">
      <c r="A1047" s="15">
        <f>IF(ISNUMBER(BBG_Data!A1047),BBG_Data!A1047,"")</f>
        <v/>
      </c>
      <c r="B1047" s="16">
        <f>IF(AND(ISNUMBER($A1047),ISNUMBER(BBG_Data!B1047)),BBG_Data!B1047,NA())</f>
        <v/>
      </c>
      <c r="C1047" s="16">
        <f>IF(AND(ISNUMBER($A1047),ISNUMBER(BBG_Data!C1047)),BBG_Data!C1047,NA())</f>
        <v/>
      </c>
      <c r="D1047" s="17">
        <f>IF(AND(ISNUMBER($A1047),ISNUMBER(BBG_Data!D1047)),BBG_Data!D1047,NA())</f>
        <v/>
      </c>
      <c r="E1047" s="17">
        <f>IF(AND(ISNUMBER($A1047),ISNUMBER(BBG_Data!E1047)),BBG_Data!E1047,NA())</f>
        <v/>
      </c>
      <c r="F1047" s="18">
        <f>IF(AND(ISNUMBER(B1047),ISNUMBER(B1046)),(B1047-B1046)*100,"")</f>
        <v/>
      </c>
      <c r="G1047" s="18">
        <f>IF(AND(ISNUMBER(C1047),ISNUMBER(C1046)),(C1047-C1046)*100,"")</f>
        <v/>
      </c>
      <c r="H1047" s="18">
        <f>IF(OR(NOT(ISNUMBER($A1047)),ROW()-2&lt;Settings!$B$11),NA(),IF(COUNT(OFFSET(F1047,1-Settings!$B$11,0,Settings!$B$11,1))&lt;Settings!$B$11,NA(),STDEV(OFFSET(F1047,1-Settings!$B$11,0,Settings!$B$11,1))*SQRT(Settings!$B$13)))</f>
        <v/>
      </c>
      <c r="I1047" s="18">
        <f>IF(OR(NOT(ISNUMBER($A1047)),ROW()-2&lt;Settings!$B$12),NA(),IF(COUNT(OFFSET(F1047,1-Settings!$B$12,0,Settings!$B$12,1))&lt;Settings!$B$12,NA(),STDEV(OFFSET(F1047,1-Settings!$B$12,0,Settings!$B$12,1))*SQRT(Settings!$B$13)))</f>
        <v/>
      </c>
      <c r="J1047" s="18">
        <f>IF(OR(NOT(ISNUMBER($A1047)),ROW()-2&lt;Settings!$B$11),NA(),IF(COUNT(OFFSET(G1047,1-Settings!$B$11,0,Settings!$B$11,1))&lt;Settings!$B$11,NA(),STDEV(OFFSET(G1047,1-Settings!$B$11,0,Settings!$B$11,1))*SQRT(Settings!$B$13)))</f>
        <v/>
      </c>
      <c r="K1047" s="18">
        <f>IF(OR(NOT(ISNUMBER($A1047)),ROW()-2&lt;Settings!$B$12),NA(),IF(COUNT(OFFSET(G1047,1-Settings!$B$12,0,Settings!$B$12,1))&lt;Settings!$B$12,NA(),STDEV(OFFSET(G1047,1-Settings!$B$12,0,Settings!$B$12,1))*SQRT(Settings!$B$13)))</f>
        <v/>
      </c>
      <c r="L1047" s="18">
        <f>IF(AND(ISNUMBER(D1047),ISNUMBER(H1047)),D1047-H1047,NA())</f>
        <v/>
      </c>
      <c r="M1047" s="18">
        <f>IF(AND(ISNUMBER(E1047),ISNUMBER(K1047)),E1047-K1047,NA())</f>
        <v/>
      </c>
      <c r="N1047" s="18">
        <f>IF(NOT(ISNUMBER($A1047)),NA(),IF(COUNT(OFFSET(G1047,1,0,Settings!$B$12,1))&lt;Settings!$B$12,NA(),STDEV(OFFSET(G1047,1,0,Settings!$B$12,1))*SQRT(Settings!$B$13)))</f>
        <v/>
      </c>
      <c r="O1047" s="18">
        <f>IF(AND(ISNUMBER(E1047),ISNUMBER(N1047)),E1047-N1047,NA())</f>
        <v/>
      </c>
      <c r="P1047" s="17">
        <f>IF(NOT(ISNUMBER($A1047)),NA(),IF(OR($A1047&lt;MIN(KW_TP!$A$2:$A$2501),$A1047&gt;MAX(KW_TP!$A$2:$A$2501)),NA(),INDEX(KW_TP!$C$2:$C$2501,MATCH($A1047,KW_TP!$A$2:$A$2501,1))))</f>
        <v/>
      </c>
    </row>
    <row r="1048">
      <c r="A1048" s="15">
        <f>IF(ISNUMBER(BBG_Data!A1048),BBG_Data!A1048,"")</f>
        <v/>
      </c>
      <c r="B1048" s="16">
        <f>IF(AND(ISNUMBER($A1048),ISNUMBER(BBG_Data!B1048)),BBG_Data!B1048,NA())</f>
        <v/>
      </c>
      <c r="C1048" s="16">
        <f>IF(AND(ISNUMBER($A1048),ISNUMBER(BBG_Data!C1048)),BBG_Data!C1048,NA())</f>
        <v/>
      </c>
      <c r="D1048" s="17">
        <f>IF(AND(ISNUMBER($A1048),ISNUMBER(BBG_Data!D1048)),BBG_Data!D1048,NA())</f>
        <v/>
      </c>
      <c r="E1048" s="17">
        <f>IF(AND(ISNUMBER($A1048),ISNUMBER(BBG_Data!E1048)),BBG_Data!E1048,NA())</f>
        <v/>
      </c>
      <c r="F1048" s="18">
        <f>IF(AND(ISNUMBER(B1048),ISNUMBER(B1047)),(B1048-B1047)*100,"")</f>
        <v/>
      </c>
      <c r="G1048" s="18">
        <f>IF(AND(ISNUMBER(C1048),ISNUMBER(C1047)),(C1048-C1047)*100,"")</f>
        <v/>
      </c>
      <c r="H1048" s="18">
        <f>IF(OR(NOT(ISNUMBER($A1048)),ROW()-2&lt;Settings!$B$11),NA(),IF(COUNT(OFFSET(F1048,1-Settings!$B$11,0,Settings!$B$11,1))&lt;Settings!$B$11,NA(),STDEV(OFFSET(F1048,1-Settings!$B$11,0,Settings!$B$11,1))*SQRT(Settings!$B$13)))</f>
        <v/>
      </c>
      <c r="I1048" s="18">
        <f>IF(OR(NOT(ISNUMBER($A1048)),ROW()-2&lt;Settings!$B$12),NA(),IF(COUNT(OFFSET(F1048,1-Settings!$B$12,0,Settings!$B$12,1))&lt;Settings!$B$12,NA(),STDEV(OFFSET(F1048,1-Settings!$B$12,0,Settings!$B$12,1))*SQRT(Settings!$B$13)))</f>
        <v/>
      </c>
      <c r="J1048" s="18">
        <f>IF(OR(NOT(ISNUMBER($A1048)),ROW()-2&lt;Settings!$B$11),NA(),IF(COUNT(OFFSET(G1048,1-Settings!$B$11,0,Settings!$B$11,1))&lt;Settings!$B$11,NA(),STDEV(OFFSET(G1048,1-Settings!$B$11,0,Settings!$B$11,1))*SQRT(Settings!$B$13)))</f>
        <v/>
      </c>
      <c r="K1048" s="18">
        <f>IF(OR(NOT(ISNUMBER($A1048)),ROW()-2&lt;Settings!$B$12),NA(),IF(COUNT(OFFSET(G1048,1-Settings!$B$12,0,Settings!$B$12,1))&lt;Settings!$B$12,NA(),STDEV(OFFSET(G1048,1-Settings!$B$12,0,Settings!$B$12,1))*SQRT(Settings!$B$13)))</f>
        <v/>
      </c>
      <c r="L1048" s="18">
        <f>IF(AND(ISNUMBER(D1048),ISNUMBER(H1048)),D1048-H1048,NA())</f>
        <v/>
      </c>
      <c r="M1048" s="18">
        <f>IF(AND(ISNUMBER(E1048),ISNUMBER(K1048)),E1048-K1048,NA())</f>
        <v/>
      </c>
      <c r="N1048" s="18">
        <f>IF(NOT(ISNUMBER($A1048)),NA(),IF(COUNT(OFFSET(G1048,1,0,Settings!$B$12,1))&lt;Settings!$B$12,NA(),STDEV(OFFSET(G1048,1,0,Settings!$B$12,1))*SQRT(Settings!$B$13)))</f>
        <v/>
      </c>
      <c r="O1048" s="18">
        <f>IF(AND(ISNUMBER(E1048),ISNUMBER(N1048)),E1048-N1048,NA())</f>
        <v/>
      </c>
      <c r="P1048" s="17">
        <f>IF(NOT(ISNUMBER($A1048)),NA(),IF(OR($A1048&lt;MIN(KW_TP!$A$2:$A$2501),$A1048&gt;MAX(KW_TP!$A$2:$A$2501)),NA(),INDEX(KW_TP!$C$2:$C$2501,MATCH($A1048,KW_TP!$A$2:$A$2501,1))))</f>
        <v/>
      </c>
    </row>
    <row r="1049">
      <c r="A1049" s="15">
        <f>IF(ISNUMBER(BBG_Data!A1049),BBG_Data!A1049,"")</f>
        <v/>
      </c>
      <c r="B1049" s="16">
        <f>IF(AND(ISNUMBER($A1049),ISNUMBER(BBG_Data!B1049)),BBG_Data!B1049,NA())</f>
        <v/>
      </c>
      <c r="C1049" s="16">
        <f>IF(AND(ISNUMBER($A1049),ISNUMBER(BBG_Data!C1049)),BBG_Data!C1049,NA())</f>
        <v/>
      </c>
      <c r="D1049" s="17">
        <f>IF(AND(ISNUMBER($A1049),ISNUMBER(BBG_Data!D1049)),BBG_Data!D1049,NA())</f>
        <v/>
      </c>
      <c r="E1049" s="17">
        <f>IF(AND(ISNUMBER($A1049),ISNUMBER(BBG_Data!E1049)),BBG_Data!E1049,NA())</f>
        <v/>
      </c>
      <c r="F1049" s="18">
        <f>IF(AND(ISNUMBER(B1049),ISNUMBER(B1048)),(B1049-B1048)*100,"")</f>
        <v/>
      </c>
      <c r="G1049" s="18">
        <f>IF(AND(ISNUMBER(C1049),ISNUMBER(C1048)),(C1049-C1048)*100,"")</f>
        <v/>
      </c>
      <c r="H1049" s="18">
        <f>IF(OR(NOT(ISNUMBER($A1049)),ROW()-2&lt;Settings!$B$11),NA(),IF(COUNT(OFFSET(F1049,1-Settings!$B$11,0,Settings!$B$11,1))&lt;Settings!$B$11,NA(),STDEV(OFFSET(F1049,1-Settings!$B$11,0,Settings!$B$11,1))*SQRT(Settings!$B$13)))</f>
        <v/>
      </c>
      <c r="I1049" s="18">
        <f>IF(OR(NOT(ISNUMBER($A1049)),ROW()-2&lt;Settings!$B$12),NA(),IF(COUNT(OFFSET(F1049,1-Settings!$B$12,0,Settings!$B$12,1))&lt;Settings!$B$12,NA(),STDEV(OFFSET(F1049,1-Settings!$B$12,0,Settings!$B$12,1))*SQRT(Settings!$B$13)))</f>
        <v/>
      </c>
      <c r="J1049" s="18">
        <f>IF(OR(NOT(ISNUMBER($A1049)),ROW()-2&lt;Settings!$B$11),NA(),IF(COUNT(OFFSET(G1049,1-Settings!$B$11,0,Settings!$B$11,1))&lt;Settings!$B$11,NA(),STDEV(OFFSET(G1049,1-Settings!$B$11,0,Settings!$B$11,1))*SQRT(Settings!$B$13)))</f>
        <v/>
      </c>
      <c r="K1049" s="18">
        <f>IF(OR(NOT(ISNUMBER($A1049)),ROW()-2&lt;Settings!$B$12),NA(),IF(COUNT(OFFSET(G1049,1-Settings!$B$12,0,Settings!$B$12,1))&lt;Settings!$B$12,NA(),STDEV(OFFSET(G1049,1-Settings!$B$12,0,Settings!$B$12,1))*SQRT(Settings!$B$13)))</f>
        <v/>
      </c>
      <c r="L1049" s="18">
        <f>IF(AND(ISNUMBER(D1049),ISNUMBER(H1049)),D1049-H1049,NA())</f>
        <v/>
      </c>
      <c r="M1049" s="18">
        <f>IF(AND(ISNUMBER(E1049),ISNUMBER(K1049)),E1049-K1049,NA())</f>
        <v/>
      </c>
      <c r="N1049" s="18">
        <f>IF(NOT(ISNUMBER($A1049)),NA(),IF(COUNT(OFFSET(G1049,1,0,Settings!$B$12,1))&lt;Settings!$B$12,NA(),STDEV(OFFSET(G1049,1,0,Settings!$B$12,1))*SQRT(Settings!$B$13)))</f>
        <v/>
      </c>
      <c r="O1049" s="18">
        <f>IF(AND(ISNUMBER(E1049),ISNUMBER(N1049)),E1049-N1049,NA())</f>
        <v/>
      </c>
      <c r="P1049" s="17">
        <f>IF(NOT(ISNUMBER($A1049)),NA(),IF(OR($A1049&lt;MIN(KW_TP!$A$2:$A$2501),$A1049&gt;MAX(KW_TP!$A$2:$A$2501)),NA(),INDEX(KW_TP!$C$2:$C$2501,MATCH($A1049,KW_TP!$A$2:$A$2501,1))))</f>
        <v/>
      </c>
    </row>
    <row r="1050">
      <c r="A1050" s="15">
        <f>IF(ISNUMBER(BBG_Data!A1050),BBG_Data!A1050,"")</f>
        <v/>
      </c>
      <c r="B1050" s="16">
        <f>IF(AND(ISNUMBER($A1050),ISNUMBER(BBG_Data!B1050)),BBG_Data!B1050,NA())</f>
        <v/>
      </c>
      <c r="C1050" s="16">
        <f>IF(AND(ISNUMBER($A1050),ISNUMBER(BBG_Data!C1050)),BBG_Data!C1050,NA())</f>
        <v/>
      </c>
      <c r="D1050" s="17">
        <f>IF(AND(ISNUMBER($A1050),ISNUMBER(BBG_Data!D1050)),BBG_Data!D1050,NA())</f>
        <v/>
      </c>
      <c r="E1050" s="17">
        <f>IF(AND(ISNUMBER($A1050),ISNUMBER(BBG_Data!E1050)),BBG_Data!E1050,NA())</f>
        <v/>
      </c>
      <c r="F1050" s="18">
        <f>IF(AND(ISNUMBER(B1050),ISNUMBER(B1049)),(B1050-B1049)*100,"")</f>
        <v/>
      </c>
      <c r="G1050" s="18">
        <f>IF(AND(ISNUMBER(C1050),ISNUMBER(C1049)),(C1050-C1049)*100,"")</f>
        <v/>
      </c>
      <c r="H1050" s="18">
        <f>IF(OR(NOT(ISNUMBER($A1050)),ROW()-2&lt;Settings!$B$11),NA(),IF(COUNT(OFFSET(F1050,1-Settings!$B$11,0,Settings!$B$11,1))&lt;Settings!$B$11,NA(),STDEV(OFFSET(F1050,1-Settings!$B$11,0,Settings!$B$11,1))*SQRT(Settings!$B$13)))</f>
        <v/>
      </c>
      <c r="I1050" s="18">
        <f>IF(OR(NOT(ISNUMBER($A1050)),ROW()-2&lt;Settings!$B$12),NA(),IF(COUNT(OFFSET(F1050,1-Settings!$B$12,0,Settings!$B$12,1))&lt;Settings!$B$12,NA(),STDEV(OFFSET(F1050,1-Settings!$B$12,0,Settings!$B$12,1))*SQRT(Settings!$B$13)))</f>
        <v/>
      </c>
      <c r="J1050" s="18">
        <f>IF(OR(NOT(ISNUMBER($A1050)),ROW()-2&lt;Settings!$B$11),NA(),IF(COUNT(OFFSET(G1050,1-Settings!$B$11,0,Settings!$B$11,1))&lt;Settings!$B$11,NA(),STDEV(OFFSET(G1050,1-Settings!$B$11,0,Settings!$B$11,1))*SQRT(Settings!$B$13)))</f>
        <v/>
      </c>
      <c r="K1050" s="18">
        <f>IF(OR(NOT(ISNUMBER($A1050)),ROW()-2&lt;Settings!$B$12),NA(),IF(COUNT(OFFSET(G1050,1-Settings!$B$12,0,Settings!$B$12,1))&lt;Settings!$B$12,NA(),STDEV(OFFSET(G1050,1-Settings!$B$12,0,Settings!$B$12,1))*SQRT(Settings!$B$13)))</f>
        <v/>
      </c>
      <c r="L1050" s="18">
        <f>IF(AND(ISNUMBER(D1050),ISNUMBER(H1050)),D1050-H1050,NA())</f>
        <v/>
      </c>
      <c r="M1050" s="18">
        <f>IF(AND(ISNUMBER(E1050),ISNUMBER(K1050)),E1050-K1050,NA())</f>
        <v/>
      </c>
      <c r="N1050" s="18">
        <f>IF(NOT(ISNUMBER($A1050)),NA(),IF(COUNT(OFFSET(G1050,1,0,Settings!$B$12,1))&lt;Settings!$B$12,NA(),STDEV(OFFSET(G1050,1,0,Settings!$B$12,1))*SQRT(Settings!$B$13)))</f>
        <v/>
      </c>
      <c r="O1050" s="18">
        <f>IF(AND(ISNUMBER(E1050),ISNUMBER(N1050)),E1050-N1050,NA())</f>
        <v/>
      </c>
      <c r="P1050" s="17">
        <f>IF(NOT(ISNUMBER($A1050)),NA(),IF(OR($A1050&lt;MIN(KW_TP!$A$2:$A$2501),$A1050&gt;MAX(KW_TP!$A$2:$A$2501)),NA(),INDEX(KW_TP!$C$2:$C$2501,MATCH($A1050,KW_TP!$A$2:$A$2501,1))))</f>
        <v/>
      </c>
    </row>
    <row r="1051">
      <c r="A1051" s="15">
        <f>IF(ISNUMBER(BBG_Data!A1051),BBG_Data!A1051,"")</f>
        <v/>
      </c>
      <c r="B1051" s="16">
        <f>IF(AND(ISNUMBER($A1051),ISNUMBER(BBG_Data!B1051)),BBG_Data!B1051,NA())</f>
        <v/>
      </c>
      <c r="C1051" s="16">
        <f>IF(AND(ISNUMBER($A1051),ISNUMBER(BBG_Data!C1051)),BBG_Data!C1051,NA())</f>
        <v/>
      </c>
      <c r="D1051" s="17">
        <f>IF(AND(ISNUMBER($A1051),ISNUMBER(BBG_Data!D1051)),BBG_Data!D1051,NA())</f>
        <v/>
      </c>
      <c r="E1051" s="17">
        <f>IF(AND(ISNUMBER($A1051),ISNUMBER(BBG_Data!E1051)),BBG_Data!E1051,NA())</f>
        <v/>
      </c>
      <c r="F1051" s="18">
        <f>IF(AND(ISNUMBER(B1051),ISNUMBER(B1050)),(B1051-B1050)*100,"")</f>
        <v/>
      </c>
      <c r="G1051" s="18">
        <f>IF(AND(ISNUMBER(C1051),ISNUMBER(C1050)),(C1051-C1050)*100,"")</f>
        <v/>
      </c>
      <c r="H1051" s="18">
        <f>IF(OR(NOT(ISNUMBER($A1051)),ROW()-2&lt;Settings!$B$11),NA(),IF(COUNT(OFFSET(F1051,1-Settings!$B$11,0,Settings!$B$11,1))&lt;Settings!$B$11,NA(),STDEV(OFFSET(F1051,1-Settings!$B$11,0,Settings!$B$11,1))*SQRT(Settings!$B$13)))</f>
        <v/>
      </c>
      <c r="I1051" s="18">
        <f>IF(OR(NOT(ISNUMBER($A1051)),ROW()-2&lt;Settings!$B$12),NA(),IF(COUNT(OFFSET(F1051,1-Settings!$B$12,0,Settings!$B$12,1))&lt;Settings!$B$12,NA(),STDEV(OFFSET(F1051,1-Settings!$B$12,0,Settings!$B$12,1))*SQRT(Settings!$B$13)))</f>
        <v/>
      </c>
      <c r="J1051" s="18">
        <f>IF(OR(NOT(ISNUMBER($A1051)),ROW()-2&lt;Settings!$B$11),NA(),IF(COUNT(OFFSET(G1051,1-Settings!$B$11,0,Settings!$B$11,1))&lt;Settings!$B$11,NA(),STDEV(OFFSET(G1051,1-Settings!$B$11,0,Settings!$B$11,1))*SQRT(Settings!$B$13)))</f>
        <v/>
      </c>
      <c r="K1051" s="18">
        <f>IF(OR(NOT(ISNUMBER($A1051)),ROW()-2&lt;Settings!$B$12),NA(),IF(COUNT(OFFSET(G1051,1-Settings!$B$12,0,Settings!$B$12,1))&lt;Settings!$B$12,NA(),STDEV(OFFSET(G1051,1-Settings!$B$12,0,Settings!$B$12,1))*SQRT(Settings!$B$13)))</f>
        <v/>
      </c>
      <c r="L1051" s="18">
        <f>IF(AND(ISNUMBER(D1051),ISNUMBER(H1051)),D1051-H1051,NA())</f>
        <v/>
      </c>
      <c r="M1051" s="18">
        <f>IF(AND(ISNUMBER(E1051),ISNUMBER(K1051)),E1051-K1051,NA())</f>
        <v/>
      </c>
      <c r="N1051" s="18">
        <f>IF(NOT(ISNUMBER($A1051)),NA(),IF(COUNT(OFFSET(G1051,1,0,Settings!$B$12,1))&lt;Settings!$B$12,NA(),STDEV(OFFSET(G1051,1,0,Settings!$B$12,1))*SQRT(Settings!$B$13)))</f>
        <v/>
      </c>
      <c r="O1051" s="18">
        <f>IF(AND(ISNUMBER(E1051),ISNUMBER(N1051)),E1051-N1051,NA())</f>
        <v/>
      </c>
      <c r="P1051" s="17">
        <f>IF(NOT(ISNUMBER($A1051)),NA(),IF(OR($A1051&lt;MIN(KW_TP!$A$2:$A$2501),$A1051&gt;MAX(KW_TP!$A$2:$A$2501)),NA(),INDEX(KW_TP!$C$2:$C$2501,MATCH($A1051,KW_TP!$A$2:$A$2501,1))))</f>
        <v/>
      </c>
    </row>
    <row r="1052">
      <c r="A1052" s="15">
        <f>IF(ISNUMBER(BBG_Data!A1052),BBG_Data!A1052,"")</f>
        <v/>
      </c>
      <c r="B1052" s="16">
        <f>IF(AND(ISNUMBER($A1052),ISNUMBER(BBG_Data!B1052)),BBG_Data!B1052,NA())</f>
        <v/>
      </c>
      <c r="C1052" s="16">
        <f>IF(AND(ISNUMBER($A1052),ISNUMBER(BBG_Data!C1052)),BBG_Data!C1052,NA())</f>
        <v/>
      </c>
      <c r="D1052" s="17">
        <f>IF(AND(ISNUMBER($A1052),ISNUMBER(BBG_Data!D1052)),BBG_Data!D1052,NA())</f>
        <v/>
      </c>
      <c r="E1052" s="17">
        <f>IF(AND(ISNUMBER($A1052),ISNUMBER(BBG_Data!E1052)),BBG_Data!E1052,NA())</f>
        <v/>
      </c>
      <c r="F1052" s="18">
        <f>IF(AND(ISNUMBER(B1052),ISNUMBER(B1051)),(B1052-B1051)*100,"")</f>
        <v/>
      </c>
      <c r="G1052" s="18">
        <f>IF(AND(ISNUMBER(C1052),ISNUMBER(C1051)),(C1052-C1051)*100,"")</f>
        <v/>
      </c>
      <c r="H1052" s="18">
        <f>IF(OR(NOT(ISNUMBER($A1052)),ROW()-2&lt;Settings!$B$11),NA(),IF(COUNT(OFFSET(F1052,1-Settings!$B$11,0,Settings!$B$11,1))&lt;Settings!$B$11,NA(),STDEV(OFFSET(F1052,1-Settings!$B$11,0,Settings!$B$11,1))*SQRT(Settings!$B$13)))</f>
        <v/>
      </c>
      <c r="I1052" s="18">
        <f>IF(OR(NOT(ISNUMBER($A1052)),ROW()-2&lt;Settings!$B$12),NA(),IF(COUNT(OFFSET(F1052,1-Settings!$B$12,0,Settings!$B$12,1))&lt;Settings!$B$12,NA(),STDEV(OFFSET(F1052,1-Settings!$B$12,0,Settings!$B$12,1))*SQRT(Settings!$B$13)))</f>
        <v/>
      </c>
      <c r="J1052" s="18">
        <f>IF(OR(NOT(ISNUMBER($A1052)),ROW()-2&lt;Settings!$B$11),NA(),IF(COUNT(OFFSET(G1052,1-Settings!$B$11,0,Settings!$B$11,1))&lt;Settings!$B$11,NA(),STDEV(OFFSET(G1052,1-Settings!$B$11,0,Settings!$B$11,1))*SQRT(Settings!$B$13)))</f>
        <v/>
      </c>
      <c r="K1052" s="18">
        <f>IF(OR(NOT(ISNUMBER($A1052)),ROW()-2&lt;Settings!$B$12),NA(),IF(COUNT(OFFSET(G1052,1-Settings!$B$12,0,Settings!$B$12,1))&lt;Settings!$B$12,NA(),STDEV(OFFSET(G1052,1-Settings!$B$12,0,Settings!$B$12,1))*SQRT(Settings!$B$13)))</f>
        <v/>
      </c>
      <c r="L1052" s="18">
        <f>IF(AND(ISNUMBER(D1052),ISNUMBER(H1052)),D1052-H1052,NA())</f>
        <v/>
      </c>
      <c r="M1052" s="18">
        <f>IF(AND(ISNUMBER(E1052),ISNUMBER(K1052)),E1052-K1052,NA())</f>
        <v/>
      </c>
      <c r="N1052" s="18">
        <f>IF(NOT(ISNUMBER($A1052)),NA(),IF(COUNT(OFFSET(G1052,1,0,Settings!$B$12,1))&lt;Settings!$B$12,NA(),STDEV(OFFSET(G1052,1,0,Settings!$B$12,1))*SQRT(Settings!$B$13)))</f>
        <v/>
      </c>
      <c r="O1052" s="18">
        <f>IF(AND(ISNUMBER(E1052),ISNUMBER(N1052)),E1052-N1052,NA())</f>
        <v/>
      </c>
      <c r="P1052" s="17">
        <f>IF(NOT(ISNUMBER($A1052)),NA(),IF(OR($A1052&lt;MIN(KW_TP!$A$2:$A$2501),$A1052&gt;MAX(KW_TP!$A$2:$A$2501)),NA(),INDEX(KW_TP!$C$2:$C$2501,MATCH($A1052,KW_TP!$A$2:$A$2501,1))))</f>
        <v/>
      </c>
    </row>
    <row r="1053">
      <c r="A1053" s="15">
        <f>IF(ISNUMBER(BBG_Data!A1053),BBG_Data!A1053,"")</f>
        <v/>
      </c>
      <c r="B1053" s="16">
        <f>IF(AND(ISNUMBER($A1053),ISNUMBER(BBG_Data!B1053)),BBG_Data!B1053,NA())</f>
        <v/>
      </c>
      <c r="C1053" s="16">
        <f>IF(AND(ISNUMBER($A1053),ISNUMBER(BBG_Data!C1053)),BBG_Data!C1053,NA())</f>
        <v/>
      </c>
      <c r="D1053" s="17">
        <f>IF(AND(ISNUMBER($A1053),ISNUMBER(BBG_Data!D1053)),BBG_Data!D1053,NA())</f>
        <v/>
      </c>
      <c r="E1053" s="17">
        <f>IF(AND(ISNUMBER($A1053),ISNUMBER(BBG_Data!E1053)),BBG_Data!E1053,NA())</f>
        <v/>
      </c>
      <c r="F1053" s="18">
        <f>IF(AND(ISNUMBER(B1053),ISNUMBER(B1052)),(B1053-B1052)*100,"")</f>
        <v/>
      </c>
      <c r="G1053" s="18">
        <f>IF(AND(ISNUMBER(C1053),ISNUMBER(C1052)),(C1053-C1052)*100,"")</f>
        <v/>
      </c>
      <c r="H1053" s="18">
        <f>IF(OR(NOT(ISNUMBER($A1053)),ROW()-2&lt;Settings!$B$11),NA(),IF(COUNT(OFFSET(F1053,1-Settings!$B$11,0,Settings!$B$11,1))&lt;Settings!$B$11,NA(),STDEV(OFFSET(F1053,1-Settings!$B$11,0,Settings!$B$11,1))*SQRT(Settings!$B$13)))</f>
        <v/>
      </c>
      <c r="I1053" s="18">
        <f>IF(OR(NOT(ISNUMBER($A1053)),ROW()-2&lt;Settings!$B$12),NA(),IF(COUNT(OFFSET(F1053,1-Settings!$B$12,0,Settings!$B$12,1))&lt;Settings!$B$12,NA(),STDEV(OFFSET(F1053,1-Settings!$B$12,0,Settings!$B$12,1))*SQRT(Settings!$B$13)))</f>
        <v/>
      </c>
      <c r="J1053" s="18">
        <f>IF(OR(NOT(ISNUMBER($A1053)),ROW()-2&lt;Settings!$B$11),NA(),IF(COUNT(OFFSET(G1053,1-Settings!$B$11,0,Settings!$B$11,1))&lt;Settings!$B$11,NA(),STDEV(OFFSET(G1053,1-Settings!$B$11,0,Settings!$B$11,1))*SQRT(Settings!$B$13)))</f>
        <v/>
      </c>
      <c r="K1053" s="18">
        <f>IF(OR(NOT(ISNUMBER($A1053)),ROW()-2&lt;Settings!$B$12),NA(),IF(COUNT(OFFSET(G1053,1-Settings!$B$12,0,Settings!$B$12,1))&lt;Settings!$B$12,NA(),STDEV(OFFSET(G1053,1-Settings!$B$12,0,Settings!$B$12,1))*SQRT(Settings!$B$13)))</f>
        <v/>
      </c>
      <c r="L1053" s="18">
        <f>IF(AND(ISNUMBER(D1053),ISNUMBER(H1053)),D1053-H1053,NA())</f>
        <v/>
      </c>
      <c r="M1053" s="18">
        <f>IF(AND(ISNUMBER(E1053),ISNUMBER(K1053)),E1053-K1053,NA())</f>
        <v/>
      </c>
      <c r="N1053" s="18">
        <f>IF(NOT(ISNUMBER($A1053)),NA(),IF(COUNT(OFFSET(G1053,1,0,Settings!$B$12,1))&lt;Settings!$B$12,NA(),STDEV(OFFSET(G1053,1,0,Settings!$B$12,1))*SQRT(Settings!$B$13)))</f>
        <v/>
      </c>
      <c r="O1053" s="18">
        <f>IF(AND(ISNUMBER(E1053),ISNUMBER(N1053)),E1053-N1053,NA())</f>
        <v/>
      </c>
      <c r="P1053" s="17">
        <f>IF(NOT(ISNUMBER($A1053)),NA(),IF(OR($A1053&lt;MIN(KW_TP!$A$2:$A$2501),$A1053&gt;MAX(KW_TP!$A$2:$A$2501)),NA(),INDEX(KW_TP!$C$2:$C$2501,MATCH($A1053,KW_TP!$A$2:$A$2501,1))))</f>
        <v/>
      </c>
    </row>
    <row r="1054">
      <c r="A1054" s="15">
        <f>IF(ISNUMBER(BBG_Data!A1054),BBG_Data!A1054,"")</f>
        <v/>
      </c>
      <c r="B1054" s="16">
        <f>IF(AND(ISNUMBER($A1054),ISNUMBER(BBG_Data!B1054)),BBG_Data!B1054,NA())</f>
        <v/>
      </c>
      <c r="C1054" s="16">
        <f>IF(AND(ISNUMBER($A1054),ISNUMBER(BBG_Data!C1054)),BBG_Data!C1054,NA())</f>
        <v/>
      </c>
      <c r="D1054" s="17">
        <f>IF(AND(ISNUMBER($A1054),ISNUMBER(BBG_Data!D1054)),BBG_Data!D1054,NA())</f>
        <v/>
      </c>
      <c r="E1054" s="17">
        <f>IF(AND(ISNUMBER($A1054),ISNUMBER(BBG_Data!E1054)),BBG_Data!E1054,NA())</f>
        <v/>
      </c>
      <c r="F1054" s="18">
        <f>IF(AND(ISNUMBER(B1054),ISNUMBER(B1053)),(B1054-B1053)*100,"")</f>
        <v/>
      </c>
      <c r="G1054" s="18">
        <f>IF(AND(ISNUMBER(C1054),ISNUMBER(C1053)),(C1054-C1053)*100,"")</f>
        <v/>
      </c>
      <c r="H1054" s="18">
        <f>IF(OR(NOT(ISNUMBER($A1054)),ROW()-2&lt;Settings!$B$11),NA(),IF(COUNT(OFFSET(F1054,1-Settings!$B$11,0,Settings!$B$11,1))&lt;Settings!$B$11,NA(),STDEV(OFFSET(F1054,1-Settings!$B$11,0,Settings!$B$11,1))*SQRT(Settings!$B$13)))</f>
        <v/>
      </c>
      <c r="I1054" s="18">
        <f>IF(OR(NOT(ISNUMBER($A1054)),ROW()-2&lt;Settings!$B$12),NA(),IF(COUNT(OFFSET(F1054,1-Settings!$B$12,0,Settings!$B$12,1))&lt;Settings!$B$12,NA(),STDEV(OFFSET(F1054,1-Settings!$B$12,0,Settings!$B$12,1))*SQRT(Settings!$B$13)))</f>
        <v/>
      </c>
      <c r="J1054" s="18">
        <f>IF(OR(NOT(ISNUMBER($A1054)),ROW()-2&lt;Settings!$B$11),NA(),IF(COUNT(OFFSET(G1054,1-Settings!$B$11,0,Settings!$B$11,1))&lt;Settings!$B$11,NA(),STDEV(OFFSET(G1054,1-Settings!$B$11,0,Settings!$B$11,1))*SQRT(Settings!$B$13)))</f>
        <v/>
      </c>
      <c r="K1054" s="18">
        <f>IF(OR(NOT(ISNUMBER($A1054)),ROW()-2&lt;Settings!$B$12),NA(),IF(COUNT(OFFSET(G1054,1-Settings!$B$12,0,Settings!$B$12,1))&lt;Settings!$B$12,NA(),STDEV(OFFSET(G1054,1-Settings!$B$12,0,Settings!$B$12,1))*SQRT(Settings!$B$13)))</f>
        <v/>
      </c>
      <c r="L1054" s="18">
        <f>IF(AND(ISNUMBER(D1054),ISNUMBER(H1054)),D1054-H1054,NA())</f>
        <v/>
      </c>
      <c r="M1054" s="18">
        <f>IF(AND(ISNUMBER(E1054),ISNUMBER(K1054)),E1054-K1054,NA())</f>
        <v/>
      </c>
      <c r="N1054" s="18">
        <f>IF(NOT(ISNUMBER($A1054)),NA(),IF(COUNT(OFFSET(G1054,1,0,Settings!$B$12,1))&lt;Settings!$B$12,NA(),STDEV(OFFSET(G1054,1,0,Settings!$B$12,1))*SQRT(Settings!$B$13)))</f>
        <v/>
      </c>
      <c r="O1054" s="18">
        <f>IF(AND(ISNUMBER(E1054),ISNUMBER(N1054)),E1054-N1054,NA())</f>
        <v/>
      </c>
      <c r="P1054" s="17">
        <f>IF(NOT(ISNUMBER($A1054)),NA(),IF(OR($A1054&lt;MIN(KW_TP!$A$2:$A$2501),$A1054&gt;MAX(KW_TP!$A$2:$A$2501)),NA(),INDEX(KW_TP!$C$2:$C$2501,MATCH($A1054,KW_TP!$A$2:$A$2501,1))))</f>
        <v/>
      </c>
    </row>
    <row r="1055">
      <c r="A1055" s="15">
        <f>IF(ISNUMBER(BBG_Data!A1055),BBG_Data!A1055,"")</f>
        <v/>
      </c>
      <c r="B1055" s="16">
        <f>IF(AND(ISNUMBER($A1055),ISNUMBER(BBG_Data!B1055)),BBG_Data!B1055,NA())</f>
        <v/>
      </c>
      <c r="C1055" s="16">
        <f>IF(AND(ISNUMBER($A1055),ISNUMBER(BBG_Data!C1055)),BBG_Data!C1055,NA())</f>
        <v/>
      </c>
      <c r="D1055" s="17">
        <f>IF(AND(ISNUMBER($A1055),ISNUMBER(BBG_Data!D1055)),BBG_Data!D1055,NA())</f>
        <v/>
      </c>
      <c r="E1055" s="17">
        <f>IF(AND(ISNUMBER($A1055),ISNUMBER(BBG_Data!E1055)),BBG_Data!E1055,NA())</f>
        <v/>
      </c>
      <c r="F1055" s="18">
        <f>IF(AND(ISNUMBER(B1055),ISNUMBER(B1054)),(B1055-B1054)*100,"")</f>
        <v/>
      </c>
      <c r="G1055" s="18">
        <f>IF(AND(ISNUMBER(C1055),ISNUMBER(C1054)),(C1055-C1054)*100,"")</f>
        <v/>
      </c>
      <c r="H1055" s="18">
        <f>IF(OR(NOT(ISNUMBER($A1055)),ROW()-2&lt;Settings!$B$11),NA(),IF(COUNT(OFFSET(F1055,1-Settings!$B$11,0,Settings!$B$11,1))&lt;Settings!$B$11,NA(),STDEV(OFFSET(F1055,1-Settings!$B$11,0,Settings!$B$11,1))*SQRT(Settings!$B$13)))</f>
        <v/>
      </c>
      <c r="I1055" s="18">
        <f>IF(OR(NOT(ISNUMBER($A1055)),ROW()-2&lt;Settings!$B$12),NA(),IF(COUNT(OFFSET(F1055,1-Settings!$B$12,0,Settings!$B$12,1))&lt;Settings!$B$12,NA(),STDEV(OFFSET(F1055,1-Settings!$B$12,0,Settings!$B$12,1))*SQRT(Settings!$B$13)))</f>
        <v/>
      </c>
      <c r="J1055" s="18">
        <f>IF(OR(NOT(ISNUMBER($A1055)),ROW()-2&lt;Settings!$B$11),NA(),IF(COUNT(OFFSET(G1055,1-Settings!$B$11,0,Settings!$B$11,1))&lt;Settings!$B$11,NA(),STDEV(OFFSET(G1055,1-Settings!$B$11,0,Settings!$B$11,1))*SQRT(Settings!$B$13)))</f>
        <v/>
      </c>
      <c r="K1055" s="18">
        <f>IF(OR(NOT(ISNUMBER($A1055)),ROW()-2&lt;Settings!$B$12),NA(),IF(COUNT(OFFSET(G1055,1-Settings!$B$12,0,Settings!$B$12,1))&lt;Settings!$B$12,NA(),STDEV(OFFSET(G1055,1-Settings!$B$12,0,Settings!$B$12,1))*SQRT(Settings!$B$13)))</f>
        <v/>
      </c>
      <c r="L1055" s="18">
        <f>IF(AND(ISNUMBER(D1055),ISNUMBER(H1055)),D1055-H1055,NA())</f>
        <v/>
      </c>
      <c r="M1055" s="18">
        <f>IF(AND(ISNUMBER(E1055),ISNUMBER(K1055)),E1055-K1055,NA())</f>
        <v/>
      </c>
      <c r="N1055" s="18">
        <f>IF(NOT(ISNUMBER($A1055)),NA(),IF(COUNT(OFFSET(G1055,1,0,Settings!$B$12,1))&lt;Settings!$B$12,NA(),STDEV(OFFSET(G1055,1,0,Settings!$B$12,1))*SQRT(Settings!$B$13)))</f>
        <v/>
      </c>
      <c r="O1055" s="18">
        <f>IF(AND(ISNUMBER(E1055),ISNUMBER(N1055)),E1055-N1055,NA())</f>
        <v/>
      </c>
      <c r="P1055" s="17">
        <f>IF(NOT(ISNUMBER($A1055)),NA(),IF(OR($A1055&lt;MIN(KW_TP!$A$2:$A$2501),$A1055&gt;MAX(KW_TP!$A$2:$A$2501)),NA(),INDEX(KW_TP!$C$2:$C$2501,MATCH($A1055,KW_TP!$A$2:$A$2501,1))))</f>
        <v/>
      </c>
    </row>
    <row r="1056">
      <c r="A1056" s="15">
        <f>IF(ISNUMBER(BBG_Data!A1056),BBG_Data!A1056,"")</f>
        <v/>
      </c>
      <c r="B1056" s="16">
        <f>IF(AND(ISNUMBER($A1056),ISNUMBER(BBG_Data!B1056)),BBG_Data!B1056,NA())</f>
        <v/>
      </c>
      <c r="C1056" s="16">
        <f>IF(AND(ISNUMBER($A1056),ISNUMBER(BBG_Data!C1056)),BBG_Data!C1056,NA())</f>
        <v/>
      </c>
      <c r="D1056" s="17">
        <f>IF(AND(ISNUMBER($A1056),ISNUMBER(BBG_Data!D1056)),BBG_Data!D1056,NA())</f>
        <v/>
      </c>
      <c r="E1056" s="17">
        <f>IF(AND(ISNUMBER($A1056),ISNUMBER(BBG_Data!E1056)),BBG_Data!E1056,NA())</f>
        <v/>
      </c>
      <c r="F1056" s="18">
        <f>IF(AND(ISNUMBER(B1056),ISNUMBER(B1055)),(B1056-B1055)*100,"")</f>
        <v/>
      </c>
      <c r="G1056" s="18">
        <f>IF(AND(ISNUMBER(C1056),ISNUMBER(C1055)),(C1056-C1055)*100,"")</f>
        <v/>
      </c>
      <c r="H1056" s="18">
        <f>IF(OR(NOT(ISNUMBER($A1056)),ROW()-2&lt;Settings!$B$11),NA(),IF(COUNT(OFFSET(F1056,1-Settings!$B$11,0,Settings!$B$11,1))&lt;Settings!$B$11,NA(),STDEV(OFFSET(F1056,1-Settings!$B$11,0,Settings!$B$11,1))*SQRT(Settings!$B$13)))</f>
        <v/>
      </c>
      <c r="I1056" s="18">
        <f>IF(OR(NOT(ISNUMBER($A1056)),ROW()-2&lt;Settings!$B$12),NA(),IF(COUNT(OFFSET(F1056,1-Settings!$B$12,0,Settings!$B$12,1))&lt;Settings!$B$12,NA(),STDEV(OFFSET(F1056,1-Settings!$B$12,0,Settings!$B$12,1))*SQRT(Settings!$B$13)))</f>
        <v/>
      </c>
      <c r="J1056" s="18">
        <f>IF(OR(NOT(ISNUMBER($A1056)),ROW()-2&lt;Settings!$B$11),NA(),IF(COUNT(OFFSET(G1056,1-Settings!$B$11,0,Settings!$B$11,1))&lt;Settings!$B$11,NA(),STDEV(OFFSET(G1056,1-Settings!$B$11,0,Settings!$B$11,1))*SQRT(Settings!$B$13)))</f>
        <v/>
      </c>
      <c r="K1056" s="18">
        <f>IF(OR(NOT(ISNUMBER($A1056)),ROW()-2&lt;Settings!$B$12),NA(),IF(COUNT(OFFSET(G1056,1-Settings!$B$12,0,Settings!$B$12,1))&lt;Settings!$B$12,NA(),STDEV(OFFSET(G1056,1-Settings!$B$12,0,Settings!$B$12,1))*SQRT(Settings!$B$13)))</f>
        <v/>
      </c>
      <c r="L1056" s="18">
        <f>IF(AND(ISNUMBER(D1056),ISNUMBER(H1056)),D1056-H1056,NA())</f>
        <v/>
      </c>
      <c r="M1056" s="18">
        <f>IF(AND(ISNUMBER(E1056),ISNUMBER(K1056)),E1056-K1056,NA())</f>
        <v/>
      </c>
      <c r="N1056" s="18">
        <f>IF(NOT(ISNUMBER($A1056)),NA(),IF(COUNT(OFFSET(G1056,1,0,Settings!$B$12,1))&lt;Settings!$B$12,NA(),STDEV(OFFSET(G1056,1,0,Settings!$B$12,1))*SQRT(Settings!$B$13)))</f>
        <v/>
      </c>
      <c r="O1056" s="18">
        <f>IF(AND(ISNUMBER(E1056),ISNUMBER(N1056)),E1056-N1056,NA())</f>
        <v/>
      </c>
      <c r="P1056" s="17">
        <f>IF(NOT(ISNUMBER($A1056)),NA(),IF(OR($A1056&lt;MIN(KW_TP!$A$2:$A$2501),$A1056&gt;MAX(KW_TP!$A$2:$A$2501)),NA(),INDEX(KW_TP!$C$2:$C$2501,MATCH($A1056,KW_TP!$A$2:$A$2501,1))))</f>
        <v/>
      </c>
    </row>
    <row r="1057">
      <c r="A1057" s="15">
        <f>IF(ISNUMBER(BBG_Data!A1057),BBG_Data!A1057,"")</f>
        <v/>
      </c>
      <c r="B1057" s="16">
        <f>IF(AND(ISNUMBER($A1057),ISNUMBER(BBG_Data!B1057)),BBG_Data!B1057,NA())</f>
        <v/>
      </c>
      <c r="C1057" s="16">
        <f>IF(AND(ISNUMBER($A1057),ISNUMBER(BBG_Data!C1057)),BBG_Data!C1057,NA())</f>
        <v/>
      </c>
      <c r="D1057" s="17">
        <f>IF(AND(ISNUMBER($A1057),ISNUMBER(BBG_Data!D1057)),BBG_Data!D1057,NA())</f>
        <v/>
      </c>
      <c r="E1057" s="17">
        <f>IF(AND(ISNUMBER($A1057),ISNUMBER(BBG_Data!E1057)),BBG_Data!E1057,NA())</f>
        <v/>
      </c>
      <c r="F1057" s="18">
        <f>IF(AND(ISNUMBER(B1057),ISNUMBER(B1056)),(B1057-B1056)*100,"")</f>
        <v/>
      </c>
      <c r="G1057" s="18">
        <f>IF(AND(ISNUMBER(C1057),ISNUMBER(C1056)),(C1057-C1056)*100,"")</f>
        <v/>
      </c>
      <c r="H1057" s="18">
        <f>IF(OR(NOT(ISNUMBER($A1057)),ROW()-2&lt;Settings!$B$11),NA(),IF(COUNT(OFFSET(F1057,1-Settings!$B$11,0,Settings!$B$11,1))&lt;Settings!$B$11,NA(),STDEV(OFFSET(F1057,1-Settings!$B$11,0,Settings!$B$11,1))*SQRT(Settings!$B$13)))</f>
        <v/>
      </c>
      <c r="I1057" s="18">
        <f>IF(OR(NOT(ISNUMBER($A1057)),ROW()-2&lt;Settings!$B$12),NA(),IF(COUNT(OFFSET(F1057,1-Settings!$B$12,0,Settings!$B$12,1))&lt;Settings!$B$12,NA(),STDEV(OFFSET(F1057,1-Settings!$B$12,0,Settings!$B$12,1))*SQRT(Settings!$B$13)))</f>
        <v/>
      </c>
      <c r="J1057" s="18">
        <f>IF(OR(NOT(ISNUMBER($A1057)),ROW()-2&lt;Settings!$B$11),NA(),IF(COUNT(OFFSET(G1057,1-Settings!$B$11,0,Settings!$B$11,1))&lt;Settings!$B$11,NA(),STDEV(OFFSET(G1057,1-Settings!$B$11,0,Settings!$B$11,1))*SQRT(Settings!$B$13)))</f>
        <v/>
      </c>
      <c r="K1057" s="18">
        <f>IF(OR(NOT(ISNUMBER($A1057)),ROW()-2&lt;Settings!$B$12),NA(),IF(COUNT(OFFSET(G1057,1-Settings!$B$12,0,Settings!$B$12,1))&lt;Settings!$B$12,NA(),STDEV(OFFSET(G1057,1-Settings!$B$12,0,Settings!$B$12,1))*SQRT(Settings!$B$13)))</f>
        <v/>
      </c>
      <c r="L1057" s="18">
        <f>IF(AND(ISNUMBER(D1057),ISNUMBER(H1057)),D1057-H1057,NA())</f>
        <v/>
      </c>
      <c r="M1057" s="18">
        <f>IF(AND(ISNUMBER(E1057),ISNUMBER(K1057)),E1057-K1057,NA())</f>
        <v/>
      </c>
      <c r="N1057" s="18">
        <f>IF(NOT(ISNUMBER($A1057)),NA(),IF(COUNT(OFFSET(G1057,1,0,Settings!$B$12,1))&lt;Settings!$B$12,NA(),STDEV(OFFSET(G1057,1,0,Settings!$B$12,1))*SQRT(Settings!$B$13)))</f>
        <v/>
      </c>
      <c r="O1057" s="18">
        <f>IF(AND(ISNUMBER(E1057),ISNUMBER(N1057)),E1057-N1057,NA())</f>
        <v/>
      </c>
      <c r="P1057" s="17">
        <f>IF(NOT(ISNUMBER($A1057)),NA(),IF(OR($A1057&lt;MIN(KW_TP!$A$2:$A$2501),$A1057&gt;MAX(KW_TP!$A$2:$A$2501)),NA(),INDEX(KW_TP!$C$2:$C$2501,MATCH($A1057,KW_TP!$A$2:$A$2501,1))))</f>
        <v/>
      </c>
    </row>
    <row r="1058">
      <c r="A1058" s="15">
        <f>IF(ISNUMBER(BBG_Data!A1058),BBG_Data!A1058,"")</f>
        <v/>
      </c>
      <c r="B1058" s="16">
        <f>IF(AND(ISNUMBER($A1058),ISNUMBER(BBG_Data!B1058)),BBG_Data!B1058,NA())</f>
        <v/>
      </c>
      <c r="C1058" s="16">
        <f>IF(AND(ISNUMBER($A1058),ISNUMBER(BBG_Data!C1058)),BBG_Data!C1058,NA())</f>
        <v/>
      </c>
      <c r="D1058" s="17">
        <f>IF(AND(ISNUMBER($A1058),ISNUMBER(BBG_Data!D1058)),BBG_Data!D1058,NA())</f>
        <v/>
      </c>
      <c r="E1058" s="17">
        <f>IF(AND(ISNUMBER($A1058),ISNUMBER(BBG_Data!E1058)),BBG_Data!E1058,NA())</f>
        <v/>
      </c>
      <c r="F1058" s="18">
        <f>IF(AND(ISNUMBER(B1058),ISNUMBER(B1057)),(B1058-B1057)*100,"")</f>
        <v/>
      </c>
      <c r="G1058" s="18">
        <f>IF(AND(ISNUMBER(C1058),ISNUMBER(C1057)),(C1058-C1057)*100,"")</f>
        <v/>
      </c>
      <c r="H1058" s="18">
        <f>IF(OR(NOT(ISNUMBER($A1058)),ROW()-2&lt;Settings!$B$11),NA(),IF(COUNT(OFFSET(F1058,1-Settings!$B$11,0,Settings!$B$11,1))&lt;Settings!$B$11,NA(),STDEV(OFFSET(F1058,1-Settings!$B$11,0,Settings!$B$11,1))*SQRT(Settings!$B$13)))</f>
        <v/>
      </c>
      <c r="I1058" s="18">
        <f>IF(OR(NOT(ISNUMBER($A1058)),ROW()-2&lt;Settings!$B$12),NA(),IF(COUNT(OFFSET(F1058,1-Settings!$B$12,0,Settings!$B$12,1))&lt;Settings!$B$12,NA(),STDEV(OFFSET(F1058,1-Settings!$B$12,0,Settings!$B$12,1))*SQRT(Settings!$B$13)))</f>
        <v/>
      </c>
      <c r="J1058" s="18">
        <f>IF(OR(NOT(ISNUMBER($A1058)),ROW()-2&lt;Settings!$B$11),NA(),IF(COUNT(OFFSET(G1058,1-Settings!$B$11,0,Settings!$B$11,1))&lt;Settings!$B$11,NA(),STDEV(OFFSET(G1058,1-Settings!$B$11,0,Settings!$B$11,1))*SQRT(Settings!$B$13)))</f>
        <v/>
      </c>
      <c r="K1058" s="18">
        <f>IF(OR(NOT(ISNUMBER($A1058)),ROW()-2&lt;Settings!$B$12),NA(),IF(COUNT(OFFSET(G1058,1-Settings!$B$12,0,Settings!$B$12,1))&lt;Settings!$B$12,NA(),STDEV(OFFSET(G1058,1-Settings!$B$12,0,Settings!$B$12,1))*SQRT(Settings!$B$13)))</f>
        <v/>
      </c>
      <c r="L1058" s="18">
        <f>IF(AND(ISNUMBER(D1058),ISNUMBER(H1058)),D1058-H1058,NA())</f>
        <v/>
      </c>
      <c r="M1058" s="18">
        <f>IF(AND(ISNUMBER(E1058),ISNUMBER(K1058)),E1058-K1058,NA())</f>
        <v/>
      </c>
      <c r="N1058" s="18">
        <f>IF(NOT(ISNUMBER($A1058)),NA(),IF(COUNT(OFFSET(G1058,1,0,Settings!$B$12,1))&lt;Settings!$B$12,NA(),STDEV(OFFSET(G1058,1,0,Settings!$B$12,1))*SQRT(Settings!$B$13)))</f>
        <v/>
      </c>
      <c r="O1058" s="18">
        <f>IF(AND(ISNUMBER(E1058),ISNUMBER(N1058)),E1058-N1058,NA())</f>
        <v/>
      </c>
      <c r="P1058" s="17">
        <f>IF(NOT(ISNUMBER($A1058)),NA(),IF(OR($A1058&lt;MIN(KW_TP!$A$2:$A$2501),$A1058&gt;MAX(KW_TP!$A$2:$A$2501)),NA(),INDEX(KW_TP!$C$2:$C$2501,MATCH($A1058,KW_TP!$A$2:$A$2501,1))))</f>
        <v/>
      </c>
    </row>
    <row r="1059">
      <c r="A1059" s="15">
        <f>IF(ISNUMBER(BBG_Data!A1059),BBG_Data!A1059,"")</f>
        <v/>
      </c>
      <c r="B1059" s="16">
        <f>IF(AND(ISNUMBER($A1059),ISNUMBER(BBG_Data!B1059)),BBG_Data!B1059,NA())</f>
        <v/>
      </c>
      <c r="C1059" s="16">
        <f>IF(AND(ISNUMBER($A1059),ISNUMBER(BBG_Data!C1059)),BBG_Data!C1059,NA())</f>
        <v/>
      </c>
      <c r="D1059" s="17">
        <f>IF(AND(ISNUMBER($A1059),ISNUMBER(BBG_Data!D1059)),BBG_Data!D1059,NA())</f>
        <v/>
      </c>
      <c r="E1059" s="17">
        <f>IF(AND(ISNUMBER($A1059),ISNUMBER(BBG_Data!E1059)),BBG_Data!E1059,NA())</f>
        <v/>
      </c>
      <c r="F1059" s="18">
        <f>IF(AND(ISNUMBER(B1059),ISNUMBER(B1058)),(B1059-B1058)*100,"")</f>
        <v/>
      </c>
      <c r="G1059" s="18">
        <f>IF(AND(ISNUMBER(C1059),ISNUMBER(C1058)),(C1059-C1058)*100,"")</f>
        <v/>
      </c>
      <c r="H1059" s="18">
        <f>IF(OR(NOT(ISNUMBER($A1059)),ROW()-2&lt;Settings!$B$11),NA(),IF(COUNT(OFFSET(F1059,1-Settings!$B$11,0,Settings!$B$11,1))&lt;Settings!$B$11,NA(),STDEV(OFFSET(F1059,1-Settings!$B$11,0,Settings!$B$11,1))*SQRT(Settings!$B$13)))</f>
        <v/>
      </c>
      <c r="I1059" s="18">
        <f>IF(OR(NOT(ISNUMBER($A1059)),ROW()-2&lt;Settings!$B$12),NA(),IF(COUNT(OFFSET(F1059,1-Settings!$B$12,0,Settings!$B$12,1))&lt;Settings!$B$12,NA(),STDEV(OFFSET(F1059,1-Settings!$B$12,0,Settings!$B$12,1))*SQRT(Settings!$B$13)))</f>
        <v/>
      </c>
      <c r="J1059" s="18">
        <f>IF(OR(NOT(ISNUMBER($A1059)),ROW()-2&lt;Settings!$B$11),NA(),IF(COUNT(OFFSET(G1059,1-Settings!$B$11,0,Settings!$B$11,1))&lt;Settings!$B$11,NA(),STDEV(OFFSET(G1059,1-Settings!$B$11,0,Settings!$B$11,1))*SQRT(Settings!$B$13)))</f>
        <v/>
      </c>
      <c r="K1059" s="18">
        <f>IF(OR(NOT(ISNUMBER($A1059)),ROW()-2&lt;Settings!$B$12),NA(),IF(COUNT(OFFSET(G1059,1-Settings!$B$12,0,Settings!$B$12,1))&lt;Settings!$B$12,NA(),STDEV(OFFSET(G1059,1-Settings!$B$12,0,Settings!$B$12,1))*SQRT(Settings!$B$13)))</f>
        <v/>
      </c>
      <c r="L1059" s="18">
        <f>IF(AND(ISNUMBER(D1059),ISNUMBER(H1059)),D1059-H1059,NA())</f>
        <v/>
      </c>
      <c r="M1059" s="18">
        <f>IF(AND(ISNUMBER(E1059),ISNUMBER(K1059)),E1059-K1059,NA())</f>
        <v/>
      </c>
      <c r="N1059" s="18">
        <f>IF(NOT(ISNUMBER($A1059)),NA(),IF(COUNT(OFFSET(G1059,1,0,Settings!$B$12,1))&lt;Settings!$B$12,NA(),STDEV(OFFSET(G1059,1,0,Settings!$B$12,1))*SQRT(Settings!$B$13)))</f>
        <v/>
      </c>
      <c r="O1059" s="18">
        <f>IF(AND(ISNUMBER(E1059),ISNUMBER(N1059)),E1059-N1059,NA())</f>
        <v/>
      </c>
      <c r="P1059" s="17">
        <f>IF(NOT(ISNUMBER($A1059)),NA(),IF(OR($A1059&lt;MIN(KW_TP!$A$2:$A$2501),$A1059&gt;MAX(KW_TP!$A$2:$A$2501)),NA(),INDEX(KW_TP!$C$2:$C$2501,MATCH($A1059,KW_TP!$A$2:$A$2501,1))))</f>
        <v/>
      </c>
    </row>
    <row r="1060">
      <c r="A1060" s="15">
        <f>IF(ISNUMBER(BBG_Data!A1060),BBG_Data!A1060,"")</f>
        <v/>
      </c>
      <c r="B1060" s="16">
        <f>IF(AND(ISNUMBER($A1060),ISNUMBER(BBG_Data!B1060)),BBG_Data!B1060,NA())</f>
        <v/>
      </c>
      <c r="C1060" s="16">
        <f>IF(AND(ISNUMBER($A1060),ISNUMBER(BBG_Data!C1060)),BBG_Data!C1060,NA())</f>
        <v/>
      </c>
      <c r="D1060" s="17">
        <f>IF(AND(ISNUMBER($A1060),ISNUMBER(BBG_Data!D1060)),BBG_Data!D1060,NA())</f>
        <v/>
      </c>
      <c r="E1060" s="17">
        <f>IF(AND(ISNUMBER($A1060),ISNUMBER(BBG_Data!E1060)),BBG_Data!E1060,NA())</f>
        <v/>
      </c>
      <c r="F1060" s="18">
        <f>IF(AND(ISNUMBER(B1060),ISNUMBER(B1059)),(B1060-B1059)*100,"")</f>
        <v/>
      </c>
      <c r="G1060" s="18">
        <f>IF(AND(ISNUMBER(C1060),ISNUMBER(C1059)),(C1060-C1059)*100,"")</f>
        <v/>
      </c>
      <c r="H1060" s="18">
        <f>IF(OR(NOT(ISNUMBER($A1060)),ROW()-2&lt;Settings!$B$11),NA(),IF(COUNT(OFFSET(F1060,1-Settings!$B$11,0,Settings!$B$11,1))&lt;Settings!$B$11,NA(),STDEV(OFFSET(F1060,1-Settings!$B$11,0,Settings!$B$11,1))*SQRT(Settings!$B$13)))</f>
        <v/>
      </c>
      <c r="I1060" s="18">
        <f>IF(OR(NOT(ISNUMBER($A1060)),ROW()-2&lt;Settings!$B$12),NA(),IF(COUNT(OFFSET(F1060,1-Settings!$B$12,0,Settings!$B$12,1))&lt;Settings!$B$12,NA(),STDEV(OFFSET(F1060,1-Settings!$B$12,0,Settings!$B$12,1))*SQRT(Settings!$B$13)))</f>
        <v/>
      </c>
      <c r="J1060" s="18">
        <f>IF(OR(NOT(ISNUMBER($A1060)),ROW()-2&lt;Settings!$B$11),NA(),IF(COUNT(OFFSET(G1060,1-Settings!$B$11,0,Settings!$B$11,1))&lt;Settings!$B$11,NA(),STDEV(OFFSET(G1060,1-Settings!$B$11,0,Settings!$B$11,1))*SQRT(Settings!$B$13)))</f>
        <v/>
      </c>
      <c r="K1060" s="18">
        <f>IF(OR(NOT(ISNUMBER($A1060)),ROW()-2&lt;Settings!$B$12),NA(),IF(COUNT(OFFSET(G1060,1-Settings!$B$12,0,Settings!$B$12,1))&lt;Settings!$B$12,NA(),STDEV(OFFSET(G1060,1-Settings!$B$12,0,Settings!$B$12,1))*SQRT(Settings!$B$13)))</f>
        <v/>
      </c>
      <c r="L1060" s="18">
        <f>IF(AND(ISNUMBER(D1060),ISNUMBER(H1060)),D1060-H1060,NA())</f>
        <v/>
      </c>
      <c r="M1060" s="18">
        <f>IF(AND(ISNUMBER(E1060),ISNUMBER(K1060)),E1060-K1060,NA())</f>
        <v/>
      </c>
      <c r="N1060" s="18">
        <f>IF(NOT(ISNUMBER($A1060)),NA(),IF(COUNT(OFFSET(G1060,1,0,Settings!$B$12,1))&lt;Settings!$B$12,NA(),STDEV(OFFSET(G1060,1,0,Settings!$B$12,1))*SQRT(Settings!$B$13)))</f>
        <v/>
      </c>
      <c r="O1060" s="18">
        <f>IF(AND(ISNUMBER(E1060),ISNUMBER(N1060)),E1060-N1060,NA())</f>
        <v/>
      </c>
      <c r="P1060" s="17">
        <f>IF(NOT(ISNUMBER($A1060)),NA(),IF(OR($A1060&lt;MIN(KW_TP!$A$2:$A$2501),$A1060&gt;MAX(KW_TP!$A$2:$A$2501)),NA(),INDEX(KW_TP!$C$2:$C$2501,MATCH($A1060,KW_TP!$A$2:$A$2501,1))))</f>
        <v/>
      </c>
    </row>
    <row r="1061">
      <c r="A1061" s="15">
        <f>IF(ISNUMBER(BBG_Data!A1061),BBG_Data!A1061,"")</f>
        <v/>
      </c>
      <c r="B1061" s="16">
        <f>IF(AND(ISNUMBER($A1061),ISNUMBER(BBG_Data!B1061)),BBG_Data!B1061,NA())</f>
        <v/>
      </c>
      <c r="C1061" s="16">
        <f>IF(AND(ISNUMBER($A1061),ISNUMBER(BBG_Data!C1061)),BBG_Data!C1061,NA())</f>
        <v/>
      </c>
      <c r="D1061" s="17">
        <f>IF(AND(ISNUMBER($A1061),ISNUMBER(BBG_Data!D1061)),BBG_Data!D1061,NA())</f>
        <v/>
      </c>
      <c r="E1061" s="17">
        <f>IF(AND(ISNUMBER($A1061),ISNUMBER(BBG_Data!E1061)),BBG_Data!E1061,NA())</f>
        <v/>
      </c>
      <c r="F1061" s="18">
        <f>IF(AND(ISNUMBER(B1061),ISNUMBER(B1060)),(B1061-B1060)*100,"")</f>
        <v/>
      </c>
      <c r="G1061" s="18">
        <f>IF(AND(ISNUMBER(C1061),ISNUMBER(C1060)),(C1061-C1060)*100,"")</f>
        <v/>
      </c>
      <c r="H1061" s="18">
        <f>IF(OR(NOT(ISNUMBER($A1061)),ROW()-2&lt;Settings!$B$11),NA(),IF(COUNT(OFFSET(F1061,1-Settings!$B$11,0,Settings!$B$11,1))&lt;Settings!$B$11,NA(),STDEV(OFFSET(F1061,1-Settings!$B$11,0,Settings!$B$11,1))*SQRT(Settings!$B$13)))</f>
        <v/>
      </c>
      <c r="I1061" s="18">
        <f>IF(OR(NOT(ISNUMBER($A1061)),ROW()-2&lt;Settings!$B$12),NA(),IF(COUNT(OFFSET(F1061,1-Settings!$B$12,0,Settings!$B$12,1))&lt;Settings!$B$12,NA(),STDEV(OFFSET(F1061,1-Settings!$B$12,0,Settings!$B$12,1))*SQRT(Settings!$B$13)))</f>
        <v/>
      </c>
      <c r="J1061" s="18">
        <f>IF(OR(NOT(ISNUMBER($A1061)),ROW()-2&lt;Settings!$B$11),NA(),IF(COUNT(OFFSET(G1061,1-Settings!$B$11,0,Settings!$B$11,1))&lt;Settings!$B$11,NA(),STDEV(OFFSET(G1061,1-Settings!$B$11,0,Settings!$B$11,1))*SQRT(Settings!$B$13)))</f>
        <v/>
      </c>
      <c r="K1061" s="18">
        <f>IF(OR(NOT(ISNUMBER($A1061)),ROW()-2&lt;Settings!$B$12),NA(),IF(COUNT(OFFSET(G1061,1-Settings!$B$12,0,Settings!$B$12,1))&lt;Settings!$B$12,NA(),STDEV(OFFSET(G1061,1-Settings!$B$12,0,Settings!$B$12,1))*SQRT(Settings!$B$13)))</f>
        <v/>
      </c>
      <c r="L1061" s="18">
        <f>IF(AND(ISNUMBER(D1061),ISNUMBER(H1061)),D1061-H1061,NA())</f>
        <v/>
      </c>
      <c r="M1061" s="18">
        <f>IF(AND(ISNUMBER(E1061),ISNUMBER(K1061)),E1061-K1061,NA())</f>
        <v/>
      </c>
      <c r="N1061" s="18">
        <f>IF(NOT(ISNUMBER($A1061)),NA(),IF(COUNT(OFFSET(G1061,1,0,Settings!$B$12,1))&lt;Settings!$B$12,NA(),STDEV(OFFSET(G1061,1,0,Settings!$B$12,1))*SQRT(Settings!$B$13)))</f>
        <v/>
      </c>
      <c r="O1061" s="18">
        <f>IF(AND(ISNUMBER(E1061),ISNUMBER(N1061)),E1061-N1061,NA())</f>
        <v/>
      </c>
      <c r="P1061" s="17">
        <f>IF(NOT(ISNUMBER($A1061)),NA(),IF(OR($A1061&lt;MIN(KW_TP!$A$2:$A$2501),$A1061&gt;MAX(KW_TP!$A$2:$A$2501)),NA(),INDEX(KW_TP!$C$2:$C$2501,MATCH($A1061,KW_TP!$A$2:$A$2501,1))))</f>
        <v/>
      </c>
    </row>
    <row r="1062">
      <c r="A1062" s="15">
        <f>IF(ISNUMBER(BBG_Data!A1062),BBG_Data!A1062,"")</f>
        <v/>
      </c>
      <c r="B1062" s="16">
        <f>IF(AND(ISNUMBER($A1062),ISNUMBER(BBG_Data!B1062)),BBG_Data!B1062,NA())</f>
        <v/>
      </c>
      <c r="C1062" s="16">
        <f>IF(AND(ISNUMBER($A1062),ISNUMBER(BBG_Data!C1062)),BBG_Data!C1062,NA())</f>
        <v/>
      </c>
      <c r="D1062" s="17">
        <f>IF(AND(ISNUMBER($A1062),ISNUMBER(BBG_Data!D1062)),BBG_Data!D1062,NA())</f>
        <v/>
      </c>
      <c r="E1062" s="17">
        <f>IF(AND(ISNUMBER($A1062),ISNUMBER(BBG_Data!E1062)),BBG_Data!E1062,NA())</f>
        <v/>
      </c>
      <c r="F1062" s="18">
        <f>IF(AND(ISNUMBER(B1062),ISNUMBER(B1061)),(B1062-B1061)*100,"")</f>
        <v/>
      </c>
      <c r="G1062" s="18">
        <f>IF(AND(ISNUMBER(C1062),ISNUMBER(C1061)),(C1062-C1061)*100,"")</f>
        <v/>
      </c>
      <c r="H1062" s="18">
        <f>IF(OR(NOT(ISNUMBER($A1062)),ROW()-2&lt;Settings!$B$11),NA(),IF(COUNT(OFFSET(F1062,1-Settings!$B$11,0,Settings!$B$11,1))&lt;Settings!$B$11,NA(),STDEV(OFFSET(F1062,1-Settings!$B$11,0,Settings!$B$11,1))*SQRT(Settings!$B$13)))</f>
        <v/>
      </c>
      <c r="I1062" s="18">
        <f>IF(OR(NOT(ISNUMBER($A1062)),ROW()-2&lt;Settings!$B$12),NA(),IF(COUNT(OFFSET(F1062,1-Settings!$B$12,0,Settings!$B$12,1))&lt;Settings!$B$12,NA(),STDEV(OFFSET(F1062,1-Settings!$B$12,0,Settings!$B$12,1))*SQRT(Settings!$B$13)))</f>
        <v/>
      </c>
      <c r="J1062" s="18">
        <f>IF(OR(NOT(ISNUMBER($A1062)),ROW()-2&lt;Settings!$B$11),NA(),IF(COUNT(OFFSET(G1062,1-Settings!$B$11,0,Settings!$B$11,1))&lt;Settings!$B$11,NA(),STDEV(OFFSET(G1062,1-Settings!$B$11,0,Settings!$B$11,1))*SQRT(Settings!$B$13)))</f>
        <v/>
      </c>
      <c r="K1062" s="18">
        <f>IF(OR(NOT(ISNUMBER($A1062)),ROW()-2&lt;Settings!$B$12),NA(),IF(COUNT(OFFSET(G1062,1-Settings!$B$12,0,Settings!$B$12,1))&lt;Settings!$B$12,NA(),STDEV(OFFSET(G1062,1-Settings!$B$12,0,Settings!$B$12,1))*SQRT(Settings!$B$13)))</f>
        <v/>
      </c>
      <c r="L1062" s="18">
        <f>IF(AND(ISNUMBER(D1062),ISNUMBER(H1062)),D1062-H1062,NA())</f>
        <v/>
      </c>
      <c r="M1062" s="18">
        <f>IF(AND(ISNUMBER(E1062),ISNUMBER(K1062)),E1062-K1062,NA())</f>
        <v/>
      </c>
      <c r="N1062" s="18">
        <f>IF(NOT(ISNUMBER($A1062)),NA(),IF(COUNT(OFFSET(G1062,1,0,Settings!$B$12,1))&lt;Settings!$B$12,NA(),STDEV(OFFSET(G1062,1,0,Settings!$B$12,1))*SQRT(Settings!$B$13)))</f>
        <v/>
      </c>
      <c r="O1062" s="18">
        <f>IF(AND(ISNUMBER(E1062),ISNUMBER(N1062)),E1062-N1062,NA())</f>
        <v/>
      </c>
      <c r="P1062" s="17">
        <f>IF(NOT(ISNUMBER($A1062)),NA(),IF(OR($A1062&lt;MIN(KW_TP!$A$2:$A$2501),$A1062&gt;MAX(KW_TP!$A$2:$A$2501)),NA(),INDEX(KW_TP!$C$2:$C$2501,MATCH($A1062,KW_TP!$A$2:$A$2501,1))))</f>
        <v/>
      </c>
    </row>
    <row r="1063">
      <c r="A1063" s="15">
        <f>IF(ISNUMBER(BBG_Data!A1063),BBG_Data!A1063,"")</f>
        <v/>
      </c>
      <c r="B1063" s="16">
        <f>IF(AND(ISNUMBER($A1063),ISNUMBER(BBG_Data!B1063)),BBG_Data!B1063,NA())</f>
        <v/>
      </c>
      <c r="C1063" s="16">
        <f>IF(AND(ISNUMBER($A1063),ISNUMBER(BBG_Data!C1063)),BBG_Data!C1063,NA())</f>
        <v/>
      </c>
      <c r="D1063" s="17">
        <f>IF(AND(ISNUMBER($A1063),ISNUMBER(BBG_Data!D1063)),BBG_Data!D1063,NA())</f>
        <v/>
      </c>
      <c r="E1063" s="17">
        <f>IF(AND(ISNUMBER($A1063),ISNUMBER(BBG_Data!E1063)),BBG_Data!E1063,NA())</f>
        <v/>
      </c>
      <c r="F1063" s="18">
        <f>IF(AND(ISNUMBER(B1063),ISNUMBER(B1062)),(B1063-B1062)*100,"")</f>
        <v/>
      </c>
      <c r="G1063" s="18">
        <f>IF(AND(ISNUMBER(C1063),ISNUMBER(C1062)),(C1063-C1062)*100,"")</f>
        <v/>
      </c>
      <c r="H1063" s="18">
        <f>IF(OR(NOT(ISNUMBER($A1063)),ROW()-2&lt;Settings!$B$11),NA(),IF(COUNT(OFFSET(F1063,1-Settings!$B$11,0,Settings!$B$11,1))&lt;Settings!$B$11,NA(),STDEV(OFFSET(F1063,1-Settings!$B$11,0,Settings!$B$11,1))*SQRT(Settings!$B$13)))</f>
        <v/>
      </c>
      <c r="I1063" s="18">
        <f>IF(OR(NOT(ISNUMBER($A1063)),ROW()-2&lt;Settings!$B$12),NA(),IF(COUNT(OFFSET(F1063,1-Settings!$B$12,0,Settings!$B$12,1))&lt;Settings!$B$12,NA(),STDEV(OFFSET(F1063,1-Settings!$B$12,0,Settings!$B$12,1))*SQRT(Settings!$B$13)))</f>
        <v/>
      </c>
      <c r="J1063" s="18">
        <f>IF(OR(NOT(ISNUMBER($A1063)),ROW()-2&lt;Settings!$B$11),NA(),IF(COUNT(OFFSET(G1063,1-Settings!$B$11,0,Settings!$B$11,1))&lt;Settings!$B$11,NA(),STDEV(OFFSET(G1063,1-Settings!$B$11,0,Settings!$B$11,1))*SQRT(Settings!$B$13)))</f>
        <v/>
      </c>
      <c r="K1063" s="18">
        <f>IF(OR(NOT(ISNUMBER($A1063)),ROW()-2&lt;Settings!$B$12),NA(),IF(COUNT(OFFSET(G1063,1-Settings!$B$12,0,Settings!$B$12,1))&lt;Settings!$B$12,NA(),STDEV(OFFSET(G1063,1-Settings!$B$12,0,Settings!$B$12,1))*SQRT(Settings!$B$13)))</f>
        <v/>
      </c>
      <c r="L1063" s="18">
        <f>IF(AND(ISNUMBER(D1063),ISNUMBER(H1063)),D1063-H1063,NA())</f>
        <v/>
      </c>
      <c r="M1063" s="18">
        <f>IF(AND(ISNUMBER(E1063),ISNUMBER(K1063)),E1063-K1063,NA())</f>
        <v/>
      </c>
      <c r="N1063" s="18">
        <f>IF(NOT(ISNUMBER($A1063)),NA(),IF(COUNT(OFFSET(G1063,1,0,Settings!$B$12,1))&lt;Settings!$B$12,NA(),STDEV(OFFSET(G1063,1,0,Settings!$B$12,1))*SQRT(Settings!$B$13)))</f>
        <v/>
      </c>
      <c r="O1063" s="18">
        <f>IF(AND(ISNUMBER(E1063),ISNUMBER(N1063)),E1063-N1063,NA())</f>
        <v/>
      </c>
      <c r="P1063" s="17">
        <f>IF(NOT(ISNUMBER($A1063)),NA(),IF(OR($A1063&lt;MIN(KW_TP!$A$2:$A$2501),$A1063&gt;MAX(KW_TP!$A$2:$A$2501)),NA(),INDEX(KW_TP!$C$2:$C$2501,MATCH($A1063,KW_TP!$A$2:$A$2501,1))))</f>
        <v/>
      </c>
    </row>
    <row r="1064">
      <c r="A1064" s="15">
        <f>IF(ISNUMBER(BBG_Data!A1064),BBG_Data!A1064,"")</f>
        <v/>
      </c>
      <c r="B1064" s="16">
        <f>IF(AND(ISNUMBER($A1064),ISNUMBER(BBG_Data!B1064)),BBG_Data!B1064,NA())</f>
        <v/>
      </c>
      <c r="C1064" s="16">
        <f>IF(AND(ISNUMBER($A1064),ISNUMBER(BBG_Data!C1064)),BBG_Data!C1064,NA())</f>
        <v/>
      </c>
      <c r="D1064" s="17">
        <f>IF(AND(ISNUMBER($A1064),ISNUMBER(BBG_Data!D1064)),BBG_Data!D1064,NA())</f>
        <v/>
      </c>
      <c r="E1064" s="17">
        <f>IF(AND(ISNUMBER($A1064),ISNUMBER(BBG_Data!E1064)),BBG_Data!E1064,NA())</f>
        <v/>
      </c>
      <c r="F1064" s="18">
        <f>IF(AND(ISNUMBER(B1064),ISNUMBER(B1063)),(B1064-B1063)*100,"")</f>
        <v/>
      </c>
      <c r="G1064" s="18">
        <f>IF(AND(ISNUMBER(C1064),ISNUMBER(C1063)),(C1064-C1063)*100,"")</f>
        <v/>
      </c>
      <c r="H1064" s="18">
        <f>IF(OR(NOT(ISNUMBER($A1064)),ROW()-2&lt;Settings!$B$11),NA(),IF(COUNT(OFFSET(F1064,1-Settings!$B$11,0,Settings!$B$11,1))&lt;Settings!$B$11,NA(),STDEV(OFFSET(F1064,1-Settings!$B$11,0,Settings!$B$11,1))*SQRT(Settings!$B$13)))</f>
        <v/>
      </c>
      <c r="I1064" s="18">
        <f>IF(OR(NOT(ISNUMBER($A1064)),ROW()-2&lt;Settings!$B$12),NA(),IF(COUNT(OFFSET(F1064,1-Settings!$B$12,0,Settings!$B$12,1))&lt;Settings!$B$12,NA(),STDEV(OFFSET(F1064,1-Settings!$B$12,0,Settings!$B$12,1))*SQRT(Settings!$B$13)))</f>
        <v/>
      </c>
      <c r="J1064" s="18">
        <f>IF(OR(NOT(ISNUMBER($A1064)),ROW()-2&lt;Settings!$B$11),NA(),IF(COUNT(OFFSET(G1064,1-Settings!$B$11,0,Settings!$B$11,1))&lt;Settings!$B$11,NA(),STDEV(OFFSET(G1064,1-Settings!$B$11,0,Settings!$B$11,1))*SQRT(Settings!$B$13)))</f>
        <v/>
      </c>
      <c r="K1064" s="18">
        <f>IF(OR(NOT(ISNUMBER($A1064)),ROW()-2&lt;Settings!$B$12),NA(),IF(COUNT(OFFSET(G1064,1-Settings!$B$12,0,Settings!$B$12,1))&lt;Settings!$B$12,NA(),STDEV(OFFSET(G1064,1-Settings!$B$12,0,Settings!$B$12,1))*SQRT(Settings!$B$13)))</f>
        <v/>
      </c>
      <c r="L1064" s="18">
        <f>IF(AND(ISNUMBER(D1064),ISNUMBER(H1064)),D1064-H1064,NA())</f>
        <v/>
      </c>
      <c r="M1064" s="18">
        <f>IF(AND(ISNUMBER(E1064),ISNUMBER(K1064)),E1064-K1064,NA())</f>
        <v/>
      </c>
      <c r="N1064" s="18">
        <f>IF(NOT(ISNUMBER($A1064)),NA(),IF(COUNT(OFFSET(G1064,1,0,Settings!$B$12,1))&lt;Settings!$B$12,NA(),STDEV(OFFSET(G1064,1,0,Settings!$B$12,1))*SQRT(Settings!$B$13)))</f>
        <v/>
      </c>
      <c r="O1064" s="18">
        <f>IF(AND(ISNUMBER(E1064),ISNUMBER(N1064)),E1064-N1064,NA())</f>
        <v/>
      </c>
      <c r="P1064" s="17">
        <f>IF(NOT(ISNUMBER($A1064)),NA(),IF(OR($A1064&lt;MIN(KW_TP!$A$2:$A$2501),$A1064&gt;MAX(KW_TP!$A$2:$A$2501)),NA(),INDEX(KW_TP!$C$2:$C$2501,MATCH($A1064,KW_TP!$A$2:$A$2501,1))))</f>
        <v/>
      </c>
    </row>
    <row r="1065">
      <c r="A1065" s="15">
        <f>IF(ISNUMBER(BBG_Data!A1065),BBG_Data!A1065,"")</f>
        <v/>
      </c>
      <c r="B1065" s="16">
        <f>IF(AND(ISNUMBER($A1065),ISNUMBER(BBG_Data!B1065)),BBG_Data!B1065,NA())</f>
        <v/>
      </c>
      <c r="C1065" s="16">
        <f>IF(AND(ISNUMBER($A1065),ISNUMBER(BBG_Data!C1065)),BBG_Data!C1065,NA())</f>
        <v/>
      </c>
      <c r="D1065" s="17">
        <f>IF(AND(ISNUMBER($A1065),ISNUMBER(BBG_Data!D1065)),BBG_Data!D1065,NA())</f>
        <v/>
      </c>
      <c r="E1065" s="17">
        <f>IF(AND(ISNUMBER($A1065),ISNUMBER(BBG_Data!E1065)),BBG_Data!E1065,NA())</f>
        <v/>
      </c>
      <c r="F1065" s="18">
        <f>IF(AND(ISNUMBER(B1065),ISNUMBER(B1064)),(B1065-B1064)*100,"")</f>
        <v/>
      </c>
      <c r="G1065" s="18">
        <f>IF(AND(ISNUMBER(C1065),ISNUMBER(C1064)),(C1065-C1064)*100,"")</f>
        <v/>
      </c>
      <c r="H1065" s="18">
        <f>IF(OR(NOT(ISNUMBER($A1065)),ROW()-2&lt;Settings!$B$11),NA(),IF(COUNT(OFFSET(F1065,1-Settings!$B$11,0,Settings!$B$11,1))&lt;Settings!$B$11,NA(),STDEV(OFFSET(F1065,1-Settings!$B$11,0,Settings!$B$11,1))*SQRT(Settings!$B$13)))</f>
        <v/>
      </c>
      <c r="I1065" s="18">
        <f>IF(OR(NOT(ISNUMBER($A1065)),ROW()-2&lt;Settings!$B$12),NA(),IF(COUNT(OFFSET(F1065,1-Settings!$B$12,0,Settings!$B$12,1))&lt;Settings!$B$12,NA(),STDEV(OFFSET(F1065,1-Settings!$B$12,0,Settings!$B$12,1))*SQRT(Settings!$B$13)))</f>
        <v/>
      </c>
      <c r="J1065" s="18">
        <f>IF(OR(NOT(ISNUMBER($A1065)),ROW()-2&lt;Settings!$B$11),NA(),IF(COUNT(OFFSET(G1065,1-Settings!$B$11,0,Settings!$B$11,1))&lt;Settings!$B$11,NA(),STDEV(OFFSET(G1065,1-Settings!$B$11,0,Settings!$B$11,1))*SQRT(Settings!$B$13)))</f>
        <v/>
      </c>
      <c r="K1065" s="18">
        <f>IF(OR(NOT(ISNUMBER($A1065)),ROW()-2&lt;Settings!$B$12),NA(),IF(COUNT(OFFSET(G1065,1-Settings!$B$12,0,Settings!$B$12,1))&lt;Settings!$B$12,NA(),STDEV(OFFSET(G1065,1-Settings!$B$12,0,Settings!$B$12,1))*SQRT(Settings!$B$13)))</f>
        <v/>
      </c>
      <c r="L1065" s="18">
        <f>IF(AND(ISNUMBER(D1065),ISNUMBER(H1065)),D1065-H1065,NA())</f>
        <v/>
      </c>
      <c r="M1065" s="18">
        <f>IF(AND(ISNUMBER(E1065),ISNUMBER(K1065)),E1065-K1065,NA())</f>
        <v/>
      </c>
      <c r="N1065" s="18">
        <f>IF(NOT(ISNUMBER($A1065)),NA(),IF(COUNT(OFFSET(G1065,1,0,Settings!$B$12,1))&lt;Settings!$B$12,NA(),STDEV(OFFSET(G1065,1,0,Settings!$B$12,1))*SQRT(Settings!$B$13)))</f>
        <v/>
      </c>
      <c r="O1065" s="18">
        <f>IF(AND(ISNUMBER(E1065),ISNUMBER(N1065)),E1065-N1065,NA())</f>
        <v/>
      </c>
      <c r="P1065" s="17">
        <f>IF(NOT(ISNUMBER($A1065)),NA(),IF(OR($A1065&lt;MIN(KW_TP!$A$2:$A$2501),$A1065&gt;MAX(KW_TP!$A$2:$A$2501)),NA(),INDEX(KW_TP!$C$2:$C$2501,MATCH($A1065,KW_TP!$A$2:$A$2501,1))))</f>
        <v/>
      </c>
    </row>
    <row r="1066">
      <c r="A1066" s="15">
        <f>IF(ISNUMBER(BBG_Data!A1066),BBG_Data!A1066,"")</f>
        <v/>
      </c>
      <c r="B1066" s="16">
        <f>IF(AND(ISNUMBER($A1066),ISNUMBER(BBG_Data!B1066)),BBG_Data!B1066,NA())</f>
        <v/>
      </c>
      <c r="C1066" s="16">
        <f>IF(AND(ISNUMBER($A1066),ISNUMBER(BBG_Data!C1066)),BBG_Data!C1066,NA())</f>
        <v/>
      </c>
      <c r="D1066" s="17">
        <f>IF(AND(ISNUMBER($A1066),ISNUMBER(BBG_Data!D1066)),BBG_Data!D1066,NA())</f>
        <v/>
      </c>
      <c r="E1066" s="17">
        <f>IF(AND(ISNUMBER($A1066),ISNUMBER(BBG_Data!E1066)),BBG_Data!E1066,NA())</f>
        <v/>
      </c>
      <c r="F1066" s="18">
        <f>IF(AND(ISNUMBER(B1066),ISNUMBER(B1065)),(B1066-B1065)*100,"")</f>
        <v/>
      </c>
      <c r="G1066" s="18">
        <f>IF(AND(ISNUMBER(C1066),ISNUMBER(C1065)),(C1066-C1065)*100,"")</f>
        <v/>
      </c>
      <c r="H1066" s="18">
        <f>IF(OR(NOT(ISNUMBER($A1066)),ROW()-2&lt;Settings!$B$11),NA(),IF(COUNT(OFFSET(F1066,1-Settings!$B$11,0,Settings!$B$11,1))&lt;Settings!$B$11,NA(),STDEV(OFFSET(F1066,1-Settings!$B$11,0,Settings!$B$11,1))*SQRT(Settings!$B$13)))</f>
        <v/>
      </c>
      <c r="I1066" s="18">
        <f>IF(OR(NOT(ISNUMBER($A1066)),ROW()-2&lt;Settings!$B$12),NA(),IF(COUNT(OFFSET(F1066,1-Settings!$B$12,0,Settings!$B$12,1))&lt;Settings!$B$12,NA(),STDEV(OFFSET(F1066,1-Settings!$B$12,0,Settings!$B$12,1))*SQRT(Settings!$B$13)))</f>
        <v/>
      </c>
      <c r="J1066" s="18">
        <f>IF(OR(NOT(ISNUMBER($A1066)),ROW()-2&lt;Settings!$B$11),NA(),IF(COUNT(OFFSET(G1066,1-Settings!$B$11,0,Settings!$B$11,1))&lt;Settings!$B$11,NA(),STDEV(OFFSET(G1066,1-Settings!$B$11,0,Settings!$B$11,1))*SQRT(Settings!$B$13)))</f>
        <v/>
      </c>
      <c r="K1066" s="18">
        <f>IF(OR(NOT(ISNUMBER($A1066)),ROW()-2&lt;Settings!$B$12),NA(),IF(COUNT(OFFSET(G1066,1-Settings!$B$12,0,Settings!$B$12,1))&lt;Settings!$B$12,NA(),STDEV(OFFSET(G1066,1-Settings!$B$12,0,Settings!$B$12,1))*SQRT(Settings!$B$13)))</f>
        <v/>
      </c>
      <c r="L1066" s="18">
        <f>IF(AND(ISNUMBER(D1066),ISNUMBER(H1066)),D1066-H1066,NA())</f>
        <v/>
      </c>
      <c r="M1066" s="18">
        <f>IF(AND(ISNUMBER(E1066),ISNUMBER(K1066)),E1066-K1066,NA())</f>
        <v/>
      </c>
      <c r="N1066" s="18">
        <f>IF(NOT(ISNUMBER($A1066)),NA(),IF(COUNT(OFFSET(G1066,1,0,Settings!$B$12,1))&lt;Settings!$B$12,NA(),STDEV(OFFSET(G1066,1,0,Settings!$B$12,1))*SQRT(Settings!$B$13)))</f>
        <v/>
      </c>
      <c r="O1066" s="18">
        <f>IF(AND(ISNUMBER(E1066),ISNUMBER(N1066)),E1066-N1066,NA())</f>
        <v/>
      </c>
      <c r="P1066" s="17">
        <f>IF(NOT(ISNUMBER($A1066)),NA(),IF(OR($A1066&lt;MIN(KW_TP!$A$2:$A$2501),$A1066&gt;MAX(KW_TP!$A$2:$A$2501)),NA(),INDEX(KW_TP!$C$2:$C$2501,MATCH($A1066,KW_TP!$A$2:$A$2501,1))))</f>
        <v/>
      </c>
    </row>
    <row r="1067">
      <c r="A1067" s="15">
        <f>IF(ISNUMBER(BBG_Data!A1067),BBG_Data!A1067,"")</f>
        <v/>
      </c>
      <c r="B1067" s="16">
        <f>IF(AND(ISNUMBER($A1067),ISNUMBER(BBG_Data!B1067)),BBG_Data!B1067,NA())</f>
        <v/>
      </c>
      <c r="C1067" s="16">
        <f>IF(AND(ISNUMBER($A1067),ISNUMBER(BBG_Data!C1067)),BBG_Data!C1067,NA())</f>
        <v/>
      </c>
      <c r="D1067" s="17">
        <f>IF(AND(ISNUMBER($A1067),ISNUMBER(BBG_Data!D1067)),BBG_Data!D1067,NA())</f>
        <v/>
      </c>
      <c r="E1067" s="17">
        <f>IF(AND(ISNUMBER($A1067),ISNUMBER(BBG_Data!E1067)),BBG_Data!E1067,NA())</f>
        <v/>
      </c>
      <c r="F1067" s="18">
        <f>IF(AND(ISNUMBER(B1067),ISNUMBER(B1066)),(B1067-B1066)*100,"")</f>
        <v/>
      </c>
      <c r="G1067" s="18">
        <f>IF(AND(ISNUMBER(C1067),ISNUMBER(C1066)),(C1067-C1066)*100,"")</f>
        <v/>
      </c>
      <c r="H1067" s="18">
        <f>IF(OR(NOT(ISNUMBER($A1067)),ROW()-2&lt;Settings!$B$11),NA(),IF(COUNT(OFFSET(F1067,1-Settings!$B$11,0,Settings!$B$11,1))&lt;Settings!$B$11,NA(),STDEV(OFFSET(F1067,1-Settings!$B$11,0,Settings!$B$11,1))*SQRT(Settings!$B$13)))</f>
        <v/>
      </c>
      <c r="I1067" s="18">
        <f>IF(OR(NOT(ISNUMBER($A1067)),ROW()-2&lt;Settings!$B$12),NA(),IF(COUNT(OFFSET(F1067,1-Settings!$B$12,0,Settings!$B$12,1))&lt;Settings!$B$12,NA(),STDEV(OFFSET(F1067,1-Settings!$B$12,0,Settings!$B$12,1))*SQRT(Settings!$B$13)))</f>
        <v/>
      </c>
      <c r="J1067" s="18">
        <f>IF(OR(NOT(ISNUMBER($A1067)),ROW()-2&lt;Settings!$B$11),NA(),IF(COUNT(OFFSET(G1067,1-Settings!$B$11,0,Settings!$B$11,1))&lt;Settings!$B$11,NA(),STDEV(OFFSET(G1067,1-Settings!$B$11,0,Settings!$B$11,1))*SQRT(Settings!$B$13)))</f>
        <v/>
      </c>
      <c r="K1067" s="18">
        <f>IF(OR(NOT(ISNUMBER($A1067)),ROW()-2&lt;Settings!$B$12),NA(),IF(COUNT(OFFSET(G1067,1-Settings!$B$12,0,Settings!$B$12,1))&lt;Settings!$B$12,NA(),STDEV(OFFSET(G1067,1-Settings!$B$12,0,Settings!$B$12,1))*SQRT(Settings!$B$13)))</f>
        <v/>
      </c>
      <c r="L1067" s="18">
        <f>IF(AND(ISNUMBER(D1067),ISNUMBER(H1067)),D1067-H1067,NA())</f>
        <v/>
      </c>
      <c r="M1067" s="18">
        <f>IF(AND(ISNUMBER(E1067),ISNUMBER(K1067)),E1067-K1067,NA())</f>
        <v/>
      </c>
      <c r="N1067" s="18">
        <f>IF(NOT(ISNUMBER($A1067)),NA(),IF(COUNT(OFFSET(G1067,1,0,Settings!$B$12,1))&lt;Settings!$B$12,NA(),STDEV(OFFSET(G1067,1,0,Settings!$B$12,1))*SQRT(Settings!$B$13)))</f>
        <v/>
      </c>
      <c r="O1067" s="18">
        <f>IF(AND(ISNUMBER(E1067),ISNUMBER(N1067)),E1067-N1067,NA())</f>
        <v/>
      </c>
      <c r="P1067" s="17">
        <f>IF(NOT(ISNUMBER($A1067)),NA(),IF(OR($A1067&lt;MIN(KW_TP!$A$2:$A$2501),$A1067&gt;MAX(KW_TP!$A$2:$A$2501)),NA(),INDEX(KW_TP!$C$2:$C$2501,MATCH($A1067,KW_TP!$A$2:$A$2501,1))))</f>
        <v/>
      </c>
    </row>
    <row r="1068">
      <c r="A1068" s="15">
        <f>IF(ISNUMBER(BBG_Data!A1068),BBG_Data!A1068,"")</f>
        <v/>
      </c>
      <c r="B1068" s="16">
        <f>IF(AND(ISNUMBER($A1068),ISNUMBER(BBG_Data!B1068)),BBG_Data!B1068,NA())</f>
        <v/>
      </c>
      <c r="C1068" s="16">
        <f>IF(AND(ISNUMBER($A1068),ISNUMBER(BBG_Data!C1068)),BBG_Data!C1068,NA())</f>
        <v/>
      </c>
      <c r="D1068" s="17">
        <f>IF(AND(ISNUMBER($A1068),ISNUMBER(BBG_Data!D1068)),BBG_Data!D1068,NA())</f>
        <v/>
      </c>
      <c r="E1068" s="17">
        <f>IF(AND(ISNUMBER($A1068),ISNUMBER(BBG_Data!E1068)),BBG_Data!E1068,NA())</f>
        <v/>
      </c>
      <c r="F1068" s="18">
        <f>IF(AND(ISNUMBER(B1068),ISNUMBER(B1067)),(B1068-B1067)*100,"")</f>
        <v/>
      </c>
      <c r="G1068" s="18">
        <f>IF(AND(ISNUMBER(C1068),ISNUMBER(C1067)),(C1068-C1067)*100,"")</f>
        <v/>
      </c>
      <c r="H1068" s="18">
        <f>IF(OR(NOT(ISNUMBER($A1068)),ROW()-2&lt;Settings!$B$11),NA(),IF(COUNT(OFFSET(F1068,1-Settings!$B$11,0,Settings!$B$11,1))&lt;Settings!$B$11,NA(),STDEV(OFFSET(F1068,1-Settings!$B$11,0,Settings!$B$11,1))*SQRT(Settings!$B$13)))</f>
        <v/>
      </c>
      <c r="I1068" s="18">
        <f>IF(OR(NOT(ISNUMBER($A1068)),ROW()-2&lt;Settings!$B$12),NA(),IF(COUNT(OFFSET(F1068,1-Settings!$B$12,0,Settings!$B$12,1))&lt;Settings!$B$12,NA(),STDEV(OFFSET(F1068,1-Settings!$B$12,0,Settings!$B$12,1))*SQRT(Settings!$B$13)))</f>
        <v/>
      </c>
      <c r="J1068" s="18">
        <f>IF(OR(NOT(ISNUMBER($A1068)),ROW()-2&lt;Settings!$B$11),NA(),IF(COUNT(OFFSET(G1068,1-Settings!$B$11,0,Settings!$B$11,1))&lt;Settings!$B$11,NA(),STDEV(OFFSET(G1068,1-Settings!$B$11,0,Settings!$B$11,1))*SQRT(Settings!$B$13)))</f>
        <v/>
      </c>
      <c r="K1068" s="18">
        <f>IF(OR(NOT(ISNUMBER($A1068)),ROW()-2&lt;Settings!$B$12),NA(),IF(COUNT(OFFSET(G1068,1-Settings!$B$12,0,Settings!$B$12,1))&lt;Settings!$B$12,NA(),STDEV(OFFSET(G1068,1-Settings!$B$12,0,Settings!$B$12,1))*SQRT(Settings!$B$13)))</f>
        <v/>
      </c>
      <c r="L1068" s="18">
        <f>IF(AND(ISNUMBER(D1068),ISNUMBER(H1068)),D1068-H1068,NA())</f>
        <v/>
      </c>
      <c r="M1068" s="18">
        <f>IF(AND(ISNUMBER(E1068),ISNUMBER(K1068)),E1068-K1068,NA())</f>
        <v/>
      </c>
      <c r="N1068" s="18">
        <f>IF(NOT(ISNUMBER($A1068)),NA(),IF(COUNT(OFFSET(G1068,1,0,Settings!$B$12,1))&lt;Settings!$B$12,NA(),STDEV(OFFSET(G1068,1,0,Settings!$B$12,1))*SQRT(Settings!$B$13)))</f>
        <v/>
      </c>
      <c r="O1068" s="18">
        <f>IF(AND(ISNUMBER(E1068),ISNUMBER(N1068)),E1068-N1068,NA())</f>
        <v/>
      </c>
      <c r="P1068" s="17">
        <f>IF(NOT(ISNUMBER($A1068)),NA(),IF(OR($A1068&lt;MIN(KW_TP!$A$2:$A$2501),$A1068&gt;MAX(KW_TP!$A$2:$A$2501)),NA(),INDEX(KW_TP!$C$2:$C$2501,MATCH($A1068,KW_TP!$A$2:$A$2501,1))))</f>
        <v/>
      </c>
    </row>
    <row r="1069">
      <c r="A1069" s="15">
        <f>IF(ISNUMBER(BBG_Data!A1069),BBG_Data!A1069,"")</f>
        <v/>
      </c>
      <c r="B1069" s="16">
        <f>IF(AND(ISNUMBER($A1069),ISNUMBER(BBG_Data!B1069)),BBG_Data!B1069,NA())</f>
        <v/>
      </c>
      <c r="C1069" s="16">
        <f>IF(AND(ISNUMBER($A1069),ISNUMBER(BBG_Data!C1069)),BBG_Data!C1069,NA())</f>
        <v/>
      </c>
      <c r="D1069" s="17">
        <f>IF(AND(ISNUMBER($A1069),ISNUMBER(BBG_Data!D1069)),BBG_Data!D1069,NA())</f>
        <v/>
      </c>
      <c r="E1069" s="17">
        <f>IF(AND(ISNUMBER($A1069),ISNUMBER(BBG_Data!E1069)),BBG_Data!E1069,NA())</f>
        <v/>
      </c>
      <c r="F1069" s="18">
        <f>IF(AND(ISNUMBER(B1069),ISNUMBER(B1068)),(B1069-B1068)*100,"")</f>
        <v/>
      </c>
      <c r="G1069" s="18">
        <f>IF(AND(ISNUMBER(C1069),ISNUMBER(C1068)),(C1069-C1068)*100,"")</f>
        <v/>
      </c>
      <c r="H1069" s="18">
        <f>IF(OR(NOT(ISNUMBER($A1069)),ROW()-2&lt;Settings!$B$11),NA(),IF(COUNT(OFFSET(F1069,1-Settings!$B$11,0,Settings!$B$11,1))&lt;Settings!$B$11,NA(),STDEV(OFFSET(F1069,1-Settings!$B$11,0,Settings!$B$11,1))*SQRT(Settings!$B$13)))</f>
        <v/>
      </c>
      <c r="I1069" s="18">
        <f>IF(OR(NOT(ISNUMBER($A1069)),ROW()-2&lt;Settings!$B$12),NA(),IF(COUNT(OFFSET(F1069,1-Settings!$B$12,0,Settings!$B$12,1))&lt;Settings!$B$12,NA(),STDEV(OFFSET(F1069,1-Settings!$B$12,0,Settings!$B$12,1))*SQRT(Settings!$B$13)))</f>
        <v/>
      </c>
      <c r="J1069" s="18">
        <f>IF(OR(NOT(ISNUMBER($A1069)),ROW()-2&lt;Settings!$B$11),NA(),IF(COUNT(OFFSET(G1069,1-Settings!$B$11,0,Settings!$B$11,1))&lt;Settings!$B$11,NA(),STDEV(OFFSET(G1069,1-Settings!$B$11,0,Settings!$B$11,1))*SQRT(Settings!$B$13)))</f>
        <v/>
      </c>
      <c r="K1069" s="18">
        <f>IF(OR(NOT(ISNUMBER($A1069)),ROW()-2&lt;Settings!$B$12),NA(),IF(COUNT(OFFSET(G1069,1-Settings!$B$12,0,Settings!$B$12,1))&lt;Settings!$B$12,NA(),STDEV(OFFSET(G1069,1-Settings!$B$12,0,Settings!$B$12,1))*SQRT(Settings!$B$13)))</f>
        <v/>
      </c>
      <c r="L1069" s="18">
        <f>IF(AND(ISNUMBER(D1069),ISNUMBER(H1069)),D1069-H1069,NA())</f>
        <v/>
      </c>
      <c r="M1069" s="18">
        <f>IF(AND(ISNUMBER(E1069),ISNUMBER(K1069)),E1069-K1069,NA())</f>
        <v/>
      </c>
      <c r="N1069" s="18">
        <f>IF(NOT(ISNUMBER($A1069)),NA(),IF(COUNT(OFFSET(G1069,1,0,Settings!$B$12,1))&lt;Settings!$B$12,NA(),STDEV(OFFSET(G1069,1,0,Settings!$B$12,1))*SQRT(Settings!$B$13)))</f>
        <v/>
      </c>
      <c r="O1069" s="18">
        <f>IF(AND(ISNUMBER(E1069),ISNUMBER(N1069)),E1069-N1069,NA())</f>
        <v/>
      </c>
      <c r="P1069" s="17">
        <f>IF(NOT(ISNUMBER($A1069)),NA(),IF(OR($A1069&lt;MIN(KW_TP!$A$2:$A$2501),$A1069&gt;MAX(KW_TP!$A$2:$A$2501)),NA(),INDEX(KW_TP!$C$2:$C$2501,MATCH($A1069,KW_TP!$A$2:$A$2501,1))))</f>
        <v/>
      </c>
    </row>
    <row r="1070">
      <c r="A1070" s="15">
        <f>IF(ISNUMBER(BBG_Data!A1070),BBG_Data!A1070,"")</f>
        <v/>
      </c>
      <c r="B1070" s="16">
        <f>IF(AND(ISNUMBER($A1070),ISNUMBER(BBG_Data!B1070)),BBG_Data!B1070,NA())</f>
        <v/>
      </c>
      <c r="C1070" s="16">
        <f>IF(AND(ISNUMBER($A1070),ISNUMBER(BBG_Data!C1070)),BBG_Data!C1070,NA())</f>
        <v/>
      </c>
      <c r="D1070" s="17">
        <f>IF(AND(ISNUMBER($A1070),ISNUMBER(BBG_Data!D1070)),BBG_Data!D1070,NA())</f>
        <v/>
      </c>
      <c r="E1070" s="17">
        <f>IF(AND(ISNUMBER($A1070),ISNUMBER(BBG_Data!E1070)),BBG_Data!E1070,NA())</f>
        <v/>
      </c>
      <c r="F1070" s="18">
        <f>IF(AND(ISNUMBER(B1070),ISNUMBER(B1069)),(B1070-B1069)*100,"")</f>
        <v/>
      </c>
      <c r="G1070" s="18">
        <f>IF(AND(ISNUMBER(C1070),ISNUMBER(C1069)),(C1070-C1069)*100,"")</f>
        <v/>
      </c>
      <c r="H1070" s="18">
        <f>IF(OR(NOT(ISNUMBER($A1070)),ROW()-2&lt;Settings!$B$11),NA(),IF(COUNT(OFFSET(F1070,1-Settings!$B$11,0,Settings!$B$11,1))&lt;Settings!$B$11,NA(),STDEV(OFFSET(F1070,1-Settings!$B$11,0,Settings!$B$11,1))*SQRT(Settings!$B$13)))</f>
        <v/>
      </c>
      <c r="I1070" s="18">
        <f>IF(OR(NOT(ISNUMBER($A1070)),ROW()-2&lt;Settings!$B$12),NA(),IF(COUNT(OFFSET(F1070,1-Settings!$B$12,0,Settings!$B$12,1))&lt;Settings!$B$12,NA(),STDEV(OFFSET(F1070,1-Settings!$B$12,0,Settings!$B$12,1))*SQRT(Settings!$B$13)))</f>
        <v/>
      </c>
      <c r="J1070" s="18">
        <f>IF(OR(NOT(ISNUMBER($A1070)),ROW()-2&lt;Settings!$B$11),NA(),IF(COUNT(OFFSET(G1070,1-Settings!$B$11,0,Settings!$B$11,1))&lt;Settings!$B$11,NA(),STDEV(OFFSET(G1070,1-Settings!$B$11,0,Settings!$B$11,1))*SQRT(Settings!$B$13)))</f>
        <v/>
      </c>
      <c r="K1070" s="18">
        <f>IF(OR(NOT(ISNUMBER($A1070)),ROW()-2&lt;Settings!$B$12),NA(),IF(COUNT(OFFSET(G1070,1-Settings!$B$12,0,Settings!$B$12,1))&lt;Settings!$B$12,NA(),STDEV(OFFSET(G1070,1-Settings!$B$12,0,Settings!$B$12,1))*SQRT(Settings!$B$13)))</f>
        <v/>
      </c>
      <c r="L1070" s="18">
        <f>IF(AND(ISNUMBER(D1070),ISNUMBER(H1070)),D1070-H1070,NA())</f>
        <v/>
      </c>
      <c r="M1070" s="18">
        <f>IF(AND(ISNUMBER(E1070),ISNUMBER(K1070)),E1070-K1070,NA())</f>
        <v/>
      </c>
      <c r="N1070" s="18">
        <f>IF(NOT(ISNUMBER($A1070)),NA(),IF(COUNT(OFFSET(G1070,1,0,Settings!$B$12,1))&lt;Settings!$B$12,NA(),STDEV(OFFSET(G1070,1,0,Settings!$B$12,1))*SQRT(Settings!$B$13)))</f>
        <v/>
      </c>
      <c r="O1070" s="18">
        <f>IF(AND(ISNUMBER(E1070),ISNUMBER(N1070)),E1070-N1070,NA())</f>
        <v/>
      </c>
      <c r="P1070" s="17">
        <f>IF(NOT(ISNUMBER($A1070)),NA(),IF(OR($A1070&lt;MIN(KW_TP!$A$2:$A$2501),$A1070&gt;MAX(KW_TP!$A$2:$A$2501)),NA(),INDEX(KW_TP!$C$2:$C$2501,MATCH($A1070,KW_TP!$A$2:$A$2501,1))))</f>
        <v/>
      </c>
    </row>
    <row r="1071">
      <c r="A1071" s="15">
        <f>IF(ISNUMBER(BBG_Data!A1071),BBG_Data!A1071,"")</f>
        <v/>
      </c>
      <c r="B1071" s="16">
        <f>IF(AND(ISNUMBER($A1071),ISNUMBER(BBG_Data!B1071)),BBG_Data!B1071,NA())</f>
        <v/>
      </c>
      <c r="C1071" s="16">
        <f>IF(AND(ISNUMBER($A1071),ISNUMBER(BBG_Data!C1071)),BBG_Data!C1071,NA())</f>
        <v/>
      </c>
      <c r="D1071" s="17">
        <f>IF(AND(ISNUMBER($A1071),ISNUMBER(BBG_Data!D1071)),BBG_Data!D1071,NA())</f>
        <v/>
      </c>
      <c r="E1071" s="17">
        <f>IF(AND(ISNUMBER($A1071),ISNUMBER(BBG_Data!E1071)),BBG_Data!E1071,NA())</f>
        <v/>
      </c>
      <c r="F1071" s="18">
        <f>IF(AND(ISNUMBER(B1071),ISNUMBER(B1070)),(B1071-B1070)*100,"")</f>
        <v/>
      </c>
      <c r="G1071" s="18">
        <f>IF(AND(ISNUMBER(C1071),ISNUMBER(C1070)),(C1071-C1070)*100,"")</f>
        <v/>
      </c>
      <c r="H1071" s="18">
        <f>IF(OR(NOT(ISNUMBER($A1071)),ROW()-2&lt;Settings!$B$11),NA(),IF(COUNT(OFFSET(F1071,1-Settings!$B$11,0,Settings!$B$11,1))&lt;Settings!$B$11,NA(),STDEV(OFFSET(F1071,1-Settings!$B$11,0,Settings!$B$11,1))*SQRT(Settings!$B$13)))</f>
        <v/>
      </c>
      <c r="I1071" s="18">
        <f>IF(OR(NOT(ISNUMBER($A1071)),ROW()-2&lt;Settings!$B$12),NA(),IF(COUNT(OFFSET(F1071,1-Settings!$B$12,0,Settings!$B$12,1))&lt;Settings!$B$12,NA(),STDEV(OFFSET(F1071,1-Settings!$B$12,0,Settings!$B$12,1))*SQRT(Settings!$B$13)))</f>
        <v/>
      </c>
      <c r="J1071" s="18">
        <f>IF(OR(NOT(ISNUMBER($A1071)),ROW()-2&lt;Settings!$B$11),NA(),IF(COUNT(OFFSET(G1071,1-Settings!$B$11,0,Settings!$B$11,1))&lt;Settings!$B$11,NA(),STDEV(OFFSET(G1071,1-Settings!$B$11,0,Settings!$B$11,1))*SQRT(Settings!$B$13)))</f>
        <v/>
      </c>
      <c r="K1071" s="18">
        <f>IF(OR(NOT(ISNUMBER($A1071)),ROW()-2&lt;Settings!$B$12),NA(),IF(COUNT(OFFSET(G1071,1-Settings!$B$12,0,Settings!$B$12,1))&lt;Settings!$B$12,NA(),STDEV(OFFSET(G1071,1-Settings!$B$12,0,Settings!$B$12,1))*SQRT(Settings!$B$13)))</f>
        <v/>
      </c>
      <c r="L1071" s="18">
        <f>IF(AND(ISNUMBER(D1071),ISNUMBER(H1071)),D1071-H1071,NA())</f>
        <v/>
      </c>
      <c r="M1071" s="18">
        <f>IF(AND(ISNUMBER(E1071),ISNUMBER(K1071)),E1071-K1071,NA())</f>
        <v/>
      </c>
      <c r="N1071" s="18">
        <f>IF(NOT(ISNUMBER($A1071)),NA(),IF(COUNT(OFFSET(G1071,1,0,Settings!$B$12,1))&lt;Settings!$B$12,NA(),STDEV(OFFSET(G1071,1,0,Settings!$B$12,1))*SQRT(Settings!$B$13)))</f>
        <v/>
      </c>
      <c r="O1071" s="18">
        <f>IF(AND(ISNUMBER(E1071),ISNUMBER(N1071)),E1071-N1071,NA())</f>
        <v/>
      </c>
      <c r="P1071" s="17">
        <f>IF(NOT(ISNUMBER($A1071)),NA(),IF(OR($A1071&lt;MIN(KW_TP!$A$2:$A$2501),$A1071&gt;MAX(KW_TP!$A$2:$A$2501)),NA(),INDEX(KW_TP!$C$2:$C$2501,MATCH($A1071,KW_TP!$A$2:$A$2501,1))))</f>
        <v/>
      </c>
    </row>
    <row r="1072">
      <c r="A1072" s="15">
        <f>IF(ISNUMBER(BBG_Data!A1072),BBG_Data!A1072,"")</f>
        <v/>
      </c>
      <c r="B1072" s="16">
        <f>IF(AND(ISNUMBER($A1072),ISNUMBER(BBG_Data!B1072)),BBG_Data!B1072,NA())</f>
        <v/>
      </c>
      <c r="C1072" s="16">
        <f>IF(AND(ISNUMBER($A1072),ISNUMBER(BBG_Data!C1072)),BBG_Data!C1072,NA())</f>
        <v/>
      </c>
      <c r="D1072" s="17">
        <f>IF(AND(ISNUMBER($A1072),ISNUMBER(BBG_Data!D1072)),BBG_Data!D1072,NA())</f>
        <v/>
      </c>
      <c r="E1072" s="17">
        <f>IF(AND(ISNUMBER($A1072),ISNUMBER(BBG_Data!E1072)),BBG_Data!E1072,NA())</f>
        <v/>
      </c>
      <c r="F1072" s="18">
        <f>IF(AND(ISNUMBER(B1072),ISNUMBER(B1071)),(B1072-B1071)*100,"")</f>
        <v/>
      </c>
      <c r="G1072" s="18">
        <f>IF(AND(ISNUMBER(C1072),ISNUMBER(C1071)),(C1072-C1071)*100,"")</f>
        <v/>
      </c>
      <c r="H1072" s="18">
        <f>IF(OR(NOT(ISNUMBER($A1072)),ROW()-2&lt;Settings!$B$11),NA(),IF(COUNT(OFFSET(F1072,1-Settings!$B$11,0,Settings!$B$11,1))&lt;Settings!$B$11,NA(),STDEV(OFFSET(F1072,1-Settings!$B$11,0,Settings!$B$11,1))*SQRT(Settings!$B$13)))</f>
        <v/>
      </c>
      <c r="I1072" s="18">
        <f>IF(OR(NOT(ISNUMBER($A1072)),ROW()-2&lt;Settings!$B$12),NA(),IF(COUNT(OFFSET(F1072,1-Settings!$B$12,0,Settings!$B$12,1))&lt;Settings!$B$12,NA(),STDEV(OFFSET(F1072,1-Settings!$B$12,0,Settings!$B$12,1))*SQRT(Settings!$B$13)))</f>
        <v/>
      </c>
      <c r="J1072" s="18">
        <f>IF(OR(NOT(ISNUMBER($A1072)),ROW()-2&lt;Settings!$B$11),NA(),IF(COUNT(OFFSET(G1072,1-Settings!$B$11,0,Settings!$B$11,1))&lt;Settings!$B$11,NA(),STDEV(OFFSET(G1072,1-Settings!$B$11,0,Settings!$B$11,1))*SQRT(Settings!$B$13)))</f>
        <v/>
      </c>
      <c r="K1072" s="18">
        <f>IF(OR(NOT(ISNUMBER($A1072)),ROW()-2&lt;Settings!$B$12),NA(),IF(COUNT(OFFSET(G1072,1-Settings!$B$12,0,Settings!$B$12,1))&lt;Settings!$B$12,NA(),STDEV(OFFSET(G1072,1-Settings!$B$12,0,Settings!$B$12,1))*SQRT(Settings!$B$13)))</f>
        <v/>
      </c>
      <c r="L1072" s="18">
        <f>IF(AND(ISNUMBER(D1072),ISNUMBER(H1072)),D1072-H1072,NA())</f>
        <v/>
      </c>
      <c r="M1072" s="18">
        <f>IF(AND(ISNUMBER(E1072),ISNUMBER(K1072)),E1072-K1072,NA())</f>
        <v/>
      </c>
      <c r="N1072" s="18">
        <f>IF(NOT(ISNUMBER($A1072)),NA(),IF(COUNT(OFFSET(G1072,1,0,Settings!$B$12,1))&lt;Settings!$B$12,NA(),STDEV(OFFSET(G1072,1,0,Settings!$B$12,1))*SQRT(Settings!$B$13)))</f>
        <v/>
      </c>
      <c r="O1072" s="18">
        <f>IF(AND(ISNUMBER(E1072),ISNUMBER(N1072)),E1072-N1072,NA())</f>
        <v/>
      </c>
      <c r="P1072" s="17">
        <f>IF(NOT(ISNUMBER($A1072)),NA(),IF(OR($A1072&lt;MIN(KW_TP!$A$2:$A$2501),$A1072&gt;MAX(KW_TP!$A$2:$A$2501)),NA(),INDEX(KW_TP!$C$2:$C$2501,MATCH($A1072,KW_TP!$A$2:$A$2501,1))))</f>
        <v/>
      </c>
    </row>
    <row r="1073">
      <c r="A1073" s="15">
        <f>IF(ISNUMBER(BBG_Data!A1073),BBG_Data!A1073,"")</f>
        <v/>
      </c>
      <c r="B1073" s="16">
        <f>IF(AND(ISNUMBER($A1073),ISNUMBER(BBG_Data!B1073)),BBG_Data!B1073,NA())</f>
        <v/>
      </c>
      <c r="C1073" s="16">
        <f>IF(AND(ISNUMBER($A1073),ISNUMBER(BBG_Data!C1073)),BBG_Data!C1073,NA())</f>
        <v/>
      </c>
      <c r="D1073" s="17">
        <f>IF(AND(ISNUMBER($A1073),ISNUMBER(BBG_Data!D1073)),BBG_Data!D1073,NA())</f>
        <v/>
      </c>
      <c r="E1073" s="17">
        <f>IF(AND(ISNUMBER($A1073),ISNUMBER(BBG_Data!E1073)),BBG_Data!E1073,NA())</f>
        <v/>
      </c>
      <c r="F1073" s="18">
        <f>IF(AND(ISNUMBER(B1073),ISNUMBER(B1072)),(B1073-B1072)*100,"")</f>
        <v/>
      </c>
      <c r="G1073" s="18">
        <f>IF(AND(ISNUMBER(C1073),ISNUMBER(C1072)),(C1073-C1072)*100,"")</f>
        <v/>
      </c>
      <c r="H1073" s="18">
        <f>IF(OR(NOT(ISNUMBER($A1073)),ROW()-2&lt;Settings!$B$11),NA(),IF(COUNT(OFFSET(F1073,1-Settings!$B$11,0,Settings!$B$11,1))&lt;Settings!$B$11,NA(),STDEV(OFFSET(F1073,1-Settings!$B$11,0,Settings!$B$11,1))*SQRT(Settings!$B$13)))</f>
        <v/>
      </c>
      <c r="I1073" s="18">
        <f>IF(OR(NOT(ISNUMBER($A1073)),ROW()-2&lt;Settings!$B$12),NA(),IF(COUNT(OFFSET(F1073,1-Settings!$B$12,0,Settings!$B$12,1))&lt;Settings!$B$12,NA(),STDEV(OFFSET(F1073,1-Settings!$B$12,0,Settings!$B$12,1))*SQRT(Settings!$B$13)))</f>
        <v/>
      </c>
      <c r="J1073" s="18">
        <f>IF(OR(NOT(ISNUMBER($A1073)),ROW()-2&lt;Settings!$B$11),NA(),IF(COUNT(OFFSET(G1073,1-Settings!$B$11,0,Settings!$B$11,1))&lt;Settings!$B$11,NA(),STDEV(OFFSET(G1073,1-Settings!$B$11,0,Settings!$B$11,1))*SQRT(Settings!$B$13)))</f>
        <v/>
      </c>
      <c r="K1073" s="18">
        <f>IF(OR(NOT(ISNUMBER($A1073)),ROW()-2&lt;Settings!$B$12),NA(),IF(COUNT(OFFSET(G1073,1-Settings!$B$12,0,Settings!$B$12,1))&lt;Settings!$B$12,NA(),STDEV(OFFSET(G1073,1-Settings!$B$12,0,Settings!$B$12,1))*SQRT(Settings!$B$13)))</f>
        <v/>
      </c>
      <c r="L1073" s="18">
        <f>IF(AND(ISNUMBER(D1073),ISNUMBER(H1073)),D1073-H1073,NA())</f>
        <v/>
      </c>
      <c r="M1073" s="18">
        <f>IF(AND(ISNUMBER(E1073),ISNUMBER(K1073)),E1073-K1073,NA())</f>
        <v/>
      </c>
      <c r="N1073" s="18">
        <f>IF(NOT(ISNUMBER($A1073)),NA(),IF(COUNT(OFFSET(G1073,1,0,Settings!$B$12,1))&lt;Settings!$B$12,NA(),STDEV(OFFSET(G1073,1,0,Settings!$B$12,1))*SQRT(Settings!$B$13)))</f>
        <v/>
      </c>
      <c r="O1073" s="18">
        <f>IF(AND(ISNUMBER(E1073),ISNUMBER(N1073)),E1073-N1073,NA())</f>
        <v/>
      </c>
      <c r="P1073" s="17">
        <f>IF(NOT(ISNUMBER($A1073)),NA(),IF(OR($A1073&lt;MIN(KW_TP!$A$2:$A$2501),$A1073&gt;MAX(KW_TP!$A$2:$A$2501)),NA(),INDEX(KW_TP!$C$2:$C$2501,MATCH($A1073,KW_TP!$A$2:$A$2501,1))))</f>
        <v/>
      </c>
    </row>
    <row r="1074">
      <c r="A1074" s="15">
        <f>IF(ISNUMBER(BBG_Data!A1074),BBG_Data!A1074,"")</f>
        <v/>
      </c>
      <c r="B1074" s="16">
        <f>IF(AND(ISNUMBER($A1074),ISNUMBER(BBG_Data!B1074)),BBG_Data!B1074,NA())</f>
        <v/>
      </c>
      <c r="C1074" s="16">
        <f>IF(AND(ISNUMBER($A1074),ISNUMBER(BBG_Data!C1074)),BBG_Data!C1074,NA())</f>
        <v/>
      </c>
      <c r="D1074" s="17">
        <f>IF(AND(ISNUMBER($A1074),ISNUMBER(BBG_Data!D1074)),BBG_Data!D1074,NA())</f>
        <v/>
      </c>
      <c r="E1074" s="17">
        <f>IF(AND(ISNUMBER($A1074),ISNUMBER(BBG_Data!E1074)),BBG_Data!E1074,NA())</f>
        <v/>
      </c>
      <c r="F1074" s="18">
        <f>IF(AND(ISNUMBER(B1074),ISNUMBER(B1073)),(B1074-B1073)*100,"")</f>
        <v/>
      </c>
      <c r="G1074" s="18">
        <f>IF(AND(ISNUMBER(C1074),ISNUMBER(C1073)),(C1074-C1073)*100,"")</f>
        <v/>
      </c>
      <c r="H1074" s="18">
        <f>IF(OR(NOT(ISNUMBER($A1074)),ROW()-2&lt;Settings!$B$11),NA(),IF(COUNT(OFFSET(F1074,1-Settings!$B$11,0,Settings!$B$11,1))&lt;Settings!$B$11,NA(),STDEV(OFFSET(F1074,1-Settings!$B$11,0,Settings!$B$11,1))*SQRT(Settings!$B$13)))</f>
        <v/>
      </c>
      <c r="I1074" s="18">
        <f>IF(OR(NOT(ISNUMBER($A1074)),ROW()-2&lt;Settings!$B$12),NA(),IF(COUNT(OFFSET(F1074,1-Settings!$B$12,0,Settings!$B$12,1))&lt;Settings!$B$12,NA(),STDEV(OFFSET(F1074,1-Settings!$B$12,0,Settings!$B$12,1))*SQRT(Settings!$B$13)))</f>
        <v/>
      </c>
      <c r="J1074" s="18">
        <f>IF(OR(NOT(ISNUMBER($A1074)),ROW()-2&lt;Settings!$B$11),NA(),IF(COUNT(OFFSET(G1074,1-Settings!$B$11,0,Settings!$B$11,1))&lt;Settings!$B$11,NA(),STDEV(OFFSET(G1074,1-Settings!$B$11,0,Settings!$B$11,1))*SQRT(Settings!$B$13)))</f>
        <v/>
      </c>
      <c r="K1074" s="18">
        <f>IF(OR(NOT(ISNUMBER($A1074)),ROW()-2&lt;Settings!$B$12),NA(),IF(COUNT(OFFSET(G1074,1-Settings!$B$12,0,Settings!$B$12,1))&lt;Settings!$B$12,NA(),STDEV(OFFSET(G1074,1-Settings!$B$12,0,Settings!$B$12,1))*SQRT(Settings!$B$13)))</f>
        <v/>
      </c>
      <c r="L1074" s="18">
        <f>IF(AND(ISNUMBER(D1074),ISNUMBER(H1074)),D1074-H1074,NA())</f>
        <v/>
      </c>
      <c r="M1074" s="18">
        <f>IF(AND(ISNUMBER(E1074),ISNUMBER(K1074)),E1074-K1074,NA())</f>
        <v/>
      </c>
      <c r="N1074" s="18">
        <f>IF(NOT(ISNUMBER($A1074)),NA(),IF(COUNT(OFFSET(G1074,1,0,Settings!$B$12,1))&lt;Settings!$B$12,NA(),STDEV(OFFSET(G1074,1,0,Settings!$B$12,1))*SQRT(Settings!$B$13)))</f>
        <v/>
      </c>
      <c r="O1074" s="18">
        <f>IF(AND(ISNUMBER(E1074),ISNUMBER(N1074)),E1074-N1074,NA())</f>
        <v/>
      </c>
      <c r="P1074" s="17">
        <f>IF(NOT(ISNUMBER($A1074)),NA(),IF(OR($A1074&lt;MIN(KW_TP!$A$2:$A$2501),$A1074&gt;MAX(KW_TP!$A$2:$A$2501)),NA(),INDEX(KW_TP!$C$2:$C$2501,MATCH($A1074,KW_TP!$A$2:$A$2501,1))))</f>
        <v/>
      </c>
    </row>
    <row r="1075">
      <c r="A1075" s="15">
        <f>IF(ISNUMBER(BBG_Data!A1075),BBG_Data!A1075,"")</f>
        <v/>
      </c>
      <c r="B1075" s="16">
        <f>IF(AND(ISNUMBER($A1075),ISNUMBER(BBG_Data!B1075)),BBG_Data!B1075,NA())</f>
        <v/>
      </c>
      <c r="C1075" s="16">
        <f>IF(AND(ISNUMBER($A1075),ISNUMBER(BBG_Data!C1075)),BBG_Data!C1075,NA())</f>
        <v/>
      </c>
      <c r="D1075" s="17">
        <f>IF(AND(ISNUMBER($A1075),ISNUMBER(BBG_Data!D1075)),BBG_Data!D1075,NA())</f>
        <v/>
      </c>
      <c r="E1075" s="17">
        <f>IF(AND(ISNUMBER($A1075),ISNUMBER(BBG_Data!E1075)),BBG_Data!E1075,NA())</f>
        <v/>
      </c>
      <c r="F1075" s="18">
        <f>IF(AND(ISNUMBER(B1075),ISNUMBER(B1074)),(B1075-B1074)*100,"")</f>
        <v/>
      </c>
      <c r="G1075" s="18">
        <f>IF(AND(ISNUMBER(C1075),ISNUMBER(C1074)),(C1075-C1074)*100,"")</f>
        <v/>
      </c>
      <c r="H1075" s="18">
        <f>IF(OR(NOT(ISNUMBER($A1075)),ROW()-2&lt;Settings!$B$11),NA(),IF(COUNT(OFFSET(F1075,1-Settings!$B$11,0,Settings!$B$11,1))&lt;Settings!$B$11,NA(),STDEV(OFFSET(F1075,1-Settings!$B$11,0,Settings!$B$11,1))*SQRT(Settings!$B$13)))</f>
        <v/>
      </c>
      <c r="I1075" s="18">
        <f>IF(OR(NOT(ISNUMBER($A1075)),ROW()-2&lt;Settings!$B$12),NA(),IF(COUNT(OFFSET(F1075,1-Settings!$B$12,0,Settings!$B$12,1))&lt;Settings!$B$12,NA(),STDEV(OFFSET(F1075,1-Settings!$B$12,0,Settings!$B$12,1))*SQRT(Settings!$B$13)))</f>
        <v/>
      </c>
      <c r="J1075" s="18">
        <f>IF(OR(NOT(ISNUMBER($A1075)),ROW()-2&lt;Settings!$B$11),NA(),IF(COUNT(OFFSET(G1075,1-Settings!$B$11,0,Settings!$B$11,1))&lt;Settings!$B$11,NA(),STDEV(OFFSET(G1075,1-Settings!$B$11,0,Settings!$B$11,1))*SQRT(Settings!$B$13)))</f>
        <v/>
      </c>
      <c r="K1075" s="18">
        <f>IF(OR(NOT(ISNUMBER($A1075)),ROW()-2&lt;Settings!$B$12),NA(),IF(COUNT(OFFSET(G1075,1-Settings!$B$12,0,Settings!$B$12,1))&lt;Settings!$B$12,NA(),STDEV(OFFSET(G1075,1-Settings!$B$12,0,Settings!$B$12,1))*SQRT(Settings!$B$13)))</f>
        <v/>
      </c>
      <c r="L1075" s="18">
        <f>IF(AND(ISNUMBER(D1075),ISNUMBER(H1075)),D1075-H1075,NA())</f>
        <v/>
      </c>
      <c r="M1075" s="18">
        <f>IF(AND(ISNUMBER(E1075),ISNUMBER(K1075)),E1075-K1075,NA())</f>
        <v/>
      </c>
      <c r="N1075" s="18">
        <f>IF(NOT(ISNUMBER($A1075)),NA(),IF(COUNT(OFFSET(G1075,1,0,Settings!$B$12,1))&lt;Settings!$B$12,NA(),STDEV(OFFSET(G1075,1,0,Settings!$B$12,1))*SQRT(Settings!$B$13)))</f>
        <v/>
      </c>
      <c r="O1075" s="18">
        <f>IF(AND(ISNUMBER(E1075),ISNUMBER(N1075)),E1075-N1075,NA())</f>
        <v/>
      </c>
      <c r="P1075" s="17">
        <f>IF(NOT(ISNUMBER($A1075)),NA(),IF(OR($A1075&lt;MIN(KW_TP!$A$2:$A$2501),$A1075&gt;MAX(KW_TP!$A$2:$A$2501)),NA(),INDEX(KW_TP!$C$2:$C$2501,MATCH($A1075,KW_TP!$A$2:$A$2501,1))))</f>
        <v/>
      </c>
    </row>
    <row r="1076">
      <c r="A1076" s="15">
        <f>IF(ISNUMBER(BBG_Data!A1076),BBG_Data!A1076,"")</f>
        <v/>
      </c>
      <c r="B1076" s="16">
        <f>IF(AND(ISNUMBER($A1076),ISNUMBER(BBG_Data!B1076)),BBG_Data!B1076,NA())</f>
        <v/>
      </c>
      <c r="C1076" s="16">
        <f>IF(AND(ISNUMBER($A1076),ISNUMBER(BBG_Data!C1076)),BBG_Data!C1076,NA())</f>
        <v/>
      </c>
      <c r="D1076" s="17">
        <f>IF(AND(ISNUMBER($A1076),ISNUMBER(BBG_Data!D1076)),BBG_Data!D1076,NA())</f>
        <v/>
      </c>
      <c r="E1076" s="17">
        <f>IF(AND(ISNUMBER($A1076),ISNUMBER(BBG_Data!E1076)),BBG_Data!E1076,NA())</f>
        <v/>
      </c>
      <c r="F1076" s="18">
        <f>IF(AND(ISNUMBER(B1076),ISNUMBER(B1075)),(B1076-B1075)*100,"")</f>
        <v/>
      </c>
      <c r="G1076" s="18">
        <f>IF(AND(ISNUMBER(C1076),ISNUMBER(C1075)),(C1076-C1075)*100,"")</f>
        <v/>
      </c>
      <c r="H1076" s="18">
        <f>IF(OR(NOT(ISNUMBER($A1076)),ROW()-2&lt;Settings!$B$11),NA(),IF(COUNT(OFFSET(F1076,1-Settings!$B$11,0,Settings!$B$11,1))&lt;Settings!$B$11,NA(),STDEV(OFFSET(F1076,1-Settings!$B$11,0,Settings!$B$11,1))*SQRT(Settings!$B$13)))</f>
        <v/>
      </c>
      <c r="I1076" s="18">
        <f>IF(OR(NOT(ISNUMBER($A1076)),ROW()-2&lt;Settings!$B$12),NA(),IF(COUNT(OFFSET(F1076,1-Settings!$B$12,0,Settings!$B$12,1))&lt;Settings!$B$12,NA(),STDEV(OFFSET(F1076,1-Settings!$B$12,0,Settings!$B$12,1))*SQRT(Settings!$B$13)))</f>
        <v/>
      </c>
      <c r="J1076" s="18">
        <f>IF(OR(NOT(ISNUMBER($A1076)),ROW()-2&lt;Settings!$B$11),NA(),IF(COUNT(OFFSET(G1076,1-Settings!$B$11,0,Settings!$B$11,1))&lt;Settings!$B$11,NA(),STDEV(OFFSET(G1076,1-Settings!$B$11,0,Settings!$B$11,1))*SQRT(Settings!$B$13)))</f>
        <v/>
      </c>
      <c r="K1076" s="18">
        <f>IF(OR(NOT(ISNUMBER($A1076)),ROW()-2&lt;Settings!$B$12),NA(),IF(COUNT(OFFSET(G1076,1-Settings!$B$12,0,Settings!$B$12,1))&lt;Settings!$B$12,NA(),STDEV(OFFSET(G1076,1-Settings!$B$12,0,Settings!$B$12,1))*SQRT(Settings!$B$13)))</f>
        <v/>
      </c>
      <c r="L1076" s="18">
        <f>IF(AND(ISNUMBER(D1076),ISNUMBER(H1076)),D1076-H1076,NA())</f>
        <v/>
      </c>
      <c r="M1076" s="18">
        <f>IF(AND(ISNUMBER(E1076),ISNUMBER(K1076)),E1076-K1076,NA())</f>
        <v/>
      </c>
      <c r="N1076" s="18">
        <f>IF(NOT(ISNUMBER($A1076)),NA(),IF(COUNT(OFFSET(G1076,1,0,Settings!$B$12,1))&lt;Settings!$B$12,NA(),STDEV(OFFSET(G1076,1,0,Settings!$B$12,1))*SQRT(Settings!$B$13)))</f>
        <v/>
      </c>
      <c r="O1076" s="18">
        <f>IF(AND(ISNUMBER(E1076),ISNUMBER(N1076)),E1076-N1076,NA())</f>
        <v/>
      </c>
      <c r="P1076" s="17">
        <f>IF(NOT(ISNUMBER($A1076)),NA(),IF(OR($A1076&lt;MIN(KW_TP!$A$2:$A$2501),$A1076&gt;MAX(KW_TP!$A$2:$A$2501)),NA(),INDEX(KW_TP!$C$2:$C$2501,MATCH($A1076,KW_TP!$A$2:$A$2501,1))))</f>
        <v/>
      </c>
    </row>
    <row r="1077">
      <c r="A1077" s="15">
        <f>IF(ISNUMBER(BBG_Data!A1077),BBG_Data!A1077,"")</f>
        <v/>
      </c>
      <c r="B1077" s="16">
        <f>IF(AND(ISNUMBER($A1077),ISNUMBER(BBG_Data!B1077)),BBG_Data!B1077,NA())</f>
        <v/>
      </c>
      <c r="C1077" s="16">
        <f>IF(AND(ISNUMBER($A1077),ISNUMBER(BBG_Data!C1077)),BBG_Data!C1077,NA())</f>
        <v/>
      </c>
      <c r="D1077" s="17">
        <f>IF(AND(ISNUMBER($A1077),ISNUMBER(BBG_Data!D1077)),BBG_Data!D1077,NA())</f>
        <v/>
      </c>
      <c r="E1077" s="17">
        <f>IF(AND(ISNUMBER($A1077),ISNUMBER(BBG_Data!E1077)),BBG_Data!E1077,NA())</f>
        <v/>
      </c>
      <c r="F1077" s="18">
        <f>IF(AND(ISNUMBER(B1077),ISNUMBER(B1076)),(B1077-B1076)*100,"")</f>
        <v/>
      </c>
      <c r="G1077" s="18">
        <f>IF(AND(ISNUMBER(C1077),ISNUMBER(C1076)),(C1077-C1076)*100,"")</f>
        <v/>
      </c>
      <c r="H1077" s="18">
        <f>IF(OR(NOT(ISNUMBER($A1077)),ROW()-2&lt;Settings!$B$11),NA(),IF(COUNT(OFFSET(F1077,1-Settings!$B$11,0,Settings!$B$11,1))&lt;Settings!$B$11,NA(),STDEV(OFFSET(F1077,1-Settings!$B$11,0,Settings!$B$11,1))*SQRT(Settings!$B$13)))</f>
        <v/>
      </c>
      <c r="I1077" s="18">
        <f>IF(OR(NOT(ISNUMBER($A1077)),ROW()-2&lt;Settings!$B$12),NA(),IF(COUNT(OFFSET(F1077,1-Settings!$B$12,0,Settings!$B$12,1))&lt;Settings!$B$12,NA(),STDEV(OFFSET(F1077,1-Settings!$B$12,0,Settings!$B$12,1))*SQRT(Settings!$B$13)))</f>
        <v/>
      </c>
      <c r="J1077" s="18">
        <f>IF(OR(NOT(ISNUMBER($A1077)),ROW()-2&lt;Settings!$B$11),NA(),IF(COUNT(OFFSET(G1077,1-Settings!$B$11,0,Settings!$B$11,1))&lt;Settings!$B$11,NA(),STDEV(OFFSET(G1077,1-Settings!$B$11,0,Settings!$B$11,1))*SQRT(Settings!$B$13)))</f>
        <v/>
      </c>
      <c r="K1077" s="18">
        <f>IF(OR(NOT(ISNUMBER($A1077)),ROW()-2&lt;Settings!$B$12),NA(),IF(COUNT(OFFSET(G1077,1-Settings!$B$12,0,Settings!$B$12,1))&lt;Settings!$B$12,NA(),STDEV(OFFSET(G1077,1-Settings!$B$12,0,Settings!$B$12,1))*SQRT(Settings!$B$13)))</f>
        <v/>
      </c>
      <c r="L1077" s="18">
        <f>IF(AND(ISNUMBER(D1077),ISNUMBER(H1077)),D1077-H1077,NA())</f>
        <v/>
      </c>
      <c r="M1077" s="18">
        <f>IF(AND(ISNUMBER(E1077),ISNUMBER(K1077)),E1077-K1077,NA())</f>
        <v/>
      </c>
      <c r="N1077" s="18">
        <f>IF(NOT(ISNUMBER($A1077)),NA(),IF(COUNT(OFFSET(G1077,1,0,Settings!$B$12,1))&lt;Settings!$B$12,NA(),STDEV(OFFSET(G1077,1,0,Settings!$B$12,1))*SQRT(Settings!$B$13)))</f>
        <v/>
      </c>
      <c r="O1077" s="18">
        <f>IF(AND(ISNUMBER(E1077),ISNUMBER(N1077)),E1077-N1077,NA())</f>
        <v/>
      </c>
      <c r="P1077" s="17">
        <f>IF(NOT(ISNUMBER($A1077)),NA(),IF(OR($A1077&lt;MIN(KW_TP!$A$2:$A$2501),$A1077&gt;MAX(KW_TP!$A$2:$A$2501)),NA(),INDEX(KW_TP!$C$2:$C$2501,MATCH($A1077,KW_TP!$A$2:$A$2501,1))))</f>
        <v/>
      </c>
    </row>
    <row r="1078">
      <c r="A1078" s="15">
        <f>IF(ISNUMBER(BBG_Data!A1078),BBG_Data!A1078,"")</f>
        <v/>
      </c>
      <c r="B1078" s="16">
        <f>IF(AND(ISNUMBER($A1078),ISNUMBER(BBG_Data!B1078)),BBG_Data!B1078,NA())</f>
        <v/>
      </c>
      <c r="C1078" s="16">
        <f>IF(AND(ISNUMBER($A1078),ISNUMBER(BBG_Data!C1078)),BBG_Data!C1078,NA())</f>
        <v/>
      </c>
      <c r="D1078" s="17">
        <f>IF(AND(ISNUMBER($A1078),ISNUMBER(BBG_Data!D1078)),BBG_Data!D1078,NA())</f>
        <v/>
      </c>
      <c r="E1078" s="17">
        <f>IF(AND(ISNUMBER($A1078),ISNUMBER(BBG_Data!E1078)),BBG_Data!E1078,NA())</f>
        <v/>
      </c>
      <c r="F1078" s="18">
        <f>IF(AND(ISNUMBER(B1078),ISNUMBER(B1077)),(B1078-B1077)*100,"")</f>
        <v/>
      </c>
      <c r="G1078" s="18">
        <f>IF(AND(ISNUMBER(C1078),ISNUMBER(C1077)),(C1078-C1077)*100,"")</f>
        <v/>
      </c>
      <c r="H1078" s="18">
        <f>IF(OR(NOT(ISNUMBER($A1078)),ROW()-2&lt;Settings!$B$11),NA(),IF(COUNT(OFFSET(F1078,1-Settings!$B$11,0,Settings!$B$11,1))&lt;Settings!$B$11,NA(),STDEV(OFFSET(F1078,1-Settings!$B$11,0,Settings!$B$11,1))*SQRT(Settings!$B$13)))</f>
        <v/>
      </c>
      <c r="I1078" s="18">
        <f>IF(OR(NOT(ISNUMBER($A1078)),ROW()-2&lt;Settings!$B$12),NA(),IF(COUNT(OFFSET(F1078,1-Settings!$B$12,0,Settings!$B$12,1))&lt;Settings!$B$12,NA(),STDEV(OFFSET(F1078,1-Settings!$B$12,0,Settings!$B$12,1))*SQRT(Settings!$B$13)))</f>
        <v/>
      </c>
      <c r="J1078" s="18">
        <f>IF(OR(NOT(ISNUMBER($A1078)),ROW()-2&lt;Settings!$B$11),NA(),IF(COUNT(OFFSET(G1078,1-Settings!$B$11,0,Settings!$B$11,1))&lt;Settings!$B$11,NA(),STDEV(OFFSET(G1078,1-Settings!$B$11,0,Settings!$B$11,1))*SQRT(Settings!$B$13)))</f>
        <v/>
      </c>
      <c r="K1078" s="18">
        <f>IF(OR(NOT(ISNUMBER($A1078)),ROW()-2&lt;Settings!$B$12),NA(),IF(COUNT(OFFSET(G1078,1-Settings!$B$12,0,Settings!$B$12,1))&lt;Settings!$B$12,NA(),STDEV(OFFSET(G1078,1-Settings!$B$12,0,Settings!$B$12,1))*SQRT(Settings!$B$13)))</f>
        <v/>
      </c>
      <c r="L1078" s="18">
        <f>IF(AND(ISNUMBER(D1078),ISNUMBER(H1078)),D1078-H1078,NA())</f>
        <v/>
      </c>
      <c r="M1078" s="18">
        <f>IF(AND(ISNUMBER(E1078),ISNUMBER(K1078)),E1078-K1078,NA())</f>
        <v/>
      </c>
      <c r="N1078" s="18">
        <f>IF(NOT(ISNUMBER($A1078)),NA(),IF(COUNT(OFFSET(G1078,1,0,Settings!$B$12,1))&lt;Settings!$B$12,NA(),STDEV(OFFSET(G1078,1,0,Settings!$B$12,1))*SQRT(Settings!$B$13)))</f>
        <v/>
      </c>
      <c r="O1078" s="18">
        <f>IF(AND(ISNUMBER(E1078),ISNUMBER(N1078)),E1078-N1078,NA())</f>
        <v/>
      </c>
      <c r="P1078" s="17">
        <f>IF(NOT(ISNUMBER($A1078)),NA(),IF(OR($A1078&lt;MIN(KW_TP!$A$2:$A$2501),$A1078&gt;MAX(KW_TP!$A$2:$A$2501)),NA(),INDEX(KW_TP!$C$2:$C$2501,MATCH($A1078,KW_TP!$A$2:$A$2501,1))))</f>
        <v/>
      </c>
    </row>
    <row r="1079">
      <c r="A1079" s="15">
        <f>IF(ISNUMBER(BBG_Data!A1079),BBG_Data!A1079,"")</f>
        <v/>
      </c>
      <c r="B1079" s="16">
        <f>IF(AND(ISNUMBER($A1079),ISNUMBER(BBG_Data!B1079)),BBG_Data!B1079,NA())</f>
        <v/>
      </c>
      <c r="C1079" s="16">
        <f>IF(AND(ISNUMBER($A1079),ISNUMBER(BBG_Data!C1079)),BBG_Data!C1079,NA())</f>
        <v/>
      </c>
      <c r="D1079" s="17">
        <f>IF(AND(ISNUMBER($A1079),ISNUMBER(BBG_Data!D1079)),BBG_Data!D1079,NA())</f>
        <v/>
      </c>
      <c r="E1079" s="17">
        <f>IF(AND(ISNUMBER($A1079),ISNUMBER(BBG_Data!E1079)),BBG_Data!E1079,NA())</f>
        <v/>
      </c>
      <c r="F1079" s="18">
        <f>IF(AND(ISNUMBER(B1079),ISNUMBER(B1078)),(B1079-B1078)*100,"")</f>
        <v/>
      </c>
      <c r="G1079" s="18">
        <f>IF(AND(ISNUMBER(C1079),ISNUMBER(C1078)),(C1079-C1078)*100,"")</f>
        <v/>
      </c>
      <c r="H1079" s="18">
        <f>IF(OR(NOT(ISNUMBER($A1079)),ROW()-2&lt;Settings!$B$11),NA(),IF(COUNT(OFFSET(F1079,1-Settings!$B$11,0,Settings!$B$11,1))&lt;Settings!$B$11,NA(),STDEV(OFFSET(F1079,1-Settings!$B$11,0,Settings!$B$11,1))*SQRT(Settings!$B$13)))</f>
        <v/>
      </c>
      <c r="I1079" s="18">
        <f>IF(OR(NOT(ISNUMBER($A1079)),ROW()-2&lt;Settings!$B$12),NA(),IF(COUNT(OFFSET(F1079,1-Settings!$B$12,0,Settings!$B$12,1))&lt;Settings!$B$12,NA(),STDEV(OFFSET(F1079,1-Settings!$B$12,0,Settings!$B$12,1))*SQRT(Settings!$B$13)))</f>
        <v/>
      </c>
      <c r="J1079" s="18">
        <f>IF(OR(NOT(ISNUMBER($A1079)),ROW()-2&lt;Settings!$B$11),NA(),IF(COUNT(OFFSET(G1079,1-Settings!$B$11,0,Settings!$B$11,1))&lt;Settings!$B$11,NA(),STDEV(OFFSET(G1079,1-Settings!$B$11,0,Settings!$B$11,1))*SQRT(Settings!$B$13)))</f>
        <v/>
      </c>
      <c r="K1079" s="18">
        <f>IF(OR(NOT(ISNUMBER($A1079)),ROW()-2&lt;Settings!$B$12),NA(),IF(COUNT(OFFSET(G1079,1-Settings!$B$12,0,Settings!$B$12,1))&lt;Settings!$B$12,NA(),STDEV(OFFSET(G1079,1-Settings!$B$12,0,Settings!$B$12,1))*SQRT(Settings!$B$13)))</f>
        <v/>
      </c>
      <c r="L1079" s="18">
        <f>IF(AND(ISNUMBER(D1079),ISNUMBER(H1079)),D1079-H1079,NA())</f>
        <v/>
      </c>
      <c r="M1079" s="18">
        <f>IF(AND(ISNUMBER(E1079),ISNUMBER(K1079)),E1079-K1079,NA())</f>
        <v/>
      </c>
      <c r="N1079" s="18">
        <f>IF(NOT(ISNUMBER($A1079)),NA(),IF(COUNT(OFFSET(G1079,1,0,Settings!$B$12,1))&lt;Settings!$B$12,NA(),STDEV(OFFSET(G1079,1,0,Settings!$B$12,1))*SQRT(Settings!$B$13)))</f>
        <v/>
      </c>
      <c r="O1079" s="18">
        <f>IF(AND(ISNUMBER(E1079),ISNUMBER(N1079)),E1079-N1079,NA())</f>
        <v/>
      </c>
      <c r="P1079" s="17">
        <f>IF(NOT(ISNUMBER($A1079)),NA(),IF(OR($A1079&lt;MIN(KW_TP!$A$2:$A$2501),$A1079&gt;MAX(KW_TP!$A$2:$A$2501)),NA(),INDEX(KW_TP!$C$2:$C$2501,MATCH($A1079,KW_TP!$A$2:$A$2501,1))))</f>
        <v/>
      </c>
    </row>
    <row r="1080">
      <c r="A1080" s="15">
        <f>IF(ISNUMBER(BBG_Data!A1080),BBG_Data!A1080,"")</f>
        <v/>
      </c>
      <c r="B1080" s="16">
        <f>IF(AND(ISNUMBER($A1080),ISNUMBER(BBG_Data!B1080)),BBG_Data!B1080,NA())</f>
        <v/>
      </c>
      <c r="C1080" s="16">
        <f>IF(AND(ISNUMBER($A1080),ISNUMBER(BBG_Data!C1080)),BBG_Data!C1080,NA())</f>
        <v/>
      </c>
      <c r="D1080" s="17">
        <f>IF(AND(ISNUMBER($A1080),ISNUMBER(BBG_Data!D1080)),BBG_Data!D1080,NA())</f>
        <v/>
      </c>
      <c r="E1080" s="17">
        <f>IF(AND(ISNUMBER($A1080),ISNUMBER(BBG_Data!E1080)),BBG_Data!E1080,NA())</f>
        <v/>
      </c>
      <c r="F1080" s="18">
        <f>IF(AND(ISNUMBER(B1080),ISNUMBER(B1079)),(B1080-B1079)*100,"")</f>
        <v/>
      </c>
      <c r="G1080" s="18">
        <f>IF(AND(ISNUMBER(C1080),ISNUMBER(C1079)),(C1080-C1079)*100,"")</f>
        <v/>
      </c>
      <c r="H1080" s="18">
        <f>IF(OR(NOT(ISNUMBER($A1080)),ROW()-2&lt;Settings!$B$11),NA(),IF(COUNT(OFFSET(F1080,1-Settings!$B$11,0,Settings!$B$11,1))&lt;Settings!$B$11,NA(),STDEV(OFFSET(F1080,1-Settings!$B$11,0,Settings!$B$11,1))*SQRT(Settings!$B$13)))</f>
        <v/>
      </c>
      <c r="I1080" s="18">
        <f>IF(OR(NOT(ISNUMBER($A1080)),ROW()-2&lt;Settings!$B$12),NA(),IF(COUNT(OFFSET(F1080,1-Settings!$B$12,0,Settings!$B$12,1))&lt;Settings!$B$12,NA(),STDEV(OFFSET(F1080,1-Settings!$B$12,0,Settings!$B$12,1))*SQRT(Settings!$B$13)))</f>
        <v/>
      </c>
      <c r="J1080" s="18">
        <f>IF(OR(NOT(ISNUMBER($A1080)),ROW()-2&lt;Settings!$B$11),NA(),IF(COUNT(OFFSET(G1080,1-Settings!$B$11,0,Settings!$B$11,1))&lt;Settings!$B$11,NA(),STDEV(OFFSET(G1080,1-Settings!$B$11,0,Settings!$B$11,1))*SQRT(Settings!$B$13)))</f>
        <v/>
      </c>
      <c r="K1080" s="18">
        <f>IF(OR(NOT(ISNUMBER($A1080)),ROW()-2&lt;Settings!$B$12),NA(),IF(COUNT(OFFSET(G1080,1-Settings!$B$12,0,Settings!$B$12,1))&lt;Settings!$B$12,NA(),STDEV(OFFSET(G1080,1-Settings!$B$12,0,Settings!$B$12,1))*SQRT(Settings!$B$13)))</f>
        <v/>
      </c>
      <c r="L1080" s="18">
        <f>IF(AND(ISNUMBER(D1080),ISNUMBER(H1080)),D1080-H1080,NA())</f>
        <v/>
      </c>
      <c r="M1080" s="18">
        <f>IF(AND(ISNUMBER(E1080),ISNUMBER(K1080)),E1080-K1080,NA())</f>
        <v/>
      </c>
      <c r="N1080" s="18">
        <f>IF(NOT(ISNUMBER($A1080)),NA(),IF(COUNT(OFFSET(G1080,1,0,Settings!$B$12,1))&lt;Settings!$B$12,NA(),STDEV(OFFSET(G1080,1,0,Settings!$B$12,1))*SQRT(Settings!$B$13)))</f>
        <v/>
      </c>
      <c r="O1080" s="18">
        <f>IF(AND(ISNUMBER(E1080),ISNUMBER(N1080)),E1080-N1080,NA())</f>
        <v/>
      </c>
      <c r="P1080" s="17">
        <f>IF(NOT(ISNUMBER($A1080)),NA(),IF(OR($A1080&lt;MIN(KW_TP!$A$2:$A$2501),$A1080&gt;MAX(KW_TP!$A$2:$A$2501)),NA(),INDEX(KW_TP!$C$2:$C$2501,MATCH($A1080,KW_TP!$A$2:$A$2501,1))))</f>
        <v/>
      </c>
    </row>
    <row r="1081">
      <c r="A1081" s="15">
        <f>IF(ISNUMBER(BBG_Data!A1081),BBG_Data!A1081,"")</f>
        <v/>
      </c>
      <c r="B1081" s="16">
        <f>IF(AND(ISNUMBER($A1081),ISNUMBER(BBG_Data!B1081)),BBG_Data!B1081,NA())</f>
        <v/>
      </c>
      <c r="C1081" s="16">
        <f>IF(AND(ISNUMBER($A1081),ISNUMBER(BBG_Data!C1081)),BBG_Data!C1081,NA())</f>
        <v/>
      </c>
      <c r="D1081" s="17">
        <f>IF(AND(ISNUMBER($A1081),ISNUMBER(BBG_Data!D1081)),BBG_Data!D1081,NA())</f>
        <v/>
      </c>
      <c r="E1081" s="17">
        <f>IF(AND(ISNUMBER($A1081),ISNUMBER(BBG_Data!E1081)),BBG_Data!E1081,NA())</f>
        <v/>
      </c>
      <c r="F1081" s="18">
        <f>IF(AND(ISNUMBER(B1081),ISNUMBER(B1080)),(B1081-B1080)*100,"")</f>
        <v/>
      </c>
      <c r="G1081" s="18">
        <f>IF(AND(ISNUMBER(C1081),ISNUMBER(C1080)),(C1081-C1080)*100,"")</f>
        <v/>
      </c>
      <c r="H1081" s="18">
        <f>IF(OR(NOT(ISNUMBER($A1081)),ROW()-2&lt;Settings!$B$11),NA(),IF(COUNT(OFFSET(F1081,1-Settings!$B$11,0,Settings!$B$11,1))&lt;Settings!$B$11,NA(),STDEV(OFFSET(F1081,1-Settings!$B$11,0,Settings!$B$11,1))*SQRT(Settings!$B$13)))</f>
        <v/>
      </c>
      <c r="I1081" s="18">
        <f>IF(OR(NOT(ISNUMBER($A1081)),ROW()-2&lt;Settings!$B$12),NA(),IF(COUNT(OFFSET(F1081,1-Settings!$B$12,0,Settings!$B$12,1))&lt;Settings!$B$12,NA(),STDEV(OFFSET(F1081,1-Settings!$B$12,0,Settings!$B$12,1))*SQRT(Settings!$B$13)))</f>
        <v/>
      </c>
      <c r="J1081" s="18">
        <f>IF(OR(NOT(ISNUMBER($A1081)),ROW()-2&lt;Settings!$B$11),NA(),IF(COUNT(OFFSET(G1081,1-Settings!$B$11,0,Settings!$B$11,1))&lt;Settings!$B$11,NA(),STDEV(OFFSET(G1081,1-Settings!$B$11,0,Settings!$B$11,1))*SQRT(Settings!$B$13)))</f>
        <v/>
      </c>
      <c r="K1081" s="18">
        <f>IF(OR(NOT(ISNUMBER($A1081)),ROW()-2&lt;Settings!$B$12),NA(),IF(COUNT(OFFSET(G1081,1-Settings!$B$12,0,Settings!$B$12,1))&lt;Settings!$B$12,NA(),STDEV(OFFSET(G1081,1-Settings!$B$12,0,Settings!$B$12,1))*SQRT(Settings!$B$13)))</f>
        <v/>
      </c>
      <c r="L1081" s="18">
        <f>IF(AND(ISNUMBER(D1081),ISNUMBER(H1081)),D1081-H1081,NA())</f>
        <v/>
      </c>
      <c r="M1081" s="18">
        <f>IF(AND(ISNUMBER(E1081),ISNUMBER(K1081)),E1081-K1081,NA())</f>
        <v/>
      </c>
      <c r="N1081" s="18">
        <f>IF(NOT(ISNUMBER($A1081)),NA(),IF(COUNT(OFFSET(G1081,1,0,Settings!$B$12,1))&lt;Settings!$B$12,NA(),STDEV(OFFSET(G1081,1,0,Settings!$B$12,1))*SQRT(Settings!$B$13)))</f>
        <v/>
      </c>
      <c r="O1081" s="18">
        <f>IF(AND(ISNUMBER(E1081),ISNUMBER(N1081)),E1081-N1081,NA())</f>
        <v/>
      </c>
      <c r="P1081" s="17">
        <f>IF(NOT(ISNUMBER($A1081)),NA(),IF(OR($A1081&lt;MIN(KW_TP!$A$2:$A$2501),$A1081&gt;MAX(KW_TP!$A$2:$A$2501)),NA(),INDEX(KW_TP!$C$2:$C$2501,MATCH($A1081,KW_TP!$A$2:$A$2501,1))))</f>
        <v/>
      </c>
    </row>
    <row r="1082">
      <c r="A1082" s="15">
        <f>IF(ISNUMBER(BBG_Data!A1082),BBG_Data!A1082,"")</f>
        <v/>
      </c>
      <c r="B1082" s="16">
        <f>IF(AND(ISNUMBER($A1082),ISNUMBER(BBG_Data!B1082)),BBG_Data!B1082,NA())</f>
        <v/>
      </c>
      <c r="C1082" s="16">
        <f>IF(AND(ISNUMBER($A1082),ISNUMBER(BBG_Data!C1082)),BBG_Data!C1082,NA())</f>
        <v/>
      </c>
      <c r="D1082" s="17">
        <f>IF(AND(ISNUMBER($A1082),ISNUMBER(BBG_Data!D1082)),BBG_Data!D1082,NA())</f>
        <v/>
      </c>
      <c r="E1082" s="17">
        <f>IF(AND(ISNUMBER($A1082),ISNUMBER(BBG_Data!E1082)),BBG_Data!E1082,NA())</f>
        <v/>
      </c>
      <c r="F1082" s="18">
        <f>IF(AND(ISNUMBER(B1082),ISNUMBER(B1081)),(B1082-B1081)*100,"")</f>
        <v/>
      </c>
      <c r="G1082" s="18">
        <f>IF(AND(ISNUMBER(C1082),ISNUMBER(C1081)),(C1082-C1081)*100,"")</f>
        <v/>
      </c>
      <c r="H1082" s="18">
        <f>IF(OR(NOT(ISNUMBER($A1082)),ROW()-2&lt;Settings!$B$11),NA(),IF(COUNT(OFFSET(F1082,1-Settings!$B$11,0,Settings!$B$11,1))&lt;Settings!$B$11,NA(),STDEV(OFFSET(F1082,1-Settings!$B$11,0,Settings!$B$11,1))*SQRT(Settings!$B$13)))</f>
        <v/>
      </c>
      <c r="I1082" s="18">
        <f>IF(OR(NOT(ISNUMBER($A1082)),ROW()-2&lt;Settings!$B$12),NA(),IF(COUNT(OFFSET(F1082,1-Settings!$B$12,0,Settings!$B$12,1))&lt;Settings!$B$12,NA(),STDEV(OFFSET(F1082,1-Settings!$B$12,0,Settings!$B$12,1))*SQRT(Settings!$B$13)))</f>
        <v/>
      </c>
      <c r="J1082" s="18">
        <f>IF(OR(NOT(ISNUMBER($A1082)),ROW()-2&lt;Settings!$B$11),NA(),IF(COUNT(OFFSET(G1082,1-Settings!$B$11,0,Settings!$B$11,1))&lt;Settings!$B$11,NA(),STDEV(OFFSET(G1082,1-Settings!$B$11,0,Settings!$B$11,1))*SQRT(Settings!$B$13)))</f>
        <v/>
      </c>
      <c r="K1082" s="18">
        <f>IF(OR(NOT(ISNUMBER($A1082)),ROW()-2&lt;Settings!$B$12),NA(),IF(COUNT(OFFSET(G1082,1-Settings!$B$12,0,Settings!$B$12,1))&lt;Settings!$B$12,NA(),STDEV(OFFSET(G1082,1-Settings!$B$12,0,Settings!$B$12,1))*SQRT(Settings!$B$13)))</f>
        <v/>
      </c>
      <c r="L1082" s="18">
        <f>IF(AND(ISNUMBER(D1082),ISNUMBER(H1082)),D1082-H1082,NA())</f>
        <v/>
      </c>
      <c r="M1082" s="18">
        <f>IF(AND(ISNUMBER(E1082),ISNUMBER(K1082)),E1082-K1082,NA())</f>
        <v/>
      </c>
      <c r="N1082" s="18">
        <f>IF(NOT(ISNUMBER($A1082)),NA(),IF(COUNT(OFFSET(G1082,1,0,Settings!$B$12,1))&lt;Settings!$B$12,NA(),STDEV(OFFSET(G1082,1,0,Settings!$B$12,1))*SQRT(Settings!$B$13)))</f>
        <v/>
      </c>
      <c r="O1082" s="18">
        <f>IF(AND(ISNUMBER(E1082),ISNUMBER(N1082)),E1082-N1082,NA())</f>
        <v/>
      </c>
      <c r="P1082" s="17">
        <f>IF(NOT(ISNUMBER($A1082)),NA(),IF(OR($A1082&lt;MIN(KW_TP!$A$2:$A$2501),$A1082&gt;MAX(KW_TP!$A$2:$A$2501)),NA(),INDEX(KW_TP!$C$2:$C$2501,MATCH($A1082,KW_TP!$A$2:$A$2501,1))))</f>
        <v/>
      </c>
    </row>
    <row r="1083">
      <c r="A1083" s="15">
        <f>IF(ISNUMBER(BBG_Data!A1083),BBG_Data!A1083,"")</f>
        <v/>
      </c>
      <c r="B1083" s="16">
        <f>IF(AND(ISNUMBER($A1083),ISNUMBER(BBG_Data!B1083)),BBG_Data!B1083,NA())</f>
        <v/>
      </c>
      <c r="C1083" s="16">
        <f>IF(AND(ISNUMBER($A1083),ISNUMBER(BBG_Data!C1083)),BBG_Data!C1083,NA())</f>
        <v/>
      </c>
      <c r="D1083" s="17">
        <f>IF(AND(ISNUMBER($A1083),ISNUMBER(BBG_Data!D1083)),BBG_Data!D1083,NA())</f>
        <v/>
      </c>
      <c r="E1083" s="17">
        <f>IF(AND(ISNUMBER($A1083),ISNUMBER(BBG_Data!E1083)),BBG_Data!E1083,NA())</f>
        <v/>
      </c>
      <c r="F1083" s="18">
        <f>IF(AND(ISNUMBER(B1083),ISNUMBER(B1082)),(B1083-B1082)*100,"")</f>
        <v/>
      </c>
      <c r="G1083" s="18">
        <f>IF(AND(ISNUMBER(C1083),ISNUMBER(C1082)),(C1083-C1082)*100,"")</f>
        <v/>
      </c>
      <c r="H1083" s="18">
        <f>IF(OR(NOT(ISNUMBER($A1083)),ROW()-2&lt;Settings!$B$11),NA(),IF(COUNT(OFFSET(F1083,1-Settings!$B$11,0,Settings!$B$11,1))&lt;Settings!$B$11,NA(),STDEV(OFFSET(F1083,1-Settings!$B$11,0,Settings!$B$11,1))*SQRT(Settings!$B$13)))</f>
        <v/>
      </c>
      <c r="I1083" s="18">
        <f>IF(OR(NOT(ISNUMBER($A1083)),ROW()-2&lt;Settings!$B$12),NA(),IF(COUNT(OFFSET(F1083,1-Settings!$B$12,0,Settings!$B$12,1))&lt;Settings!$B$12,NA(),STDEV(OFFSET(F1083,1-Settings!$B$12,0,Settings!$B$12,1))*SQRT(Settings!$B$13)))</f>
        <v/>
      </c>
      <c r="J1083" s="18">
        <f>IF(OR(NOT(ISNUMBER($A1083)),ROW()-2&lt;Settings!$B$11),NA(),IF(COUNT(OFFSET(G1083,1-Settings!$B$11,0,Settings!$B$11,1))&lt;Settings!$B$11,NA(),STDEV(OFFSET(G1083,1-Settings!$B$11,0,Settings!$B$11,1))*SQRT(Settings!$B$13)))</f>
        <v/>
      </c>
      <c r="K1083" s="18">
        <f>IF(OR(NOT(ISNUMBER($A1083)),ROW()-2&lt;Settings!$B$12),NA(),IF(COUNT(OFFSET(G1083,1-Settings!$B$12,0,Settings!$B$12,1))&lt;Settings!$B$12,NA(),STDEV(OFFSET(G1083,1-Settings!$B$12,0,Settings!$B$12,1))*SQRT(Settings!$B$13)))</f>
        <v/>
      </c>
      <c r="L1083" s="18">
        <f>IF(AND(ISNUMBER(D1083),ISNUMBER(H1083)),D1083-H1083,NA())</f>
        <v/>
      </c>
      <c r="M1083" s="18">
        <f>IF(AND(ISNUMBER(E1083),ISNUMBER(K1083)),E1083-K1083,NA())</f>
        <v/>
      </c>
      <c r="N1083" s="18">
        <f>IF(NOT(ISNUMBER($A1083)),NA(),IF(COUNT(OFFSET(G1083,1,0,Settings!$B$12,1))&lt;Settings!$B$12,NA(),STDEV(OFFSET(G1083,1,0,Settings!$B$12,1))*SQRT(Settings!$B$13)))</f>
        <v/>
      </c>
      <c r="O1083" s="18">
        <f>IF(AND(ISNUMBER(E1083),ISNUMBER(N1083)),E1083-N1083,NA())</f>
        <v/>
      </c>
      <c r="P1083" s="17">
        <f>IF(NOT(ISNUMBER($A1083)),NA(),IF(OR($A1083&lt;MIN(KW_TP!$A$2:$A$2501),$A1083&gt;MAX(KW_TP!$A$2:$A$2501)),NA(),INDEX(KW_TP!$C$2:$C$2501,MATCH($A1083,KW_TP!$A$2:$A$2501,1))))</f>
        <v/>
      </c>
    </row>
    <row r="1084">
      <c r="A1084" s="15">
        <f>IF(ISNUMBER(BBG_Data!A1084),BBG_Data!A1084,"")</f>
        <v/>
      </c>
      <c r="B1084" s="16">
        <f>IF(AND(ISNUMBER($A1084),ISNUMBER(BBG_Data!B1084)),BBG_Data!B1084,NA())</f>
        <v/>
      </c>
      <c r="C1084" s="16">
        <f>IF(AND(ISNUMBER($A1084),ISNUMBER(BBG_Data!C1084)),BBG_Data!C1084,NA())</f>
        <v/>
      </c>
      <c r="D1084" s="17">
        <f>IF(AND(ISNUMBER($A1084),ISNUMBER(BBG_Data!D1084)),BBG_Data!D1084,NA())</f>
        <v/>
      </c>
      <c r="E1084" s="17">
        <f>IF(AND(ISNUMBER($A1084),ISNUMBER(BBG_Data!E1084)),BBG_Data!E1084,NA())</f>
        <v/>
      </c>
      <c r="F1084" s="18">
        <f>IF(AND(ISNUMBER(B1084),ISNUMBER(B1083)),(B1084-B1083)*100,"")</f>
        <v/>
      </c>
      <c r="G1084" s="18">
        <f>IF(AND(ISNUMBER(C1084),ISNUMBER(C1083)),(C1084-C1083)*100,"")</f>
        <v/>
      </c>
      <c r="H1084" s="18">
        <f>IF(OR(NOT(ISNUMBER($A1084)),ROW()-2&lt;Settings!$B$11),NA(),IF(COUNT(OFFSET(F1084,1-Settings!$B$11,0,Settings!$B$11,1))&lt;Settings!$B$11,NA(),STDEV(OFFSET(F1084,1-Settings!$B$11,0,Settings!$B$11,1))*SQRT(Settings!$B$13)))</f>
        <v/>
      </c>
      <c r="I1084" s="18">
        <f>IF(OR(NOT(ISNUMBER($A1084)),ROW()-2&lt;Settings!$B$12),NA(),IF(COUNT(OFFSET(F1084,1-Settings!$B$12,0,Settings!$B$12,1))&lt;Settings!$B$12,NA(),STDEV(OFFSET(F1084,1-Settings!$B$12,0,Settings!$B$12,1))*SQRT(Settings!$B$13)))</f>
        <v/>
      </c>
      <c r="J1084" s="18">
        <f>IF(OR(NOT(ISNUMBER($A1084)),ROW()-2&lt;Settings!$B$11),NA(),IF(COUNT(OFFSET(G1084,1-Settings!$B$11,0,Settings!$B$11,1))&lt;Settings!$B$11,NA(),STDEV(OFFSET(G1084,1-Settings!$B$11,0,Settings!$B$11,1))*SQRT(Settings!$B$13)))</f>
        <v/>
      </c>
      <c r="K1084" s="18">
        <f>IF(OR(NOT(ISNUMBER($A1084)),ROW()-2&lt;Settings!$B$12),NA(),IF(COUNT(OFFSET(G1084,1-Settings!$B$12,0,Settings!$B$12,1))&lt;Settings!$B$12,NA(),STDEV(OFFSET(G1084,1-Settings!$B$12,0,Settings!$B$12,1))*SQRT(Settings!$B$13)))</f>
        <v/>
      </c>
      <c r="L1084" s="18">
        <f>IF(AND(ISNUMBER(D1084),ISNUMBER(H1084)),D1084-H1084,NA())</f>
        <v/>
      </c>
      <c r="M1084" s="18">
        <f>IF(AND(ISNUMBER(E1084),ISNUMBER(K1084)),E1084-K1084,NA())</f>
        <v/>
      </c>
      <c r="N1084" s="18">
        <f>IF(NOT(ISNUMBER($A1084)),NA(),IF(COUNT(OFFSET(G1084,1,0,Settings!$B$12,1))&lt;Settings!$B$12,NA(),STDEV(OFFSET(G1084,1,0,Settings!$B$12,1))*SQRT(Settings!$B$13)))</f>
        <v/>
      </c>
      <c r="O1084" s="18">
        <f>IF(AND(ISNUMBER(E1084),ISNUMBER(N1084)),E1084-N1084,NA())</f>
        <v/>
      </c>
      <c r="P1084" s="17">
        <f>IF(NOT(ISNUMBER($A1084)),NA(),IF(OR($A1084&lt;MIN(KW_TP!$A$2:$A$2501),$A1084&gt;MAX(KW_TP!$A$2:$A$2501)),NA(),INDEX(KW_TP!$C$2:$C$2501,MATCH($A1084,KW_TP!$A$2:$A$2501,1))))</f>
        <v/>
      </c>
    </row>
    <row r="1085">
      <c r="A1085" s="15">
        <f>IF(ISNUMBER(BBG_Data!A1085),BBG_Data!A1085,"")</f>
        <v/>
      </c>
      <c r="B1085" s="16">
        <f>IF(AND(ISNUMBER($A1085),ISNUMBER(BBG_Data!B1085)),BBG_Data!B1085,NA())</f>
        <v/>
      </c>
      <c r="C1085" s="16">
        <f>IF(AND(ISNUMBER($A1085),ISNUMBER(BBG_Data!C1085)),BBG_Data!C1085,NA())</f>
        <v/>
      </c>
      <c r="D1085" s="17">
        <f>IF(AND(ISNUMBER($A1085),ISNUMBER(BBG_Data!D1085)),BBG_Data!D1085,NA())</f>
        <v/>
      </c>
      <c r="E1085" s="17">
        <f>IF(AND(ISNUMBER($A1085),ISNUMBER(BBG_Data!E1085)),BBG_Data!E1085,NA())</f>
        <v/>
      </c>
      <c r="F1085" s="18">
        <f>IF(AND(ISNUMBER(B1085),ISNUMBER(B1084)),(B1085-B1084)*100,"")</f>
        <v/>
      </c>
      <c r="G1085" s="18">
        <f>IF(AND(ISNUMBER(C1085),ISNUMBER(C1084)),(C1085-C1084)*100,"")</f>
        <v/>
      </c>
      <c r="H1085" s="18">
        <f>IF(OR(NOT(ISNUMBER($A1085)),ROW()-2&lt;Settings!$B$11),NA(),IF(COUNT(OFFSET(F1085,1-Settings!$B$11,0,Settings!$B$11,1))&lt;Settings!$B$11,NA(),STDEV(OFFSET(F1085,1-Settings!$B$11,0,Settings!$B$11,1))*SQRT(Settings!$B$13)))</f>
        <v/>
      </c>
      <c r="I1085" s="18">
        <f>IF(OR(NOT(ISNUMBER($A1085)),ROW()-2&lt;Settings!$B$12),NA(),IF(COUNT(OFFSET(F1085,1-Settings!$B$12,0,Settings!$B$12,1))&lt;Settings!$B$12,NA(),STDEV(OFFSET(F1085,1-Settings!$B$12,0,Settings!$B$12,1))*SQRT(Settings!$B$13)))</f>
        <v/>
      </c>
      <c r="J1085" s="18">
        <f>IF(OR(NOT(ISNUMBER($A1085)),ROW()-2&lt;Settings!$B$11),NA(),IF(COUNT(OFFSET(G1085,1-Settings!$B$11,0,Settings!$B$11,1))&lt;Settings!$B$11,NA(),STDEV(OFFSET(G1085,1-Settings!$B$11,0,Settings!$B$11,1))*SQRT(Settings!$B$13)))</f>
        <v/>
      </c>
      <c r="K1085" s="18">
        <f>IF(OR(NOT(ISNUMBER($A1085)),ROW()-2&lt;Settings!$B$12),NA(),IF(COUNT(OFFSET(G1085,1-Settings!$B$12,0,Settings!$B$12,1))&lt;Settings!$B$12,NA(),STDEV(OFFSET(G1085,1-Settings!$B$12,0,Settings!$B$12,1))*SQRT(Settings!$B$13)))</f>
        <v/>
      </c>
      <c r="L1085" s="18">
        <f>IF(AND(ISNUMBER(D1085),ISNUMBER(H1085)),D1085-H1085,NA())</f>
        <v/>
      </c>
      <c r="M1085" s="18">
        <f>IF(AND(ISNUMBER(E1085),ISNUMBER(K1085)),E1085-K1085,NA())</f>
        <v/>
      </c>
      <c r="N1085" s="18">
        <f>IF(NOT(ISNUMBER($A1085)),NA(),IF(COUNT(OFFSET(G1085,1,0,Settings!$B$12,1))&lt;Settings!$B$12,NA(),STDEV(OFFSET(G1085,1,0,Settings!$B$12,1))*SQRT(Settings!$B$13)))</f>
        <v/>
      </c>
      <c r="O1085" s="18">
        <f>IF(AND(ISNUMBER(E1085),ISNUMBER(N1085)),E1085-N1085,NA())</f>
        <v/>
      </c>
      <c r="P1085" s="17">
        <f>IF(NOT(ISNUMBER($A1085)),NA(),IF(OR($A1085&lt;MIN(KW_TP!$A$2:$A$2501),$A1085&gt;MAX(KW_TP!$A$2:$A$2501)),NA(),INDEX(KW_TP!$C$2:$C$2501,MATCH($A1085,KW_TP!$A$2:$A$2501,1))))</f>
        <v/>
      </c>
    </row>
    <row r="1086">
      <c r="A1086" s="15">
        <f>IF(ISNUMBER(BBG_Data!A1086),BBG_Data!A1086,"")</f>
        <v/>
      </c>
      <c r="B1086" s="16">
        <f>IF(AND(ISNUMBER($A1086),ISNUMBER(BBG_Data!B1086)),BBG_Data!B1086,NA())</f>
        <v/>
      </c>
      <c r="C1086" s="16">
        <f>IF(AND(ISNUMBER($A1086),ISNUMBER(BBG_Data!C1086)),BBG_Data!C1086,NA())</f>
        <v/>
      </c>
      <c r="D1086" s="17">
        <f>IF(AND(ISNUMBER($A1086),ISNUMBER(BBG_Data!D1086)),BBG_Data!D1086,NA())</f>
        <v/>
      </c>
      <c r="E1086" s="17">
        <f>IF(AND(ISNUMBER($A1086),ISNUMBER(BBG_Data!E1086)),BBG_Data!E1086,NA())</f>
        <v/>
      </c>
      <c r="F1086" s="18">
        <f>IF(AND(ISNUMBER(B1086),ISNUMBER(B1085)),(B1086-B1085)*100,"")</f>
        <v/>
      </c>
      <c r="G1086" s="18">
        <f>IF(AND(ISNUMBER(C1086),ISNUMBER(C1085)),(C1086-C1085)*100,"")</f>
        <v/>
      </c>
      <c r="H1086" s="18">
        <f>IF(OR(NOT(ISNUMBER($A1086)),ROW()-2&lt;Settings!$B$11),NA(),IF(COUNT(OFFSET(F1086,1-Settings!$B$11,0,Settings!$B$11,1))&lt;Settings!$B$11,NA(),STDEV(OFFSET(F1086,1-Settings!$B$11,0,Settings!$B$11,1))*SQRT(Settings!$B$13)))</f>
        <v/>
      </c>
      <c r="I1086" s="18">
        <f>IF(OR(NOT(ISNUMBER($A1086)),ROW()-2&lt;Settings!$B$12),NA(),IF(COUNT(OFFSET(F1086,1-Settings!$B$12,0,Settings!$B$12,1))&lt;Settings!$B$12,NA(),STDEV(OFFSET(F1086,1-Settings!$B$12,0,Settings!$B$12,1))*SQRT(Settings!$B$13)))</f>
        <v/>
      </c>
      <c r="J1086" s="18">
        <f>IF(OR(NOT(ISNUMBER($A1086)),ROW()-2&lt;Settings!$B$11),NA(),IF(COUNT(OFFSET(G1086,1-Settings!$B$11,0,Settings!$B$11,1))&lt;Settings!$B$11,NA(),STDEV(OFFSET(G1086,1-Settings!$B$11,0,Settings!$B$11,1))*SQRT(Settings!$B$13)))</f>
        <v/>
      </c>
      <c r="K1086" s="18">
        <f>IF(OR(NOT(ISNUMBER($A1086)),ROW()-2&lt;Settings!$B$12),NA(),IF(COUNT(OFFSET(G1086,1-Settings!$B$12,0,Settings!$B$12,1))&lt;Settings!$B$12,NA(),STDEV(OFFSET(G1086,1-Settings!$B$12,0,Settings!$B$12,1))*SQRT(Settings!$B$13)))</f>
        <v/>
      </c>
      <c r="L1086" s="18">
        <f>IF(AND(ISNUMBER(D1086),ISNUMBER(H1086)),D1086-H1086,NA())</f>
        <v/>
      </c>
      <c r="M1086" s="18">
        <f>IF(AND(ISNUMBER(E1086),ISNUMBER(K1086)),E1086-K1086,NA())</f>
        <v/>
      </c>
      <c r="N1086" s="18">
        <f>IF(NOT(ISNUMBER($A1086)),NA(),IF(COUNT(OFFSET(G1086,1,0,Settings!$B$12,1))&lt;Settings!$B$12,NA(),STDEV(OFFSET(G1086,1,0,Settings!$B$12,1))*SQRT(Settings!$B$13)))</f>
        <v/>
      </c>
      <c r="O1086" s="18">
        <f>IF(AND(ISNUMBER(E1086),ISNUMBER(N1086)),E1086-N1086,NA())</f>
        <v/>
      </c>
      <c r="P1086" s="17">
        <f>IF(NOT(ISNUMBER($A1086)),NA(),IF(OR($A1086&lt;MIN(KW_TP!$A$2:$A$2501),$A1086&gt;MAX(KW_TP!$A$2:$A$2501)),NA(),INDEX(KW_TP!$C$2:$C$2501,MATCH($A1086,KW_TP!$A$2:$A$2501,1))))</f>
        <v/>
      </c>
    </row>
    <row r="1087">
      <c r="A1087" s="15">
        <f>IF(ISNUMBER(BBG_Data!A1087),BBG_Data!A1087,"")</f>
        <v/>
      </c>
      <c r="B1087" s="16">
        <f>IF(AND(ISNUMBER($A1087),ISNUMBER(BBG_Data!B1087)),BBG_Data!B1087,NA())</f>
        <v/>
      </c>
      <c r="C1087" s="16">
        <f>IF(AND(ISNUMBER($A1087),ISNUMBER(BBG_Data!C1087)),BBG_Data!C1087,NA())</f>
        <v/>
      </c>
      <c r="D1087" s="17">
        <f>IF(AND(ISNUMBER($A1087),ISNUMBER(BBG_Data!D1087)),BBG_Data!D1087,NA())</f>
        <v/>
      </c>
      <c r="E1087" s="17">
        <f>IF(AND(ISNUMBER($A1087),ISNUMBER(BBG_Data!E1087)),BBG_Data!E1087,NA())</f>
        <v/>
      </c>
      <c r="F1087" s="18">
        <f>IF(AND(ISNUMBER(B1087),ISNUMBER(B1086)),(B1087-B1086)*100,"")</f>
        <v/>
      </c>
      <c r="G1087" s="18">
        <f>IF(AND(ISNUMBER(C1087),ISNUMBER(C1086)),(C1087-C1086)*100,"")</f>
        <v/>
      </c>
      <c r="H1087" s="18">
        <f>IF(OR(NOT(ISNUMBER($A1087)),ROW()-2&lt;Settings!$B$11),NA(),IF(COUNT(OFFSET(F1087,1-Settings!$B$11,0,Settings!$B$11,1))&lt;Settings!$B$11,NA(),STDEV(OFFSET(F1087,1-Settings!$B$11,0,Settings!$B$11,1))*SQRT(Settings!$B$13)))</f>
        <v/>
      </c>
      <c r="I1087" s="18">
        <f>IF(OR(NOT(ISNUMBER($A1087)),ROW()-2&lt;Settings!$B$12),NA(),IF(COUNT(OFFSET(F1087,1-Settings!$B$12,0,Settings!$B$12,1))&lt;Settings!$B$12,NA(),STDEV(OFFSET(F1087,1-Settings!$B$12,0,Settings!$B$12,1))*SQRT(Settings!$B$13)))</f>
        <v/>
      </c>
      <c r="J1087" s="18">
        <f>IF(OR(NOT(ISNUMBER($A1087)),ROW()-2&lt;Settings!$B$11),NA(),IF(COUNT(OFFSET(G1087,1-Settings!$B$11,0,Settings!$B$11,1))&lt;Settings!$B$11,NA(),STDEV(OFFSET(G1087,1-Settings!$B$11,0,Settings!$B$11,1))*SQRT(Settings!$B$13)))</f>
        <v/>
      </c>
      <c r="K1087" s="18">
        <f>IF(OR(NOT(ISNUMBER($A1087)),ROW()-2&lt;Settings!$B$12),NA(),IF(COUNT(OFFSET(G1087,1-Settings!$B$12,0,Settings!$B$12,1))&lt;Settings!$B$12,NA(),STDEV(OFFSET(G1087,1-Settings!$B$12,0,Settings!$B$12,1))*SQRT(Settings!$B$13)))</f>
        <v/>
      </c>
      <c r="L1087" s="18">
        <f>IF(AND(ISNUMBER(D1087),ISNUMBER(H1087)),D1087-H1087,NA())</f>
        <v/>
      </c>
      <c r="M1087" s="18">
        <f>IF(AND(ISNUMBER(E1087),ISNUMBER(K1087)),E1087-K1087,NA())</f>
        <v/>
      </c>
      <c r="N1087" s="18">
        <f>IF(NOT(ISNUMBER($A1087)),NA(),IF(COUNT(OFFSET(G1087,1,0,Settings!$B$12,1))&lt;Settings!$B$12,NA(),STDEV(OFFSET(G1087,1,0,Settings!$B$12,1))*SQRT(Settings!$B$13)))</f>
        <v/>
      </c>
      <c r="O1087" s="18">
        <f>IF(AND(ISNUMBER(E1087),ISNUMBER(N1087)),E1087-N1087,NA())</f>
        <v/>
      </c>
      <c r="P1087" s="17">
        <f>IF(NOT(ISNUMBER($A1087)),NA(),IF(OR($A1087&lt;MIN(KW_TP!$A$2:$A$2501),$A1087&gt;MAX(KW_TP!$A$2:$A$2501)),NA(),INDEX(KW_TP!$C$2:$C$2501,MATCH($A1087,KW_TP!$A$2:$A$2501,1))))</f>
        <v/>
      </c>
    </row>
    <row r="1088">
      <c r="A1088" s="15">
        <f>IF(ISNUMBER(BBG_Data!A1088),BBG_Data!A1088,"")</f>
        <v/>
      </c>
      <c r="B1088" s="16">
        <f>IF(AND(ISNUMBER($A1088),ISNUMBER(BBG_Data!B1088)),BBG_Data!B1088,NA())</f>
        <v/>
      </c>
      <c r="C1088" s="16">
        <f>IF(AND(ISNUMBER($A1088),ISNUMBER(BBG_Data!C1088)),BBG_Data!C1088,NA())</f>
        <v/>
      </c>
      <c r="D1088" s="17">
        <f>IF(AND(ISNUMBER($A1088),ISNUMBER(BBG_Data!D1088)),BBG_Data!D1088,NA())</f>
        <v/>
      </c>
      <c r="E1088" s="17">
        <f>IF(AND(ISNUMBER($A1088),ISNUMBER(BBG_Data!E1088)),BBG_Data!E1088,NA())</f>
        <v/>
      </c>
      <c r="F1088" s="18">
        <f>IF(AND(ISNUMBER(B1088),ISNUMBER(B1087)),(B1088-B1087)*100,"")</f>
        <v/>
      </c>
      <c r="G1088" s="18">
        <f>IF(AND(ISNUMBER(C1088),ISNUMBER(C1087)),(C1088-C1087)*100,"")</f>
        <v/>
      </c>
      <c r="H1088" s="18">
        <f>IF(OR(NOT(ISNUMBER($A1088)),ROW()-2&lt;Settings!$B$11),NA(),IF(COUNT(OFFSET(F1088,1-Settings!$B$11,0,Settings!$B$11,1))&lt;Settings!$B$11,NA(),STDEV(OFFSET(F1088,1-Settings!$B$11,0,Settings!$B$11,1))*SQRT(Settings!$B$13)))</f>
        <v/>
      </c>
      <c r="I1088" s="18">
        <f>IF(OR(NOT(ISNUMBER($A1088)),ROW()-2&lt;Settings!$B$12),NA(),IF(COUNT(OFFSET(F1088,1-Settings!$B$12,0,Settings!$B$12,1))&lt;Settings!$B$12,NA(),STDEV(OFFSET(F1088,1-Settings!$B$12,0,Settings!$B$12,1))*SQRT(Settings!$B$13)))</f>
        <v/>
      </c>
      <c r="J1088" s="18">
        <f>IF(OR(NOT(ISNUMBER($A1088)),ROW()-2&lt;Settings!$B$11),NA(),IF(COUNT(OFFSET(G1088,1-Settings!$B$11,0,Settings!$B$11,1))&lt;Settings!$B$11,NA(),STDEV(OFFSET(G1088,1-Settings!$B$11,0,Settings!$B$11,1))*SQRT(Settings!$B$13)))</f>
        <v/>
      </c>
      <c r="K1088" s="18">
        <f>IF(OR(NOT(ISNUMBER($A1088)),ROW()-2&lt;Settings!$B$12),NA(),IF(COUNT(OFFSET(G1088,1-Settings!$B$12,0,Settings!$B$12,1))&lt;Settings!$B$12,NA(),STDEV(OFFSET(G1088,1-Settings!$B$12,0,Settings!$B$12,1))*SQRT(Settings!$B$13)))</f>
        <v/>
      </c>
      <c r="L1088" s="18">
        <f>IF(AND(ISNUMBER(D1088),ISNUMBER(H1088)),D1088-H1088,NA())</f>
        <v/>
      </c>
      <c r="M1088" s="18">
        <f>IF(AND(ISNUMBER(E1088),ISNUMBER(K1088)),E1088-K1088,NA())</f>
        <v/>
      </c>
      <c r="N1088" s="18">
        <f>IF(NOT(ISNUMBER($A1088)),NA(),IF(COUNT(OFFSET(G1088,1,0,Settings!$B$12,1))&lt;Settings!$B$12,NA(),STDEV(OFFSET(G1088,1,0,Settings!$B$12,1))*SQRT(Settings!$B$13)))</f>
        <v/>
      </c>
      <c r="O1088" s="18">
        <f>IF(AND(ISNUMBER(E1088),ISNUMBER(N1088)),E1088-N1088,NA())</f>
        <v/>
      </c>
      <c r="P1088" s="17">
        <f>IF(NOT(ISNUMBER($A1088)),NA(),IF(OR($A1088&lt;MIN(KW_TP!$A$2:$A$2501),$A1088&gt;MAX(KW_TP!$A$2:$A$2501)),NA(),INDEX(KW_TP!$C$2:$C$2501,MATCH($A1088,KW_TP!$A$2:$A$2501,1))))</f>
        <v/>
      </c>
    </row>
    <row r="1089">
      <c r="A1089" s="15">
        <f>IF(ISNUMBER(BBG_Data!A1089),BBG_Data!A1089,"")</f>
        <v/>
      </c>
      <c r="B1089" s="16">
        <f>IF(AND(ISNUMBER($A1089),ISNUMBER(BBG_Data!B1089)),BBG_Data!B1089,NA())</f>
        <v/>
      </c>
      <c r="C1089" s="16">
        <f>IF(AND(ISNUMBER($A1089),ISNUMBER(BBG_Data!C1089)),BBG_Data!C1089,NA())</f>
        <v/>
      </c>
      <c r="D1089" s="17">
        <f>IF(AND(ISNUMBER($A1089),ISNUMBER(BBG_Data!D1089)),BBG_Data!D1089,NA())</f>
        <v/>
      </c>
      <c r="E1089" s="17">
        <f>IF(AND(ISNUMBER($A1089),ISNUMBER(BBG_Data!E1089)),BBG_Data!E1089,NA())</f>
        <v/>
      </c>
      <c r="F1089" s="18">
        <f>IF(AND(ISNUMBER(B1089),ISNUMBER(B1088)),(B1089-B1088)*100,"")</f>
        <v/>
      </c>
      <c r="G1089" s="18">
        <f>IF(AND(ISNUMBER(C1089),ISNUMBER(C1088)),(C1089-C1088)*100,"")</f>
        <v/>
      </c>
      <c r="H1089" s="18">
        <f>IF(OR(NOT(ISNUMBER($A1089)),ROW()-2&lt;Settings!$B$11),NA(),IF(COUNT(OFFSET(F1089,1-Settings!$B$11,0,Settings!$B$11,1))&lt;Settings!$B$11,NA(),STDEV(OFFSET(F1089,1-Settings!$B$11,0,Settings!$B$11,1))*SQRT(Settings!$B$13)))</f>
        <v/>
      </c>
      <c r="I1089" s="18">
        <f>IF(OR(NOT(ISNUMBER($A1089)),ROW()-2&lt;Settings!$B$12),NA(),IF(COUNT(OFFSET(F1089,1-Settings!$B$12,0,Settings!$B$12,1))&lt;Settings!$B$12,NA(),STDEV(OFFSET(F1089,1-Settings!$B$12,0,Settings!$B$12,1))*SQRT(Settings!$B$13)))</f>
        <v/>
      </c>
      <c r="J1089" s="18">
        <f>IF(OR(NOT(ISNUMBER($A1089)),ROW()-2&lt;Settings!$B$11),NA(),IF(COUNT(OFFSET(G1089,1-Settings!$B$11,0,Settings!$B$11,1))&lt;Settings!$B$11,NA(),STDEV(OFFSET(G1089,1-Settings!$B$11,0,Settings!$B$11,1))*SQRT(Settings!$B$13)))</f>
        <v/>
      </c>
      <c r="K1089" s="18">
        <f>IF(OR(NOT(ISNUMBER($A1089)),ROW()-2&lt;Settings!$B$12),NA(),IF(COUNT(OFFSET(G1089,1-Settings!$B$12,0,Settings!$B$12,1))&lt;Settings!$B$12,NA(),STDEV(OFFSET(G1089,1-Settings!$B$12,0,Settings!$B$12,1))*SQRT(Settings!$B$13)))</f>
        <v/>
      </c>
      <c r="L1089" s="18">
        <f>IF(AND(ISNUMBER(D1089),ISNUMBER(H1089)),D1089-H1089,NA())</f>
        <v/>
      </c>
      <c r="M1089" s="18">
        <f>IF(AND(ISNUMBER(E1089),ISNUMBER(K1089)),E1089-K1089,NA())</f>
        <v/>
      </c>
      <c r="N1089" s="18">
        <f>IF(NOT(ISNUMBER($A1089)),NA(),IF(COUNT(OFFSET(G1089,1,0,Settings!$B$12,1))&lt;Settings!$B$12,NA(),STDEV(OFFSET(G1089,1,0,Settings!$B$12,1))*SQRT(Settings!$B$13)))</f>
        <v/>
      </c>
      <c r="O1089" s="18">
        <f>IF(AND(ISNUMBER(E1089),ISNUMBER(N1089)),E1089-N1089,NA())</f>
        <v/>
      </c>
      <c r="P1089" s="17">
        <f>IF(NOT(ISNUMBER($A1089)),NA(),IF(OR($A1089&lt;MIN(KW_TP!$A$2:$A$2501),$A1089&gt;MAX(KW_TP!$A$2:$A$2501)),NA(),INDEX(KW_TP!$C$2:$C$2501,MATCH($A1089,KW_TP!$A$2:$A$2501,1))))</f>
        <v/>
      </c>
    </row>
    <row r="1090">
      <c r="A1090" s="15">
        <f>IF(ISNUMBER(BBG_Data!A1090),BBG_Data!A1090,"")</f>
        <v/>
      </c>
      <c r="B1090" s="16">
        <f>IF(AND(ISNUMBER($A1090),ISNUMBER(BBG_Data!B1090)),BBG_Data!B1090,NA())</f>
        <v/>
      </c>
      <c r="C1090" s="16">
        <f>IF(AND(ISNUMBER($A1090),ISNUMBER(BBG_Data!C1090)),BBG_Data!C1090,NA())</f>
        <v/>
      </c>
      <c r="D1090" s="17">
        <f>IF(AND(ISNUMBER($A1090),ISNUMBER(BBG_Data!D1090)),BBG_Data!D1090,NA())</f>
        <v/>
      </c>
      <c r="E1090" s="17">
        <f>IF(AND(ISNUMBER($A1090),ISNUMBER(BBG_Data!E1090)),BBG_Data!E1090,NA())</f>
        <v/>
      </c>
      <c r="F1090" s="18">
        <f>IF(AND(ISNUMBER(B1090),ISNUMBER(B1089)),(B1090-B1089)*100,"")</f>
        <v/>
      </c>
      <c r="G1090" s="18">
        <f>IF(AND(ISNUMBER(C1090),ISNUMBER(C1089)),(C1090-C1089)*100,"")</f>
        <v/>
      </c>
      <c r="H1090" s="18">
        <f>IF(OR(NOT(ISNUMBER($A1090)),ROW()-2&lt;Settings!$B$11),NA(),IF(COUNT(OFFSET(F1090,1-Settings!$B$11,0,Settings!$B$11,1))&lt;Settings!$B$11,NA(),STDEV(OFFSET(F1090,1-Settings!$B$11,0,Settings!$B$11,1))*SQRT(Settings!$B$13)))</f>
        <v/>
      </c>
      <c r="I1090" s="18">
        <f>IF(OR(NOT(ISNUMBER($A1090)),ROW()-2&lt;Settings!$B$12),NA(),IF(COUNT(OFFSET(F1090,1-Settings!$B$12,0,Settings!$B$12,1))&lt;Settings!$B$12,NA(),STDEV(OFFSET(F1090,1-Settings!$B$12,0,Settings!$B$12,1))*SQRT(Settings!$B$13)))</f>
        <v/>
      </c>
      <c r="J1090" s="18">
        <f>IF(OR(NOT(ISNUMBER($A1090)),ROW()-2&lt;Settings!$B$11),NA(),IF(COUNT(OFFSET(G1090,1-Settings!$B$11,0,Settings!$B$11,1))&lt;Settings!$B$11,NA(),STDEV(OFFSET(G1090,1-Settings!$B$11,0,Settings!$B$11,1))*SQRT(Settings!$B$13)))</f>
        <v/>
      </c>
      <c r="K1090" s="18">
        <f>IF(OR(NOT(ISNUMBER($A1090)),ROW()-2&lt;Settings!$B$12),NA(),IF(COUNT(OFFSET(G1090,1-Settings!$B$12,0,Settings!$B$12,1))&lt;Settings!$B$12,NA(),STDEV(OFFSET(G1090,1-Settings!$B$12,0,Settings!$B$12,1))*SQRT(Settings!$B$13)))</f>
        <v/>
      </c>
      <c r="L1090" s="18">
        <f>IF(AND(ISNUMBER(D1090),ISNUMBER(H1090)),D1090-H1090,NA())</f>
        <v/>
      </c>
      <c r="M1090" s="18">
        <f>IF(AND(ISNUMBER(E1090),ISNUMBER(K1090)),E1090-K1090,NA())</f>
        <v/>
      </c>
      <c r="N1090" s="18">
        <f>IF(NOT(ISNUMBER($A1090)),NA(),IF(COUNT(OFFSET(G1090,1,0,Settings!$B$12,1))&lt;Settings!$B$12,NA(),STDEV(OFFSET(G1090,1,0,Settings!$B$12,1))*SQRT(Settings!$B$13)))</f>
        <v/>
      </c>
      <c r="O1090" s="18">
        <f>IF(AND(ISNUMBER(E1090),ISNUMBER(N1090)),E1090-N1090,NA())</f>
        <v/>
      </c>
      <c r="P1090" s="17">
        <f>IF(NOT(ISNUMBER($A1090)),NA(),IF(OR($A1090&lt;MIN(KW_TP!$A$2:$A$2501),$A1090&gt;MAX(KW_TP!$A$2:$A$2501)),NA(),INDEX(KW_TP!$C$2:$C$2501,MATCH($A1090,KW_TP!$A$2:$A$2501,1))))</f>
        <v/>
      </c>
    </row>
    <row r="1091">
      <c r="A1091" s="15">
        <f>IF(ISNUMBER(BBG_Data!A1091),BBG_Data!A1091,"")</f>
        <v/>
      </c>
      <c r="B1091" s="16">
        <f>IF(AND(ISNUMBER($A1091),ISNUMBER(BBG_Data!B1091)),BBG_Data!B1091,NA())</f>
        <v/>
      </c>
      <c r="C1091" s="16">
        <f>IF(AND(ISNUMBER($A1091),ISNUMBER(BBG_Data!C1091)),BBG_Data!C1091,NA())</f>
        <v/>
      </c>
      <c r="D1091" s="17">
        <f>IF(AND(ISNUMBER($A1091),ISNUMBER(BBG_Data!D1091)),BBG_Data!D1091,NA())</f>
        <v/>
      </c>
      <c r="E1091" s="17">
        <f>IF(AND(ISNUMBER($A1091),ISNUMBER(BBG_Data!E1091)),BBG_Data!E1091,NA())</f>
        <v/>
      </c>
      <c r="F1091" s="18">
        <f>IF(AND(ISNUMBER(B1091),ISNUMBER(B1090)),(B1091-B1090)*100,"")</f>
        <v/>
      </c>
      <c r="G1091" s="18">
        <f>IF(AND(ISNUMBER(C1091),ISNUMBER(C1090)),(C1091-C1090)*100,"")</f>
        <v/>
      </c>
      <c r="H1091" s="18">
        <f>IF(OR(NOT(ISNUMBER($A1091)),ROW()-2&lt;Settings!$B$11),NA(),IF(COUNT(OFFSET(F1091,1-Settings!$B$11,0,Settings!$B$11,1))&lt;Settings!$B$11,NA(),STDEV(OFFSET(F1091,1-Settings!$B$11,0,Settings!$B$11,1))*SQRT(Settings!$B$13)))</f>
        <v/>
      </c>
      <c r="I1091" s="18">
        <f>IF(OR(NOT(ISNUMBER($A1091)),ROW()-2&lt;Settings!$B$12),NA(),IF(COUNT(OFFSET(F1091,1-Settings!$B$12,0,Settings!$B$12,1))&lt;Settings!$B$12,NA(),STDEV(OFFSET(F1091,1-Settings!$B$12,0,Settings!$B$12,1))*SQRT(Settings!$B$13)))</f>
        <v/>
      </c>
      <c r="J1091" s="18">
        <f>IF(OR(NOT(ISNUMBER($A1091)),ROW()-2&lt;Settings!$B$11),NA(),IF(COUNT(OFFSET(G1091,1-Settings!$B$11,0,Settings!$B$11,1))&lt;Settings!$B$11,NA(),STDEV(OFFSET(G1091,1-Settings!$B$11,0,Settings!$B$11,1))*SQRT(Settings!$B$13)))</f>
        <v/>
      </c>
      <c r="K1091" s="18">
        <f>IF(OR(NOT(ISNUMBER($A1091)),ROW()-2&lt;Settings!$B$12),NA(),IF(COUNT(OFFSET(G1091,1-Settings!$B$12,0,Settings!$B$12,1))&lt;Settings!$B$12,NA(),STDEV(OFFSET(G1091,1-Settings!$B$12,0,Settings!$B$12,1))*SQRT(Settings!$B$13)))</f>
        <v/>
      </c>
      <c r="L1091" s="18">
        <f>IF(AND(ISNUMBER(D1091),ISNUMBER(H1091)),D1091-H1091,NA())</f>
        <v/>
      </c>
      <c r="M1091" s="18">
        <f>IF(AND(ISNUMBER(E1091),ISNUMBER(K1091)),E1091-K1091,NA())</f>
        <v/>
      </c>
      <c r="N1091" s="18">
        <f>IF(NOT(ISNUMBER($A1091)),NA(),IF(COUNT(OFFSET(G1091,1,0,Settings!$B$12,1))&lt;Settings!$B$12,NA(),STDEV(OFFSET(G1091,1,0,Settings!$B$12,1))*SQRT(Settings!$B$13)))</f>
        <v/>
      </c>
      <c r="O1091" s="18">
        <f>IF(AND(ISNUMBER(E1091),ISNUMBER(N1091)),E1091-N1091,NA())</f>
        <v/>
      </c>
      <c r="P1091" s="17">
        <f>IF(NOT(ISNUMBER($A1091)),NA(),IF(OR($A1091&lt;MIN(KW_TP!$A$2:$A$2501),$A1091&gt;MAX(KW_TP!$A$2:$A$2501)),NA(),INDEX(KW_TP!$C$2:$C$2501,MATCH($A1091,KW_TP!$A$2:$A$2501,1))))</f>
        <v/>
      </c>
    </row>
    <row r="1092">
      <c r="A1092" s="15">
        <f>IF(ISNUMBER(BBG_Data!A1092),BBG_Data!A1092,"")</f>
        <v/>
      </c>
      <c r="B1092" s="16">
        <f>IF(AND(ISNUMBER($A1092),ISNUMBER(BBG_Data!B1092)),BBG_Data!B1092,NA())</f>
        <v/>
      </c>
      <c r="C1092" s="16">
        <f>IF(AND(ISNUMBER($A1092),ISNUMBER(BBG_Data!C1092)),BBG_Data!C1092,NA())</f>
        <v/>
      </c>
      <c r="D1092" s="17">
        <f>IF(AND(ISNUMBER($A1092),ISNUMBER(BBG_Data!D1092)),BBG_Data!D1092,NA())</f>
        <v/>
      </c>
      <c r="E1092" s="17">
        <f>IF(AND(ISNUMBER($A1092),ISNUMBER(BBG_Data!E1092)),BBG_Data!E1092,NA())</f>
        <v/>
      </c>
      <c r="F1092" s="18">
        <f>IF(AND(ISNUMBER(B1092),ISNUMBER(B1091)),(B1092-B1091)*100,"")</f>
        <v/>
      </c>
      <c r="G1092" s="18">
        <f>IF(AND(ISNUMBER(C1092),ISNUMBER(C1091)),(C1092-C1091)*100,"")</f>
        <v/>
      </c>
      <c r="H1092" s="18">
        <f>IF(OR(NOT(ISNUMBER($A1092)),ROW()-2&lt;Settings!$B$11),NA(),IF(COUNT(OFFSET(F1092,1-Settings!$B$11,0,Settings!$B$11,1))&lt;Settings!$B$11,NA(),STDEV(OFFSET(F1092,1-Settings!$B$11,0,Settings!$B$11,1))*SQRT(Settings!$B$13)))</f>
        <v/>
      </c>
      <c r="I1092" s="18">
        <f>IF(OR(NOT(ISNUMBER($A1092)),ROW()-2&lt;Settings!$B$12),NA(),IF(COUNT(OFFSET(F1092,1-Settings!$B$12,0,Settings!$B$12,1))&lt;Settings!$B$12,NA(),STDEV(OFFSET(F1092,1-Settings!$B$12,0,Settings!$B$12,1))*SQRT(Settings!$B$13)))</f>
        <v/>
      </c>
      <c r="J1092" s="18">
        <f>IF(OR(NOT(ISNUMBER($A1092)),ROW()-2&lt;Settings!$B$11),NA(),IF(COUNT(OFFSET(G1092,1-Settings!$B$11,0,Settings!$B$11,1))&lt;Settings!$B$11,NA(),STDEV(OFFSET(G1092,1-Settings!$B$11,0,Settings!$B$11,1))*SQRT(Settings!$B$13)))</f>
        <v/>
      </c>
      <c r="K1092" s="18">
        <f>IF(OR(NOT(ISNUMBER($A1092)),ROW()-2&lt;Settings!$B$12),NA(),IF(COUNT(OFFSET(G1092,1-Settings!$B$12,0,Settings!$B$12,1))&lt;Settings!$B$12,NA(),STDEV(OFFSET(G1092,1-Settings!$B$12,0,Settings!$B$12,1))*SQRT(Settings!$B$13)))</f>
        <v/>
      </c>
      <c r="L1092" s="18">
        <f>IF(AND(ISNUMBER(D1092),ISNUMBER(H1092)),D1092-H1092,NA())</f>
        <v/>
      </c>
      <c r="M1092" s="18">
        <f>IF(AND(ISNUMBER(E1092),ISNUMBER(K1092)),E1092-K1092,NA())</f>
        <v/>
      </c>
      <c r="N1092" s="18">
        <f>IF(NOT(ISNUMBER($A1092)),NA(),IF(COUNT(OFFSET(G1092,1,0,Settings!$B$12,1))&lt;Settings!$B$12,NA(),STDEV(OFFSET(G1092,1,0,Settings!$B$12,1))*SQRT(Settings!$B$13)))</f>
        <v/>
      </c>
      <c r="O1092" s="18">
        <f>IF(AND(ISNUMBER(E1092),ISNUMBER(N1092)),E1092-N1092,NA())</f>
        <v/>
      </c>
      <c r="P1092" s="17">
        <f>IF(NOT(ISNUMBER($A1092)),NA(),IF(OR($A1092&lt;MIN(KW_TP!$A$2:$A$2501),$A1092&gt;MAX(KW_TP!$A$2:$A$2501)),NA(),INDEX(KW_TP!$C$2:$C$2501,MATCH($A1092,KW_TP!$A$2:$A$2501,1))))</f>
        <v/>
      </c>
    </row>
    <row r="1093">
      <c r="A1093" s="15">
        <f>IF(ISNUMBER(BBG_Data!A1093),BBG_Data!A1093,"")</f>
        <v/>
      </c>
      <c r="B1093" s="16">
        <f>IF(AND(ISNUMBER($A1093),ISNUMBER(BBG_Data!B1093)),BBG_Data!B1093,NA())</f>
        <v/>
      </c>
      <c r="C1093" s="16">
        <f>IF(AND(ISNUMBER($A1093),ISNUMBER(BBG_Data!C1093)),BBG_Data!C1093,NA())</f>
        <v/>
      </c>
      <c r="D1093" s="17">
        <f>IF(AND(ISNUMBER($A1093),ISNUMBER(BBG_Data!D1093)),BBG_Data!D1093,NA())</f>
        <v/>
      </c>
      <c r="E1093" s="17">
        <f>IF(AND(ISNUMBER($A1093),ISNUMBER(BBG_Data!E1093)),BBG_Data!E1093,NA())</f>
        <v/>
      </c>
      <c r="F1093" s="18">
        <f>IF(AND(ISNUMBER(B1093),ISNUMBER(B1092)),(B1093-B1092)*100,"")</f>
        <v/>
      </c>
      <c r="G1093" s="18">
        <f>IF(AND(ISNUMBER(C1093),ISNUMBER(C1092)),(C1093-C1092)*100,"")</f>
        <v/>
      </c>
      <c r="H1093" s="18">
        <f>IF(OR(NOT(ISNUMBER($A1093)),ROW()-2&lt;Settings!$B$11),NA(),IF(COUNT(OFFSET(F1093,1-Settings!$B$11,0,Settings!$B$11,1))&lt;Settings!$B$11,NA(),STDEV(OFFSET(F1093,1-Settings!$B$11,0,Settings!$B$11,1))*SQRT(Settings!$B$13)))</f>
        <v/>
      </c>
      <c r="I1093" s="18">
        <f>IF(OR(NOT(ISNUMBER($A1093)),ROW()-2&lt;Settings!$B$12),NA(),IF(COUNT(OFFSET(F1093,1-Settings!$B$12,0,Settings!$B$12,1))&lt;Settings!$B$12,NA(),STDEV(OFFSET(F1093,1-Settings!$B$12,0,Settings!$B$12,1))*SQRT(Settings!$B$13)))</f>
        <v/>
      </c>
      <c r="J1093" s="18">
        <f>IF(OR(NOT(ISNUMBER($A1093)),ROW()-2&lt;Settings!$B$11),NA(),IF(COUNT(OFFSET(G1093,1-Settings!$B$11,0,Settings!$B$11,1))&lt;Settings!$B$11,NA(),STDEV(OFFSET(G1093,1-Settings!$B$11,0,Settings!$B$11,1))*SQRT(Settings!$B$13)))</f>
        <v/>
      </c>
      <c r="K1093" s="18">
        <f>IF(OR(NOT(ISNUMBER($A1093)),ROW()-2&lt;Settings!$B$12),NA(),IF(COUNT(OFFSET(G1093,1-Settings!$B$12,0,Settings!$B$12,1))&lt;Settings!$B$12,NA(),STDEV(OFFSET(G1093,1-Settings!$B$12,0,Settings!$B$12,1))*SQRT(Settings!$B$13)))</f>
        <v/>
      </c>
      <c r="L1093" s="18">
        <f>IF(AND(ISNUMBER(D1093),ISNUMBER(H1093)),D1093-H1093,NA())</f>
        <v/>
      </c>
      <c r="M1093" s="18">
        <f>IF(AND(ISNUMBER(E1093),ISNUMBER(K1093)),E1093-K1093,NA())</f>
        <v/>
      </c>
      <c r="N1093" s="18">
        <f>IF(NOT(ISNUMBER($A1093)),NA(),IF(COUNT(OFFSET(G1093,1,0,Settings!$B$12,1))&lt;Settings!$B$12,NA(),STDEV(OFFSET(G1093,1,0,Settings!$B$12,1))*SQRT(Settings!$B$13)))</f>
        <v/>
      </c>
      <c r="O1093" s="18">
        <f>IF(AND(ISNUMBER(E1093),ISNUMBER(N1093)),E1093-N1093,NA())</f>
        <v/>
      </c>
      <c r="P1093" s="17">
        <f>IF(NOT(ISNUMBER($A1093)),NA(),IF(OR($A1093&lt;MIN(KW_TP!$A$2:$A$2501),$A1093&gt;MAX(KW_TP!$A$2:$A$2501)),NA(),INDEX(KW_TP!$C$2:$C$2501,MATCH($A1093,KW_TP!$A$2:$A$2501,1))))</f>
        <v/>
      </c>
    </row>
    <row r="1094">
      <c r="A1094" s="15">
        <f>IF(ISNUMBER(BBG_Data!A1094),BBG_Data!A1094,"")</f>
        <v/>
      </c>
      <c r="B1094" s="16">
        <f>IF(AND(ISNUMBER($A1094),ISNUMBER(BBG_Data!B1094)),BBG_Data!B1094,NA())</f>
        <v/>
      </c>
      <c r="C1094" s="16">
        <f>IF(AND(ISNUMBER($A1094),ISNUMBER(BBG_Data!C1094)),BBG_Data!C1094,NA())</f>
        <v/>
      </c>
      <c r="D1094" s="17">
        <f>IF(AND(ISNUMBER($A1094),ISNUMBER(BBG_Data!D1094)),BBG_Data!D1094,NA())</f>
        <v/>
      </c>
      <c r="E1094" s="17">
        <f>IF(AND(ISNUMBER($A1094),ISNUMBER(BBG_Data!E1094)),BBG_Data!E1094,NA())</f>
        <v/>
      </c>
      <c r="F1094" s="18">
        <f>IF(AND(ISNUMBER(B1094),ISNUMBER(B1093)),(B1094-B1093)*100,"")</f>
        <v/>
      </c>
      <c r="G1094" s="18">
        <f>IF(AND(ISNUMBER(C1094),ISNUMBER(C1093)),(C1094-C1093)*100,"")</f>
        <v/>
      </c>
      <c r="H1094" s="18">
        <f>IF(OR(NOT(ISNUMBER($A1094)),ROW()-2&lt;Settings!$B$11),NA(),IF(COUNT(OFFSET(F1094,1-Settings!$B$11,0,Settings!$B$11,1))&lt;Settings!$B$11,NA(),STDEV(OFFSET(F1094,1-Settings!$B$11,0,Settings!$B$11,1))*SQRT(Settings!$B$13)))</f>
        <v/>
      </c>
      <c r="I1094" s="18">
        <f>IF(OR(NOT(ISNUMBER($A1094)),ROW()-2&lt;Settings!$B$12),NA(),IF(COUNT(OFFSET(F1094,1-Settings!$B$12,0,Settings!$B$12,1))&lt;Settings!$B$12,NA(),STDEV(OFFSET(F1094,1-Settings!$B$12,0,Settings!$B$12,1))*SQRT(Settings!$B$13)))</f>
        <v/>
      </c>
      <c r="J1094" s="18">
        <f>IF(OR(NOT(ISNUMBER($A1094)),ROW()-2&lt;Settings!$B$11),NA(),IF(COUNT(OFFSET(G1094,1-Settings!$B$11,0,Settings!$B$11,1))&lt;Settings!$B$11,NA(),STDEV(OFFSET(G1094,1-Settings!$B$11,0,Settings!$B$11,1))*SQRT(Settings!$B$13)))</f>
        <v/>
      </c>
      <c r="K1094" s="18">
        <f>IF(OR(NOT(ISNUMBER($A1094)),ROW()-2&lt;Settings!$B$12),NA(),IF(COUNT(OFFSET(G1094,1-Settings!$B$12,0,Settings!$B$12,1))&lt;Settings!$B$12,NA(),STDEV(OFFSET(G1094,1-Settings!$B$12,0,Settings!$B$12,1))*SQRT(Settings!$B$13)))</f>
        <v/>
      </c>
      <c r="L1094" s="18">
        <f>IF(AND(ISNUMBER(D1094),ISNUMBER(H1094)),D1094-H1094,NA())</f>
        <v/>
      </c>
      <c r="M1094" s="18">
        <f>IF(AND(ISNUMBER(E1094),ISNUMBER(K1094)),E1094-K1094,NA())</f>
        <v/>
      </c>
      <c r="N1094" s="18">
        <f>IF(NOT(ISNUMBER($A1094)),NA(),IF(COUNT(OFFSET(G1094,1,0,Settings!$B$12,1))&lt;Settings!$B$12,NA(),STDEV(OFFSET(G1094,1,0,Settings!$B$12,1))*SQRT(Settings!$B$13)))</f>
        <v/>
      </c>
      <c r="O1094" s="18">
        <f>IF(AND(ISNUMBER(E1094),ISNUMBER(N1094)),E1094-N1094,NA())</f>
        <v/>
      </c>
      <c r="P1094" s="17">
        <f>IF(NOT(ISNUMBER($A1094)),NA(),IF(OR($A1094&lt;MIN(KW_TP!$A$2:$A$2501),$A1094&gt;MAX(KW_TP!$A$2:$A$2501)),NA(),INDEX(KW_TP!$C$2:$C$2501,MATCH($A1094,KW_TP!$A$2:$A$2501,1))))</f>
        <v/>
      </c>
    </row>
    <row r="1095">
      <c r="A1095" s="15">
        <f>IF(ISNUMBER(BBG_Data!A1095),BBG_Data!A1095,"")</f>
        <v/>
      </c>
      <c r="B1095" s="16">
        <f>IF(AND(ISNUMBER($A1095),ISNUMBER(BBG_Data!B1095)),BBG_Data!B1095,NA())</f>
        <v/>
      </c>
      <c r="C1095" s="16">
        <f>IF(AND(ISNUMBER($A1095),ISNUMBER(BBG_Data!C1095)),BBG_Data!C1095,NA())</f>
        <v/>
      </c>
      <c r="D1095" s="17">
        <f>IF(AND(ISNUMBER($A1095),ISNUMBER(BBG_Data!D1095)),BBG_Data!D1095,NA())</f>
        <v/>
      </c>
      <c r="E1095" s="17">
        <f>IF(AND(ISNUMBER($A1095),ISNUMBER(BBG_Data!E1095)),BBG_Data!E1095,NA())</f>
        <v/>
      </c>
      <c r="F1095" s="18">
        <f>IF(AND(ISNUMBER(B1095),ISNUMBER(B1094)),(B1095-B1094)*100,"")</f>
        <v/>
      </c>
      <c r="G1095" s="18">
        <f>IF(AND(ISNUMBER(C1095),ISNUMBER(C1094)),(C1095-C1094)*100,"")</f>
        <v/>
      </c>
      <c r="H1095" s="18">
        <f>IF(OR(NOT(ISNUMBER($A1095)),ROW()-2&lt;Settings!$B$11),NA(),IF(COUNT(OFFSET(F1095,1-Settings!$B$11,0,Settings!$B$11,1))&lt;Settings!$B$11,NA(),STDEV(OFFSET(F1095,1-Settings!$B$11,0,Settings!$B$11,1))*SQRT(Settings!$B$13)))</f>
        <v/>
      </c>
      <c r="I1095" s="18">
        <f>IF(OR(NOT(ISNUMBER($A1095)),ROW()-2&lt;Settings!$B$12),NA(),IF(COUNT(OFFSET(F1095,1-Settings!$B$12,0,Settings!$B$12,1))&lt;Settings!$B$12,NA(),STDEV(OFFSET(F1095,1-Settings!$B$12,0,Settings!$B$12,1))*SQRT(Settings!$B$13)))</f>
        <v/>
      </c>
      <c r="J1095" s="18">
        <f>IF(OR(NOT(ISNUMBER($A1095)),ROW()-2&lt;Settings!$B$11),NA(),IF(COUNT(OFFSET(G1095,1-Settings!$B$11,0,Settings!$B$11,1))&lt;Settings!$B$11,NA(),STDEV(OFFSET(G1095,1-Settings!$B$11,0,Settings!$B$11,1))*SQRT(Settings!$B$13)))</f>
        <v/>
      </c>
      <c r="K1095" s="18">
        <f>IF(OR(NOT(ISNUMBER($A1095)),ROW()-2&lt;Settings!$B$12),NA(),IF(COUNT(OFFSET(G1095,1-Settings!$B$12,0,Settings!$B$12,1))&lt;Settings!$B$12,NA(),STDEV(OFFSET(G1095,1-Settings!$B$12,0,Settings!$B$12,1))*SQRT(Settings!$B$13)))</f>
        <v/>
      </c>
      <c r="L1095" s="18">
        <f>IF(AND(ISNUMBER(D1095),ISNUMBER(H1095)),D1095-H1095,NA())</f>
        <v/>
      </c>
      <c r="M1095" s="18">
        <f>IF(AND(ISNUMBER(E1095),ISNUMBER(K1095)),E1095-K1095,NA())</f>
        <v/>
      </c>
      <c r="N1095" s="18">
        <f>IF(NOT(ISNUMBER($A1095)),NA(),IF(COUNT(OFFSET(G1095,1,0,Settings!$B$12,1))&lt;Settings!$B$12,NA(),STDEV(OFFSET(G1095,1,0,Settings!$B$12,1))*SQRT(Settings!$B$13)))</f>
        <v/>
      </c>
      <c r="O1095" s="18">
        <f>IF(AND(ISNUMBER(E1095),ISNUMBER(N1095)),E1095-N1095,NA())</f>
        <v/>
      </c>
      <c r="P1095" s="17">
        <f>IF(NOT(ISNUMBER($A1095)),NA(),IF(OR($A1095&lt;MIN(KW_TP!$A$2:$A$2501),$A1095&gt;MAX(KW_TP!$A$2:$A$2501)),NA(),INDEX(KW_TP!$C$2:$C$2501,MATCH($A1095,KW_TP!$A$2:$A$2501,1))))</f>
        <v/>
      </c>
    </row>
    <row r="1096">
      <c r="A1096" s="15">
        <f>IF(ISNUMBER(BBG_Data!A1096),BBG_Data!A1096,"")</f>
        <v/>
      </c>
      <c r="B1096" s="16">
        <f>IF(AND(ISNUMBER($A1096),ISNUMBER(BBG_Data!B1096)),BBG_Data!B1096,NA())</f>
        <v/>
      </c>
      <c r="C1096" s="16">
        <f>IF(AND(ISNUMBER($A1096),ISNUMBER(BBG_Data!C1096)),BBG_Data!C1096,NA())</f>
        <v/>
      </c>
      <c r="D1096" s="17">
        <f>IF(AND(ISNUMBER($A1096),ISNUMBER(BBG_Data!D1096)),BBG_Data!D1096,NA())</f>
        <v/>
      </c>
      <c r="E1096" s="17">
        <f>IF(AND(ISNUMBER($A1096),ISNUMBER(BBG_Data!E1096)),BBG_Data!E1096,NA())</f>
        <v/>
      </c>
      <c r="F1096" s="18">
        <f>IF(AND(ISNUMBER(B1096),ISNUMBER(B1095)),(B1096-B1095)*100,"")</f>
        <v/>
      </c>
      <c r="G1096" s="18">
        <f>IF(AND(ISNUMBER(C1096),ISNUMBER(C1095)),(C1096-C1095)*100,"")</f>
        <v/>
      </c>
      <c r="H1096" s="18">
        <f>IF(OR(NOT(ISNUMBER($A1096)),ROW()-2&lt;Settings!$B$11),NA(),IF(COUNT(OFFSET(F1096,1-Settings!$B$11,0,Settings!$B$11,1))&lt;Settings!$B$11,NA(),STDEV(OFFSET(F1096,1-Settings!$B$11,0,Settings!$B$11,1))*SQRT(Settings!$B$13)))</f>
        <v/>
      </c>
      <c r="I1096" s="18">
        <f>IF(OR(NOT(ISNUMBER($A1096)),ROW()-2&lt;Settings!$B$12),NA(),IF(COUNT(OFFSET(F1096,1-Settings!$B$12,0,Settings!$B$12,1))&lt;Settings!$B$12,NA(),STDEV(OFFSET(F1096,1-Settings!$B$12,0,Settings!$B$12,1))*SQRT(Settings!$B$13)))</f>
        <v/>
      </c>
      <c r="J1096" s="18">
        <f>IF(OR(NOT(ISNUMBER($A1096)),ROW()-2&lt;Settings!$B$11),NA(),IF(COUNT(OFFSET(G1096,1-Settings!$B$11,0,Settings!$B$11,1))&lt;Settings!$B$11,NA(),STDEV(OFFSET(G1096,1-Settings!$B$11,0,Settings!$B$11,1))*SQRT(Settings!$B$13)))</f>
        <v/>
      </c>
      <c r="K1096" s="18">
        <f>IF(OR(NOT(ISNUMBER($A1096)),ROW()-2&lt;Settings!$B$12),NA(),IF(COUNT(OFFSET(G1096,1-Settings!$B$12,0,Settings!$B$12,1))&lt;Settings!$B$12,NA(),STDEV(OFFSET(G1096,1-Settings!$B$12,0,Settings!$B$12,1))*SQRT(Settings!$B$13)))</f>
        <v/>
      </c>
      <c r="L1096" s="18">
        <f>IF(AND(ISNUMBER(D1096),ISNUMBER(H1096)),D1096-H1096,NA())</f>
        <v/>
      </c>
      <c r="M1096" s="18">
        <f>IF(AND(ISNUMBER(E1096),ISNUMBER(K1096)),E1096-K1096,NA())</f>
        <v/>
      </c>
      <c r="N1096" s="18">
        <f>IF(NOT(ISNUMBER($A1096)),NA(),IF(COUNT(OFFSET(G1096,1,0,Settings!$B$12,1))&lt;Settings!$B$12,NA(),STDEV(OFFSET(G1096,1,0,Settings!$B$12,1))*SQRT(Settings!$B$13)))</f>
        <v/>
      </c>
      <c r="O1096" s="18">
        <f>IF(AND(ISNUMBER(E1096),ISNUMBER(N1096)),E1096-N1096,NA())</f>
        <v/>
      </c>
      <c r="P1096" s="17">
        <f>IF(NOT(ISNUMBER($A1096)),NA(),IF(OR($A1096&lt;MIN(KW_TP!$A$2:$A$2501),$A1096&gt;MAX(KW_TP!$A$2:$A$2501)),NA(),INDEX(KW_TP!$C$2:$C$2501,MATCH($A1096,KW_TP!$A$2:$A$2501,1))))</f>
        <v/>
      </c>
    </row>
    <row r="1097">
      <c r="A1097" s="15">
        <f>IF(ISNUMBER(BBG_Data!A1097),BBG_Data!A1097,"")</f>
        <v/>
      </c>
      <c r="B1097" s="16">
        <f>IF(AND(ISNUMBER($A1097),ISNUMBER(BBG_Data!B1097)),BBG_Data!B1097,NA())</f>
        <v/>
      </c>
      <c r="C1097" s="16">
        <f>IF(AND(ISNUMBER($A1097),ISNUMBER(BBG_Data!C1097)),BBG_Data!C1097,NA())</f>
        <v/>
      </c>
      <c r="D1097" s="17">
        <f>IF(AND(ISNUMBER($A1097),ISNUMBER(BBG_Data!D1097)),BBG_Data!D1097,NA())</f>
        <v/>
      </c>
      <c r="E1097" s="17">
        <f>IF(AND(ISNUMBER($A1097),ISNUMBER(BBG_Data!E1097)),BBG_Data!E1097,NA())</f>
        <v/>
      </c>
      <c r="F1097" s="18">
        <f>IF(AND(ISNUMBER(B1097),ISNUMBER(B1096)),(B1097-B1096)*100,"")</f>
        <v/>
      </c>
      <c r="G1097" s="18">
        <f>IF(AND(ISNUMBER(C1097),ISNUMBER(C1096)),(C1097-C1096)*100,"")</f>
        <v/>
      </c>
      <c r="H1097" s="18">
        <f>IF(OR(NOT(ISNUMBER($A1097)),ROW()-2&lt;Settings!$B$11),NA(),IF(COUNT(OFFSET(F1097,1-Settings!$B$11,0,Settings!$B$11,1))&lt;Settings!$B$11,NA(),STDEV(OFFSET(F1097,1-Settings!$B$11,0,Settings!$B$11,1))*SQRT(Settings!$B$13)))</f>
        <v/>
      </c>
      <c r="I1097" s="18">
        <f>IF(OR(NOT(ISNUMBER($A1097)),ROW()-2&lt;Settings!$B$12),NA(),IF(COUNT(OFFSET(F1097,1-Settings!$B$12,0,Settings!$B$12,1))&lt;Settings!$B$12,NA(),STDEV(OFFSET(F1097,1-Settings!$B$12,0,Settings!$B$12,1))*SQRT(Settings!$B$13)))</f>
        <v/>
      </c>
      <c r="J1097" s="18">
        <f>IF(OR(NOT(ISNUMBER($A1097)),ROW()-2&lt;Settings!$B$11),NA(),IF(COUNT(OFFSET(G1097,1-Settings!$B$11,0,Settings!$B$11,1))&lt;Settings!$B$11,NA(),STDEV(OFFSET(G1097,1-Settings!$B$11,0,Settings!$B$11,1))*SQRT(Settings!$B$13)))</f>
        <v/>
      </c>
      <c r="K1097" s="18">
        <f>IF(OR(NOT(ISNUMBER($A1097)),ROW()-2&lt;Settings!$B$12),NA(),IF(COUNT(OFFSET(G1097,1-Settings!$B$12,0,Settings!$B$12,1))&lt;Settings!$B$12,NA(),STDEV(OFFSET(G1097,1-Settings!$B$12,0,Settings!$B$12,1))*SQRT(Settings!$B$13)))</f>
        <v/>
      </c>
      <c r="L1097" s="18">
        <f>IF(AND(ISNUMBER(D1097),ISNUMBER(H1097)),D1097-H1097,NA())</f>
        <v/>
      </c>
      <c r="M1097" s="18">
        <f>IF(AND(ISNUMBER(E1097),ISNUMBER(K1097)),E1097-K1097,NA())</f>
        <v/>
      </c>
      <c r="N1097" s="18">
        <f>IF(NOT(ISNUMBER($A1097)),NA(),IF(COUNT(OFFSET(G1097,1,0,Settings!$B$12,1))&lt;Settings!$B$12,NA(),STDEV(OFFSET(G1097,1,0,Settings!$B$12,1))*SQRT(Settings!$B$13)))</f>
        <v/>
      </c>
      <c r="O1097" s="18">
        <f>IF(AND(ISNUMBER(E1097),ISNUMBER(N1097)),E1097-N1097,NA())</f>
        <v/>
      </c>
      <c r="P1097" s="17">
        <f>IF(NOT(ISNUMBER($A1097)),NA(),IF(OR($A1097&lt;MIN(KW_TP!$A$2:$A$2501),$A1097&gt;MAX(KW_TP!$A$2:$A$2501)),NA(),INDEX(KW_TP!$C$2:$C$2501,MATCH($A1097,KW_TP!$A$2:$A$2501,1))))</f>
        <v/>
      </c>
    </row>
    <row r="1098">
      <c r="A1098" s="15">
        <f>IF(ISNUMBER(BBG_Data!A1098),BBG_Data!A1098,"")</f>
        <v/>
      </c>
      <c r="B1098" s="16">
        <f>IF(AND(ISNUMBER($A1098),ISNUMBER(BBG_Data!B1098)),BBG_Data!B1098,NA())</f>
        <v/>
      </c>
      <c r="C1098" s="16">
        <f>IF(AND(ISNUMBER($A1098),ISNUMBER(BBG_Data!C1098)),BBG_Data!C1098,NA())</f>
        <v/>
      </c>
      <c r="D1098" s="17">
        <f>IF(AND(ISNUMBER($A1098),ISNUMBER(BBG_Data!D1098)),BBG_Data!D1098,NA())</f>
        <v/>
      </c>
      <c r="E1098" s="17">
        <f>IF(AND(ISNUMBER($A1098),ISNUMBER(BBG_Data!E1098)),BBG_Data!E1098,NA())</f>
        <v/>
      </c>
      <c r="F1098" s="18">
        <f>IF(AND(ISNUMBER(B1098),ISNUMBER(B1097)),(B1098-B1097)*100,"")</f>
        <v/>
      </c>
      <c r="G1098" s="18">
        <f>IF(AND(ISNUMBER(C1098),ISNUMBER(C1097)),(C1098-C1097)*100,"")</f>
        <v/>
      </c>
      <c r="H1098" s="18">
        <f>IF(OR(NOT(ISNUMBER($A1098)),ROW()-2&lt;Settings!$B$11),NA(),IF(COUNT(OFFSET(F1098,1-Settings!$B$11,0,Settings!$B$11,1))&lt;Settings!$B$11,NA(),STDEV(OFFSET(F1098,1-Settings!$B$11,0,Settings!$B$11,1))*SQRT(Settings!$B$13)))</f>
        <v/>
      </c>
      <c r="I1098" s="18">
        <f>IF(OR(NOT(ISNUMBER($A1098)),ROW()-2&lt;Settings!$B$12),NA(),IF(COUNT(OFFSET(F1098,1-Settings!$B$12,0,Settings!$B$12,1))&lt;Settings!$B$12,NA(),STDEV(OFFSET(F1098,1-Settings!$B$12,0,Settings!$B$12,1))*SQRT(Settings!$B$13)))</f>
        <v/>
      </c>
      <c r="J1098" s="18">
        <f>IF(OR(NOT(ISNUMBER($A1098)),ROW()-2&lt;Settings!$B$11),NA(),IF(COUNT(OFFSET(G1098,1-Settings!$B$11,0,Settings!$B$11,1))&lt;Settings!$B$11,NA(),STDEV(OFFSET(G1098,1-Settings!$B$11,0,Settings!$B$11,1))*SQRT(Settings!$B$13)))</f>
        <v/>
      </c>
      <c r="K1098" s="18">
        <f>IF(OR(NOT(ISNUMBER($A1098)),ROW()-2&lt;Settings!$B$12),NA(),IF(COUNT(OFFSET(G1098,1-Settings!$B$12,0,Settings!$B$12,1))&lt;Settings!$B$12,NA(),STDEV(OFFSET(G1098,1-Settings!$B$12,0,Settings!$B$12,1))*SQRT(Settings!$B$13)))</f>
        <v/>
      </c>
      <c r="L1098" s="18">
        <f>IF(AND(ISNUMBER(D1098),ISNUMBER(H1098)),D1098-H1098,NA())</f>
        <v/>
      </c>
      <c r="M1098" s="18">
        <f>IF(AND(ISNUMBER(E1098),ISNUMBER(K1098)),E1098-K1098,NA())</f>
        <v/>
      </c>
      <c r="N1098" s="18">
        <f>IF(NOT(ISNUMBER($A1098)),NA(),IF(COUNT(OFFSET(G1098,1,0,Settings!$B$12,1))&lt;Settings!$B$12,NA(),STDEV(OFFSET(G1098,1,0,Settings!$B$12,1))*SQRT(Settings!$B$13)))</f>
        <v/>
      </c>
      <c r="O1098" s="18">
        <f>IF(AND(ISNUMBER(E1098),ISNUMBER(N1098)),E1098-N1098,NA())</f>
        <v/>
      </c>
      <c r="P1098" s="17">
        <f>IF(NOT(ISNUMBER($A1098)),NA(),IF(OR($A1098&lt;MIN(KW_TP!$A$2:$A$2501),$A1098&gt;MAX(KW_TP!$A$2:$A$2501)),NA(),INDEX(KW_TP!$C$2:$C$2501,MATCH($A1098,KW_TP!$A$2:$A$2501,1))))</f>
        <v/>
      </c>
    </row>
    <row r="1099">
      <c r="A1099" s="15">
        <f>IF(ISNUMBER(BBG_Data!A1099),BBG_Data!A1099,"")</f>
        <v/>
      </c>
      <c r="B1099" s="16">
        <f>IF(AND(ISNUMBER($A1099),ISNUMBER(BBG_Data!B1099)),BBG_Data!B1099,NA())</f>
        <v/>
      </c>
      <c r="C1099" s="16">
        <f>IF(AND(ISNUMBER($A1099),ISNUMBER(BBG_Data!C1099)),BBG_Data!C1099,NA())</f>
        <v/>
      </c>
      <c r="D1099" s="17">
        <f>IF(AND(ISNUMBER($A1099),ISNUMBER(BBG_Data!D1099)),BBG_Data!D1099,NA())</f>
        <v/>
      </c>
      <c r="E1099" s="17">
        <f>IF(AND(ISNUMBER($A1099),ISNUMBER(BBG_Data!E1099)),BBG_Data!E1099,NA())</f>
        <v/>
      </c>
      <c r="F1099" s="18">
        <f>IF(AND(ISNUMBER(B1099),ISNUMBER(B1098)),(B1099-B1098)*100,"")</f>
        <v/>
      </c>
      <c r="G1099" s="18">
        <f>IF(AND(ISNUMBER(C1099),ISNUMBER(C1098)),(C1099-C1098)*100,"")</f>
        <v/>
      </c>
      <c r="H1099" s="18">
        <f>IF(OR(NOT(ISNUMBER($A1099)),ROW()-2&lt;Settings!$B$11),NA(),IF(COUNT(OFFSET(F1099,1-Settings!$B$11,0,Settings!$B$11,1))&lt;Settings!$B$11,NA(),STDEV(OFFSET(F1099,1-Settings!$B$11,0,Settings!$B$11,1))*SQRT(Settings!$B$13)))</f>
        <v/>
      </c>
      <c r="I1099" s="18">
        <f>IF(OR(NOT(ISNUMBER($A1099)),ROW()-2&lt;Settings!$B$12),NA(),IF(COUNT(OFFSET(F1099,1-Settings!$B$12,0,Settings!$B$12,1))&lt;Settings!$B$12,NA(),STDEV(OFFSET(F1099,1-Settings!$B$12,0,Settings!$B$12,1))*SQRT(Settings!$B$13)))</f>
        <v/>
      </c>
      <c r="J1099" s="18">
        <f>IF(OR(NOT(ISNUMBER($A1099)),ROW()-2&lt;Settings!$B$11),NA(),IF(COUNT(OFFSET(G1099,1-Settings!$B$11,0,Settings!$B$11,1))&lt;Settings!$B$11,NA(),STDEV(OFFSET(G1099,1-Settings!$B$11,0,Settings!$B$11,1))*SQRT(Settings!$B$13)))</f>
        <v/>
      </c>
      <c r="K1099" s="18">
        <f>IF(OR(NOT(ISNUMBER($A1099)),ROW()-2&lt;Settings!$B$12),NA(),IF(COUNT(OFFSET(G1099,1-Settings!$B$12,0,Settings!$B$12,1))&lt;Settings!$B$12,NA(),STDEV(OFFSET(G1099,1-Settings!$B$12,0,Settings!$B$12,1))*SQRT(Settings!$B$13)))</f>
        <v/>
      </c>
      <c r="L1099" s="18">
        <f>IF(AND(ISNUMBER(D1099),ISNUMBER(H1099)),D1099-H1099,NA())</f>
        <v/>
      </c>
      <c r="M1099" s="18">
        <f>IF(AND(ISNUMBER(E1099),ISNUMBER(K1099)),E1099-K1099,NA())</f>
        <v/>
      </c>
      <c r="N1099" s="18">
        <f>IF(NOT(ISNUMBER($A1099)),NA(),IF(COUNT(OFFSET(G1099,1,0,Settings!$B$12,1))&lt;Settings!$B$12,NA(),STDEV(OFFSET(G1099,1,0,Settings!$B$12,1))*SQRT(Settings!$B$13)))</f>
        <v/>
      </c>
      <c r="O1099" s="18">
        <f>IF(AND(ISNUMBER(E1099),ISNUMBER(N1099)),E1099-N1099,NA())</f>
        <v/>
      </c>
      <c r="P1099" s="17">
        <f>IF(NOT(ISNUMBER($A1099)),NA(),IF(OR($A1099&lt;MIN(KW_TP!$A$2:$A$2501),$A1099&gt;MAX(KW_TP!$A$2:$A$2501)),NA(),INDEX(KW_TP!$C$2:$C$2501,MATCH($A1099,KW_TP!$A$2:$A$2501,1))))</f>
        <v/>
      </c>
    </row>
    <row r="1100">
      <c r="A1100" s="15">
        <f>IF(ISNUMBER(BBG_Data!A1100),BBG_Data!A1100,"")</f>
        <v/>
      </c>
      <c r="B1100" s="16">
        <f>IF(AND(ISNUMBER($A1100),ISNUMBER(BBG_Data!B1100)),BBG_Data!B1100,NA())</f>
        <v/>
      </c>
      <c r="C1100" s="16">
        <f>IF(AND(ISNUMBER($A1100),ISNUMBER(BBG_Data!C1100)),BBG_Data!C1100,NA())</f>
        <v/>
      </c>
      <c r="D1100" s="17">
        <f>IF(AND(ISNUMBER($A1100),ISNUMBER(BBG_Data!D1100)),BBG_Data!D1100,NA())</f>
        <v/>
      </c>
      <c r="E1100" s="17">
        <f>IF(AND(ISNUMBER($A1100),ISNUMBER(BBG_Data!E1100)),BBG_Data!E1100,NA())</f>
        <v/>
      </c>
      <c r="F1100" s="18">
        <f>IF(AND(ISNUMBER(B1100),ISNUMBER(B1099)),(B1100-B1099)*100,"")</f>
        <v/>
      </c>
      <c r="G1100" s="18">
        <f>IF(AND(ISNUMBER(C1100),ISNUMBER(C1099)),(C1100-C1099)*100,"")</f>
        <v/>
      </c>
      <c r="H1100" s="18">
        <f>IF(OR(NOT(ISNUMBER($A1100)),ROW()-2&lt;Settings!$B$11),NA(),IF(COUNT(OFFSET(F1100,1-Settings!$B$11,0,Settings!$B$11,1))&lt;Settings!$B$11,NA(),STDEV(OFFSET(F1100,1-Settings!$B$11,0,Settings!$B$11,1))*SQRT(Settings!$B$13)))</f>
        <v/>
      </c>
      <c r="I1100" s="18">
        <f>IF(OR(NOT(ISNUMBER($A1100)),ROW()-2&lt;Settings!$B$12),NA(),IF(COUNT(OFFSET(F1100,1-Settings!$B$12,0,Settings!$B$12,1))&lt;Settings!$B$12,NA(),STDEV(OFFSET(F1100,1-Settings!$B$12,0,Settings!$B$12,1))*SQRT(Settings!$B$13)))</f>
        <v/>
      </c>
      <c r="J1100" s="18">
        <f>IF(OR(NOT(ISNUMBER($A1100)),ROW()-2&lt;Settings!$B$11),NA(),IF(COUNT(OFFSET(G1100,1-Settings!$B$11,0,Settings!$B$11,1))&lt;Settings!$B$11,NA(),STDEV(OFFSET(G1100,1-Settings!$B$11,0,Settings!$B$11,1))*SQRT(Settings!$B$13)))</f>
        <v/>
      </c>
      <c r="K1100" s="18">
        <f>IF(OR(NOT(ISNUMBER($A1100)),ROW()-2&lt;Settings!$B$12),NA(),IF(COUNT(OFFSET(G1100,1-Settings!$B$12,0,Settings!$B$12,1))&lt;Settings!$B$12,NA(),STDEV(OFFSET(G1100,1-Settings!$B$12,0,Settings!$B$12,1))*SQRT(Settings!$B$13)))</f>
        <v/>
      </c>
      <c r="L1100" s="18">
        <f>IF(AND(ISNUMBER(D1100),ISNUMBER(H1100)),D1100-H1100,NA())</f>
        <v/>
      </c>
      <c r="M1100" s="18">
        <f>IF(AND(ISNUMBER(E1100),ISNUMBER(K1100)),E1100-K1100,NA())</f>
        <v/>
      </c>
      <c r="N1100" s="18">
        <f>IF(NOT(ISNUMBER($A1100)),NA(),IF(COUNT(OFFSET(G1100,1,0,Settings!$B$12,1))&lt;Settings!$B$12,NA(),STDEV(OFFSET(G1100,1,0,Settings!$B$12,1))*SQRT(Settings!$B$13)))</f>
        <v/>
      </c>
      <c r="O1100" s="18">
        <f>IF(AND(ISNUMBER(E1100),ISNUMBER(N1100)),E1100-N1100,NA())</f>
        <v/>
      </c>
      <c r="P1100" s="17">
        <f>IF(NOT(ISNUMBER($A1100)),NA(),IF(OR($A1100&lt;MIN(KW_TP!$A$2:$A$2501),$A1100&gt;MAX(KW_TP!$A$2:$A$2501)),NA(),INDEX(KW_TP!$C$2:$C$2501,MATCH($A1100,KW_TP!$A$2:$A$2501,1))))</f>
        <v/>
      </c>
    </row>
    <row r="1101">
      <c r="A1101" s="15">
        <f>IF(ISNUMBER(BBG_Data!A1101),BBG_Data!A1101,"")</f>
        <v/>
      </c>
      <c r="B1101" s="16">
        <f>IF(AND(ISNUMBER($A1101),ISNUMBER(BBG_Data!B1101)),BBG_Data!B1101,NA())</f>
        <v/>
      </c>
      <c r="C1101" s="16">
        <f>IF(AND(ISNUMBER($A1101),ISNUMBER(BBG_Data!C1101)),BBG_Data!C1101,NA())</f>
        <v/>
      </c>
      <c r="D1101" s="17">
        <f>IF(AND(ISNUMBER($A1101),ISNUMBER(BBG_Data!D1101)),BBG_Data!D1101,NA())</f>
        <v/>
      </c>
      <c r="E1101" s="17">
        <f>IF(AND(ISNUMBER($A1101),ISNUMBER(BBG_Data!E1101)),BBG_Data!E1101,NA())</f>
        <v/>
      </c>
      <c r="F1101" s="18">
        <f>IF(AND(ISNUMBER(B1101),ISNUMBER(B1100)),(B1101-B1100)*100,"")</f>
        <v/>
      </c>
      <c r="G1101" s="18">
        <f>IF(AND(ISNUMBER(C1101),ISNUMBER(C1100)),(C1101-C1100)*100,"")</f>
        <v/>
      </c>
      <c r="H1101" s="18">
        <f>IF(OR(NOT(ISNUMBER($A1101)),ROW()-2&lt;Settings!$B$11),NA(),IF(COUNT(OFFSET(F1101,1-Settings!$B$11,0,Settings!$B$11,1))&lt;Settings!$B$11,NA(),STDEV(OFFSET(F1101,1-Settings!$B$11,0,Settings!$B$11,1))*SQRT(Settings!$B$13)))</f>
        <v/>
      </c>
      <c r="I1101" s="18">
        <f>IF(OR(NOT(ISNUMBER($A1101)),ROW()-2&lt;Settings!$B$12),NA(),IF(COUNT(OFFSET(F1101,1-Settings!$B$12,0,Settings!$B$12,1))&lt;Settings!$B$12,NA(),STDEV(OFFSET(F1101,1-Settings!$B$12,0,Settings!$B$12,1))*SQRT(Settings!$B$13)))</f>
        <v/>
      </c>
      <c r="J1101" s="18">
        <f>IF(OR(NOT(ISNUMBER($A1101)),ROW()-2&lt;Settings!$B$11),NA(),IF(COUNT(OFFSET(G1101,1-Settings!$B$11,0,Settings!$B$11,1))&lt;Settings!$B$11,NA(),STDEV(OFFSET(G1101,1-Settings!$B$11,0,Settings!$B$11,1))*SQRT(Settings!$B$13)))</f>
        <v/>
      </c>
      <c r="K1101" s="18">
        <f>IF(OR(NOT(ISNUMBER($A1101)),ROW()-2&lt;Settings!$B$12),NA(),IF(COUNT(OFFSET(G1101,1-Settings!$B$12,0,Settings!$B$12,1))&lt;Settings!$B$12,NA(),STDEV(OFFSET(G1101,1-Settings!$B$12,0,Settings!$B$12,1))*SQRT(Settings!$B$13)))</f>
        <v/>
      </c>
      <c r="L1101" s="18">
        <f>IF(AND(ISNUMBER(D1101),ISNUMBER(H1101)),D1101-H1101,NA())</f>
        <v/>
      </c>
      <c r="M1101" s="18">
        <f>IF(AND(ISNUMBER(E1101),ISNUMBER(K1101)),E1101-K1101,NA())</f>
        <v/>
      </c>
      <c r="N1101" s="18">
        <f>IF(NOT(ISNUMBER($A1101)),NA(),IF(COUNT(OFFSET(G1101,1,0,Settings!$B$12,1))&lt;Settings!$B$12,NA(),STDEV(OFFSET(G1101,1,0,Settings!$B$12,1))*SQRT(Settings!$B$13)))</f>
        <v/>
      </c>
      <c r="O1101" s="18">
        <f>IF(AND(ISNUMBER(E1101),ISNUMBER(N1101)),E1101-N1101,NA())</f>
        <v/>
      </c>
      <c r="P1101" s="17">
        <f>IF(NOT(ISNUMBER($A1101)),NA(),IF(OR($A1101&lt;MIN(KW_TP!$A$2:$A$2501),$A1101&gt;MAX(KW_TP!$A$2:$A$2501)),NA(),INDEX(KW_TP!$C$2:$C$2501,MATCH($A1101,KW_TP!$A$2:$A$2501,1))))</f>
        <v/>
      </c>
    </row>
    <row r="1102">
      <c r="A1102" s="15">
        <f>IF(ISNUMBER(BBG_Data!A1102),BBG_Data!A1102,"")</f>
        <v/>
      </c>
      <c r="B1102" s="16">
        <f>IF(AND(ISNUMBER($A1102),ISNUMBER(BBG_Data!B1102)),BBG_Data!B1102,NA())</f>
        <v/>
      </c>
      <c r="C1102" s="16">
        <f>IF(AND(ISNUMBER($A1102),ISNUMBER(BBG_Data!C1102)),BBG_Data!C1102,NA())</f>
        <v/>
      </c>
      <c r="D1102" s="17">
        <f>IF(AND(ISNUMBER($A1102),ISNUMBER(BBG_Data!D1102)),BBG_Data!D1102,NA())</f>
        <v/>
      </c>
      <c r="E1102" s="17">
        <f>IF(AND(ISNUMBER($A1102),ISNUMBER(BBG_Data!E1102)),BBG_Data!E1102,NA())</f>
        <v/>
      </c>
      <c r="F1102" s="18">
        <f>IF(AND(ISNUMBER(B1102),ISNUMBER(B1101)),(B1102-B1101)*100,"")</f>
        <v/>
      </c>
      <c r="G1102" s="18">
        <f>IF(AND(ISNUMBER(C1102),ISNUMBER(C1101)),(C1102-C1101)*100,"")</f>
        <v/>
      </c>
      <c r="H1102" s="18">
        <f>IF(OR(NOT(ISNUMBER($A1102)),ROW()-2&lt;Settings!$B$11),NA(),IF(COUNT(OFFSET(F1102,1-Settings!$B$11,0,Settings!$B$11,1))&lt;Settings!$B$11,NA(),STDEV(OFFSET(F1102,1-Settings!$B$11,0,Settings!$B$11,1))*SQRT(Settings!$B$13)))</f>
        <v/>
      </c>
      <c r="I1102" s="18">
        <f>IF(OR(NOT(ISNUMBER($A1102)),ROW()-2&lt;Settings!$B$12),NA(),IF(COUNT(OFFSET(F1102,1-Settings!$B$12,0,Settings!$B$12,1))&lt;Settings!$B$12,NA(),STDEV(OFFSET(F1102,1-Settings!$B$12,0,Settings!$B$12,1))*SQRT(Settings!$B$13)))</f>
        <v/>
      </c>
      <c r="J1102" s="18">
        <f>IF(OR(NOT(ISNUMBER($A1102)),ROW()-2&lt;Settings!$B$11),NA(),IF(COUNT(OFFSET(G1102,1-Settings!$B$11,0,Settings!$B$11,1))&lt;Settings!$B$11,NA(),STDEV(OFFSET(G1102,1-Settings!$B$11,0,Settings!$B$11,1))*SQRT(Settings!$B$13)))</f>
        <v/>
      </c>
      <c r="K1102" s="18">
        <f>IF(OR(NOT(ISNUMBER($A1102)),ROW()-2&lt;Settings!$B$12),NA(),IF(COUNT(OFFSET(G1102,1-Settings!$B$12,0,Settings!$B$12,1))&lt;Settings!$B$12,NA(),STDEV(OFFSET(G1102,1-Settings!$B$12,0,Settings!$B$12,1))*SQRT(Settings!$B$13)))</f>
        <v/>
      </c>
      <c r="L1102" s="18">
        <f>IF(AND(ISNUMBER(D1102),ISNUMBER(H1102)),D1102-H1102,NA())</f>
        <v/>
      </c>
      <c r="M1102" s="18">
        <f>IF(AND(ISNUMBER(E1102),ISNUMBER(K1102)),E1102-K1102,NA())</f>
        <v/>
      </c>
      <c r="N1102" s="18">
        <f>IF(NOT(ISNUMBER($A1102)),NA(),IF(COUNT(OFFSET(G1102,1,0,Settings!$B$12,1))&lt;Settings!$B$12,NA(),STDEV(OFFSET(G1102,1,0,Settings!$B$12,1))*SQRT(Settings!$B$13)))</f>
        <v/>
      </c>
      <c r="O1102" s="18">
        <f>IF(AND(ISNUMBER(E1102),ISNUMBER(N1102)),E1102-N1102,NA())</f>
        <v/>
      </c>
      <c r="P1102" s="17">
        <f>IF(NOT(ISNUMBER($A1102)),NA(),IF(OR($A1102&lt;MIN(KW_TP!$A$2:$A$2501),$A1102&gt;MAX(KW_TP!$A$2:$A$2501)),NA(),INDEX(KW_TP!$C$2:$C$2501,MATCH($A1102,KW_TP!$A$2:$A$2501,1))))</f>
        <v/>
      </c>
    </row>
    <row r="1103">
      <c r="A1103" s="15">
        <f>IF(ISNUMBER(BBG_Data!A1103),BBG_Data!A1103,"")</f>
        <v/>
      </c>
      <c r="B1103" s="16">
        <f>IF(AND(ISNUMBER($A1103),ISNUMBER(BBG_Data!B1103)),BBG_Data!B1103,NA())</f>
        <v/>
      </c>
      <c r="C1103" s="16">
        <f>IF(AND(ISNUMBER($A1103),ISNUMBER(BBG_Data!C1103)),BBG_Data!C1103,NA())</f>
        <v/>
      </c>
      <c r="D1103" s="17">
        <f>IF(AND(ISNUMBER($A1103),ISNUMBER(BBG_Data!D1103)),BBG_Data!D1103,NA())</f>
        <v/>
      </c>
      <c r="E1103" s="17">
        <f>IF(AND(ISNUMBER($A1103),ISNUMBER(BBG_Data!E1103)),BBG_Data!E1103,NA())</f>
        <v/>
      </c>
      <c r="F1103" s="18">
        <f>IF(AND(ISNUMBER(B1103),ISNUMBER(B1102)),(B1103-B1102)*100,"")</f>
        <v/>
      </c>
      <c r="G1103" s="18">
        <f>IF(AND(ISNUMBER(C1103),ISNUMBER(C1102)),(C1103-C1102)*100,"")</f>
        <v/>
      </c>
      <c r="H1103" s="18">
        <f>IF(OR(NOT(ISNUMBER($A1103)),ROW()-2&lt;Settings!$B$11),NA(),IF(COUNT(OFFSET(F1103,1-Settings!$B$11,0,Settings!$B$11,1))&lt;Settings!$B$11,NA(),STDEV(OFFSET(F1103,1-Settings!$B$11,0,Settings!$B$11,1))*SQRT(Settings!$B$13)))</f>
        <v/>
      </c>
      <c r="I1103" s="18">
        <f>IF(OR(NOT(ISNUMBER($A1103)),ROW()-2&lt;Settings!$B$12),NA(),IF(COUNT(OFFSET(F1103,1-Settings!$B$12,0,Settings!$B$12,1))&lt;Settings!$B$12,NA(),STDEV(OFFSET(F1103,1-Settings!$B$12,0,Settings!$B$12,1))*SQRT(Settings!$B$13)))</f>
        <v/>
      </c>
      <c r="J1103" s="18">
        <f>IF(OR(NOT(ISNUMBER($A1103)),ROW()-2&lt;Settings!$B$11),NA(),IF(COUNT(OFFSET(G1103,1-Settings!$B$11,0,Settings!$B$11,1))&lt;Settings!$B$11,NA(),STDEV(OFFSET(G1103,1-Settings!$B$11,0,Settings!$B$11,1))*SQRT(Settings!$B$13)))</f>
        <v/>
      </c>
      <c r="K1103" s="18">
        <f>IF(OR(NOT(ISNUMBER($A1103)),ROW()-2&lt;Settings!$B$12),NA(),IF(COUNT(OFFSET(G1103,1-Settings!$B$12,0,Settings!$B$12,1))&lt;Settings!$B$12,NA(),STDEV(OFFSET(G1103,1-Settings!$B$12,0,Settings!$B$12,1))*SQRT(Settings!$B$13)))</f>
        <v/>
      </c>
      <c r="L1103" s="18">
        <f>IF(AND(ISNUMBER(D1103),ISNUMBER(H1103)),D1103-H1103,NA())</f>
        <v/>
      </c>
      <c r="M1103" s="18">
        <f>IF(AND(ISNUMBER(E1103),ISNUMBER(K1103)),E1103-K1103,NA())</f>
        <v/>
      </c>
      <c r="N1103" s="18">
        <f>IF(NOT(ISNUMBER($A1103)),NA(),IF(COUNT(OFFSET(G1103,1,0,Settings!$B$12,1))&lt;Settings!$B$12,NA(),STDEV(OFFSET(G1103,1,0,Settings!$B$12,1))*SQRT(Settings!$B$13)))</f>
        <v/>
      </c>
      <c r="O1103" s="18">
        <f>IF(AND(ISNUMBER(E1103),ISNUMBER(N1103)),E1103-N1103,NA())</f>
        <v/>
      </c>
      <c r="P1103" s="17">
        <f>IF(NOT(ISNUMBER($A1103)),NA(),IF(OR($A1103&lt;MIN(KW_TP!$A$2:$A$2501),$A1103&gt;MAX(KW_TP!$A$2:$A$2501)),NA(),INDEX(KW_TP!$C$2:$C$2501,MATCH($A1103,KW_TP!$A$2:$A$2501,1))))</f>
        <v/>
      </c>
    </row>
    <row r="1104">
      <c r="A1104" s="15">
        <f>IF(ISNUMBER(BBG_Data!A1104),BBG_Data!A1104,"")</f>
        <v/>
      </c>
      <c r="B1104" s="16">
        <f>IF(AND(ISNUMBER($A1104),ISNUMBER(BBG_Data!B1104)),BBG_Data!B1104,NA())</f>
        <v/>
      </c>
      <c r="C1104" s="16">
        <f>IF(AND(ISNUMBER($A1104),ISNUMBER(BBG_Data!C1104)),BBG_Data!C1104,NA())</f>
        <v/>
      </c>
      <c r="D1104" s="17">
        <f>IF(AND(ISNUMBER($A1104),ISNUMBER(BBG_Data!D1104)),BBG_Data!D1104,NA())</f>
        <v/>
      </c>
      <c r="E1104" s="17">
        <f>IF(AND(ISNUMBER($A1104),ISNUMBER(BBG_Data!E1104)),BBG_Data!E1104,NA())</f>
        <v/>
      </c>
      <c r="F1104" s="18">
        <f>IF(AND(ISNUMBER(B1104),ISNUMBER(B1103)),(B1104-B1103)*100,"")</f>
        <v/>
      </c>
      <c r="G1104" s="18">
        <f>IF(AND(ISNUMBER(C1104),ISNUMBER(C1103)),(C1104-C1103)*100,"")</f>
        <v/>
      </c>
      <c r="H1104" s="18">
        <f>IF(OR(NOT(ISNUMBER($A1104)),ROW()-2&lt;Settings!$B$11),NA(),IF(COUNT(OFFSET(F1104,1-Settings!$B$11,0,Settings!$B$11,1))&lt;Settings!$B$11,NA(),STDEV(OFFSET(F1104,1-Settings!$B$11,0,Settings!$B$11,1))*SQRT(Settings!$B$13)))</f>
        <v/>
      </c>
      <c r="I1104" s="18">
        <f>IF(OR(NOT(ISNUMBER($A1104)),ROW()-2&lt;Settings!$B$12),NA(),IF(COUNT(OFFSET(F1104,1-Settings!$B$12,0,Settings!$B$12,1))&lt;Settings!$B$12,NA(),STDEV(OFFSET(F1104,1-Settings!$B$12,0,Settings!$B$12,1))*SQRT(Settings!$B$13)))</f>
        <v/>
      </c>
      <c r="J1104" s="18">
        <f>IF(OR(NOT(ISNUMBER($A1104)),ROW()-2&lt;Settings!$B$11),NA(),IF(COUNT(OFFSET(G1104,1-Settings!$B$11,0,Settings!$B$11,1))&lt;Settings!$B$11,NA(),STDEV(OFFSET(G1104,1-Settings!$B$11,0,Settings!$B$11,1))*SQRT(Settings!$B$13)))</f>
        <v/>
      </c>
      <c r="K1104" s="18">
        <f>IF(OR(NOT(ISNUMBER($A1104)),ROW()-2&lt;Settings!$B$12),NA(),IF(COUNT(OFFSET(G1104,1-Settings!$B$12,0,Settings!$B$12,1))&lt;Settings!$B$12,NA(),STDEV(OFFSET(G1104,1-Settings!$B$12,0,Settings!$B$12,1))*SQRT(Settings!$B$13)))</f>
        <v/>
      </c>
      <c r="L1104" s="18">
        <f>IF(AND(ISNUMBER(D1104),ISNUMBER(H1104)),D1104-H1104,NA())</f>
        <v/>
      </c>
      <c r="M1104" s="18">
        <f>IF(AND(ISNUMBER(E1104),ISNUMBER(K1104)),E1104-K1104,NA())</f>
        <v/>
      </c>
      <c r="N1104" s="18">
        <f>IF(NOT(ISNUMBER($A1104)),NA(),IF(COUNT(OFFSET(G1104,1,0,Settings!$B$12,1))&lt;Settings!$B$12,NA(),STDEV(OFFSET(G1104,1,0,Settings!$B$12,1))*SQRT(Settings!$B$13)))</f>
        <v/>
      </c>
      <c r="O1104" s="18">
        <f>IF(AND(ISNUMBER(E1104),ISNUMBER(N1104)),E1104-N1104,NA())</f>
        <v/>
      </c>
      <c r="P1104" s="17">
        <f>IF(NOT(ISNUMBER($A1104)),NA(),IF(OR($A1104&lt;MIN(KW_TP!$A$2:$A$2501),$A1104&gt;MAX(KW_TP!$A$2:$A$2501)),NA(),INDEX(KW_TP!$C$2:$C$2501,MATCH($A1104,KW_TP!$A$2:$A$2501,1))))</f>
        <v/>
      </c>
    </row>
    <row r="1105">
      <c r="A1105" s="15">
        <f>IF(ISNUMBER(BBG_Data!A1105),BBG_Data!A1105,"")</f>
        <v/>
      </c>
      <c r="B1105" s="16">
        <f>IF(AND(ISNUMBER($A1105),ISNUMBER(BBG_Data!B1105)),BBG_Data!B1105,NA())</f>
        <v/>
      </c>
      <c r="C1105" s="16">
        <f>IF(AND(ISNUMBER($A1105),ISNUMBER(BBG_Data!C1105)),BBG_Data!C1105,NA())</f>
        <v/>
      </c>
      <c r="D1105" s="17">
        <f>IF(AND(ISNUMBER($A1105),ISNUMBER(BBG_Data!D1105)),BBG_Data!D1105,NA())</f>
        <v/>
      </c>
      <c r="E1105" s="17">
        <f>IF(AND(ISNUMBER($A1105),ISNUMBER(BBG_Data!E1105)),BBG_Data!E1105,NA())</f>
        <v/>
      </c>
      <c r="F1105" s="18">
        <f>IF(AND(ISNUMBER(B1105),ISNUMBER(B1104)),(B1105-B1104)*100,"")</f>
        <v/>
      </c>
      <c r="G1105" s="18">
        <f>IF(AND(ISNUMBER(C1105),ISNUMBER(C1104)),(C1105-C1104)*100,"")</f>
        <v/>
      </c>
      <c r="H1105" s="18">
        <f>IF(OR(NOT(ISNUMBER($A1105)),ROW()-2&lt;Settings!$B$11),NA(),IF(COUNT(OFFSET(F1105,1-Settings!$B$11,0,Settings!$B$11,1))&lt;Settings!$B$11,NA(),STDEV(OFFSET(F1105,1-Settings!$B$11,0,Settings!$B$11,1))*SQRT(Settings!$B$13)))</f>
        <v/>
      </c>
      <c r="I1105" s="18">
        <f>IF(OR(NOT(ISNUMBER($A1105)),ROW()-2&lt;Settings!$B$12),NA(),IF(COUNT(OFFSET(F1105,1-Settings!$B$12,0,Settings!$B$12,1))&lt;Settings!$B$12,NA(),STDEV(OFFSET(F1105,1-Settings!$B$12,0,Settings!$B$12,1))*SQRT(Settings!$B$13)))</f>
        <v/>
      </c>
      <c r="J1105" s="18">
        <f>IF(OR(NOT(ISNUMBER($A1105)),ROW()-2&lt;Settings!$B$11),NA(),IF(COUNT(OFFSET(G1105,1-Settings!$B$11,0,Settings!$B$11,1))&lt;Settings!$B$11,NA(),STDEV(OFFSET(G1105,1-Settings!$B$11,0,Settings!$B$11,1))*SQRT(Settings!$B$13)))</f>
        <v/>
      </c>
      <c r="K1105" s="18">
        <f>IF(OR(NOT(ISNUMBER($A1105)),ROW()-2&lt;Settings!$B$12),NA(),IF(COUNT(OFFSET(G1105,1-Settings!$B$12,0,Settings!$B$12,1))&lt;Settings!$B$12,NA(),STDEV(OFFSET(G1105,1-Settings!$B$12,0,Settings!$B$12,1))*SQRT(Settings!$B$13)))</f>
        <v/>
      </c>
      <c r="L1105" s="18">
        <f>IF(AND(ISNUMBER(D1105),ISNUMBER(H1105)),D1105-H1105,NA())</f>
        <v/>
      </c>
      <c r="M1105" s="18">
        <f>IF(AND(ISNUMBER(E1105),ISNUMBER(K1105)),E1105-K1105,NA())</f>
        <v/>
      </c>
      <c r="N1105" s="18">
        <f>IF(NOT(ISNUMBER($A1105)),NA(),IF(COUNT(OFFSET(G1105,1,0,Settings!$B$12,1))&lt;Settings!$B$12,NA(),STDEV(OFFSET(G1105,1,0,Settings!$B$12,1))*SQRT(Settings!$B$13)))</f>
        <v/>
      </c>
      <c r="O1105" s="18">
        <f>IF(AND(ISNUMBER(E1105),ISNUMBER(N1105)),E1105-N1105,NA())</f>
        <v/>
      </c>
      <c r="P1105" s="17">
        <f>IF(NOT(ISNUMBER($A1105)),NA(),IF(OR($A1105&lt;MIN(KW_TP!$A$2:$A$2501),$A1105&gt;MAX(KW_TP!$A$2:$A$2501)),NA(),INDEX(KW_TP!$C$2:$C$2501,MATCH($A1105,KW_TP!$A$2:$A$2501,1))))</f>
        <v/>
      </c>
    </row>
    <row r="1106">
      <c r="A1106" s="15">
        <f>IF(ISNUMBER(BBG_Data!A1106),BBG_Data!A1106,"")</f>
        <v/>
      </c>
      <c r="B1106" s="16">
        <f>IF(AND(ISNUMBER($A1106),ISNUMBER(BBG_Data!B1106)),BBG_Data!B1106,NA())</f>
        <v/>
      </c>
      <c r="C1106" s="16">
        <f>IF(AND(ISNUMBER($A1106),ISNUMBER(BBG_Data!C1106)),BBG_Data!C1106,NA())</f>
        <v/>
      </c>
      <c r="D1106" s="17">
        <f>IF(AND(ISNUMBER($A1106),ISNUMBER(BBG_Data!D1106)),BBG_Data!D1106,NA())</f>
        <v/>
      </c>
      <c r="E1106" s="17">
        <f>IF(AND(ISNUMBER($A1106),ISNUMBER(BBG_Data!E1106)),BBG_Data!E1106,NA())</f>
        <v/>
      </c>
      <c r="F1106" s="18">
        <f>IF(AND(ISNUMBER(B1106),ISNUMBER(B1105)),(B1106-B1105)*100,"")</f>
        <v/>
      </c>
      <c r="G1106" s="18">
        <f>IF(AND(ISNUMBER(C1106),ISNUMBER(C1105)),(C1106-C1105)*100,"")</f>
        <v/>
      </c>
      <c r="H1106" s="18">
        <f>IF(OR(NOT(ISNUMBER($A1106)),ROW()-2&lt;Settings!$B$11),NA(),IF(COUNT(OFFSET(F1106,1-Settings!$B$11,0,Settings!$B$11,1))&lt;Settings!$B$11,NA(),STDEV(OFFSET(F1106,1-Settings!$B$11,0,Settings!$B$11,1))*SQRT(Settings!$B$13)))</f>
        <v/>
      </c>
      <c r="I1106" s="18">
        <f>IF(OR(NOT(ISNUMBER($A1106)),ROW()-2&lt;Settings!$B$12),NA(),IF(COUNT(OFFSET(F1106,1-Settings!$B$12,0,Settings!$B$12,1))&lt;Settings!$B$12,NA(),STDEV(OFFSET(F1106,1-Settings!$B$12,0,Settings!$B$12,1))*SQRT(Settings!$B$13)))</f>
        <v/>
      </c>
      <c r="J1106" s="18">
        <f>IF(OR(NOT(ISNUMBER($A1106)),ROW()-2&lt;Settings!$B$11),NA(),IF(COUNT(OFFSET(G1106,1-Settings!$B$11,0,Settings!$B$11,1))&lt;Settings!$B$11,NA(),STDEV(OFFSET(G1106,1-Settings!$B$11,0,Settings!$B$11,1))*SQRT(Settings!$B$13)))</f>
        <v/>
      </c>
      <c r="K1106" s="18">
        <f>IF(OR(NOT(ISNUMBER($A1106)),ROW()-2&lt;Settings!$B$12),NA(),IF(COUNT(OFFSET(G1106,1-Settings!$B$12,0,Settings!$B$12,1))&lt;Settings!$B$12,NA(),STDEV(OFFSET(G1106,1-Settings!$B$12,0,Settings!$B$12,1))*SQRT(Settings!$B$13)))</f>
        <v/>
      </c>
      <c r="L1106" s="18">
        <f>IF(AND(ISNUMBER(D1106),ISNUMBER(H1106)),D1106-H1106,NA())</f>
        <v/>
      </c>
      <c r="M1106" s="18">
        <f>IF(AND(ISNUMBER(E1106),ISNUMBER(K1106)),E1106-K1106,NA())</f>
        <v/>
      </c>
      <c r="N1106" s="18">
        <f>IF(NOT(ISNUMBER($A1106)),NA(),IF(COUNT(OFFSET(G1106,1,0,Settings!$B$12,1))&lt;Settings!$B$12,NA(),STDEV(OFFSET(G1106,1,0,Settings!$B$12,1))*SQRT(Settings!$B$13)))</f>
        <v/>
      </c>
      <c r="O1106" s="18">
        <f>IF(AND(ISNUMBER(E1106),ISNUMBER(N1106)),E1106-N1106,NA())</f>
        <v/>
      </c>
      <c r="P1106" s="17">
        <f>IF(NOT(ISNUMBER($A1106)),NA(),IF(OR($A1106&lt;MIN(KW_TP!$A$2:$A$2501),$A1106&gt;MAX(KW_TP!$A$2:$A$2501)),NA(),INDEX(KW_TP!$C$2:$C$2501,MATCH($A1106,KW_TP!$A$2:$A$2501,1))))</f>
        <v/>
      </c>
    </row>
    <row r="1107">
      <c r="A1107" s="15">
        <f>IF(ISNUMBER(BBG_Data!A1107),BBG_Data!A1107,"")</f>
        <v/>
      </c>
      <c r="B1107" s="16">
        <f>IF(AND(ISNUMBER($A1107),ISNUMBER(BBG_Data!B1107)),BBG_Data!B1107,NA())</f>
        <v/>
      </c>
      <c r="C1107" s="16">
        <f>IF(AND(ISNUMBER($A1107),ISNUMBER(BBG_Data!C1107)),BBG_Data!C1107,NA())</f>
        <v/>
      </c>
      <c r="D1107" s="17">
        <f>IF(AND(ISNUMBER($A1107),ISNUMBER(BBG_Data!D1107)),BBG_Data!D1107,NA())</f>
        <v/>
      </c>
      <c r="E1107" s="17">
        <f>IF(AND(ISNUMBER($A1107),ISNUMBER(BBG_Data!E1107)),BBG_Data!E1107,NA())</f>
        <v/>
      </c>
      <c r="F1107" s="18">
        <f>IF(AND(ISNUMBER(B1107),ISNUMBER(B1106)),(B1107-B1106)*100,"")</f>
        <v/>
      </c>
      <c r="G1107" s="18">
        <f>IF(AND(ISNUMBER(C1107),ISNUMBER(C1106)),(C1107-C1106)*100,"")</f>
        <v/>
      </c>
      <c r="H1107" s="18">
        <f>IF(OR(NOT(ISNUMBER($A1107)),ROW()-2&lt;Settings!$B$11),NA(),IF(COUNT(OFFSET(F1107,1-Settings!$B$11,0,Settings!$B$11,1))&lt;Settings!$B$11,NA(),STDEV(OFFSET(F1107,1-Settings!$B$11,0,Settings!$B$11,1))*SQRT(Settings!$B$13)))</f>
        <v/>
      </c>
      <c r="I1107" s="18">
        <f>IF(OR(NOT(ISNUMBER($A1107)),ROW()-2&lt;Settings!$B$12),NA(),IF(COUNT(OFFSET(F1107,1-Settings!$B$12,0,Settings!$B$12,1))&lt;Settings!$B$12,NA(),STDEV(OFFSET(F1107,1-Settings!$B$12,0,Settings!$B$12,1))*SQRT(Settings!$B$13)))</f>
        <v/>
      </c>
      <c r="J1107" s="18">
        <f>IF(OR(NOT(ISNUMBER($A1107)),ROW()-2&lt;Settings!$B$11),NA(),IF(COUNT(OFFSET(G1107,1-Settings!$B$11,0,Settings!$B$11,1))&lt;Settings!$B$11,NA(),STDEV(OFFSET(G1107,1-Settings!$B$11,0,Settings!$B$11,1))*SQRT(Settings!$B$13)))</f>
        <v/>
      </c>
      <c r="K1107" s="18">
        <f>IF(OR(NOT(ISNUMBER($A1107)),ROW()-2&lt;Settings!$B$12),NA(),IF(COUNT(OFFSET(G1107,1-Settings!$B$12,0,Settings!$B$12,1))&lt;Settings!$B$12,NA(),STDEV(OFFSET(G1107,1-Settings!$B$12,0,Settings!$B$12,1))*SQRT(Settings!$B$13)))</f>
        <v/>
      </c>
      <c r="L1107" s="18">
        <f>IF(AND(ISNUMBER(D1107),ISNUMBER(H1107)),D1107-H1107,NA())</f>
        <v/>
      </c>
      <c r="M1107" s="18">
        <f>IF(AND(ISNUMBER(E1107),ISNUMBER(K1107)),E1107-K1107,NA())</f>
        <v/>
      </c>
      <c r="N1107" s="18">
        <f>IF(NOT(ISNUMBER($A1107)),NA(),IF(COUNT(OFFSET(G1107,1,0,Settings!$B$12,1))&lt;Settings!$B$12,NA(),STDEV(OFFSET(G1107,1,0,Settings!$B$12,1))*SQRT(Settings!$B$13)))</f>
        <v/>
      </c>
      <c r="O1107" s="18">
        <f>IF(AND(ISNUMBER(E1107),ISNUMBER(N1107)),E1107-N1107,NA())</f>
        <v/>
      </c>
      <c r="P1107" s="17">
        <f>IF(NOT(ISNUMBER($A1107)),NA(),IF(OR($A1107&lt;MIN(KW_TP!$A$2:$A$2501),$A1107&gt;MAX(KW_TP!$A$2:$A$2501)),NA(),INDEX(KW_TP!$C$2:$C$2501,MATCH($A1107,KW_TP!$A$2:$A$2501,1))))</f>
        <v/>
      </c>
    </row>
    <row r="1108">
      <c r="A1108" s="15">
        <f>IF(ISNUMBER(BBG_Data!A1108),BBG_Data!A1108,"")</f>
        <v/>
      </c>
      <c r="B1108" s="16">
        <f>IF(AND(ISNUMBER($A1108),ISNUMBER(BBG_Data!B1108)),BBG_Data!B1108,NA())</f>
        <v/>
      </c>
      <c r="C1108" s="16">
        <f>IF(AND(ISNUMBER($A1108),ISNUMBER(BBG_Data!C1108)),BBG_Data!C1108,NA())</f>
        <v/>
      </c>
      <c r="D1108" s="17">
        <f>IF(AND(ISNUMBER($A1108),ISNUMBER(BBG_Data!D1108)),BBG_Data!D1108,NA())</f>
        <v/>
      </c>
      <c r="E1108" s="17">
        <f>IF(AND(ISNUMBER($A1108),ISNUMBER(BBG_Data!E1108)),BBG_Data!E1108,NA())</f>
        <v/>
      </c>
      <c r="F1108" s="18">
        <f>IF(AND(ISNUMBER(B1108),ISNUMBER(B1107)),(B1108-B1107)*100,"")</f>
        <v/>
      </c>
      <c r="G1108" s="18">
        <f>IF(AND(ISNUMBER(C1108),ISNUMBER(C1107)),(C1108-C1107)*100,"")</f>
        <v/>
      </c>
      <c r="H1108" s="18">
        <f>IF(OR(NOT(ISNUMBER($A1108)),ROW()-2&lt;Settings!$B$11),NA(),IF(COUNT(OFFSET(F1108,1-Settings!$B$11,0,Settings!$B$11,1))&lt;Settings!$B$11,NA(),STDEV(OFFSET(F1108,1-Settings!$B$11,0,Settings!$B$11,1))*SQRT(Settings!$B$13)))</f>
        <v/>
      </c>
      <c r="I1108" s="18">
        <f>IF(OR(NOT(ISNUMBER($A1108)),ROW()-2&lt;Settings!$B$12),NA(),IF(COUNT(OFFSET(F1108,1-Settings!$B$12,0,Settings!$B$12,1))&lt;Settings!$B$12,NA(),STDEV(OFFSET(F1108,1-Settings!$B$12,0,Settings!$B$12,1))*SQRT(Settings!$B$13)))</f>
        <v/>
      </c>
      <c r="J1108" s="18">
        <f>IF(OR(NOT(ISNUMBER($A1108)),ROW()-2&lt;Settings!$B$11),NA(),IF(COUNT(OFFSET(G1108,1-Settings!$B$11,0,Settings!$B$11,1))&lt;Settings!$B$11,NA(),STDEV(OFFSET(G1108,1-Settings!$B$11,0,Settings!$B$11,1))*SQRT(Settings!$B$13)))</f>
        <v/>
      </c>
      <c r="K1108" s="18">
        <f>IF(OR(NOT(ISNUMBER($A1108)),ROW()-2&lt;Settings!$B$12),NA(),IF(COUNT(OFFSET(G1108,1-Settings!$B$12,0,Settings!$B$12,1))&lt;Settings!$B$12,NA(),STDEV(OFFSET(G1108,1-Settings!$B$12,0,Settings!$B$12,1))*SQRT(Settings!$B$13)))</f>
        <v/>
      </c>
      <c r="L1108" s="18">
        <f>IF(AND(ISNUMBER(D1108),ISNUMBER(H1108)),D1108-H1108,NA())</f>
        <v/>
      </c>
      <c r="M1108" s="18">
        <f>IF(AND(ISNUMBER(E1108),ISNUMBER(K1108)),E1108-K1108,NA())</f>
        <v/>
      </c>
      <c r="N1108" s="18">
        <f>IF(NOT(ISNUMBER($A1108)),NA(),IF(COUNT(OFFSET(G1108,1,0,Settings!$B$12,1))&lt;Settings!$B$12,NA(),STDEV(OFFSET(G1108,1,0,Settings!$B$12,1))*SQRT(Settings!$B$13)))</f>
        <v/>
      </c>
      <c r="O1108" s="18">
        <f>IF(AND(ISNUMBER(E1108),ISNUMBER(N1108)),E1108-N1108,NA())</f>
        <v/>
      </c>
      <c r="P1108" s="17">
        <f>IF(NOT(ISNUMBER($A1108)),NA(),IF(OR($A1108&lt;MIN(KW_TP!$A$2:$A$2501),$A1108&gt;MAX(KW_TP!$A$2:$A$2501)),NA(),INDEX(KW_TP!$C$2:$C$2501,MATCH($A1108,KW_TP!$A$2:$A$2501,1))))</f>
        <v/>
      </c>
    </row>
    <row r="1109">
      <c r="A1109" s="15">
        <f>IF(ISNUMBER(BBG_Data!A1109),BBG_Data!A1109,"")</f>
        <v/>
      </c>
      <c r="B1109" s="16">
        <f>IF(AND(ISNUMBER($A1109),ISNUMBER(BBG_Data!B1109)),BBG_Data!B1109,NA())</f>
        <v/>
      </c>
      <c r="C1109" s="16">
        <f>IF(AND(ISNUMBER($A1109),ISNUMBER(BBG_Data!C1109)),BBG_Data!C1109,NA())</f>
        <v/>
      </c>
      <c r="D1109" s="17">
        <f>IF(AND(ISNUMBER($A1109),ISNUMBER(BBG_Data!D1109)),BBG_Data!D1109,NA())</f>
        <v/>
      </c>
      <c r="E1109" s="17">
        <f>IF(AND(ISNUMBER($A1109),ISNUMBER(BBG_Data!E1109)),BBG_Data!E1109,NA())</f>
        <v/>
      </c>
      <c r="F1109" s="18">
        <f>IF(AND(ISNUMBER(B1109),ISNUMBER(B1108)),(B1109-B1108)*100,"")</f>
        <v/>
      </c>
      <c r="G1109" s="18">
        <f>IF(AND(ISNUMBER(C1109),ISNUMBER(C1108)),(C1109-C1108)*100,"")</f>
        <v/>
      </c>
      <c r="H1109" s="18">
        <f>IF(OR(NOT(ISNUMBER($A1109)),ROW()-2&lt;Settings!$B$11),NA(),IF(COUNT(OFFSET(F1109,1-Settings!$B$11,0,Settings!$B$11,1))&lt;Settings!$B$11,NA(),STDEV(OFFSET(F1109,1-Settings!$B$11,0,Settings!$B$11,1))*SQRT(Settings!$B$13)))</f>
        <v/>
      </c>
      <c r="I1109" s="18">
        <f>IF(OR(NOT(ISNUMBER($A1109)),ROW()-2&lt;Settings!$B$12),NA(),IF(COUNT(OFFSET(F1109,1-Settings!$B$12,0,Settings!$B$12,1))&lt;Settings!$B$12,NA(),STDEV(OFFSET(F1109,1-Settings!$B$12,0,Settings!$B$12,1))*SQRT(Settings!$B$13)))</f>
        <v/>
      </c>
      <c r="J1109" s="18">
        <f>IF(OR(NOT(ISNUMBER($A1109)),ROW()-2&lt;Settings!$B$11),NA(),IF(COUNT(OFFSET(G1109,1-Settings!$B$11,0,Settings!$B$11,1))&lt;Settings!$B$11,NA(),STDEV(OFFSET(G1109,1-Settings!$B$11,0,Settings!$B$11,1))*SQRT(Settings!$B$13)))</f>
        <v/>
      </c>
      <c r="K1109" s="18">
        <f>IF(OR(NOT(ISNUMBER($A1109)),ROW()-2&lt;Settings!$B$12),NA(),IF(COUNT(OFFSET(G1109,1-Settings!$B$12,0,Settings!$B$12,1))&lt;Settings!$B$12,NA(),STDEV(OFFSET(G1109,1-Settings!$B$12,0,Settings!$B$12,1))*SQRT(Settings!$B$13)))</f>
        <v/>
      </c>
      <c r="L1109" s="18">
        <f>IF(AND(ISNUMBER(D1109),ISNUMBER(H1109)),D1109-H1109,NA())</f>
        <v/>
      </c>
      <c r="M1109" s="18">
        <f>IF(AND(ISNUMBER(E1109),ISNUMBER(K1109)),E1109-K1109,NA())</f>
        <v/>
      </c>
      <c r="N1109" s="18">
        <f>IF(NOT(ISNUMBER($A1109)),NA(),IF(COUNT(OFFSET(G1109,1,0,Settings!$B$12,1))&lt;Settings!$B$12,NA(),STDEV(OFFSET(G1109,1,0,Settings!$B$12,1))*SQRT(Settings!$B$13)))</f>
        <v/>
      </c>
      <c r="O1109" s="18">
        <f>IF(AND(ISNUMBER(E1109),ISNUMBER(N1109)),E1109-N1109,NA())</f>
        <v/>
      </c>
      <c r="P1109" s="17">
        <f>IF(NOT(ISNUMBER($A1109)),NA(),IF(OR($A1109&lt;MIN(KW_TP!$A$2:$A$2501),$A1109&gt;MAX(KW_TP!$A$2:$A$2501)),NA(),INDEX(KW_TP!$C$2:$C$2501,MATCH($A1109,KW_TP!$A$2:$A$2501,1))))</f>
        <v/>
      </c>
    </row>
    <row r="1110">
      <c r="A1110" s="15">
        <f>IF(ISNUMBER(BBG_Data!A1110),BBG_Data!A1110,"")</f>
        <v/>
      </c>
      <c r="B1110" s="16">
        <f>IF(AND(ISNUMBER($A1110),ISNUMBER(BBG_Data!B1110)),BBG_Data!B1110,NA())</f>
        <v/>
      </c>
      <c r="C1110" s="16">
        <f>IF(AND(ISNUMBER($A1110),ISNUMBER(BBG_Data!C1110)),BBG_Data!C1110,NA())</f>
        <v/>
      </c>
      <c r="D1110" s="17">
        <f>IF(AND(ISNUMBER($A1110),ISNUMBER(BBG_Data!D1110)),BBG_Data!D1110,NA())</f>
        <v/>
      </c>
      <c r="E1110" s="17">
        <f>IF(AND(ISNUMBER($A1110),ISNUMBER(BBG_Data!E1110)),BBG_Data!E1110,NA())</f>
        <v/>
      </c>
      <c r="F1110" s="18">
        <f>IF(AND(ISNUMBER(B1110),ISNUMBER(B1109)),(B1110-B1109)*100,"")</f>
        <v/>
      </c>
      <c r="G1110" s="18">
        <f>IF(AND(ISNUMBER(C1110),ISNUMBER(C1109)),(C1110-C1109)*100,"")</f>
        <v/>
      </c>
      <c r="H1110" s="18">
        <f>IF(OR(NOT(ISNUMBER($A1110)),ROW()-2&lt;Settings!$B$11),NA(),IF(COUNT(OFFSET(F1110,1-Settings!$B$11,0,Settings!$B$11,1))&lt;Settings!$B$11,NA(),STDEV(OFFSET(F1110,1-Settings!$B$11,0,Settings!$B$11,1))*SQRT(Settings!$B$13)))</f>
        <v/>
      </c>
      <c r="I1110" s="18">
        <f>IF(OR(NOT(ISNUMBER($A1110)),ROW()-2&lt;Settings!$B$12),NA(),IF(COUNT(OFFSET(F1110,1-Settings!$B$12,0,Settings!$B$12,1))&lt;Settings!$B$12,NA(),STDEV(OFFSET(F1110,1-Settings!$B$12,0,Settings!$B$12,1))*SQRT(Settings!$B$13)))</f>
        <v/>
      </c>
      <c r="J1110" s="18">
        <f>IF(OR(NOT(ISNUMBER($A1110)),ROW()-2&lt;Settings!$B$11),NA(),IF(COUNT(OFFSET(G1110,1-Settings!$B$11,0,Settings!$B$11,1))&lt;Settings!$B$11,NA(),STDEV(OFFSET(G1110,1-Settings!$B$11,0,Settings!$B$11,1))*SQRT(Settings!$B$13)))</f>
        <v/>
      </c>
      <c r="K1110" s="18">
        <f>IF(OR(NOT(ISNUMBER($A1110)),ROW()-2&lt;Settings!$B$12),NA(),IF(COUNT(OFFSET(G1110,1-Settings!$B$12,0,Settings!$B$12,1))&lt;Settings!$B$12,NA(),STDEV(OFFSET(G1110,1-Settings!$B$12,0,Settings!$B$12,1))*SQRT(Settings!$B$13)))</f>
        <v/>
      </c>
      <c r="L1110" s="18">
        <f>IF(AND(ISNUMBER(D1110),ISNUMBER(H1110)),D1110-H1110,NA())</f>
        <v/>
      </c>
      <c r="M1110" s="18">
        <f>IF(AND(ISNUMBER(E1110),ISNUMBER(K1110)),E1110-K1110,NA())</f>
        <v/>
      </c>
      <c r="N1110" s="18">
        <f>IF(NOT(ISNUMBER($A1110)),NA(),IF(COUNT(OFFSET(G1110,1,0,Settings!$B$12,1))&lt;Settings!$B$12,NA(),STDEV(OFFSET(G1110,1,0,Settings!$B$12,1))*SQRT(Settings!$B$13)))</f>
        <v/>
      </c>
      <c r="O1110" s="18">
        <f>IF(AND(ISNUMBER(E1110),ISNUMBER(N1110)),E1110-N1110,NA())</f>
        <v/>
      </c>
      <c r="P1110" s="17">
        <f>IF(NOT(ISNUMBER($A1110)),NA(),IF(OR($A1110&lt;MIN(KW_TP!$A$2:$A$2501),$A1110&gt;MAX(KW_TP!$A$2:$A$2501)),NA(),INDEX(KW_TP!$C$2:$C$2501,MATCH($A1110,KW_TP!$A$2:$A$2501,1))))</f>
        <v/>
      </c>
    </row>
    <row r="1111">
      <c r="A1111" s="15">
        <f>IF(ISNUMBER(BBG_Data!A1111),BBG_Data!A1111,"")</f>
        <v/>
      </c>
      <c r="B1111" s="16">
        <f>IF(AND(ISNUMBER($A1111),ISNUMBER(BBG_Data!B1111)),BBG_Data!B1111,NA())</f>
        <v/>
      </c>
      <c r="C1111" s="16">
        <f>IF(AND(ISNUMBER($A1111),ISNUMBER(BBG_Data!C1111)),BBG_Data!C1111,NA())</f>
        <v/>
      </c>
      <c r="D1111" s="17">
        <f>IF(AND(ISNUMBER($A1111),ISNUMBER(BBG_Data!D1111)),BBG_Data!D1111,NA())</f>
        <v/>
      </c>
      <c r="E1111" s="17">
        <f>IF(AND(ISNUMBER($A1111),ISNUMBER(BBG_Data!E1111)),BBG_Data!E1111,NA())</f>
        <v/>
      </c>
      <c r="F1111" s="18">
        <f>IF(AND(ISNUMBER(B1111),ISNUMBER(B1110)),(B1111-B1110)*100,"")</f>
        <v/>
      </c>
      <c r="G1111" s="18">
        <f>IF(AND(ISNUMBER(C1111),ISNUMBER(C1110)),(C1111-C1110)*100,"")</f>
        <v/>
      </c>
      <c r="H1111" s="18">
        <f>IF(OR(NOT(ISNUMBER($A1111)),ROW()-2&lt;Settings!$B$11),NA(),IF(COUNT(OFFSET(F1111,1-Settings!$B$11,0,Settings!$B$11,1))&lt;Settings!$B$11,NA(),STDEV(OFFSET(F1111,1-Settings!$B$11,0,Settings!$B$11,1))*SQRT(Settings!$B$13)))</f>
        <v/>
      </c>
      <c r="I1111" s="18">
        <f>IF(OR(NOT(ISNUMBER($A1111)),ROW()-2&lt;Settings!$B$12),NA(),IF(COUNT(OFFSET(F1111,1-Settings!$B$12,0,Settings!$B$12,1))&lt;Settings!$B$12,NA(),STDEV(OFFSET(F1111,1-Settings!$B$12,0,Settings!$B$12,1))*SQRT(Settings!$B$13)))</f>
        <v/>
      </c>
      <c r="J1111" s="18">
        <f>IF(OR(NOT(ISNUMBER($A1111)),ROW()-2&lt;Settings!$B$11),NA(),IF(COUNT(OFFSET(G1111,1-Settings!$B$11,0,Settings!$B$11,1))&lt;Settings!$B$11,NA(),STDEV(OFFSET(G1111,1-Settings!$B$11,0,Settings!$B$11,1))*SQRT(Settings!$B$13)))</f>
        <v/>
      </c>
      <c r="K1111" s="18">
        <f>IF(OR(NOT(ISNUMBER($A1111)),ROW()-2&lt;Settings!$B$12),NA(),IF(COUNT(OFFSET(G1111,1-Settings!$B$12,0,Settings!$B$12,1))&lt;Settings!$B$12,NA(),STDEV(OFFSET(G1111,1-Settings!$B$12,0,Settings!$B$12,1))*SQRT(Settings!$B$13)))</f>
        <v/>
      </c>
      <c r="L1111" s="18">
        <f>IF(AND(ISNUMBER(D1111),ISNUMBER(H1111)),D1111-H1111,NA())</f>
        <v/>
      </c>
      <c r="M1111" s="18">
        <f>IF(AND(ISNUMBER(E1111),ISNUMBER(K1111)),E1111-K1111,NA())</f>
        <v/>
      </c>
      <c r="N1111" s="18">
        <f>IF(NOT(ISNUMBER($A1111)),NA(),IF(COUNT(OFFSET(G1111,1,0,Settings!$B$12,1))&lt;Settings!$B$12,NA(),STDEV(OFFSET(G1111,1,0,Settings!$B$12,1))*SQRT(Settings!$B$13)))</f>
        <v/>
      </c>
      <c r="O1111" s="18">
        <f>IF(AND(ISNUMBER(E1111),ISNUMBER(N1111)),E1111-N1111,NA())</f>
        <v/>
      </c>
      <c r="P1111" s="17">
        <f>IF(NOT(ISNUMBER($A1111)),NA(),IF(OR($A1111&lt;MIN(KW_TP!$A$2:$A$2501),$A1111&gt;MAX(KW_TP!$A$2:$A$2501)),NA(),INDEX(KW_TP!$C$2:$C$2501,MATCH($A1111,KW_TP!$A$2:$A$2501,1))))</f>
        <v/>
      </c>
    </row>
    <row r="1112">
      <c r="A1112" s="15">
        <f>IF(ISNUMBER(BBG_Data!A1112),BBG_Data!A1112,"")</f>
        <v/>
      </c>
      <c r="B1112" s="16">
        <f>IF(AND(ISNUMBER($A1112),ISNUMBER(BBG_Data!B1112)),BBG_Data!B1112,NA())</f>
        <v/>
      </c>
      <c r="C1112" s="16">
        <f>IF(AND(ISNUMBER($A1112),ISNUMBER(BBG_Data!C1112)),BBG_Data!C1112,NA())</f>
        <v/>
      </c>
      <c r="D1112" s="17">
        <f>IF(AND(ISNUMBER($A1112),ISNUMBER(BBG_Data!D1112)),BBG_Data!D1112,NA())</f>
        <v/>
      </c>
      <c r="E1112" s="17">
        <f>IF(AND(ISNUMBER($A1112),ISNUMBER(BBG_Data!E1112)),BBG_Data!E1112,NA())</f>
        <v/>
      </c>
      <c r="F1112" s="18">
        <f>IF(AND(ISNUMBER(B1112),ISNUMBER(B1111)),(B1112-B1111)*100,"")</f>
        <v/>
      </c>
      <c r="G1112" s="18">
        <f>IF(AND(ISNUMBER(C1112),ISNUMBER(C1111)),(C1112-C1111)*100,"")</f>
        <v/>
      </c>
      <c r="H1112" s="18">
        <f>IF(OR(NOT(ISNUMBER($A1112)),ROW()-2&lt;Settings!$B$11),NA(),IF(COUNT(OFFSET(F1112,1-Settings!$B$11,0,Settings!$B$11,1))&lt;Settings!$B$11,NA(),STDEV(OFFSET(F1112,1-Settings!$B$11,0,Settings!$B$11,1))*SQRT(Settings!$B$13)))</f>
        <v/>
      </c>
      <c r="I1112" s="18">
        <f>IF(OR(NOT(ISNUMBER($A1112)),ROW()-2&lt;Settings!$B$12),NA(),IF(COUNT(OFFSET(F1112,1-Settings!$B$12,0,Settings!$B$12,1))&lt;Settings!$B$12,NA(),STDEV(OFFSET(F1112,1-Settings!$B$12,0,Settings!$B$12,1))*SQRT(Settings!$B$13)))</f>
        <v/>
      </c>
      <c r="J1112" s="18">
        <f>IF(OR(NOT(ISNUMBER($A1112)),ROW()-2&lt;Settings!$B$11),NA(),IF(COUNT(OFFSET(G1112,1-Settings!$B$11,0,Settings!$B$11,1))&lt;Settings!$B$11,NA(),STDEV(OFFSET(G1112,1-Settings!$B$11,0,Settings!$B$11,1))*SQRT(Settings!$B$13)))</f>
        <v/>
      </c>
      <c r="K1112" s="18">
        <f>IF(OR(NOT(ISNUMBER($A1112)),ROW()-2&lt;Settings!$B$12),NA(),IF(COUNT(OFFSET(G1112,1-Settings!$B$12,0,Settings!$B$12,1))&lt;Settings!$B$12,NA(),STDEV(OFFSET(G1112,1-Settings!$B$12,0,Settings!$B$12,1))*SQRT(Settings!$B$13)))</f>
        <v/>
      </c>
      <c r="L1112" s="18">
        <f>IF(AND(ISNUMBER(D1112),ISNUMBER(H1112)),D1112-H1112,NA())</f>
        <v/>
      </c>
      <c r="M1112" s="18">
        <f>IF(AND(ISNUMBER(E1112),ISNUMBER(K1112)),E1112-K1112,NA())</f>
        <v/>
      </c>
      <c r="N1112" s="18">
        <f>IF(NOT(ISNUMBER($A1112)),NA(),IF(COUNT(OFFSET(G1112,1,0,Settings!$B$12,1))&lt;Settings!$B$12,NA(),STDEV(OFFSET(G1112,1,0,Settings!$B$12,1))*SQRT(Settings!$B$13)))</f>
        <v/>
      </c>
      <c r="O1112" s="18">
        <f>IF(AND(ISNUMBER(E1112),ISNUMBER(N1112)),E1112-N1112,NA())</f>
        <v/>
      </c>
      <c r="P1112" s="17">
        <f>IF(NOT(ISNUMBER($A1112)),NA(),IF(OR($A1112&lt;MIN(KW_TP!$A$2:$A$2501),$A1112&gt;MAX(KW_TP!$A$2:$A$2501)),NA(),INDEX(KW_TP!$C$2:$C$2501,MATCH($A1112,KW_TP!$A$2:$A$2501,1))))</f>
        <v/>
      </c>
    </row>
    <row r="1113">
      <c r="A1113" s="15">
        <f>IF(ISNUMBER(BBG_Data!A1113),BBG_Data!A1113,"")</f>
        <v/>
      </c>
      <c r="B1113" s="16">
        <f>IF(AND(ISNUMBER($A1113),ISNUMBER(BBG_Data!B1113)),BBG_Data!B1113,NA())</f>
        <v/>
      </c>
      <c r="C1113" s="16">
        <f>IF(AND(ISNUMBER($A1113),ISNUMBER(BBG_Data!C1113)),BBG_Data!C1113,NA())</f>
        <v/>
      </c>
      <c r="D1113" s="17">
        <f>IF(AND(ISNUMBER($A1113),ISNUMBER(BBG_Data!D1113)),BBG_Data!D1113,NA())</f>
        <v/>
      </c>
      <c r="E1113" s="17">
        <f>IF(AND(ISNUMBER($A1113),ISNUMBER(BBG_Data!E1113)),BBG_Data!E1113,NA())</f>
        <v/>
      </c>
      <c r="F1113" s="18">
        <f>IF(AND(ISNUMBER(B1113),ISNUMBER(B1112)),(B1113-B1112)*100,"")</f>
        <v/>
      </c>
      <c r="G1113" s="18">
        <f>IF(AND(ISNUMBER(C1113),ISNUMBER(C1112)),(C1113-C1112)*100,"")</f>
        <v/>
      </c>
      <c r="H1113" s="18">
        <f>IF(OR(NOT(ISNUMBER($A1113)),ROW()-2&lt;Settings!$B$11),NA(),IF(COUNT(OFFSET(F1113,1-Settings!$B$11,0,Settings!$B$11,1))&lt;Settings!$B$11,NA(),STDEV(OFFSET(F1113,1-Settings!$B$11,0,Settings!$B$11,1))*SQRT(Settings!$B$13)))</f>
        <v/>
      </c>
      <c r="I1113" s="18">
        <f>IF(OR(NOT(ISNUMBER($A1113)),ROW()-2&lt;Settings!$B$12),NA(),IF(COUNT(OFFSET(F1113,1-Settings!$B$12,0,Settings!$B$12,1))&lt;Settings!$B$12,NA(),STDEV(OFFSET(F1113,1-Settings!$B$12,0,Settings!$B$12,1))*SQRT(Settings!$B$13)))</f>
        <v/>
      </c>
      <c r="J1113" s="18">
        <f>IF(OR(NOT(ISNUMBER($A1113)),ROW()-2&lt;Settings!$B$11),NA(),IF(COUNT(OFFSET(G1113,1-Settings!$B$11,0,Settings!$B$11,1))&lt;Settings!$B$11,NA(),STDEV(OFFSET(G1113,1-Settings!$B$11,0,Settings!$B$11,1))*SQRT(Settings!$B$13)))</f>
        <v/>
      </c>
      <c r="K1113" s="18">
        <f>IF(OR(NOT(ISNUMBER($A1113)),ROW()-2&lt;Settings!$B$12),NA(),IF(COUNT(OFFSET(G1113,1-Settings!$B$12,0,Settings!$B$12,1))&lt;Settings!$B$12,NA(),STDEV(OFFSET(G1113,1-Settings!$B$12,0,Settings!$B$12,1))*SQRT(Settings!$B$13)))</f>
        <v/>
      </c>
      <c r="L1113" s="18">
        <f>IF(AND(ISNUMBER(D1113),ISNUMBER(H1113)),D1113-H1113,NA())</f>
        <v/>
      </c>
      <c r="M1113" s="18">
        <f>IF(AND(ISNUMBER(E1113),ISNUMBER(K1113)),E1113-K1113,NA())</f>
        <v/>
      </c>
      <c r="N1113" s="18">
        <f>IF(NOT(ISNUMBER($A1113)),NA(),IF(COUNT(OFFSET(G1113,1,0,Settings!$B$12,1))&lt;Settings!$B$12,NA(),STDEV(OFFSET(G1113,1,0,Settings!$B$12,1))*SQRT(Settings!$B$13)))</f>
        <v/>
      </c>
      <c r="O1113" s="18">
        <f>IF(AND(ISNUMBER(E1113),ISNUMBER(N1113)),E1113-N1113,NA())</f>
        <v/>
      </c>
      <c r="P1113" s="17">
        <f>IF(NOT(ISNUMBER($A1113)),NA(),IF(OR($A1113&lt;MIN(KW_TP!$A$2:$A$2501),$A1113&gt;MAX(KW_TP!$A$2:$A$2501)),NA(),INDEX(KW_TP!$C$2:$C$2501,MATCH($A1113,KW_TP!$A$2:$A$2501,1))))</f>
        <v/>
      </c>
    </row>
    <row r="1114">
      <c r="A1114" s="15">
        <f>IF(ISNUMBER(BBG_Data!A1114),BBG_Data!A1114,"")</f>
        <v/>
      </c>
      <c r="B1114" s="16">
        <f>IF(AND(ISNUMBER($A1114),ISNUMBER(BBG_Data!B1114)),BBG_Data!B1114,NA())</f>
        <v/>
      </c>
      <c r="C1114" s="16">
        <f>IF(AND(ISNUMBER($A1114),ISNUMBER(BBG_Data!C1114)),BBG_Data!C1114,NA())</f>
        <v/>
      </c>
      <c r="D1114" s="17">
        <f>IF(AND(ISNUMBER($A1114),ISNUMBER(BBG_Data!D1114)),BBG_Data!D1114,NA())</f>
        <v/>
      </c>
      <c r="E1114" s="17">
        <f>IF(AND(ISNUMBER($A1114),ISNUMBER(BBG_Data!E1114)),BBG_Data!E1114,NA())</f>
        <v/>
      </c>
      <c r="F1114" s="18">
        <f>IF(AND(ISNUMBER(B1114),ISNUMBER(B1113)),(B1114-B1113)*100,"")</f>
        <v/>
      </c>
      <c r="G1114" s="18">
        <f>IF(AND(ISNUMBER(C1114),ISNUMBER(C1113)),(C1114-C1113)*100,"")</f>
        <v/>
      </c>
      <c r="H1114" s="18">
        <f>IF(OR(NOT(ISNUMBER($A1114)),ROW()-2&lt;Settings!$B$11),NA(),IF(COUNT(OFFSET(F1114,1-Settings!$B$11,0,Settings!$B$11,1))&lt;Settings!$B$11,NA(),STDEV(OFFSET(F1114,1-Settings!$B$11,0,Settings!$B$11,1))*SQRT(Settings!$B$13)))</f>
        <v/>
      </c>
      <c r="I1114" s="18">
        <f>IF(OR(NOT(ISNUMBER($A1114)),ROW()-2&lt;Settings!$B$12),NA(),IF(COUNT(OFFSET(F1114,1-Settings!$B$12,0,Settings!$B$12,1))&lt;Settings!$B$12,NA(),STDEV(OFFSET(F1114,1-Settings!$B$12,0,Settings!$B$12,1))*SQRT(Settings!$B$13)))</f>
        <v/>
      </c>
      <c r="J1114" s="18">
        <f>IF(OR(NOT(ISNUMBER($A1114)),ROW()-2&lt;Settings!$B$11),NA(),IF(COUNT(OFFSET(G1114,1-Settings!$B$11,0,Settings!$B$11,1))&lt;Settings!$B$11,NA(),STDEV(OFFSET(G1114,1-Settings!$B$11,0,Settings!$B$11,1))*SQRT(Settings!$B$13)))</f>
        <v/>
      </c>
      <c r="K1114" s="18">
        <f>IF(OR(NOT(ISNUMBER($A1114)),ROW()-2&lt;Settings!$B$12),NA(),IF(COUNT(OFFSET(G1114,1-Settings!$B$12,0,Settings!$B$12,1))&lt;Settings!$B$12,NA(),STDEV(OFFSET(G1114,1-Settings!$B$12,0,Settings!$B$12,1))*SQRT(Settings!$B$13)))</f>
        <v/>
      </c>
      <c r="L1114" s="18">
        <f>IF(AND(ISNUMBER(D1114),ISNUMBER(H1114)),D1114-H1114,NA())</f>
        <v/>
      </c>
      <c r="M1114" s="18">
        <f>IF(AND(ISNUMBER(E1114),ISNUMBER(K1114)),E1114-K1114,NA())</f>
        <v/>
      </c>
      <c r="N1114" s="18">
        <f>IF(NOT(ISNUMBER($A1114)),NA(),IF(COUNT(OFFSET(G1114,1,0,Settings!$B$12,1))&lt;Settings!$B$12,NA(),STDEV(OFFSET(G1114,1,0,Settings!$B$12,1))*SQRT(Settings!$B$13)))</f>
        <v/>
      </c>
      <c r="O1114" s="18">
        <f>IF(AND(ISNUMBER(E1114),ISNUMBER(N1114)),E1114-N1114,NA())</f>
        <v/>
      </c>
      <c r="P1114" s="17">
        <f>IF(NOT(ISNUMBER($A1114)),NA(),IF(OR($A1114&lt;MIN(KW_TP!$A$2:$A$2501),$A1114&gt;MAX(KW_TP!$A$2:$A$2501)),NA(),INDEX(KW_TP!$C$2:$C$2501,MATCH($A1114,KW_TP!$A$2:$A$2501,1))))</f>
        <v/>
      </c>
    </row>
    <row r="1115">
      <c r="A1115" s="15">
        <f>IF(ISNUMBER(BBG_Data!A1115),BBG_Data!A1115,"")</f>
        <v/>
      </c>
      <c r="B1115" s="16">
        <f>IF(AND(ISNUMBER($A1115),ISNUMBER(BBG_Data!B1115)),BBG_Data!B1115,NA())</f>
        <v/>
      </c>
      <c r="C1115" s="16">
        <f>IF(AND(ISNUMBER($A1115),ISNUMBER(BBG_Data!C1115)),BBG_Data!C1115,NA())</f>
        <v/>
      </c>
      <c r="D1115" s="17">
        <f>IF(AND(ISNUMBER($A1115),ISNUMBER(BBG_Data!D1115)),BBG_Data!D1115,NA())</f>
        <v/>
      </c>
      <c r="E1115" s="17">
        <f>IF(AND(ISNUMBER($A1115),ISNUMBER(BBG_Data!E1115)),BBG_Data!E1115,NA())</f>
        <v/>
      </c>
      <c r="F1115" s="18">
        <f>IF(AND(ISNUMBER(B1115),ISNUMBER(B1114)),(B1115-B1114)*100,"")</f>
        <v/>
      </c>
      <c r="G1115" s="18">
        <f>IF(AND(ISNUMBER(C1115),ISNUMBER(C1114)),(C1115-C1114)*100,"")</f>
        <v/>
      </c>
      <c r="H1115" s="18">
        <f>IF(OR(NOT(ISNUMBER($A1115)),ROW()-2&lt;Settings!$B$11),NA(),IF(COUNT(OFFSET(F1115,1-Settings!$B$11,0,Settings!$B$11,1))&lt;Settings!$B$11,NA(),STDEV(OFFSET(F1115,1-Settings!$B$11,0,Settings!$B$11,1))*SQRT(Settings!$B$13)))</f>
        <v/>
      </c>
      <c r="I1115" s="18">
        <f>IF(OR(NOT(ISNUMBER($A1115)),ROW()-2&lt;Settings!$B$12),NA(),IF(COUNT(OFFSET(F1115,1-Settings!$B$12,0,Settings!$B$12,1))&lt;Settings!$B$12,NA(),STDEV(OFFSET(F1115,1-Settings!$B$12,0,Settings!$B$12,1))*SQRT(Settings!$B$13)))</f>
        <v/>
      </c>
      <c r="J1115" s="18">
        <f>IF(OR(NOT(ISNUMBER($A1115)),ROW()-2&lt;Settings!$B$11),NA(),IF(COUNT(OFFSET(G1115,1-Settings!$B$11,0,Settings!$B$11,1))&lt;Settings!$B$11,NA(),STDEV(OFFSET(G1115,1-Settings!$B$11,0,Settings!$B$11,1))*SQRT(Settings!$B$13)))</f>
        <v/>
      </c>
      <c r="K1115" s="18">
        <f>IF(OR(NOT(ISNUMBER($A1115)),ROW()-2&lt;Settings!$B$12),NA(),IF(COUNT(OFFSET(G1115,1-Settings!$B$12,0,Settings!$B$12,1))&lt;Settings!$B$12,NA(),STDEV(OFFSET(G1115,1-Settings!$B$12,0,Settings!$B$12,1))*SQRT(Settings!$B$13)))</f>
        <v/>
      </c>
      <c r="L1115" s="18">
        <f>IF(AND(ISNUMBER(D1115),ISNUMBER(H1115)),D1115-H1115,NA())</f>
        <v/>
      </c>
      <c r="M1115" s="18">
        <f>IF(AND(ISNUMBER(E1115),ISNUMBER(K1115)),E1115-K1115,NA())</f>
        <v/>
      </c>
      <c r="N1115" s="18">
        <f>IF(NOT(ISNUMBER($A1115)),NA(),IF(COUNT(OFFSET(G1115,1,0,Settings!$B$12,1))&lt;Settings!$B$12,NA(),STDEV(OFFSET(G1115,1,0,Settings!$B$12,1))*SQRT(Settings!$B$13)))</f>
        <v/>
      </c>
      <c r="O1115" s="18">
        <f>IF(AND(ISNUMBER(E1115),ISNUMBER(N1115)),E1115-N1115,NA())</f>
        <v/>
      </c>
      <c r="P1115" s="17">
        <f>IF(NOT(ISNUMBER($A1115)),NA(),IF(OR($A1115&lt;MIN(KW_TP!$A$2:$A$2501),$A1115&gt;MAX(KW_TP!$A$2:$A$2501)),NA(),INDEX(KW_TP!$C$2:$C$2501,MATCH($A1115,KW_TP!$A$2:$A$2501,1))))</f>
        <v/>
      </c>
    </row>
    <row r="1116">
      <c r="A1116" s="15">
        <f>IF(ISNUMBER(BBG_Data!A1116),BBG_Data!A1116,"")</f>
        <v/>
      </c>
      <c r="B1116" s="16">
        <f>IF(AND(ISNUMBER($A1116),ISNUMBER(BBG_Data!B1116)),BBG_Data!B1116,NA())</f>
        <v/>
      </c>
      <c r="C1116" s="16">
        <f>IF(AND(ISNUMBER($A1116),ISNUMBER(BBG_Data!C1116)),BBG_Data!C1116,NA())</f>
        <v/>
      </c>
      <c r="D1116" s="17">
        <f>IF(AND(ISNUMBER($A1116),ISNUMBER(BBG_Data!D1116)),BBG_Data!D1116,NA())</f>
        <v/>
      </c>
      <c r="E1116" s="17">
        <f>IF(AND(ISNUMBER($A1116),ISNUMBER(BBG_Data!E1116)),BBG_Data!E1116,NA())</f>
        <v/>
      </c>
      <c r="F1116" s="18">
        <f>IF(AND(ISNUMBER(B1116),ISNUMBER(B1115)),(B1116-B1115)*100,"")</f>
        <v/>
      </c>
      <c r="G1116" s="18">
        <f>IF(AND(ISNUMBER(C1116),ISNUMBER(C1115)),(C1116-C1115)*100,"")</f>
        <v/>
      </c>
      <c r="H1116" s="18">
        <f>IF(OR(NOT(ISNUMBER($A1116)),ROW()-2&lt;Settings!$B$11),NA(),IF(COUNT(OFFSET(F1116,1-Settings!$B$11,0,Settings!$B$11,1))&lt;Settings!$B$11,NA(),STDEV(OFFSET(F1116,1-Settings!$B$11,0,Settings!$B$11,1))*SQRT(Settings!$B$13)))</f>
        <v/>
      </c>
      <c r="I1116" s="18">
        <f>IF(OR(NOT(ISNUMBER($A1116)),ROW()-2&lt;Settings!$B$12),NA(),IF(COUNT(OFFSET(F1116,1-Settings!$B$12,0,Settings!$B$12,1))&lt;Settings!$B$12,NA(),STDEV(OFFSET(F1116,1-Settings!$B$12,0,Settings!$B$12,1))*SQRT(Settings!$B$13)))</f>
        <v/>
      </c>
      <c r="J1116" s="18">
        <f>IF(OR(NOT(ISNUMBER($A1116)),ROW()-2&lt;Settings!$B$11),NA(),IF(COUNT(OFFSET(G1116,1-Settings!$B$11,0,Settings!$B$11,1))&lt;Settings!$B$11,NA(),STDEV(OFFSET(G1116,1-Settings!$B$11,0,Settings!$B$11,1))*SQRT(Settings!$B$13)))</f>
        <v/>
      </c>
      <c r="K1116" s="18">
        <f>IF(OR(NOT(ISNUMBER($A1116)),ROW()-2&lt;Settings!$B$12),NA(),IF(COUNT(OFFSET(G1116,1-Settings!$B$12,0,Settings!$B$12,1))&lt;Settings!$B$12,NA(),STDEV(OFFSET(G1116,1-Settings!$B$12,0,Settings!$B$12,1))*SQRT(Settings!$B$13)))</f>
        <v/>
      </c>
      <c r="L1116" s="18">
        <f>IF(AND(ISNUMBER(D1116),ISNUMBER(H1116)),D1116-H1116,NA())</f>
        <v/>
      </c>
      <c r="M1116" s="18">
        <f>IF(AND(ISNUMBER(E1116),ISNUMBER(K1116)),E1116-K1116,NA())</f>
        <v/>
      </c>
      <c r="N1116" s="18">
        <f>IF(NOT(ISNUMBER($A1116)),NA(),IF(COUNT(OFFSET(G1116,1,0,Settings!$B$12,1))&lt;Settings!$B$12,NA(),STDEV(OFFSET(G1116,1,0,Settings!$B$12,1))*SQRT(Settings!$B$13)))</f>
        <v/>
      </c>
      <c r="O1116" s="18">
        <f>IF(AND(ISNUMBER(E1116),ISNUMBER(N1116)),E1116-N1116,NA())</f>
        <v/>
      </c>
      <c r="P1116" s="17">
        <f>IF(NOT(ISNUMBER($A1116)),NA(),IF(OR($A1116&lt;MIN(KW_TP!$A$2:$A$2501),$A1116&gt;MAX(KW_TP!$A$2:$A$2501)),NA(),INDEX(KW_TP!$C$2:$C$2501,MATCH($A1116,KW_TP!$A$2:$A$2501,1))))</f>
        <v/>
      </c>
    </row>
    <row r="1117">
      <c r="A1117" s="15">
        <f>IF(ISNUMBER(BBG_Data!A1117),BBG_Data!A1117,"")</f>
        <v/>
      </c>
      <c r="B1117" s="16">
        <f>IF(AND(ISNUMBER($A1117),ISNUMBER(BBG_Data!B1117)),BBG_Data!B1117,NA())</f>
        <v/>
      </c>
      <c r="C1117" s="16">
        <f>IF(AND(ISNUMBER($A1117),ISNUMBER(BBG_Data!C1117)),BBG_Data!C1117,NA())</f>
        <v/>
      </c>
      <c r="D1117" s="17">
        <f>IF(AND(ISNUMBER($A1117),ISNUMBER(BBG_Data!D1117)),BBG_Data!D1117,NA())</f>
        <v/>
      </c>
      <c r="E1117" s="17">
        <f>IF(AND(ISNUMBER($A1117),ISNUMBER(BBG_Data!E1117)),BBG_Data!E1117,NA())</f>
        <v/>
      </c>
      <c r="F1117" s="18">
        <f>IF(AND(ISNUMBER(B1117),ISNUMBER(B1116)),(B1117-B1116)*100,"")</f>
        <v/>
      </c>
      <c r="G1117" s="18">
        <f>IF(AND(ISNUMBER(C1117),ISNUMBER(C1116)),(C1117-C1116)*100,"")</f>
        <v/>
      </c>
      <c r="H1117" s="18">
        <f>IF(OR(NOT(ISNUMBER($A1117)),ROW()-2&lt;Settings!$B$11),NA(),IF(COUNT(OFFSET(F1117,1-Settings!$B$11,0,Settings!$B$11,1))&lt;Settings!$B$11,NA(),STDEV(OFFSET(F1117,1-Settings!$B$11,0,Settings!$B$11,1))*SQRT(Settings!$B$13)))</f>
        <v/>
      </c>
      <c r="I1117" s="18">
        <f>IF(OR(NOT(ISNUMBER($A1117)),ROW()-2&lt;Settings!$B$12),NA(),IF(COUNT(OFFSET(F1117,1-Settings!$B$12,0,Settings!$B$12,1))&lt;Settings!$B$12,NA(),STDEV(OFFSET(F1117,1-Settings!$B$12,0,Settings!$B$12,1))*SQRT(Settings!$B$13)))</f>
        <v/>
      </c>
      <c r="J1117" s="18">
        <f>IF(OR(NOT(ISNUMBER($A1117)),ROW()-2&lt;Settings!$B$11),NA(),IF(COUNT(OFFSET(G1117,1-Settings!$B$11,0,Settings!$B$11,1))&lt;Settings!$B$11,NA(),STDEV(OFFSET(G1117,1-Settings!$B$11,0,Settings!$B$11,1))*SQRT(Settings!$B$13)))</f>
        <v/>
      </c>
      <c r="K1117" s="18">
        <f>IF(OR(NOT(ISNUMBER($A1117)),ROW()-2&lt;Settings!$B$12),NA(),IF(COUNT(OFFSET(G1117,1-Settings!$B$12,0,Settings!$B$12,1))&lt;Settings!$B$12,NA(),STDEV(OFFSET(G1117,1-Settings!$B$12,0,Settings!$B$12,1))*SQRT(Settings!$B$13)))</f>
        <v/>
      </c>
      <c r="L1117" s="18">
        <f>IF(AND(ISNUMBER(D1117),ISNUMBER(H1117)),D1117-H1117,NA())</f>
        <v/>
      </c>
      <c r="M1117" s="18">
        <f>IF(AND(ISNUMBER(E1117),ISNUMBER(K1117)),E1117-K1117,NA())</f>
        <v/>
      </c>
      <c r="N1117" s="18">
        <f>IF(NOT(ISNUMBER($A1117)),NA(),IF(COUNT(OFFSET(G1117,1,0,Settings!$B$12,1))&lt;Settings!$B$12,NA(),STDEV(OFFSET(G1117,1,0,Settings!$B$12,1))*SQRT(Settings!$B$13)))</f>
        <v/>
      </c>
      <c r="O1117" s="18">
        <f>IF(AND(ISNUMBER(E1117),ISNUMBER(N1117)),E1117-N1117,NA())</f>
        <v/>
      </c>
      <c r="P1117" s="17">
        <f>IF(NOT(ISNUMBER($A1117)),NA(),IF(OR($A1117&lt;MIN(KW_TP!$A$2:$A$2501),$A1117&gt;MAX(KW_TP!$A$2:$A$2501)),NA(),INDEX(KW_TP!$C$2:$C$2501,MATCH($A1117,KW_TP!$A$2:$A$2501,1))))</f>
        <v/>
      </c>
    </row>
    <row r="1118">
      <c r="A1118" s="15">
        <f>IF(ISNUMBER(BBG_Data!A1118),BBG_Data!A1118,"")</f>
        <v/>
      </c>
      <c r="B1118" s="16">
        <f>IF(AND(ISNUMBER($A1118),ISNUMBER(BBG_Data!B1118)),BBG_Data!B1118,NA())</f>
        <v/>
      </c>
      <c r="C1118" s="16">
        <f>IF(AND(ISNUMBER($A1118),ISNUMBER(BBG_Data!C1118)),BBG_Data!C1118,NA())</f>
        <v/>
      </c>
      <c r="D1118" s="17">
        <f>IF(AND(ISNUMBER($A1118),ISNUMBER(BBG_Data!D1118)),BBG_Data!D1118,NA())</f>
        <v/>
      </c>
      <c r="E1118" s="17">
        <f>IF(AND(ISNUMBER($A1118),ISNUMBER(BBG_Data!E1118)),BBG_Data!E1118,NA())</f>
        <v/>
      </c>
      <c r="F1118" s="18">
        <f>IF(AND(ISNUMBER(B1118),ISNUMBER(B1117)),(B1118-B1117)*100,"")</f>
        <v/>
      </c>
      <c r="G1118" s="18">
        <f>IF(AND(ISNUMBER(C1118),ISNUMBER(C1117)),(C1118-C1117)*100,"")</f>
        <v/>
      </c>
      <c r="H1118" s="18">
        <f>IF(OR(NOT(ISNUMBER($A1118)),ROW()-2&lt;Settings!$B$11),NA(),IF(COUNT(OFFSET(F1118,1-Settings!$B$11,0,Settings!$B$11,1))&lt;Settings!$B$11,NA(),STDEV(OFFSET(F1118,1-Settings!$B$11,0,Settings!$B$11,1))*SQRT(Settings!$B$13)))</f>
        <v/>
      </c>
      <c r="I1118" s="18">
        <f>IF(OR(NOT(ISNUMBER($A1118)),ROW()-2&lt;Settings!$B$12),NA(),IF(COUNT(OFFSET(F1118,1-Settings!$B$12,0,Settings!$B$12,1))&lt;Settings!$B$12,NA(),STDEV(OFFSET(F1118,1-Settings!$B$12,0,Settings!$B$12,1))*SQRT(Settings!$B$13)))</f>
        <v/>
      </c>
      <c r="J1118" s="18">
        <f>IF(OR(NOT(ISNUMBER($A1118)),ROW()-2&lt;Settings!$B$11),NA(),IF(COUNT(OFFSET(G1118,1-Settings!$B$11,0,Settings!$B$11,1))&lt;Settings!$B$11,NA(),STDEV(OFFSET(G1118,1-Settings!$B$11,0,Settings!$B$11,1))*SQRT(Settings!$B$13)))</f>
        <v/>
      </c>
      <c r="K1118" s="18">
        <f>IF(OR(NOT(ISNUMBER($A1118)),ROW()-2&lt;Settings!$B$12),NA(),IF(COUNT(OFFSET(G1118,1-Settings!$B$12,0,Settings!$B$12,1))&lt;Settings!$B$12,NA(),STDEV(OFFSET(G1118,1-Settings!$B$12,0,Settings!$B$12,1))*SQRT(Settings!$B$13)))</f>
        <v/>
      </c>
      <c r="L1118" s="18">
        <f>IF(AND(ISNUMBER(D1118),ISNUMBER(H1118)),D1118-H1118,NA())</f>
        <v/>
      </c>
      <c r="M1118" s="18">
        <f>IF(AND(ISNUMBER(E1118),ISNUMBER(K1118)),E1118-K1118,NA())</f>
        <v/>
      </c>
      <c r="N1118" s="18">
        <f>IF(NOT(ISNUMBER($A1118)),NA(),IF(COUNT(OFFSET(G1118,1,0,Settings!$B$12,1))&lt;Settings!$B$12,NA(),STDEV(OFFSET(G1118,1,0,Settings!$B$12,1))*SQRT(Settings!$B$13)))</f>
        <v/>
      </c>
      <c r="O1118" s="18">
        <f>IF(AND(ISNUMBER(E1118),ISNUMBER(N1118)),E1118-N1118,NA())</f>
        <v/>
      </c>
      <c r="P1118" s="17">
        <f>IF(NOT(ISNUMBER($A1118)),NA(),IF(OR($A1118&lt;MIN(KW_TP!$A$2:$A$2501),$A1118&gt;MAX(KW_TP!$A$2:$A$2501)),NA(),INDEX(KW_TP!$C$2:$C$2501,MATCH($A1118,KW_TP!$A$2:$A$2501,1))))</f>
        <v/>
      </c>
    </row>
    <row r="1119">
      <c r="A1119" s="15">
        <f>IF(ISNUMBER(BBG_Data!A1119),BBG_Data!A1119,"")</f>
        <v/>
      </c>
      <c r="B1119" s="16">
        <f>IF(AND(ISNUMBER($A1119),ISNUMBER(BBG_Data!B1119)),BBG_Data!B1119,NA())</f>
        <v/>
      </c>
      <c r="C1119" s="16">
        <f>IF(AND(ISNUMBER($A1119),ISNUMBER(BBG_Data!C1119)),BBG_Data!C1119,NA())</f>
        <v/>
      </c>
      <c r="D1119" s="17">
        <f>IF(AND(ISNUMBER($A1119),ISNUMBER(BBG_Data!D1119)),BBG_Data!D1119,NA())</f>
        <v/>
      </c>
      <c r="E1119" s="17">
        <f>IF(AND(ISNUMBER($A1119),ISNUMBER(BBG_Data!E1119)),BBG_Data!E1119,NA())</f>
        <v/>
      </c>
      <c r="F1119" s="18">
        <f>IF(AND(ISNUMBER(B1119),ISNUMBER(B1118)),(B1119-B1118)*100,"")</f>
        <v/>
      </c>
      <c r="G1119" s="18">
        <f>IF(AND(ISNUMBER(C1119),ISNUMBER(C1118)),(C1119-C1118)*100,"")</f>
        <v/>
      </c>
      <c r="H1119" s="18">
        <f>IF(OR(NOT(ISNUMBER($A1119)),ROW()-2&lt;Settings!$B$11),NA(),IF(COUNT(OFFSET(F1119,1-Settings!$B$11,0,Settings!$B$11,1))&lt;Settings!$B$11,NA(),STDEV(OFFSET(F1119,1-Settings!$B$11,0,Settings!$B$11,1))*SQRT(Settings!$B$13)))</f>
        <v/>
      </c>
      <c r="I1119" s="18">
        <f>IF(OR(NOT(ISNUMBER($A1119)),ROW()-2&lt;Settings!$B$12),NA(),IF(COUNT(OFFSET(F1119,1-Settings!$B$12,0,Settings!$B$12,1))&lt;Settings!$B$12,NA(),STDEV(OFFSET(F1119,1-Settings!$B$12,0,Settings!$B$12,1))*SQRT(Settings!$B$13)))</f>
        <v/>
      </c>
      <c r="J1119" s="18">
        <f>IF(OR(NOT(ISNUMBER($A1119)),ROW()-2&lt;Settings!$B$11),NA(),IF(COUNT(OFFSET(G1119,1-Settings!$B$11,0,Settings!$B$11,1))&lt;Settings!$B$11,NA(),STDEV(OFFSET(G1119,1-Settings!$B$11,0,Settings!$B$11,1))*SQRT(Settings!$B$13)))</f>
        <v/>
      </c>
      <c r="K1119" s="18">
        <f>IF(OR(NOT(ISNUMBER($A1119)),ROW()-2&lt;Settings!$B$12),NA(),IF(COUNT(OFFSET(G1119,1-Settings!$B$12,0,Settings!$B$12,1))&lt;Settings!$B$12,NA(),STDEV(OFFSET(G1119,1-Settings!$B$12,0,Settings!$B$12,1))*SQRT(Settings!$B$13)))</f>
        <v/>
      </c>
      <c r="L1119" s="18">
        <f>IF(AND(ISNUMBER(D1119),ISNUMBER(H1119)),D1119-H1119,NA())</f>
        <v/>
      </c>
      <c r="M1119" s="18">
        <f>IF(AND(ISNUMBER(E1119),ISNUMBER(K1119)),E1119-K1119,NA())</f>
        <v/>
      </c>
      <c r="N1119" s="18">
        <f>IF(NOT(ISNUMBER($A1119)),NA(),IF(COUNT(OFFSET(G1119,1,0,Settings!$B$12,1))&lt;Settings!$B$12,NA(),STDEV(OFFSET(G1119,1,0,Settings!$B$12,1))*SQRT(Settings!$B$13)))</f>
        <v/>
      </c>
      <c r="O1119" s="18">
        <f>IF(AND(ISNUMBER(E1119),ISNUMBER(N1119)),E1119-N1119,NA())</f>
        <v/>
      </c>
      <c r="P1119" s="17">
        <f>IF(NOT(ISNUMBER($A1119)),NA(),IF(OR($A1119&lt;MIN(KW_TP!$A$2:$A$2501),$A1119&gt;MAX(KW_TP!$A$2:$A$2501)),NA(),INDEX(KW_TP!$C$2:$C$2501,MATCH($A1119,KW_TP!$A$2:$A$2501,1))))</f>
        <v/>
      </c>
    </row>
    <row r="1120">
      <c r="A1120" s="15">
        <f>IF(ISNUMBER(BBG_Data!A1120),BBG_Data!A1120,"")</f>
        <v/>
      </c>
      <c r="B1120" s="16">
        <f>IF(AND(ISNUMBER($A1120),ISNUMBER(BBG_Data!B1120)),BBG_Data!B1120,NA())</f>
        <v/>
      </c>
      <c r="C1120" s="16">
        <f>IF(AND(ISNUMBER($A1120),ISNUMBER(BBG_Data!C1120)),BBG_Data!C1120,NA())</f>
        <v/>
      </c>
      <c r="D1120" s="17">
        <f>IF(AND(ISNUMBER($A1120),ISNUMBER(BBG_Data!D1120)),BBG_Data!D1120,NA())</f>
        <v/>
      </c>
      <c r="E1120" s="17">
        <f>IF(AND(ISNUMBER($A1120),ISNUMBER(BBG_Data!E1120)),BBG_Data!E1120,NA())</f>
        <v/>
      </c>
      <c r="F1120" s="18">
        <f>IF(AND(ISNUMBER(B1120),ISNUMBER(B1119)),(B1120-B1119)*100,"")</f>
        <v/>
      </c>
      <c r="G1120" s="18">
        <f>IF(AND(ISNUMBER(C1120),ISNUMBER(C1119)),(C1120-C1119)*100,"")</f>
        <v/>
      </c>
      <c r="H1120" s="18">
        <f>IF(OR(NOT(ISNUMBER($A1120)),ROW()-2&lt;Settings!$B$11),NA(),IF(COUNT(OFFSET(F1120,1-Settings!$B$11,0,Settings!$B$11,1))&lt;Settings!$B$11,NA(),STDEV(OFFSET(F1120,1-Settings!$B$11,0,Settings!$B$11,1))*SQRT(Settings!$B$13)))</f>
        <v/>
      </c>
      <c r="I1120" s="18">
        <f>IF(OR(NOT(ISNUMBER($A1120)),ROW()-2&lt;Settings!$B$12),NA(),IF(COUNT(OFFSET(F1120,1-Settings!$B$12,0,Settings!$B$12,1))&lt;Settings!$B$12,NA(),STDEV(OFFSET(F1120,1-Settings!$B$12,0,Settings!$B$12,1))*SQRT(Settings!$B$13)))</f>
        <v/>
      </c>
      <c r="J1120" s="18">
        <f>IF(OR(NOT(ISNUMBER($A1120)),ROW()-2&lt;Settings!$B$11),NA(),IF(COUNT(OFFSET(G1120,1-Settings!$B$11,0,Settings!$B$11,1))&lt;Settings!$B$11,NA(),STDEV(OFFSET(G1120,1-Settings!$B$11,0,Settings!$B$11,1))*SQRT(Settings!$B$13)))</f>
        <v/>
      </c>
      <c r="K1120" s="18">
        <f>IF(OR(NOT(ISNUMBER($A1120)),ROW()-2&lt;Settings!$B$12),NA(),IF(COUNT(OFFSET(G1120,1-Settings!$B$12,0,Settings!$B$12,1))&lt;Settings!$B$12,NA(),STDEV(OFFSET(G1120,1-Settings!$B$12,0,Settings!$B$12,1))*SQRT(Settings!$B$13)))</f>
        <v/>
      </c>
      <c r="L1120" s="18">
        <f>IF(AND(ISNUMBER(D1120),ISNUMBER(H1120)),D1120-H1120,NA())</f>
        <v/>
      </c>
      <c r="M1120" s="18">
        <f>IF(AND(ISNUMBER(E1120),ISNUMBER(K1120)),E1120-K1120,NA())</f>
        <v/>
      </c>
      <c r="N1120" s="18">
        <f>IF(NOT(ISNUMBER($A1120)),NA(),IF(COUNT(OFFSET(G1120,1,0,Settings!$B$12,1))&lt;Settings!$B$12,NA(),STDEV(OFFSET(G1120,1,0,Settings!$B$12,1))*SQRT(Settings!$B$13)))</f>
        <v/>
      </c>
      <c r="O1120" s="18">
        <f>IF(AND(ISNUMBER(E1120),ISNUMBER(N1120)),E1120-N1120,NA())</f>
        <v/>
      </c>
      <c r="P1120" s="17">
        <f>IF(NOT(ISNUMBER($A1120)),NA(),IF(OR($A1120&lt;MIN(KW_TP!$A$2:$A$2501),$A1120&gt;MAX(KW_TP!$A$2:$A$2501)),NA(),INDEX(KW_TP!$C$2:$C$2501,MATCH($A1120,KW_TP!$A$2:$A$2501,1))))</f>
        <v/>
      </c>
    </row>
    <row r="1121">
      <c r="A1121" s="15">
        <f>IF(ISNUMBER(BBG_Data!A1121),BBG_Data!A1121,"")</f>
        <v/>
      </c>
      <c r="B1121" s="16">
        <f>IF(AND(ISNUMBER($A1121),ISNUMBER(BBG_Data!B1121)),BBG_Data!B1121,NA())</f>
        <v/>
      </c>
      <c r="C1121" s="16">
        <f>IF(AND(ISNUMBER($A1121),ISNUMBER(BBG_Data!C1121)),BBG_Data!C1121,NA())</f>
        <v/>
      </c>
      <c r="D1121" s="17">
        <f>IF(AND(ISNUMBER($A1121),ISNUMBER(BBG_Data!D1121)),BBG_Data!D1121,NA())</f>
        <v/>
      </c>
      <c r="E1121" s="17">
        <f>IF(AND(ISNUMBER($A1121),ISNUMBER(BBG_Data!E1121)),BBG_Data!E1121,NA())</f>
        <v/>
      </c>
      <c r="F1121" s="18">
        <f>IF(AND(ISNUMBER(B1121),ISNUMBER(B1120)),(B1121-B1120)*100,"")</f>
        <v/>
      </c>
      <c r="G1121" s="18">
        <f>IF(AND(ISNUMBER(C1121),ISNUMBER(C1120)),(C1121-C1120)*100,"")</f>
        <v/>
      </c>
      <c r="H1121" s="18">
        <f>IF(OR(NOT(ISNUMBER($A1121)),ROW()-2&lt;Settings!$B$11),NA(),IF(COUNT(OFFSET(F1121,1-Settings!$B$11,0,Settings!$B$11,1))&lt;Settings!$B$11,NA(),STDEV(OFFSET(F1121,1-Settings!$B$11,0,Settings!$B$11,1))*SQRT(Settings!$B$13)))</f>
        <v/>
      </c>
      <c r="I1121" s="18">
        <f>IF(OR(NOT(ISNUMBER($A1121)),ROW()-2&lt;Settings!$B$12),NA(),IF(COUNT(OFFSET(F1121,1-Settings!$B$12,0,Settings!$B$12,1))&lt;Settings!$B$12,NA(),STDEV(OFFSET(F1121,1-Settings!$B$12,0,Settings!$B$12,1))*SQRT(Settings!$B$13)))</f>
        <v/>
      </c>
      <c r="J1121" s="18">
        <f>IF(OR(NOT(ISNUMBER($A1121)),ROW()-2&lt;Settings!$B$11),NA(),IF(COUNT(OFFSET(G1121,1-Settings!$B$11,0,Settings!$B$11,1))&lt;Settings!$B$11,NA(),STDEV(OFFSET(G1121,1-Settings!$B$11,0,Settings!$B$11,1))*SQRT(Settings!$B$13)))</f>
        <v/>
      </c>
      <c r="K1121" s="18">
        <f>IF(OR(NOT(ISNUMBER($A1121)),ROW()-2&lt;Settings!$B$12),NA(),IF(COUNT(OFFSET(G1121,1-Settings!$B$12,0,Settings!$B$12,1))&lt;Settings!$B$12,NA(),STDEV(OFFSET(G1121,1-Settings!$B$12,0,Settings!$B$12,1))*SQRT(Settings!$B$13)))</f>
        <v/>
      </c>
      <c r="L1121" s="18">
        <f>IF(AND(ISNUMBER(D1121),ISNUMBER(H1121)),D1121-H1121,NA())</f>
        <v/>
      </c>
      <c r="M1121" s="18">
        <f>IF(AND(ISNUMBER(E1121),ISNUMBER(K1121)),E1121-K1121,NA())</f>
        <v/>
      </c>
      <c r="N1121" s="18">
        <f>IF(NOT(ISNUMBER($A1121)),NA(),IF(COUNT(OFFSET(G1121,1,0,Settings!$B$12,1))&lt;Settings!$B$12,NA(),STDEV(OFFSET(G1121,1,0,Settings!$B$12,1))*SQRT(Settings!$B$13)))</f>
        <v/>
      </c>
      <c r="O1121" s="18">
        <f>IF(AND(ISNUMBER(E1121),ISNUMBER(N1121)),E1121-N1121,NA())</f>
        <v/>
      </c>
      <c r="P1121" s="17">
        <f>IF(NOT(ISNUMBER($A1121)),NA(),IF(OR($A1121&lt;MIN(KW_TP!$A$2:$A$2501),$A1121&gt;MAX(KW_TP!$A$2:$A$2501)),NA(),INDEX(KW_TP!$C$2:$C$2501,MATCH($A1121,KW_TP!$A$2:$A$2501,1))))</f>
        <v/>
      </c>
    </row>
    <row r="1122">
      <c r="A1122" s="15">
        <f>IF(ISNUMBER(BBG_Data!A1122),BBG_Data!A1122,"")</f>
        <v/>
      </c>
      <c r="B1122" s="16">
        <f>IF(AND(ISNUMBER($A1122),ISNUMBER(BBG_Data!B1122)),BBG_Data!B1122,NA())</f>
        <v/>
      </c>
      <c r="C1122" s="16">
        <f>IF(AND(ISNUMBER($A1122),ISNUMBER(BBG_Data!C1122)),BBG_Data!C1122,NA())</f>
        <v/>
      </c>
      <c r="D1122" s="17">
        <f>IF(AND(ISNUMBER($A1122),ISNUMBER(BBG_Data!D1122)),BBG_Data!D1122,NA())</f>
        <v/>
      </c>
      <c r="E1122" s="17">
        <f>IF(AND(ISNUMBER($A1122),ISNUMBER(BBG_Data!E1122)),BBG_Data!E1122,NA())</f>
        <v/>
      </c>
      <c r="F1122" s="18">
        <f>IF(AND(ISNUMBER(B1122),ISNUMBER(B1121)),(B1122-B1121)*100,"")</f>
        <v/>
      </c>
      <c r="G1122" s="18">
        <f>IF(AND(ISNUMBER(C1122),ISNUMBER(C1121)),(C1122-C1121)*100,"")</f>
        <v/>
      </c>
      <c r="H1122" s="18">
        <f>IF(OR(NOT(ISNUMBER($A1122)),ROW()-2&lt;Settings!$B$11),NA(),IF(COUNT(OFFSET(F1122,1-Settings!$B$11,0,Settings!$B$11,1))&lt;Settings!$B$11,NA(),STDEV(OFFSET(F1122,1-Settings!$B$11,0,Settings!$B$11,1))*SQRT(Settings!$B$13)))</f>
        <v/>
      </c>
      <c r="I1122" s="18">
        <f>IF(OR(NOT(ISNUMBER($A1122)),ROW()-2&lt;Settings!$B$12),NA(),IF(COUNT(OFFSET(F1122,1-Settings!$B$12,0,Settings!$B$12,1))&lt;Settings!$B$12,NA(),STDEV(OFFSET(F1122,1-Settings!$B$12,0,Settings!$B$12,1))*SQRT(Settings!$B$13)))</f>
        <v/>
      </c>
      <c r="J1122" s="18">
        <f>IF(OR(NOT(ISNUMBER($A1122)),ROW()-2&lt;Settings!$B$11),NA(),IF(COUNT(OFFSET(G1122,1-Settings!$B$11,0,Settings!$B$11,1))&lt;Settings!$B$11,NA(),STDEV(OFFSET(G1122,1-Settings!$B$11,0,Settings!$B$11,1))*SQRT(Settings!$B$13)))</f>
        <v/>
      </c>
      <c r="K1122" s="18">
        <f>IF(OR(NOT(ISNUMBER($A1122)),ROW()-2&lt;Settings!$B$12),NA(),IF(COUNT(OFFSET(G1122,1-Settings!$B$12,0,Settings!$B$12,1))&lt;Settings!$B$12,NA(),STDEV(OFFSET(G1122,1-Settings!$B$12,0,Settings!$B$12,1))*SQRT(Settings!$B$13)))</f>
        <v/>
      </c>
      <c r="L1122" s="18">
        <f>IF(AND(ISNUMBER(D1122),ISNUMBER(H1122)),D1122-H1122,NA())</f>
        <v/>
      </c>
      <c r="M1122" s="18">
        <f>IF(AND(ISNUMBER(E1122),ISNUMBER(K1122)),E1122-K1122,NA())</f>
        <v/>
      </c>
      <c r="N1122" s="18">
        <f>IF(NOT(ISNUMBER($A1122)),NA(),IF(COUNT(OFFSET(G1122,1,0,Settings!$B$12,1))&lt;Settings!$B$12,NA(),STDEV(OFFSET(G1122,1,0,Settings!$B$12,1))*SQRT(Settings!$B$13)))</f>
        <v/>
      </c>
      <c r="O1122" s="18">
        <f>IF(AND(ISNUMBER(E1122),ISNUMBER(N1122)),E1122-N1122,NA())</f>
        <v/>
      </c>
      <c r="P1122" s="17">
        <f>IF(NOT(ISNUMBER($A1122)),NA(),IF(OR($A1122&lt;MIN(KW_TP!$A$2:$A$2501),$A1122&gt;MAX(KW_TP!$A$2:$A$2501)),NA(),INDEX(KW_TP!$C$2:$C$2501,MATCH($A1122,KW_TP!$A$2:$A$2501,1))))</f>
        <v/>
      </c>
    </row>
    <row r="1123">
      <c r="A1123" s="15">
        <f>IF(ISNUMBER(BBG_Data!A1123),BBG_Data!A1123,"")</f>
        <v/>
      </c>
      <c r="B1123" s="16">
        <f>IF(AND(ISNUMBER($A1123),ISNUMBER(BBG_Data!B1123)),BBG_Data!B1123,NA())</f>
        <v/>
      </c>
      <c r="C1123" s="16">
        <f>IF(AND(ISNUMBER($A1123),ISNUMBER(BBG_Data!C1123)),BBG_Data!C1123,NA())</f>
        <v/>
      </c>
      <c r="D1123" s="17">
        <f>IF(AND(ISNUMBER($A1123),ISNUMBER(BBG_Data!D1123)),BBG_Data!D1123,NA())</f>
        <v/>
      </c>
      <c r="E1123" s="17">
        <f>IF(AND(ISNUMBER($A1123),ISNUMBER(BBG_Data!E1123)),BBG_Data!E1123,NA())</f>
        <v/>
      </c>
      <c r="F1123" s="18">
        <f>IF(AND(ISNUMBER(B1123),ISNUMBER(B1122)),(B1123-B1122)*100,"")</f>
        <v/>
      </c>
      <c r="G1123" s="18">
        <f>IF(AND(ISNUMBER(C1123),ISNUMBER(C1122)),(C1123-C1122)*100,"")</f>
        <v/>
      </c>
      <c r="H1123" s="18">
        <f>IF(OR(NOT(ISNUMBER($A1123)),ROW()-2&lt;Settings!$B$11),NA(),IF(COUNT(OFFSET(F1123,1-Settings!$B$11,0,Settings!$B$11,1))&lt;Settings!$B$11,NA(),STDEV(OFFSET(F1123,1-Settings!$B$11,0,Settings!$B$11,1))*SQRT(Settings!$B$13)))</f>
        <v/>
      </c>
      <c r="I1123" s="18">
        <f>IF(OR(NOT(ISNUMBER($A1123)),ROW()-2&lt;Settings!$B$12),NA(),IF(COUNT(OFFSET(F1123,1-Settings!$B$12,0,Settings!$B$12,1))&lt;Settings!$B$12,NA(),STDEV(OFFSET(F1123,1-Settings!$B$12,0,Settings!$B$12,1))*SQRT(Settings!$B$13)))</f>
        <v/>
      </c>
      <c r="J1123" s="18">
        <f>IF(OR(NOT(ISNUMBER($A1123)),ROW()-2&lt;Settings!$B$11),NA(),IF(COUNT(OFFSET(G1123,1-Settings!$B$11,0,Settings!$B$11,1))&lt;Settings!$B$11,NA(),STDEV(OFFSET(G1123,1-Settings!$B$11,0,Settings!$B$11,1))*SQRT(Settings!$B$13)))</f>
        <v/>
      </c>
      <c r="K1123" s="18">
        <f>IF(OR(NOT(ISNUMBER($A1123)),ROW()-2&lt;Settings!$B$12),NA(),IF(COUNT(OFFSET(G1123,1-Settings!$B$12,0,Settings!$B$12,1))&lt;Settings!$B$12,NA(),STDEV(OFFSET(G1123,1-Settings!$B$12,0,Settings!$B$12,1))*SQRT(Settings!$B$13)))</f>
        <v/>
      </c>
      <c r="L1123" s="18">
        <f>IF(AND(ISNUMBER(D1123),ISNUMBER(H1123)),D1123-H1123,NA())</f>
        <v/>
      </c>
      <c r="M1123" s="18">
        <f>IF(AND(ISNUMBER(E1123),ISNUMBER(K1123)),E1123-K1123,NA())</f>
        <v/>
      </c>
      <c r="N1123" s="18">
        <f>IF(NOT(ISNUMBER($A1123)),NA(),IF(COUNT(OFFSET(G1123,1,0,Settings!$B$12,1))&lt;Settings!$B$12,NA(),STDEV(OFFSET(G1123,1,0,Settings!$B$12,1))*SQRT(Settings!$B$13)))</f>
        <v/>
      </c>
      <c r="O1123" s="18">
        <f>IF(AND(ISNUMBER(E1123),ISNUMBER(N1123)),E1123-N1123,NA())</f>
        <v/>
      </c>
      <c r="P1123" s="17">
        <f>IF(NOT(ISNUMBER($A1123)),NA(),IF(OR($A1123&lt;MIN(KW_TP!$A$2:$A$2501),$A1123&gt;MAX(KW_TP!$A$2:$A$2501)),NA(),INDEX(KW_TP!$C$2:$C$2501,MATCH($A1123,KW_TP!$A$2:$A$2501,1))))</f>
        <v/>
      </c>
    </row>
    <row r="1124">
      <c r="A1124" s="15">
        <f>IF(ISNUMBER(BBG_Data!A1124),BBG_Data!A1124,"")</f>
        <v/>
      </c>
      <c r="B1124" s="16">
        <f>IF(AND(ISNUMBER($A1124),ISNUMBER(BBG_Data!B1124)),BBG_Data!B1124,NA())</f>
        <v/>
      </c>
      <c r="C1124" s="16">
        <f>IF(AND(ISNUMBER($A1124),ISNUMBER(BBG_Data!C1124)),BBG_Data!C1124,NA())</f>
        <v/>
      </c>
      <c r="D1124" s="17">
        <f>IF(AND(ISNUMBER($A1124),ISNUMBER(BBG_Data!D1124)),BBG_Data!D1124,NA())</f>
        <v/>
      </c>
      <c r="E1124" s="17">
        <f>IF(AND(ISNUMBER($A1124),ISNUMBER(BBG_Data!E1124)),BBG_Data!E1124,NA())</f>
        <v/>
      </c>
      <c r="F1124" s="18">
        <f>IF(AND(ISNUMBER(B1124),ISNUMBER(B1123)),(B1124-B1123)*100,"")</f>
        <v/>
      </c>
      <c r="G1124" s="18">
        <f>IF(AND(ISNUMBER(C1124),ISNUMBER(C1123)),(C1124-C1123)*100,"")</f>
        <v/>
      </c>
      <c r="H1124" s="18">
        <f>IF(OR(NOT(ISNUMBER($A1124)),ROW()-2&lt;Settings!$B$11),NA(),IF(COUNT(OFFSET(F1124,1-Settings!$B$11,0,Settings!$B$11,1))&lt;Settings!$B$11,NA(),STDEV(OFFSET(F1124,1-Settings!$B$11,0,Settings!$B$11,1))*SQRT(Settings!$B$13)))</f>
        <v/>
      </c>
      <c r="I1124" s="18">
        <f>IF(OR(NOT(ISNUMBER($A1124)),ROW()-2&lt;Settings!$B$12),NA(),IF(COUNT(OFFSET(F1124,1-Settings!$B$12,0,Settings!$B$12,1))&lt;Settings!$B$12,NA(),STDEV(OFFSET(F1124,1-Settings!$B$12,0,Settings!$B$12,1))*SQRT(Settings!$B$13)))</f>
        <v/>
      </c>
      <c r="J1124" s="18">
        <f>IF(OR(NOT(ISNUMBER($A1124)),ROW()-2&lt;Settings!$B$11),NA(),IF(COUNT(OFFSET(G1124,1-Settings!$B$11,0,Settings!$B$11,1))&lt;Settings!$B$11,NA(),STDEV(OFFSET(G1124,1-Settings!$B$11,0,Settings!$B$11,1))*SQRT(Settings!$B$13)))</f>
        <v/>
      </c>
      <c r="K1124" s="18">
        <f>IF(OR(NOT(ISNUMBER($A1124)),ROW()-2&lt;Settings!$B$12),NA(),IF(COUNT(OFFSET(G1124,1-Settings!$B$12,0,Settings!$B$12,1))&lt;Settings!$B$12,NA(),STDEV(OFFSET(G1124,1-Settings!$B$12,0,Settings!$B$12,1))*SQRT(Settings!$B$13)))</f>
        <v/>
      </c>
      <c r="L1124" s="18">
        <f>IF(AND(ISNUMBER(D1124),ISNUMBER(H1124)),D1124-H1124,NA())</f>
        <v/>
      </c>
      <c r="M1124" s="18">
        <f>IF(AND(ISNUMBER(E1124),ISNUMBER(K1124)),E1124-K1124,NA())</f>
        <v/>
      </c>
      <c r="N1124" s="18">
        <f>IF(NOT(ISNUMBER($A1124)),NA(),IF(COUNT(OFFSET(G1124,1,0,Settings!$B$12,1))&lt;Settings!$B$12,NA(),STDEV(OFFSET(G1124,1,0,Settings!$B$12,1))*SQRT(Settings!$B$13)))</f>
        <v/>
      </c>
      <c r="O1124" s="18">
        <f>IF(AND(ISNUMBER(E1124),ISNUMBER(N1124)),E1124-N1124,NA())</f>
        <v/>
      </c>
      <c r="P1124" s="17">
        <f>IF(NOT(ISNUMBER($A1124)),NA(),IF(OR($A1124&lt;MIN(KW_TP!$A$2:$A$2501),$A1124&gt;MAX(KW_TP!$A$2:$A$2501)),NA(),INDEX(KW_TP!$C$2:$C$2501,MATCH($A1124,KW_TP!$A$2:$A$2501,1))))</f>
        <v/>
      </c>
    </row>
    <row r="1125">
      <c r="A1125" s="15">
        <f>IF(ISNUMBER(BBG_Data!A1125),BBG_Data!A1125,"")</f>
        <v/>
      </c>
      <c r="B1125" s="16">
        <f>IF(AND(ISNUMBER($A1125),ISNUMBER(BBG_Data!B1125)),BBG_Data!B1125,NA())</f>
        <v/>
      </c>
      <c r="C1125" s="16">
        <f>IF(AND(ISNUMBER($A1125),ISNUMBER(BBG_Data!C1125)),BBG_Data!C1125,NA())</f>
        <v/>
      </c>
      <c r="D1125" s="17">
        <f>IF(AND(ISNUMBER($A1125),ISNUMBER(BBG_Data!D1125)),BBG_Data!D1125,NA())</f>
        <v/>
      </c>
      <c r="E1125" s="17">
        <f>IF(AND(ISNUMBER($A1125),ISNUMBER(BBG_Data!E1125)),BBG_Data!E1125,NA())</f>
        <v/>
      </c>
      <c r="F1125" s="18">
        <f>IF(AND(ISNUMBER(B1125),ISNUMBER(B1124)),(B1125-B1124)*100,"")</f>
        <v/>
      </c>
      <c r="G1125" s="18">
        <f>IF(AND(ISNUMBER(C1125),ISNUMBER(C1124)),(C1125-C1124)*100,"")</f>
        <v/>
      </c>
      <c r="H1125" s="18">
        <f>IF(OR(NOT(ISNUMBER($A1125)),ROW()-2&lt;Settings!$B$11),NA(),IF(COUNT(OFFSET(F1125,1-Settings!$B$11,0,Settings!$B$11,1))&lt;Settings!$B$11,NA(),STDEV(OFFSET(F1125,1-Settings!$B$11,0,Settings!$B$11,1))*SQRT(Settings!$B$13)))</f>
        <v/>
      </c>
      <c r="I1125" s="18">
        <f>IF(OR(NOT(ISNUMBER($A1125)),ROW()-2&lt;Settings!$B$12),NA(),IF(COUNT(OFFSET(F1125,1-Settings!$B$12,0,Settings!$B$12,1))&lt;Settings!$B$12,NA(),STDEV(OFFSET(F1125,1-Settings!$B$12,0,Settings!$B$12,1))*SQRT(Settings!$B$13)))</f>
        <v/>
      </c>
      <c r="J1125" s="18">
        <f>IF(OR(NOT(ISNUMBER($A1125)),ROW()-2&lt;Settings!$B$11),NA(),IF(COUNT(OFFSET(G1125,1-Settings!$B$11,0,Settings!$B$11,1))&lt;Settings!$B$11,NA(),STDEV(OFFSET(G1125,1-Settings!$B$11,0,Settings!$B$11,1))*SQRT(Settings!$B$13)))</f>
        <v/>
      </c>
      <c r="K1125" s="18">
        <f>IF(OR(NOT(ISNUMBER($A1125)),ROW()-2&lt;Settings!$B$12),NA(),IF(COUNT(OFFSET(G1125,1-Settings!$B$12,0,Settings!$B$12,1))&lt;Settings!$B$12,NA(),STDEV(OFFSET(G1125,1-Settings!$B$12,0,Settings!$B$12,1))*SQRT(Settings!$B$13)))</f>
        <v/>
      </c>
      <c r="L1125" s="18">
        <f>IF(AND(ISNUMBER(D1125),ISNUMBER(H1125)),D1125-H1125,NA())</f>
        <v/>
      </c>
      <c r="M1125" s="18">
        <f>IF(AND(ISNUMBER(E1125),ISNUMBER(K1125)),E1125-K1125,NA())</f>
        <v/>
      </c>
      <c r="N1125" s="18">
        <f>IF(NOT(ISNUMBER($A1125)),NA(),IF(COUNT(OFFSET(G1125,1,0,Settings!$B$12,1))&lt;Settings!$B$12,NA(),STDEV(OFFSET(G1125,1,0,Settings!$B$12,1))*SQRT(Settings!$B$13)))</f>
        <v/>
      </c>
      <c r="O1125" s="18">
        <f>IF(AND(ISNUMBER(E1125),ISNUMBER(N1125)),E1125-N1125,NA())</f>
        <v/>
      </c>
      <c r="P1125" s="17">
        <f>IF(NOT(ISNUMBER($A1125)),NA(),IF(OR($A1125&lt;MIN(KW_TP!$A$2:$A$2501),$A1125&gt;MAX(KW_TP!$A$2:$A$2501)),NA(),INDEX(KW_TP!$C$2:$C$2501,MATCH($A1125,KW_TP!$A$2:$A$2501,1))))</f>
        <v/>
      </c>
    </row>
    <row r="1126">
      <c r="A1126" s="15">
        <f>IF(ISNUMBER(BBG_Data!A1126),BBG_Data!A1126,"")</f>
        <v/>
      </c>
      <c r="B1126" s="16">
        <f>IF(AND(ISNUMBER($A1126),ISNUMBER(BBG_Data!B1126)),BBG_Data!B1126,NA())</f>
        <v/>
      </c>
      <c r="C1126" s="16">
        <f>IF(AND(ISNUMBER($A1126),ISNUMBER(BBG_Data!C1126)),BBG_Data!C1126,NA())</f>
        <v/>
      </c>
      <c r="D1126" s="17">
        <f>IF(AND(ISNUMBER($A1126),ISNUMBER(BBG_Data!D1126)),BBG_Data!D1126,NA())</f>
        <v/>
      </c>
      <c r="E1126" s="17">
        <f>IF(AND(ISNUMBER($A1126),ISNUMBER(BBG_Data!E1126)),BBG_Data!E1126,NA())</f>
        <v/>
      </c>
      <c r="F1126" s="18">
        <f>IF(AND(ISNUMBER(B1126),ISNUMBER(B1125)),(B1126-B1125)*100,"")</f>
        <v/>
      </c>
      <c r="G1126" s="18">
        <f>IF(AND(ISNUMBER(C1126),ISNUMBER(C1125)),(C1126-C1125)*100,"")</f>
        <v/>
      </c>
      <c r="H1126" s="18">
        <f>IF(OR(NOT(ISNUMBER($A1126)),ROW()-2&lt;Settings!$B$11),NA(),IF(COUNT(OFFSET(F1126,1-Settings!$B$11,0,Settings!$B$11,1))&lt;Settings!$B$11,NA(),STDEV(OFFSET(F1126,1-Settings!$B$11,0,Settings!$B$11,1))*SQRT(Settings!$B$13)))</f>
        <v/>
      </c>
      <c r="I1126" s="18">
        <f>IF(OR(NOT(ISNUMBER($A1126)),ROW()-2&lt;Settings!$B$12),NA(),IF(COUNT(OFFSET(F1126,1-Settings!$B$12,0,Settings!$B$12,1))&lt;Settings!$B$12,NA(),STDEV(OFFSET(F1126,1-Settings!$B$12,0,Settings!$B$12,1))*SQRT(Settings!$B$13)))</f>
        <v/>
      </c>
      <c r="J1126" s="18">
        <f>IF(OR(NOT(ISNUMBER($A1126)),ROW()-2&lt;Settings!$B$11),NA(),IF(COUNT(OFFSET(G1126,1-Settings!$B$11,0,Settings!$B$11,1))&lt;Settings!$B$11,NA(),STDEV(OFFSET(G1126,1-Settings!$B$11,0,Settings!$B$11,1))*SQRT(Settings!$B$13)))</f>
        <v/>
      </c>
      <c r="K1126" s="18">
        <f>IF(OR(NOT(ISNUMBER($A1126)),ROW()-2&lt;Settings!$B$12),NA(),IF(COUNT(OFFSET(G1126,1-Settings!$B$12,0,Settings!$B$12,1))&lt;Settings!$B$12,NA(),STDEV(OFFSET(G1126,1-Settings!$B$12,0,Settings!$B$12,1))*SQRT(Settings!$B$13)))</f>
        <v/>
      </c>
      <c r="L1126" s="18">
        <f>IF(AND(ISNUMBER(D1126),ISNUMBER(H1126)),D1126-H1126,NA())</f>
        <v/>
      </c>
      <c r="M1126" s="18">
        <f>IF(AND(ISNUMBER(E1126),ISNUMBER(K1126)),E1126-K1126,NA())</f>
        <v/>
      </c>
      <c r="N1126" s="18">
        <f>IF(NOT(ISNUMBER($A1126)),NA(),IF(COUNT(OFFSET(G1126,1,0,Settings!$B$12,1))&lt;Settings!$B$12,NA(),STDEV(OFFSET(G1126,1,0,Settings!$B$12,1))*SQRT(Settings!$B$13)))</f>
        <v/>
      </c>
      <c r="O1126" s="18">
        <f>IF(AND(ISNUMBER(E1126),ISNUMBER(N1126)),E1126-N1126,NA())</f>
        <v/>
      </c>
      <c r="P1126" s="17">
        <f>IF(NOT(ISNUMBER($A1126)),NA(),IF(OR($A1126&lt;MIN(KW_TP!$A$2:$A$2501),$A1126&gt;MAX(KW_TP!$A$2:$A$2501)),NA(),INDEX(KW_TP!$C$2:$C$2501,MATCH($A1126,KW_TP!$A$2:$A$2501,1))))</f>
        <v/>
      </c>
    </row>
    <row r="1127">
      <c r="A1127" s="15">
        <f>IF(ISNUMBER(BBG_Data!A1127),BBG_Data!A1127,"")</f>
        <v/>
      </c>
      <c r="B1127" s="16">
        <f>IF(AND(ISNUMBER($A1127),ISNUMBER(BBG_Data!B1127)),BBG_Data!B1127,NA())</f>
        <v/>
      </c>
      <c r="C1127" s="16">
        <f>IF(AND(ISNUMBER($A1127),ISNUMBER(BBG_Data!C1127)),BBG_Data!C1127,NA())</f>
        <v/>
      </c>
      <c r="D1127" s="17">
        <f>IF(AND(ISNUMBER($A1127),ISNUMBER(BBG_Data!D1127)),BBG_Data!D1127,NA())</f>
        <v/>
      </c>
      <c r="E1127" s="17">
        <f>IF(AND(ISNUMBER($A1127),ISNUMBER(BBG_Data!E1127)),BBG_Data!E1127,NA())</f>
        <v/>
      </c>
      <c r="F1127" s="18">
        <f>IF(AND(ISNUMBER(B1127),ISNUMBER(B1126)),(B1127-B1126)*100,"")</f>
        <v/>
      </c>
      <c r="G1127" s="18">
        <f>IF(AND(ISNUMBER(C1127),ISNUMBER(C1126)),(C1127-C1126)*100,"")</f>
        <v/>
      </c>
      <c r="H1127" s="18">
        <f>IF(OR(NOT(ISNUMBER($A1127)),ROW()-2&lt;Settings!$B$11),NA(),IF(COUNT(OFFSET(F1127,1-Settings!$B$11,0,Settings!$B$11,1))&lt;Settings!$B$11,NA(),STDEV(OFFSET(F1127,1-Settings!$B$11,0,Settings!$B$11,1))*SQRT(Settings!$B$13)))</f>
        <v/>
      </c>
      <c r="I1127" s="18">
        <f>IF(OR(NOT(ISNUMBER($A1127)),ROW()-2&lt;Settings!$B$12),NA(),IF(COUNT(OFFSET(F1127,1-Settings!$B$12,0,Settings!$B$12,1))&lt;Settings!$B$12,NA(),STDEV(OFFSET(F1127,1-Settings!$B$12,0,Settings!$B$12,1))*SQRT(Settings!$B$13)))</f>
        <v/>
      </c>
      <c r="J1127" s="18">
        <f>IF(OR(NOT(ISNUMBER($A1127)),ROW()-2&lt;Settings!$B$11),NA(),IF(COUNT(OFFSET(G1127,1-Settings!$B$11,0,Settings!$B$11,1))&lt;Settings!$B$11,NA(),STDEV(OFFSET(G1127,1-Settings!$B$11,0,Settings!$B$11,1))*SQRT(Settings!$B$13)))</f>
        <v/>
      </c>
      <c r="K1127" s="18">
        <f>IF(OR(NOT(ISNUMBER($A1127)),ROW()-2&lt;Settings!$B$12),NA(),IF(COUNT(OFFSET(G1127,1-Settings!$B$12,0,Settings!$B$12,1))&lt;Settings!$B$12,NA(),STDEV(OFFSET(G1127,1-Settings!$B$12,0,Settings!$B$12,1))*SQRT(Settings!$B$13)))</f>
        <v/>
      </c>
      <c r="L1127" s="18">
        <f>IF(AND(ISNUMBER(D1127),ISNUMBER(H1127)),D1127-H1127,NA())</f>
        <v/>
      </c>
      <c r="M1127" s="18">
        <f>IF(AND(ISNUMBER(E1127),ISNUMBER(K1127)),E1127-K1127,NA())</f>
        <v/>
      </c>
      <c r="N1127" s="18">
        <f>IF(NOT(ISNUMBER($A1127)),NA(),IF(COUNT(OFFSET(G1127,1,0,Settings!$B$12,1))&lt;Settings!$B$12,NA(),STDEV(OFFSET(G1127,1,0,Settings!$B$12,1))*SQRT(Settings!$B$13)))</f>
        <v/>
      </c>
      <c r="O1127" s="18">
        <f>IF(AND(ISNUMBER(E1127),ISNUMBER(N1127)),E1127-N1127,NA())</f>
        <v/>
      </c>
      <c r="P1127" s="17">
        <f>IF(NOT(ISNUMBER($A1127)),NA(),IF(OR($A1127&lt;MIN(KW_TP!$A$2:$A$2501),$A1127&gt;MAX(KW_TP!$A$2:$A$2501)),NA(),INDEX(KW_TP!$C$2:$C$2501,MATCH($A1127,KW_TP!$A$2:$A$2501,1))))</f>
        <v/>
      </c>
    </row>
    <row r="1128">
      <c r="A1128" s="15">
        <f>IF(ISNUMBER(BBG_Data!A1128),BBG_Data!A1128,"")</f>
        <v/>
      </c>
      <c r="B1128" s="16">
        <f>IF(AND(ISNUMBER($A1128),ISNUMBER(BBG_Data!B1128)),BBG_Data!B1128,NA())</f>
        <v/>
      </c>
      <c r="C1128" s="16">
        <f>IF(AND(ISNUMBER($A1128),ISNUMBER(BBG_Data!C1128)),BBG_Data!C1128,NA())</f>
        <v/>
      </c>
      <c r="D1128" s="17">
        <f>IF(AND(ISNUMBER($A1128),ISNUMBER(BBG_Data!D1128)),BBG_Data!D1128,NA())</f>
        <v/>
      </c>
      <c r="E1128" s="17">
        <f>IF(AND(ISNUMBER($A1128),ISNUMBER(BBG_Data!E1128)),BBG_Data!E1128,NA())</f>
        <v/>
      </c>
      <c r="F1128" s="18">
        <f>IF(AND(ISNUMBER(B1128),ISNUMBER(B1127)),(B1128-B1127)*100,"")</f>
        <v/>
      </c>
      <c r="G1128" s="18">
        <f>IF(AND(ISNUMBER(C1128),ISNUMBER(C1127)),(C1128-C1127)*100,"")</f>
        <v/>
      </c>
      <c r="H1128" s="18">
        <f>IF(OR(NOT(ISNUMBER($A1128)),ROW()-2&lt;Settings!$B$11),NA(),IF(COUNT(OFFSET(F1128,1-Settings!$B$11,0,Settings!$B$11,1))&lt;Settings!$B$11,NA(),STDEV(OFFSET(F1128,1-Settings!$B$11,0,Settings!$B$11,1))*SQRT(Settings!$B$13)))</f>
        <v/>
      </c>
      <c r="I1128" s="18">
        <f>IF(OR(NOT(ISNUMBER($A1128)),ROW()-2&lt;Settings!$B$12),NA(),IF(COUNT(OFFSET(F1128,1-Settings!$B$12,0,Settings!$B$12,1))&lt;Settings!$B$12,NA(),STDEV(OFFSET(F1128,1-Settings!$B$12,0,Settings!$B$12,1))*SQRT(Settings!$B$13)))</f>
        <v/>
      </c>
      <c r="J1128" s="18">
        <f>IF(OR(NOT(ISNUMBER($A1128)),ROW()-2&lt;Settings!$B$11),NA(),IF(COUNT(OFFSET(G1128,1-Settings!$B$11,0,Settings!$B$11,1))&lt;Settings!$B$11,NA(),STDEV(OFFSET(G1128,1-Settings!$B$11,0,Settings!$B$11,1))*SQRT(Settings!$B$13)))</f>
        <v/>
      </c>
      <c r="K1128" s="18">
        <f>IF(OR(NOT(ISNUMBER($A1128)),ROW()-2&lt;Settings!$B$12),NA(),IF(COUNT(OFFSET(G1128,1-Settings!$B$12,0,Settings!$B$12,1))&lt;Settings!$B$12,NA(),STDEV(OFFSET(G1128,1-Settings!$B$12,0,Settings!$B$12,1))*SQRT(Settings!$B$13)))</f>
        <v/>
      </c>
      <c r="L1128" s="18">
        <f>IF(AND(ISNUMBER(D1128),ISNUMBER(H1128)),D1128-H1128,NA())</f>
        <v/>
      </c>
      <c r="M1128" s="18">
        <f>IF(AND(ISNUMBER(E1128),ISNUMBER(K1128)),E1128-K1128,NA())</f>
        <v/>
      </c>
      <c r="N1128" s="18">
        <f>IF(NOT(ISNUMBER($A1128)),NA(),IF(COUNT(OFFSET(G1128,1,0,Settings!$B$12,1))&lt;Settings!$B$12,NA(),STDEV(OFFSET(G1128,1,0,Settings!$B$12,1))*SQRT(Settings!$B$13)))</f>
        <v/>
      </c>
      <c r="O1128" s="18">
        <f>IF(AND(ISNUMBER(E1128),ISNUMBER(N1128)),E1128-N1128,NA())</f>
        <v/>
      </c>
      <c r="P1128" s="17">
        <f>IF(NOT(ISNUMBER($A1128)),NA(),IF(OR($A1128&lt;MIN(KW_TP!$A$2:$A$2501),$A1128&gt;MAX(KW_TP!$A$2:$A$2501)),NA(),INDEX(KW_TP!$C$2:$C$2501,MATCH($A1128,KW_TP!$A$2:$A$2501,1))))</f>
        <v/>
      </c>
    </row>
    <row r="1129">
      <c r="A1129" s="15">
        <f>IF(ISNUMBER(BBG_Data!A1129),BBG_Data!A1129,"")</f>
        <v/>
      </c>
      <c r="B1129" s="16">
        <f>IF(AND(ISNUMBER($A1129),ISNUMBER(BBG_Data!B1129)),BBG_Data!B1129,NA())</f>
        <v/>
      </c>
      <c r="C1129" s="16">
        <f>IF(AND(ISNUMBER($A1129),ISNUMBER(BBG_Data!C1129)),BBG_Data!C1129,NA())</f>
        <v/>
      </c>
      <c r="D1129" s="17">
        <f>IF(AND(ISNUMBER($A1129),ISNUMBER(BBG_Data!D1129)),BBG_Data!D1129,NA())</f>
        <v/>
      </c>
      <c r="E1129" s="17">
        <f>IF(AND(ISNUMBER($A1129),ISNUMBER(BBG_Data!E1129)),BBG_Data!E1129,NA())</f>
        <v/>
      </c>
      <c r="F1129" s="18">
        <f>IF(AND(ISNUMBER(B1129),ISNUMBER(B1128)),(B1129-B1128)*100,"")</f>
        <v/>
      </c>
      <c r="G1129" s="18">
        <f>IF(AND(ISNUMBER(C1129),ISNUMBER(C1128)),(C1129-C1128)*100,"")</f>
        <v/>
      </c>
      <c r="H1129" s="18">
        <f>IF(OR(NOT(ISNUMBER($A1129)),ROW()-2&lt;Settings!$B$11),NA(),IF(COUNT(OFFSET(F1129,1-Settings!$B$11,0,Settings!$B$11,1))&lt;Settings!$B$11,NA(),STDEV(OFFSET(F1129,1-Settings!$B$11,0,Settings!$B$11,1))*SQRT(Settings!$B$13)))</f>
        <v/>
      </c>
      <c r="I1129" s="18">
        <f>IF(OR(NOT(ISNUMBER($A1129)),ROW()-2&lt;Settings!$B$12),NA(),IF(COUNT(OFFSET(F1129,1-Settings!$B$12,0,Settings!$B$12,1))&lt;Settings!$B$12,NA(),STDEV(OFFSET(F1129,1-Settings!$B$12,0,Settings!$B$12,1))*SQRT(Settings!$B$13)))</f>
        <v/>
      </c>
      <c r="J1129" s="18">
        <f>IF(OR(NOT(ISNUMBER($A1129)),ROW()-2&lt;Settings!$B$11),NA(),IF(COUNT(OFFSET(G1129,1-Settings!$B$11,0,Settings!$B$11,1))&lt;Settings!$B$11,NA(),STDEV(OFFSET(G1129,1-Settings!$B$11,0,Settings!$B$11,1))*SQRT(Settings!$B$13)))</f>
        <v/>
      </c>
      <c r="K1129" s="18">
        <f>IF(OR(NOT(ISNUMBER($A1129)),ROW()-2&lt;Settings!$B$12),NA(),IF(COUNT(OFFSET(G1129,1-Settings!$B$12,0,Settings!$B$12,1))&lt;Settings!$B$12,NA(),STDEV(OFFSET(G1129,1-Settings!$B$12,0,Settings!$B$12,1))*SQRT(Settings!$B$13)))</f>
        <v/>
      </c>
      <c r="L1129" s="18">
        <f>IF(AND(ISNUMBER(D1129),ISNUMBER(H1129)),D1129-H1129,NA())</f>
        <v/>
      </c>
      <c r="M1129" s="18">
        <f>IF(AND(ISNUMBER(E1129),ISNUMBER(K1129)),E1129-K1129,NA())</f>
        <v/>
      </c>
      <c r="N1129" s="18">
        <f>IF(NOT(ISNUMBER($A1129)),NA(),IF(COUNT(OFFSET(G1129,1,0,Settings!$B$12,1))&lt;Settings!$B$12,NA(),STDEV(OFFSET(G1129,1,0,Settings!$B$12,1))*SQRT(Settings!$B$13)))</f>
        <v/>
      </c>
      <c r="O1129" s="18">
        <f>IF(AND(ISNUMBER(E1129),ISNUMBER(N1129)),E1129-N1129,NA())</f>
        <v/>
      </c>
      <c r="P1129" s="17">
        <f>IF(NOT(ISNUMBER($A1129)),NA(),IF(OR($A1129&lt;MIN(KW_TP!$A$2:$A$2501),$A1129&gt;MAX(KW_TP!$A$2:$A$2501)),NA(),INDEX(KW_TP!$C$2:$C$2501,MATCH($A1129,KW_TP!$A$2:$A$2501,1))))</f>
        <v/>
      </c>
    </row>
    <row r="1130">
      <c r="A1130" s="15">
        <f>IF(ISNUMBER(BBG_Data!A1130),BBG_Data!A1130,"")</f>
        <v/>
      </c>
      <c r="B1130" s="16">
        <f>IF(AND(ISNUMBER($A1130),ISNUMBER(BBG_Data!B1130)),BBG_Data!B1130,NA())</f>
        <v/>
      </c>
      <c r="C1130" s="16">
        <f>IF(AND(ISNUMBER($A1130),ISNUMBER(BBG_Data!C1130)),BBG_Data!C1130,NA())</f>
        <v/>
      </c>
      <c r="D1130" s="17">
        <f>IF(AND(ISNUMBER($A1130),ISNUMBER(BBG_Data!D1130)),BBG_Data!D1130,NA())</f>
        <v/>
      </c>
      <c r="E1130" s="17">
        <f>IF(AND(ISNUMBER($A1130),ISNUMBER(BBG_Data!E1130)),BBG_Data!E1130,NA())</f>
        <v/>
      </c>
      <c r="F1130" s="18">
        <f>IF(AND(ISNUMBER(B1130),ISNUMBER(B1129)),(B1130-B1129)*100,"")</f>
        <v/>
      </c>
      <c r="G1130" s="18">
        <f>IF(AND(ISNUMBER(C1130),ISNUMBER(C1129)),(C1130-C1129)*100,"")</f>
        <v/>
      </c>
      <c r="H1130" s="18">
        <f>IF(OR(NOT(ISNUMBER($A1130)),ROW()-2&lt;Settings!$B$11),NA(),IF(COUNT(OFFSET(F1130,1-Settings!$B$11,0,Settings!$B$11,1))&lt;Settings!$B$11,NA(),STDEV(OFFSET(F1130,1-Settings!$B$11,0,Settings!$B$11,1))*SQRT(Settings!$B$13)))</f>
        <v/>
      </c>
      <c r="I1130" s="18">
        <f>IF(OR(NOT(ISNUMBER($A1130)),ROW()-2&lt;Settings!$B$12),NA(),IF(COUNT(OFFSET(F1130,1-Settings!$B$12,0,Settings!$B$12,1))&lt;Settings!$B$12,NA(),STDEV(OFFSET(F1130,1-Settings!$B$12,0,Settings!$B$12,1))*SQRT(Settings!$B$13)))</f>
        <v/>
      </c>
      <c r="J1130" s="18">
        <f>IF(OR(NOT(ISNUMBER($A1130)),ROW()-2&lt;Settings!$B$11),NA(),IF(COUNT(OFFSET(G1130,1-Settings!$B$11,0,Settings!$B$11,1))&lt;Settings!$B$11,NA(),STDEV(OFFSET(G1130,1-Settings!$B$11,0,Settings!$B$11,1))*SQRT(Settings!$B$13)))</f>
        <v/>
      </c>
      <c r="K1130" s="18">
        <f>IF(OR(NOT(ISNUMBER($A1130)),ROW()-2&lt;Settings!$B$12),NA(),IF(COUNT(OFFSET(G1130,1-Settings!$B$12,0,Settings!$B$12,1))&lt;Settings!$B$12,NA(),STDEV(OFFSET(G1130,1-Settings!$B$12,0,Settings!$B$12,1))*SQRT(Settings!$B$13)))</f>
        <v/>
      </c>
      <c r="L1130" s="18">
        <f>IF(AND(ISNUMBER(D1130),ISNUMBER(H1130)),D1130-H1130,NA())</f>
        <v/>
      </c>
      <c r="M1130" s="18">
        <f>IF(AND(ISNUMBER(E1130),ISNUMBER(K1130)),E1130-K1130,NA())</f>
        <v/>
      </c>
      <c r="N1130" s="18">
        <f>IF(NOT(ISNUMBER($A1130)),NA(),IF(COUNT(OFFSET(G1130,1,0,Settings!$B$12,1))&lt;Settings!$B$12,NA(),STDEV(OFFSET(G1130,1,0,Settings!$B$12,1))*SQRT(Settings!$B$13)))</f>
        <v/>
      </c>
      <c r="O1130" s="18">
        <f>IF(AND(ISNUMBER(E1130),ISNUMBER(N1130)),E1130-N1130,NA())</f>
        <v/>
      </c>
      <c r="P1130" s="17">
        <f>IF(NOT(ISNUMBER($A1130)),NA(),IF(OR($A1130&lt;MIN(KW_TP!$A$2:$A$2501),$A1130&gt;MAX(KW_TP!$A$2:$A$2501)),NA(),INDEX(KW_TP!$C$2:$C$2501,MATCH($A1130,KW_TP!$A$2:$A$2501,1))))</f>
        <v/>
      </c>
    </row>
    <row r="1131">
      <c r="A1131" s="15">
        <f>IF(ISNUMBER(BBG_Data!A1131),BBG_Data!A1131,"")</f>
        <v/>
      </c>
      <c r="B1131" s="16">
        <f>IF(AND(ISNUMBER($A1131),ISNUMBER(BBG_Data!B1131)),BBG_Data!B1131,NA())</f>
        <v/>
      </c>
      <c r="C1131" s="16">
        <f>IF(AND(ISNUMBER($A1131),ISNUMBER(BBG_Data!C1131)),BBG_Data!C1131,NA())</f>
        <v/>
      </c>
      <c r="D1131" s="17">
        <f>IF(AND(ISNUMBER($A1131),ISNUMBER(BBG_Data!D1131)),BBG_Data!D1131,NA())</f>
        <v/>
      </c>
      <c r="E1131" s="17">
        <f>IF(AND(ISNUMBER($A1131),ISNUMBER(BBG_Data!E1131)),BBG_Data!E1131,NA())</f>
        <v/>
      </c>
      <c r="F1131" s="18">
        <f>IF(AND(ISNUMBER(B1131),ISNUMBER(B1130)),(B1131-B1130)*100,"")</f>
        <v/>
      </c>
      <c r="G1131" s="18">
        <f>IF(AND(ISNUMBER(C1131),ISNUMBER(C1130)),(C1131-C1130)*100,"")</f>
        <v/>
      </c>
      <c r="H1131" s="18">
        <f>IF(OR(NOT(ISNUMBER($A1131)),ROW()-2&lt;Settings!$B$11),NA(),IF(COUNT(OFFSET(F1131,1-Settings!$B$11,0,Settings!$B$11,1))&lt;Settings!$B$11,NA(),STDEV(OFFSET(F1131,1-Settings!$B$11,0,Settings!$B$11,1))*SQRT(Settings!$B$13)))</f>
        <v/>
      </c>
      <c r="I1131" s="18">
        <f>IF(OR(NOT(ISNUMBER($A1131)),ROW()-2&lt;Settings!$B$12),NA(),IF(COUNT(OFFSET(F1131,1-Settings!$B$12,0,Settings!$B$12,1))&lt;Settings!$B$12,NA(),STDEV(OFFSET(F1131,1-Settings!$B$12,0,Settings!$B$12,1))*SQRT(Settings!$B$13)))</f>
        <v/>
      </c>
      <c r="J1131" s="18">
        <f>IF(OR(NOT(ISNUMBER($A1131)),ROW()-2&lt;Settings!$B$11),NA(),IF(COUNT(OFFSET(G1131,1-Settings!$B$11,0,Settings!$B$11,1))&lt;Settings!$B$11,NA(),STDEV(OFFSET(G1131,1-Settings!$B$11,0,Settings!$B$11,1))*SQRT(Settings!$B$13)))</f>
        <v/>
      </c>
      <c r="K1131" s="18">
        <f>IF(OR(NOT(ISNUMBER($A1131)),ROW()-2&lt;Settings!$B$12),NA(),IF(COUNT(OFFSET(G1131,1-Settings!$B$12,0,Settings!$B$12,1))&lt;Settings!$B$12,NA(),STDEV(OFFSET(G1131,1-Settings!$B$12,0,Settings!$B$12,1))*SQRT(Settings!$B$13)))</f>
        <v/>
      </c>
      <c r="L1131" s="18">
        <f>IF(AND(ISNUMBER(D1131),ISNUMBER(H1131)),D1131-H1131,NA())</f>
        <v/>
      </c>
      <c r="M1131" s="18">
        <f>IF(AND(ISNUMBER(E1131),ISNUMBER(K1131)),E1131-K1131,NA())</f>
        <v/>
      </c>
      <c r="N1131" s="18">
        <f>IF(NOT(ISNUMBER($A1131)),NA(),IF(COUNT(OFFSET(G1131,1,0,Settings!$B$12,1))&lt;Settings!$B$12,NA(),STDEV(OFFSET(G1131,1,0,Settings!$B$12,1))*SQRT(Settings!$B$13)))</f>
        <v/>
      </c>
      <c r="O1131" s="18">
        <f>IF(AND(ISNUMBER(E1131),ISNUMBER(N1131)),E1131-N1131,NA())</f>
        <v/>
      </c>
      <c r="P1131" s="17">
        <f>IF(NOT(ISNUMBER($A1131)),NA(),IF(OR($A1131&lt;MIN(KW_TP!$A$2:$A$2501),$A1131&gt;MAX(KW_TP!$A$2:$A$2501)),NA(),INDEX(KW_TP!$C$2:$C$2501,MATCH($A1131,KW_TP!$A$2:$A$2501,1))))</f>
        <v/>
      </c>
    </row>
    <row r="1132">
      <c r="A1132" s="15">
        <f>IF(ISNUMBER(BBG_Data!A1132),BBG_Data!A1132,"")</f>
        <v/>
      </c>
      <c r="B1132" s="16">
        <f>IF(AND(ISNUMBER($A1132),ISNUMBER(BBG_Data!B1132)),BBG_Data!B1132,NA())</f>
        <v/>
      </c>
      <c r="C1132" s="16">
        <f>IF(AND(ISNUMBER($A1132),ISNUMBER(BBG_Data!C1132)),BBG_Data!C1132,NA())</f>
        <v/>
      </c>
      <c r="D1132" s="17">
        <f>IF(AND(ISNUMBER($A1132),ISNUMBER(BBG_Data!D1132)),BBG_Data!D1132,NA())</f>
        <v/>
      </c>
      <c r="E1132" s="17">
        <f>IF(AND(ISNUMBER($A1132),ISNUMBER(BBG_Data!E1132)),BBG_Data!E1132,NA())</f>
        <v/>
      </c>
      <c r="F1132" s="18">
        <f>IF(AND(ISNUMBER(B1132),ISNUMBER(B1131)),(B1132-B1131)*100,"")</f>
        <v/>
      </c>
      <c r="G1132" s="18">
        <f>IF(AND(ISNUMBER(C1132),ISNUMBER(C1131)),(C1132-C1131)*100,"")</f>
        <v/>
      </c>
      <c r="H1132" s="18">
        <f>IF(OR(NOT(ISNUMBER($A1132)),ROW()-2&lt;Settings!$B$11),NA(),IF(COUNT(OFFSET(F1132,1-Settings!$B$11,0,Settings!$B$11,1))&lt;Settings!$B$11,NA(),STDEV(OFFSET(F1132,1-Settings!$B$11,0,Settings!$B$11,1))*SQRT(Settings!$B$13)))</f>
        <v/>
      </c>
      <c r="I1132" s="18">
        <f>IF(OR(NOT(ISNUMBER($A1132)),ROW()-2&lt;Settings!$B$12),NA(),IF(COUNT(OFFSET(F1132,1-Settings!$B$12,0,Settings!$B$12,1))&lt;Settings!$B$12,NA(),STDEV(OFFSET(F1132,1-Settings!$B$12,0,Settings!$B$12,1))*SQRT(Settings!$B$13)))</f>
        <v/>
      </c>
      <c r="J1132" s="18">
        <f>IF(OR(NOT(ISNUMBER($A1132)),ROW()-2&lt;Settings!$B$11),NA(),IF(COUNT(OFFSET(G1132,1-Settings!$B$11,0,Settings!$B$11,1))&lt;Settings!$B$11,NA(),STDEV(OFFSET(G1132,1-Settings!$B$11,0,Settings!$B$11,1))*SQRT(Settings!$B$13)))</f>
        <v/>
      </c>
      <c r="K1132" s="18">
        <f>IF(OR(NOT(ISNUMBER($A1132)),ROW()-2&lt;Settings!$B$12),NA(),IF(COUNT(OFFSET(G1132,1-Settings!$B$12,0,Settings!$B$12,1))&lt;Settings!$B$12,NA(),STDEV(OFFSET(G1132,1-Settings!$B$12,0,Settings!$B$12,1))*SQRT(Settings!$B$13)))</f>
        <v/>
      </c>
      <c r="L1132" s="18">
        <f>IF(AND(ISNUMBER(D1132),ISNUMBER(H1132)),D1132-H1132,NA())</f>
        <v/>
      </c>
      <c r="M1132" s="18">
        <f>IF(AND(ISNUMBER(E1132),ISNUMBER(K1132)),E1132-K1132,NA())</f>
        <v/>
      </c>
      <c r="N1132" s="18">
        <f>IF(NOT(ISNUMBER($A1132)),NA(),IF(COUNT(OFFSET(G1132,1,0,Settings!$B$12,1))&lt;Settings!$B$12,NA(),STDEV(OFFSET(G1132,1,0,Settings!$B$12,1))*SQRT(Settings!$B$13)))</f>
        <v/>
      </c>
      <c r="O1132" s="18">
        <f>IF(AND(ISNUMBER(E1132),ISNUMBER(N1132)),E1132-N1132,NA())</f>
        <v/>
      </c>
      <c r="P1132" s="17">
        <f>IF(NOT(ISNUMBER($A1132)),NA(),IF(OR($A1132&lt;MIN(KW_TP!$A$2:$A$2501),$A1132&gt;MAX(KW_TP!$A$2:$A$2501)),NA(),INDEX(KW_TP!$C$2:$C$2501,MATCH($A1132,KW_TP!$A$2:$A$2501,1))))</f>
        <v/>
      </c>
    </row>
    <row r="1133">
      <c r="A1133" s="15">
        <f>IF(ISNUMBER(BBG_Data!A1133),BBG_Data!A1133,"")</f>
        <v/>
      </c>
      <c r="B1133" s="16">
        <f>IF(AND(ISNUMBER($A1133),ISNUMBER(BBG_Data!B1133)),BBG_Data!B1133,NA())</f>
        <v/>
      </c>
      <c r="C1133" s="16">
        <f>IF(AND(ISNUMBER($A1133),ISNUMBER(BBG_Data!C1133)),BBG_Data!C1133,NA())</f>
        <v/>
      </c>
      <c r="D1133" s="17">
        <f>IF(AND(ISNUMBER($A1133),ISNUMBER(BBG_Data!D1133)),BBG_Data!D1133,NA())</f>
        <v/>
      </c>
      <c r="E1133" s="17">
        <f>IF(AND(ISNUMBER($A1133),ISNUMBER(BBG_Data!E1133)),BBG_Data!E1133,NA())</f>
        <v/>
      </c>
      <c r="F1133" s="18">
        <f>IF(AND(ISNUMBER(B1133),ISNUMBER(B1132)),(B1133-B1132)*100,"")</f>
        <v/>
      </c>
      <c r="G1133" s="18">
        <f>IF(AND(ISNUMBER(C1133),ISNUMBER(C1132)),(C1133-C1132)*100,"")</f>
        <v/>
      </c>
      <c r="H1133" s="18">
        <f>IF(OR(NOT(ISNUMBER($A1133)),ROW()-2&lt;Settings!$B$11),NA(),IF(COUNT(OFFSET(F1133,1-Settings!$B$11,0,Settings!$B$11,1))&lt;Settings!$B$11,NA(),STDEV(OFFSET(F1133,1-Settings!$B$11,0,Settings!$B$11,1))*SQRT(Settings!$B$13)))</f>
        <v/>
      </c>
      <c r="I1133" s="18">
        <f>IF(OR(NOT(ISNUMBER($A1133)),ROW()-2&lt;Settings!$B$12),NA(),IF(COUNT(OFFSET(F1133,1-Settings!$B$12,0,Settings!$B$12,1))&lt;Settings!$B$12,NA(),STDEV(OFFSET(F1133,1-Settings!$B$12,0,Settings!$B$12,1))*SQRT(Settings!$B$13)))</f>
        <v/>
      </c>
      <c r="J1133" s="18">
        <f>IF(OR(NOT(ISNUMBER($A1133)),ROW()-2&lt;Settings!$B$11),NA(),IF(COUNT(OFFSET(G1133,1-Settings!$B$11,0,Settings!$B$11,1))&lt;Settings!$B$11,NA(),STDEV(OFFSET(G1133,1-Settings!$B$11,0,Settings!$B$11,1))*SQRT(Settings!$B$13)))</f>
        <v/>
      </c>
      <c r="K1133" s="18">
        <f>IF(OR(NOT(ISNUMBER($A1133)),ROW()-2&lt;Settings!$B$12),NA(),IF(COUNT(OFFSET(G1133,1-Settings!$B$12,0,Settings!$B$12,1))&lt;Settings!$B$12,NA(),STDEV(OFFSET(G1133,1-Settings!$B$12,0,Settings!$B$12,1))*SQRT(Settings!$B$13)))</f>
        <v/>
      </c>
      <c r="L1133" s="18">
        <f>IF(AND(ISNUMBER(D1133),ISNUMBER(H1133)),D1133-H1133,NA())</f>
        <v/>
      </c>
      <c r="M1133" s="18">
        <f>IF(AND(ISNUMBER(E1133),ISNUMBER(K1133)),E1133-K1133,NA())</f>
        <v/>
      </c>
      <c r="N1133" s="18">
        <f>IF(NOT(ISNUMBER($A1133)),NA(),IF(COUNT(OFFSET(G1133,1,0,Settings!$B$12,1))&lt;Settings!$B$12,NA(),STDEV(OFFSET(G1133,1,0,Settings!$B$12,1))*SQRT(Settings!$B$13)))</f>
        <v/>
      </c>
      <c r="O1133" s="18">
        <f>IF(AND(ISNUMBER(E1133),ISNUMBER(N1133)),E1133-N1133,NA())</f>
        <v/>
      </c>
      <c r="P1133" s="17">
        <f>IF(NOT(ISNUMBER($A1133)),NA(),IF(OR($A1133&lt;MIN(KW_TP!$A$2:$A$2501),$A1133&gt;MAX(KW_TP!$A$2:$A$2501)),NA(),INDEX(KW_TP!$C$2:$C$2501,MATCH($A1133,KW_TP!$A$2:$A$2501,1))))</f>
        <v/>
      </c>
    </row>
    <row r="1134">
      <c r="A1134" s="15">
        <f>IF(ISNUMBER(BBG_Data!A1134),BBG_Data!A1134,"")</f>
        <v/>
      </c>
      <c r="B1134" s="16">
        <f>IF(AND(ISNUMBER($A1134),ISNUMBER(BBG_Data!B1134)),BBG_Data!B1134,NA())</f>
        <v/>
      </c>
      <c r="C1134" s="16">
        <f>IF(AND(ISNUMBER($A1134),ISNUMBER(BBG_Data!C1134)),BBG_Data!C1134,NA())</f>
        <v/>
      </c>
      <c r="D1134" s="17">
        <f>IF(AND(ISNUMBER($A1134),ISNUMBER(BBG_Data!D1134)),BBG_Data!D1134,NA())</f>
        <v/>
      </c>
      <c r="E1134" s="17">
        <f>IF(AND(ISNUMBER($A1134),ISNUMBER(BBG_Data!E1134)),BBG_Data!E1134,NA())</f>
        <v/>
      </c>
      <c r="F1134" s="18">
        <f>IF(AND(ISNUMBER(B1134),ISNUMBER(B1133)),(B1134-B1133)*100,"")</f>
        <v/>
      </c>
      <c r="G1134" s="18">
        <f>IF(AND(ISNUMBER(C1134),ISNUMBER(C1133)),(C1134-C1133)*100,"")</f>
        <v/>
      </c>
      <c r="H1134" s="18">
        <f>IF(OR(NOT(ISNUMBER($A1134)),ROW()-2&lt;Settings!$B$11),NA(),IF(COUNT(OFFSET(F1134,1-Settings!$B$11,0,Settings!$B$11,1))&lt;Settings!$B$11,NA(),STDEV(OFFSET(F1134,1-Settings!$B$11,0,Settings!$B$11,1))*SQRT(Settings!$B$13)))</f>
        <v/>
      </c>
      <c r="I1134" s="18">
        <f>IF(OR(NOT(ISNUMBER($A1134)),ROW()-2&lt;Settings!$B$12),NA(),IF(COUNT(OFFSET(F1134,1-Settings!$B$12,0,Settings!$B$12,1))&lt;Settings!$B$12,NA(),STDEV(OFFSET(F1134,1-Settings!$B$12,0,Settings!$B$12,1))*SQRT(Settings!$B$13)))</f>
        <v/>
      </c>
      <c r="J1134" s="18">
        <f>IF(OR(NOT(ISNUMBER($A1134)),ROW()-2&lt;Settings!$B$11),NA(),IF(COUNT(OFFSET(G1134,1-Settings!$B$11,0,Settings!$B$11,1))&lt;Settings!$B$11,NA(),STDEV(OFFSET(G1134,1-Settings!$B$11,0,Settings!$B$11,1))*SQRT(Settings!$B$13)))</f>
        <v/>
      </c>
      <c r="K1134" s="18">
        <f>IF(OR(NOT(ISNUMBER($A1134)),ROW()-2&lt;Settings!$B$12),NA(),IF(COUNT(OFFSET(G1134,1-Settings!$B$12,0,Settings!$B$12,1))&lt;Settings!$B$12,NA(),STDEV(OFFSET(G1134,1-Settings!$B$12,0,Settings!$B$12,1))*SQRT(Settings!$B$13)))</f>
        <v/>
      </c>
      <c r="L1134" s="18">
        <f>IF(AND(ISNUMBER(D1134),ISNUMBER(H1134)),D1134-H1134,NA())</f>
        <v/>
      </c>
      <c r="M1134" s="18">
        <f>IF(AND(ISNUMBER(E1134),ISNUMBER(K1134)),E1134-K1134,NA())</f>
        <v/>
      </c>
      <c r="N1134" s="18">
        <f>IF(NOT(ISNUMBER($A1134)),NA(),IF(COUNT(OFFSET(G1134,1,0,Settings!$B$12,1))&lt;Settings!$B$12,NA(),STDEV(OFFSET(G1134,1,0,Settings!$B$12,1))*SQRT(Settings!$B$13)))</f>
        <v/>
      </c>
      <c r="O1134" s="18">
        <f>IF(AND(ISNUMBER(E1134),ISNUMBER(N1134)),E1134-N1134,NA())</f>
        <v/>
      </c>
      <c r="P1134" s="17">
        <f>IF(NOT(ISNUMBER($A1134)),NA(),IF(OR($A1134&lt;MIN(KW_TP!$A$2:$A$2501),$A1134&gt;MAX(KW_TP!$A$2:$A$2501)),NA(),INDEX(KW_TP!$C$2:$C$2501,MATCH($A1134,KW_TP!$A$2:$A$2501,1))))</f>
        <v/>
      </c>
    </row>
    <row r="1135">
      <c r="A1135" s="15">
        <f>IF(ISNUMBER(BBG_Data!A1135),BBG_Data!A1135,"")</f>
        <v/>
      </c>
      <c r="B1135" s="16">
        <f>IF(AND(ISNUMBER($A1135),ISNUMBER(BBG_Data!B1135)),BBG_Data!B1135,NA())</f>
        <v/>
      </c>
      <c r="C1135" s="16">
        <f>IF(AND(ISNUMBER($A1135),ISNUMBER(BBG_Data!C1135)),BBG_Data!C1135,NA())</f>
        <v/>
      </c>
      <c r="D1135" s="17">
        <f>IF(AND(ISNUMBER($A1135),ISNUMBER(BBG_Data!D1135)),BBG_Data!D1135,NA())</f>
        <v/>
      </c>
      <c r="E1135" s="17">
        <f>IF(AND(ISNUMBER($A1135),ISNUMBER(BBG_Data!E1135)),BBG_Data!E1135,NA())</f>
        <v/>
      </c>
      <c r="F1135" s="18">
        <f>IF(AND(ISNUMBER(B1135),ISNUMBER(B1134)),(B1135-B1134)*100,"")</f>
        <v/>
      </c>
      <c r="G1135" s="18">
        <f>IF(AND(ISNUMBER(C1135),ISNUMBER(C1134)),(C1135-C1134)*100,"")</f>
        <v/>
      </c>
      <c r="H1135" s="18">
        <f>IF(OR(NOT(ISNUMBER($A1135)),ROW()-2&lt;Settings!$B$11),NA(),IF(COUNT(OFFSET(F1135,1-Settings!$B$11,0,Settings!$B$11,1))&lt;Settings!$B$11,NA(),STDEV(OFFSET(F1135,1-Settings!$B$11,0,Settings!$B$11,1))*SQRT(Settings!$B$13)))</f>
        <v/>
      </c>
      <c r="I1135" s="18">
        <f>IF(OR(NOT(ISNUMBER($A1135)),ROW()-2&lt;Settings!$B$12),NA(),IF(COUNT(OFFSET(F1135,1-Settings!$B$12,0,Settings!$B$12,1))&lt;Settings!$B$12,NA(),STDEV(OFFSET(F1135,1-Settings!$B$12,0,Settings!$B$12,1))*SQRT(Settings!$B$13)))</f>
        <v/>
      </c>
      <c r="J1135" s="18">
        <f>IF(OR(NOT(ISNUMBER($A1135)),ROW()-2&lt;Settings!$B$11),NA(),IF(COUNT(OFFSET(G1135,1-Settings!$B$11,0,Settings!$B$11,1))&lt;Settings!$B$11,NA(),STDEV(OFFSET(G1135,1-Settings!$B$11,0,Settings!$B$11,1))*SQRT(Settings!$B$13)))</f>
        <v/>
      </c>
      <c r="K1135" s="18">
        <f>IF(OR(NOT(ISNUMBER($A1135)),ROW()-2&lt;Settings!$B$12),NA(),IF(COUNT(OFFSET(G1135,1-Settings!$B$12,0,Settings!$B$12,1))&lt;Settings!$B$12,NA(),STDEV(OFFSET(G1135,1-Settings!$B$12,0,Settings!$B$12,1))*SQRT(Settings!$B$13)))</f>
        <v/>
      </c>
      <c r="L1135" s="18">
        <f>IF(AND(ISNUMBER(D1135),ISNUMBER(H1135)),D1135-H1135,NA())</f>
        <v/>
      </c>
      <c r="M1135" s="18">
        <f>IF(AND(ISNUMBER(E1135),ISNUMBER(K1135)),E1135-K1135,NA())</f>
        <v/>
      </c>
      <c r="N1135" s="18">
        <f>IF(NOT(ISNUMBER($A1135)),NA(),IF(COUNT(OFFSET(G1135,1,0,Settings!$B$12,1))&lt;Settings!$B$12,NA(),STDEV(OFFSET(G1135,1,0,Settings!$B$12,1))*SQRT(Settings!$B$13)))</f>
        <v/>
      </c>
      <c r="O1135" s="18">
        <f>IF(AND(ISNUMBER(E1135),ISNUMBER(N1135)),E1135-N1135,NA())</f>
        <v/>
      </c>
      <c r="P1135" s="17">
        <f>IF(NOT(ISNUMBER($A1135)),NA(),IF(OR($A1135&lt;MIN(KW_TP!$A$2:$A$2501),$A1135&gt;MAX(KW_TP!$A$2:$A$2501)),NA(),INDEX(KW_TP!$C$2:$C$2501,MATCH($A1135,KW_TP!$A$2:$A$2501,1))))</f>
        <v/>
      </c>
    </row>
    <row r="1136">
      <c r="A1136" s="15">
        <f>IF(ISNUMBER(BBG_Data!A1136),BBG_Data!A1136,"")</f>
        <v/>
      </c>
      <c r="B1136" s="16">
        <f>IF(AND(ISNUMBER($A1136),ISNUMBER(BBG_Data!B1136)),BBG_Data!B1136,NA())</f>
        <v/>
      </c>
      <c r="C1136" s="16">
        <f>IF(AND(ISNUMBER($A1136),ISNUMBER(BBG_Data!C1136)),BBG_Data!C1136,NA())</f>
        <v/>
      </c>
      <c r="D1136" s="17">
        <f>IF(AND(ISNUMBER($A1136),ISNUMBER(BBG_Data!D1136)),BBG_Data!D1136,NA())</f>
        <v/>
      </c>
      <c r="E1136" s="17">
        <f>IF(AND(ISNUMBER($A1136),ISNUMBER(BBG_Data!E1136)),BBG_Data!E1136,NA())</f>
        <v/>
      </c>
      <c r="F1136" s="18">
        <f>IF(AND(ISNUMBER(B1136),ISNUMBER(B1135)),(B1136-B1135)*100,"")</f>
        <v/>
      </c>
      <c r="G1136" s="18">
        <f>IF(AND(ISNUMBER(C1136),ISNUMBER(C1135)),(C1136-C1135)*100,"")</f>
        <v/>
      </c>
      <c r="H1136" s="18">
        <f>IF(OR(NOT(ISNUMBER($A1136)),ROW()-2&lt;Settings!$B$11),NA(),IF(COUNT(OFFSET(F1136,1-Settings!$B$11,0,Settings!$B$11,1))&lt;Settings!$B$11,NA(),STDEV(OFFSET(F1136,1-Settings!$B$11,0,Settings!$B$11,1))*SQRT(Settings!$B$13)))</f>
        <v/>
      </c>
      <c r="I1136" s="18">
        <f>IF(OR(NOT(ISNUMBER($A1136)),ROW()-2&lt;Settings!$B$12),NA(),IF(COUNT(OFFSET(F1136,1-Settings!$B$12,0,Settings!$B$12,1))&lt;Settings!$B$12,NA(),STDEV(OFFSET(F1136,1-Settings!$B$12,0,Settings!$B$12,1))*SQRT(Settings!$B$13)))</f>
        <v/>
      </c>
      <c r="J1136" s="18">
        <f>IF(OR(NOT(ISNUMBER($A1136)),ROW()-2&lt;Settings!$B$11),NA(),IF(COUNT(OFFSET(G1136,1-Settings!$B$11,0,Settings!$B$11,1))&lt;Settings!$B$11,NA(),STDEV(OFFSET(G1136,1-Settings!$B$11,0,Settings!$B$11,1))*SQRT(Settings!$B$13)))</f>
        <v/>
      </c>
      <c r="K1136" s="18">
        <f>IF(OR(NOT(ISNUMBER($A1136)),ROW()-2&lt;Settings!$B$12),NA(),IF(COUNT(OFFSET(G1136,1-Settings!$B$12,0,Settings!$B$12,1))&lt;Settings!$B$12,NA(),STDEV(OFFSET(G1136,1-Settings!$B$12,0,Settings!$B$12,1))*SQRT(Settings!$B$13)))</f>
        <v/>
      </c>
      <c r="L1136" s="18">
        <f>IF(AND(ISNUMBER(D1136),ISNUMBER(H1136)),D1136-H1136,NA())</f>
        <v/>
      </c>
      <c r="M1136" s="18">
        <f>IF(AND(ISNUMBER(E1136),ISNUMBER(K1136)),E1136-K1136,NA())</f>
        <v/>
      </c>
      <c r="N1136" s="18">
        <f>IF(NOT(ISNUMBER($A1136)),NA(),IF(COUNT(OFFSET(G1136,1,0,Settings!$B$12,1))&lt;Settings!$B$12,NA(),STDEV(OFFSET(G1136,1,0,Settings!$B$12,1))*SQRT(Settings!$B$13)))</f>
        <v/>
      </c>
      <c r="O1136" s="18">
        <f>IF(AND(ISNUMBER(E1136),ISNUMBER(N1136)),E1136-N1136,NA())</f>
        <v/>
      </c>
      <c r="P1136" s="17">
        <f>IF(NOT(ISNUMBER($A1136)),NA(),IF(OR($A1136&lt;MIN(KW_TP!$A$2:$A$2501),$A1136&gt;MAX(KW_TP!$A$2:$A$2501)),NA(),INDEX(KW_TP!$C$2:$C$2501,MATCH($A1136,KW_TP!$A$2:$A$2501,1))))</f>
        <v/>
      </c>
    </row>
    <row r="1137">
      <c r="A1137" s="15">
        <f>IF(ISNUMBER(BBG_Data!A1137),BBG_Data!A1137,"")</f>
        <v/>
      </c>
      <c r="B1137" s="16">
        <f>IF(AND(ISNUMBER($A1137),ISNUMBER(BBG_Data!B1137)),BBG_Data!B1137,NA())</f>
        <v/>
      </c>
      <c r="C1137" s="16">
        <f>IF(AND(ISNUMBER($A1137),ISNUMBER(BBG_Data!C1137)),BBG_Data!C1137,NA())</f>
        <v/>
      </c>
      <c r="D1137" s="17">
        <f>IF(AND(ISNUMBER($A1137),ISNUMBER(BBG_Data!D1137)),BBG_Data!D1137,NA())</f>
        <v/>
      </c>
      <c r="E1137" s="17">
        <f>IF(AND(ISNUMBER($A1137),ISNUMBER(BBG_Data!E1137)),BBG_Data!E1137,NA())</f>
        <v/>
      </c>
      <c r="F1137" s="18">
        <f>IF(AND(ISNUMBER(B1137),ISNUMBER(B1136)),(B1137-B1136)*100,"")</f>
        <v/>
      </c>
      <c r="G1137" s="18">
        <f>IF(AND(ISNUMBER(C1137),ISNUMBER(C1136)),(C1137-C1136)*100,"")</f>
        <v/>
      </c>
      <c r="H1137" s="18">
        <f>IF(OR(NOT(ISNUMBER($A1137)),ROW()-2&lt;Settings!$B$11),NA(),IF(COUNT(OFFSET(F1137,1-Settings!$B$11,0,Settings!$B$11,1))&lt;Settings!$B$11,NA(),STDEV(OFFSET(F1137,1-Settings!$B$11,0,Settings!$B$11,1))*SQRT(Settings!$B$13)))</f>
        <v/>
      </c>
      <c r="I1137" s="18">
        <f>IF(OR(NOT(ISNUMBER($A1137)),ROW()-2&lt;Settings!$B$12),NA(),IF(COUNT(OFFSET(F1137,1-Settings!$B$12,0,Settings!$B$12,1))&lt;Settings!$B$12,NA(),STDEV(OFFSET(F1137,1-Settings!$B$12,0,Settings!$B$12,1))*SQRT(Settings!$B$13)))</f>
        <v/>
      </c>
      <c r="J1137" s="18">
        <f>IF(OR(NOT(ISNUMBER($A1137)),ROW()-2&lt;Settings!$B$11),NA(),IF(COUNT(OFFSET(G1137,1-Settings!$B$11,0,Settings!$B$11,1))&lt;Settings!$B$11,NA(),STDEV(OFFSET(G1137,1-Settings!$B$11,0,Settings!$B$11,1))*SQRT(Settings!$B$13)))</f>
        <v/>
      </c>
      <c r="K1137" s="18">
        <f>IF(OR(NOT(ISNUMBER($A1137)),ROW()-2&lt;Settings!$B$12),NA(),IF(COUNT(OFFSET(G1137,1-Settings!$B$12,0,Settings!$B$12,1))&lt;Settings!$B$12,NA(),STDEV(OFFSET(G1137,1-Settings!$B$12,0,Settings!$B$12,1))*SQRT(Settings!$B$13)))</f>
        <v/>
      </c>
      <c r="L1137" s="18">
        <f>IF(AND(ISNUMBER(D1137),ISNUMBER(H1137)),D1137-H1137,NA())</f>
        <v/>
      </c>
      <c r="M1137" s="18">
        <f>IF(AND(ISNUMBER(E1137),ISNUMBER(K1137)),E1137-K1137,NA())</f>
        <v/>
      </c>
      <c r="N1137" s="18">
        <f>IF(NOT(ISNUMBER($A1137)),NA(),IF(COUNT(OFFSET(G1137,1,0,Settings!$B$12,1))&lt;Settings!$B$12,NA(),STDEV(OFFSET(G1137,1,0,Settings!$B$12,1))*SQRT(Settings!$B$13)))</f>
        <v/>
      </c>
      <c r="O1137" s="18">
        <f>IF(AND(ISNUMBER(E1137),ISNUMBER(N1137)),E1137-N1137,NA())</f>
        <v/>
      </c>
      <c r="P1137" s="17">
        <f>IF(NOT(ISNUMBER($A1137)),NA(),IF(OR($A1137&lt;MIN(KW_TP!$A$2:$A$2501),$A1137&gt;MAX(KW_TP!$A$2:$A$2501)),NA(),INDEX(KW_TP!$C$2:$C$2501,MATCH($A1137,KW_TP!$A$2:$A$2501,1))))</f>
        <v/>
      </c>
    </row>
    <row r="1138">
      <c r="A1138" s="15">
        <f>IF(ISNUMBER(BBG_Data!A1138),BBG_Data!A1138,"")</f>
        <v/>
      </c>
      <c r="B1138" s="16">
        <f>IF(AND(ISNUMBER($A1138),ISNUMBER(BBG_Data!B1138)),BBG_Data!B1138,NA())</f>
        <v/>
      </c>
      <c r="C1138" s="16">
        <f>IF(AND(ISNUMBER($A1138),ISNUMBER(BBG_Data!C1138)),BBG_Data!C1138,NA())</f>
        <v/>
      </c>
      <c r="D1138" s="17">
        <f>IF(AND(ISNUMBER($A1138),ISNUMBER(BBG_Data!D1138)),BBG_Data!D1138,NA())</f>
        <v/>
      </c>
      <c r="E1138" s="17">
        <f>IF(AND(ISNUMBER($A1138),ISNUMBER(BBG_Data!E1138)),BBG_Data!E1138,NA())</f>
        <v/>
      </c>
      <c r="F1138" s="18">
        <f>IF(AND(ISNUMBER(B1138),ISNUMBER(B1137)),(B1138-B1137)*100,"")</f>
        <v/>
      </c>
      <c r="G1138" s="18">
        <f>IF(AND(ISNUMBER(C1138),ISNUMBER(C1137)),(C1138-C1137)*100,"")</f>
        <v/>
      </c>
      <c r="H1138" s="18">
        <f>IF(OR(NOT(ISNUMBER($A1138)),ROW()-2&lt;Settings!$B$11),NA(),IF(COUNT(OFFSET(F1138,1-Settings!$B$11,0,Settings!$B$11,1))&lt;Settings!$B$11,NA(),STDEV(OFFSET(F1138,1-Settings!$B$11,0,Settings!$B$11,1))*SQRT(Settings!$B$13)))</f>
        <v/>
      </c>
      <c r="I1138" s="18">
        <f>IF(OR(NOT(ISNUMBER($A1138)),ROW()-2&lt;Settings!$B$12),NA(),IF(COUNT(OFFSET(F1138,1-Settings!$B$12,0,Settings!$B$12,1))&lt;Settings!$B$12,NA(),STDEV(OFFSET(F1138,1-Settings!$B$12,0,Settings!$B$12,1))*SQRT(Settings!$B$13)))</f>
        <v/>
      </c>
      <c r="J1138" s="18">
        <f>IF(OR(NOT(ISNUMBER($A1138)),ROW()-2&lt;Settings!$B$11),NA(),IF(COUNT(OFFSET(G1138,1-Settings!$B$11,0,Settings!$B$11,1))&lt;Settings!$B$11,NA(),STDEV(OFFSET(G1138,1-Settings!$B$11,0,Settings!$B$11,1))*SQRT(Settings!$B$13)))</f>
        <v/>
      </c>
      <c r="K1138" s="18">
        <f>IF(OR(NOT(ISNUMBER($A1138)),ROW()-2&lt;Settings!$B$12),NA(),IF(COUNT(OFFSET(G1138,1-Settings!$B$12,0,Settings!$B$12,1))&lt;Settings!$B$12,NA(),STDEV(OFFSET(G1138,1-Settings!$B$12,0,Settings!$B$12,1))*SQRT(Settings!$B$13)))</f>
        <v/>
      </c>
      <c r="L1138" s="18">
        <f>IF(AND(ISNUMBER(D1138),ISNUMBER(H1138)),D1138-H1138,NA())</f>
        <v/>
      </c>
      <c r="M1138" s="18">
        <f>IF(AND(ISNUMBER(E1138),ISNUMBER(K1138)),E1138-K1138,NA())</f>
        <v/>
      </c>
      <c r="N1138" s="18">
        <f>IF(NOT(ISNUMBER($A1138)),NA(),IF(COUNT(OFFSET(G1138,1,0,Settings!$B$12,1))&lt;Settings!$B$12,NA(),STDEV(OFFSET(G1138,1,0,Settings!$B$12,1))*SQRT(Settings!$B$13)))</f>
        <v/>
      </c>
      <c r="O1138" s="18">
        <f>IF(AND(ISNUMBER(E1138),ISNUMBER(N1138)),E1138-N1138,NA())</f>
        <v/>
      </c>
      <c r="P1138" s="17">
        <f>IF(NOT(ISNUMBER($A1138)),NA(),IF(OR($A1138&lt;MIN(KW_TP!$A$2:$A$2501),$A1138&gt;MAX(KW_TP!$A$2:$A$2501)),NA(),INDEX(KW_TP!$C$2:$C$2501,MATCH($A1138,KW_TP!$A$2:$A$2501,1))))</f>
        <v/>
      </c>
    </row>
    <row r="1139">
      <c r="A1139" s="15">
        <f>IF(ISNUMBER(BBG_Data!A1139),BBG_Data!A1139,"")</f>
        <v/>
      </c>
      <c r="B1139" s="16">
        <f>IF(AND(ISNUMBER($A1139),ISNUMBER(BBG_Data!B1139)),BBG_Data!B1139,NA())</f>
        <v/>
      </c>
      <c r="C1139" s="16">
        <f>IF(AND(ISNUMBER($A1139),ISNUMBER(BBG_Data!C1139)),BBG_Data!C1139,NA())</f>
        <v/>
      </c>
      <c r="D1139" s="17">
        <f>IF(AND(ISNUMBER($A1139),ISNUMBER(BBG_Data!D1139)),BBG_Data!D1139,NA())</f>
        <v/>
      </c>
      <c r="E1139" s="17">
        <f>IF(AND(ISNUMBER($A1139),ISNUMBER(BBG_Data!E1139)),BBG_Data!E1139,NA())</f>
        <v/>
      </c>
      <c r="F1139" s="18">
        <f>IF(AND(ISNUMBER(B1139),ISNUMBER(B1138)),(B1139-B1138)*100,"")</f>
        <v/>
      </c>
      <c r="G1139" s="18">
        <f>IF(AND(ISNUMBER(C1139),ISNUMBER(C1138)),(C1139-C1138)*100,"")</f>
        <v/>
      </c>
      <c r="H1139" s="18">
        <f>IF(OR(NOT(ISNUMBER($A1139)),ROW()-2&lt;Settings!$B$11),NA(),IF(COUNT(OFFSET(F1139,1-Settings!$B$11,0,Settings!$B$11,1))&lt;Settings!$B$11,NA(),STDEV(OFFSET(F1139,1-Settings!$B$11,0,Settings!$B$11,1))*SQRT(Settings!$B$13)))</f>
        <v/>
      </c>
      <c r="I1139" s="18">
        <f>IF(OR(NOT(ISNUMBER($A1139)),ROW()-2&lt;Settings!$B$12),NA(),IF(COUNT(OFFSET(F1139,1-Settings!$B$12,0,Settings!$B$12,1))&lt;Settings!$B$12,NA(),STDEV(OFFSET(F1139,1-Settings!$B$12,0,Settings!$B$12,1))*SQRT(Settings!$B$13)))</f>
        <v/>
      </c>
      <c r="J1139" s="18">
        <f>IF(OR(NOT(ISNUMBER($A1139)),ROW()-2&lt;Settings!$B$11),NA(),IF(COUNT(OFFSET(G1139,1-Settings!$B$11,0,Settings!$B$11,1))&lt;Settings!$B$11,NA(),STDEV(OFFSET(G1139,1-Settings!$B$11,0,Settings!$B$11,1))*SQRT(Settings!$B$13)))</f>
        <v/>
      </c>
      <c r="K1139" s="18">
        <f>IF(OR(NOT(ISNUMBER($A1139)),ROW()-2&lt;Settings!$B$12),NA(),IF(COUNT(OFFSET(G1139,1-Settings!$B$12,0,Settings!$B$12,1))&lt;Settings!$B$12,NA(),STDEV(OFFSET(G1139,1-Settings!$B$12,0,Settings!$B$12,1))*SQRT(Settings!$B$13)))</f>
        <v/>
      </c>
      <c r="L1139" s="18">
        <f>IF(AND(ISNUMBER(D1139),ISNUMBER(H1139)),D1139-H1139,NA())</f>
        <v/>
      </c>
      <c r="M1139" s="18">
        <f>IF(AND(ISNUMBER(E1139),ISNUMBER(K1139)),E1139-K1139,NA())</f>
        <v/>
      </c>
      <c r="N1139" s="18">
        <f>IF(NOT(ISNUMBER($A1139)),NA(),IF(COUNT(OFFSET(G1139,1,0,Settings!$B$12,1))&lt;Settings!$B$12,NA(),STDEV(OFFSET(G1139,1,0,Settings!$B$12,1))*SQRT(Settings!$B$13)))</f>
        <v/>
      </c>
      <c r="O1139" s="18">
        <f>IF(AND(ISNUMBER(E1139),ISNUMBER(N1139)),E1139-N1139,NA())</f>
        <v/>
      </c>
      <c r="P1139" s="17">
        <f>IF(NOT(ISNUMBER($A1139)),NA(),IF(OR($A1139&lt;MIN(KW_TP!$A$2:$A$2501),$A1139&gt;MAX(KW_TP!$A$2:$A$2501)),NA(),INDEX(KW_TP!$C$2:$C$2501,MATCH($A1139,KW_TP!$A$2:$A$2501,1))))</f>
        <v/>
      </c>
    </row>
    <row r="1140">
      <c r="A1140" s="15">
        <f>IF(ISNUMBER(BBG_Data!A1140),BBG_Data!A1140,"")</f>
        <v/>
      </c>
      <c r="B1140" s="16">
        <f>IF(AND(ISNUMBER($A1140),ISNUMBER(BBG_Data!B1140)),BBG_Data!B1140,NA())</f>
        <v/>
      </c>
      <c r="C1140" s="16">
        <f>IF(AND(ISNUMBER($A1140),ISNUMBER(BBG_Data!C1140)),BBG_Data!C1140,NA())</f>
        <v/>
      </c>
      <c r="D1140" s="17">
        <f>IF(AND(ISNUMBER($A1140),ISNUMBER(BBG_Data!D1140)),BBG_Data!D1140,NA())</f>
        <v/>
      </c>
      <c r="E1140" s="17">
        <f>IF(AND(ISNUMBER($A1140),ISNUMBER(BBG_Data!E1140)),BBG_Data!E1140,NA())</f>
        <v/>
      </c>
      <c r="F1140" s="18">
        <f>IF(AND(ISNUMBER(B1140),ISNUMBER(B1139)),(B1140-B1139)*100,"")</f>
        <v/>
      </c>
      <c r="G1140" s="18">
        <f>IF(AND(ISNUMBER(C1140),ISNUMBER(C1139)),(C1140-C1139)*100,"")</f>
        <v/>
      </c>
      <c r="H1140" s="18">
        <f>IF(OR(NOT(ISNUMBER($A1140)),ROW()-2&lt;Settings!$B$11),NA(),IF(COUNT(OFFSET(F1140,1-Settings!$B$11,0,Settings!$B$11,1))&lt;Settings!$B$11,NA(),STDEV(OFFSET(F1140,1-Settings!$B$11,0,Settings!$B$11,1))*SQRT(Settings!$B$13)))</f>
        <v/>
      </c>
      <c r="I1140" s="18">
        <f>IF(OR(NOT(ISNUMBER($A1140)),ROW()-2&lt;Settings!$B$12),NA(),IF(COUNT(OFFSET(F1140,1-Settings!$B$12,0,Settings!$B$12,1))&lt;Settings!$B$12,NA(),STDEV(OFFSET(F1140,1-Settings!$B$12,0,Settings!$B$12,1))*SQRT(Settings!$B$13)))</f>
        <v/>
      </c>
      <c r="J1140" s="18">
        <f>IF(OR(NOT(ISNUMBER($A1140)),ROW()-2&lt;Settings!$B$11),NA(),IF(COUNT(OFFSET(G1140,1-Settings!$B$11,0,Settings!$B$11,1))&lt;Settings!$B$11,NA(),STDEV(OFFSET(G1140,1-Settings!$B$11,0,Settings!$B$11,1))*SQRT(Settings!$B$13)))</f>
        <v/>
      </c>
      <c r="K1140" s="18">
        <f>IF(OR(NOT(ISNUMBER($A1140)),ROW()-2&lt;Settings!$B$12),NA(),IF(COUNT(OFFSET(G1140,1-Settings!$B$12,0,Settings!$B$12,1))&lt;Settings!$B$12,NA(),STDEV(OFFSET(G1140,1-Settings!$B$12,0,Settings!$B$12,1))*SQRT(Settings!$B$13)))</f>
        <v/>
      </c>
      <c r="L1140" s="18">
        <f>IF(AND(ISNUMBER(D1140),ISNUMBER(H1140)),D1140-H1140,NA())</f>
        <v/>
      </c>
      <c r="M1140" s="18">
        <f>IF(AND(ISNUMBER(E1140),ISNUMBER(K1140)),E1140-K1140,NA())</f>
        <v/>
      </c>
      <c r="N1140" s="18">
        <f>IF(NOT(ISNUMBER($A1140)),NA(),IF(COUNT(OFFSET(G1140,1,0,Settings!$B$12,1))&lt;Settings!$B$12,NA(),STDEV(OFFSET(G1140,1,0,Settings!$B$12,1))*SQRT(Settings!$B$13)))</f>
        <v/>
      </c>
      <c r="O1140" s="18">
        <f>IF(AND(ISNUMBER(E1140),ISNUMBER(N1140)),E1140-N1140,NA())</f>
        <v/>
      </c>
      <c r="P1140" s="17">
        <f>IF(NOT(ISNUMBER($A1140)),NA(),IF(OR($A1140&lt;MIN(KW_TP!$A$2:$A$2501),$A1140&gt;MAX(KW_TP!$A$2:$A$2501)),NA(),INDEX(KW_TP!$C$2:$C$2501,MATCH($A1140,KW_TP!$A$2:$A$2501,1))))</f>
        <v/>
      </c>
    </row>
    <row r="1141">
      <c r="A1141" s="15">
        <f>IF(ISNUMBER(BBG_Data!A1141),BBG_Data!A1141,"")</f>
        <v/>
      </c>
      <c r="B1141" s="16">
        <f>IF(AND(ISNUMBER($A1141),ISNUMBER(BBG_Data!B1141)),BBG_Data!B1141,NA())</f>
        <v/>
      </c>
      <c r="C1141" s="16">
        <f>IF(AND(ISNUMBER($A1141),ISNUMBER(BBG_Data!C1141)),BBG_Data!C1141,NA())</f>
        <v/>
      </c>
      <c r="D1141" s="17">
        <f>IF(AND(ISNUMBER($A1141),ISNUMBER(BBG_Data!D1141)),BBG_Data!D1141,NA())</f>
        <v/>
      </c>
      <c r="E1141" s="17">
        <f>IF(AND(ISNUMBER($A1141),ISNUMBER(BBG_Data!E1141)),BBG_Data!E1141,NA())</f>
        <v/>
      </c>
      <c r="F1141" s="18">
        <f>IF(AND(ISNUMBER(B1141),ISNUMBER(B1140)),(B1141-B1140)*100,"")</f>
        <v/>
      </c>
      <c r="G1141" s="18">
        <f>IF(AND(ISNUMBER(C1141),ISNUMBER(C1140)),(C1141-C1140)*100,"")</f>
        <v/>
      </c>
      <c r="H1141" s="18">
        <f>IF(OR(NOT(ISNUMBER($A1141)),ROW()-2&lt;Settings!$B$11),NA(),IF(COUNT(OFFSET(F1141,1-Settings!$B$11,0,Settings!$B$11,1))&lt;Settings!$B$11,NA(),STDEV(OFFSET(F1141,1-Settings!$B$11,0,Settings!$B$11,1))*SQRT(Settings!$B$13)))</f>
        <v/>
      </c>
      <c r="I1141" s="18">
        <f>IF(OR(NOT(ISNUMBER($A1141)),ROW()-2&lt;Settings!$B$12),NA(),IF(COUNT(OFFSET(F1141,1-Settings!$B$12,0,Settings!$B$12,1))&lt;Settings!$B$12,NA(),STDEV(OFFSET(F1141,1-Settings!$B$12,0,Settings!$B$12,1))*SQRT(Settings!$B$13)))</f>
        <v/>
      </c>
      <c r="J1141" s="18">
        <f>IF(OR(NOT(ISNUMBER($A1141)),ROW()-2&lt;Settings!$B$11),NA(),IF(COUNT(OFFSET(G1141,1-Settings!$B$11,0,Settings!$B$11,1))&lt;Settings!$B$11,NA(),STDEV(OFFSET(G1141,1-Settings!$B$11,0,Settings!$B$11,1))*SQRT(Settings!$B$13)))</f>
        <v/>
      </c>
      <c r="K1141" s="18">
        <f>IF(OR(NOT(ISNUMBER($A1141)),ROW()-2&lt;Settings!$B$12),NA(),IF(COUNT(OFFSET(G1141,1-Settings!$B$12,0,Settings!$B$12,1))&lt;Settings!$B$12,NA(),STDEV(OFFSET(G1141,1-Settings!$B$12,0,Settings!$B$12,1))*SQRT(Settings!$B$13)))</f>
        <v/>
      </c>
      <c r="L1141" s="18">
        <f>IF(AND(ISNUMBER(D1141),ISNUMBER(H1141)),D1141-H1141,NA())</f>
        <v/>
      </c>
      <c r="M1141" s="18">
        <f>IF(AND(ISNUMBER(E1141),ISNUMBER(K1141)),E1141-K1141,NA())</f>
        <v/>
      </c>
      <c r="N1141" s="18">
        <f>IF(NOT(ISNUMBER($A1141)),NA(),IF(COUNT(OFFSET(G1141,1,0,Settings!$B$12,1))&lt;Settings!$B$12,NA(),STDEV(OFFSET(G1141,1,0,Settings!$B$12,1))*SQRT(Settings!$B$13)))</f>
        <v/>
      </c>
      <c r="O1141" s="18">
        <f>IF(AND(ISNUMBER(E1141),ISNUMBER(N1141)),E1141-N1141,NA())</f>
        <v/>
      </c>
      <c r="P1141" s="17">
        <f>IF(NOT(ISNUMBER($A1141)),NA(),IF(OR($A1141&lt;MIN(KW_TP!$A$2:$A$2501),$A1141&gt;MAX(KW_TP!$A$2:$A$2501)),NA(),INDEX(KW_TP!$C$2:$C$2501,MATCH($A1141,KW_TP!$A$2:$A$2501,1))))</f>
        <v/>
      </c>
    </row>
    <row r="1142">
      <c r="A1142" s="15">
        <f>IF(ISNUMBER(BBG_Data!A1142),BBG_Data!A1142,"")</f>
        <v/>
      </c>
      <c r="B1142" s="16">
        <f>IF(AND(ISNUMBER($A1142),ISNUMBER(BBG_Data!B1142)),BBG_Data!B1142,NA())</f>
        <v/>
      </c>
      <c r="C1142" s="16">
        <f>IF(AND(ISNUMBER($A1142),ISNUMBER(BBG_Data!C1142)),BBG_Data!C1142,NA())</f>
        <v/>
      </c>
      <c r="D1142" s="17">
        <f>IF(AND(ISNUMBER($A1142),ISNUMBER(BBG_Data!D1142)),BBG_Data!D1142,NA())</f>
        <v/>
      </c>
      <c r="E1142" s="17">
        <f>IF(AND(ISNUMBER($A1142),ISNUMBER(BBG_Data!E1142)),BBG_Data!E1142,NA())</f>
        <v/>
      </c>
      <c r="F1142" s="18">
        <f>IF(AND(ISNUMBER(B1142),ISNUMBER(B1141)),(B1142-B1141)*100,"")</f>
        <v/>
      </c>
      <c r="G1142" s="18">
        <f>IF(AND(ISNUMBER(C1142),ISNUMBER(C1141)),(C1142-C1141)*100,"")</f>
        <v/>
      </c>
      <c r="H1142" s="18">
        <f>IF(OR(NOT(ISNUMBER($A1142)),ROW()-2&lt;Settings!$B$11),NA(),IF(COUNT(OFFSET(F1142,1-Settings!$B$11,0,Settings!$B$11,1))&lt;Settings!$B$11,NA(),STDEV(OFFSET(F1142,1-Settings!$B$11,0,Settings!$B$11,1))*SQRT(Settings!$B$13)))</f>
        <v/>
      </c>
      <c r="I1142" s="18">
        <f>IF(OR(NOT(ISNUMBER($A1142)),ROW()-2&lt;Settings!$B$12),NA(),IF(COUNT(OFFSET(F1142,1-Settings!$B$12,0,Settings!$B$12,1))&lt;Settings!$B$12,NA(),STDEV(OFFSET(F1142,1-Settings!$B$12,0,Settings!$B$12,1))*SQRT(Settings!$B$13)))</f>
        <v/>
      </c>
      <c r="J1142" s="18">
        <f>IF(OR(NOT(ISNUMBER($A1142)),ROW()-2&lt;Settings!$B$11),NA(),IF(COUNT(OFFSET(G1142,1-Settings!$B$11,0,Settings!$B$11,1))&lt;Settings!$B$11,NA(),STDEV(OFFSET(G1142,1-Settings!$B$11,0,Settings!$B$11,1))*SQRT(Settings!$B$13)))</f>
        <v/>
      </c>
      <c r="K1142" s="18">
        <f>IF(OR(NOT(ISNUMBER($A1142)),ROW()-2&lt;Settings!$B$12),NA(),IF(COUNT(OFFSET(G1142,1-Settings!$B$12,0,Settings!$B$12,1))&lt;Settings!$B$12,NA(),STDEV(OFFSET(G1142,1-Settings!$B$12,0,Settings!$B$12,1))*SQRT(Settings!$B$13)))</f>
        <v/>
      </c>
      <c r="L1142" s="18">
        <f>IF(AND(ISNUMBER(D1142),ISNUMBER(H1142)),D1142-H1142,NA())</f>
        <v/>
      </c>
      <c r="M1142" s="18">
        <f>IF(AND(ISNUMBER(E1142),ISNUMBER(K1142)),E1142-K1142,NA())</f>
        <v/>
      </c>
      <c r="N1142" s="18">
        <f>IF(NOT(ISNUMBER($A1142)),NA(),IF(COUNT(OFFSET(G1142,1,0,Settings!$B$12,1))&lt;Settings!$B$12,NA(),STDEV(OFFSET(G1142,1,0,Settings!$B$12,1))*SQRT(Settings!$B$13)))</f>
        <v/>
      </c>
      <c r="O1142" s="18">
        <f>IF(AND(ISNUMBER(E1142),ISNUMBER(N1142)),E1142-N1142,NA())</f>
        <v/>
      </c>
      <c r="P1142" s="17">
        <f>IF(NOT(ISNUMBER($A1142)),NA(),IF(OR($A1142&lt;MIN(KW_TP!$A$2:$A$2501),$A1142&gt;MAX(KW_TP!$A$2:$A$2501)),NA(),INDEX(KW_TP!$C$2:$C$2501,MATCH($A1142,KW_TP!$A$2:$A$2501,1))))</f>
        <v/>
      </c>
    </row>
    <row r="1143">
      <c r="A1143" s="15">
        <f>IF(ISNUMBER(BBG_Data!A1143),BBG_Data!A1143,"")</f>
        <v/>
      </c>
      <c r="B1143" s="16">
        <f>IF(AND(ISNUMBER($A1143),ISNUMBER(BBG_Data!B1143)),BBG_Data!B1143,NA())</f>
        <v/>
      </c>
      <c r="C1143" s="16">
        <f>IF(AND(ISNUMBER($A1143),ISNUMBER(BBG_Data!C1143)),BBG_Data!C1143,NA())</f>
        <v/>
      </c>
      <c r="D1143" s="17">
        <f>IF(AND(ISNUMBER($A1143),ISNUMBER(BBG_Data!D1143)),BBG_Data!D1143,NA())</f>
        <v/>
      </c>
      <c r="E1143" s="17">
        <f>IF(AND(ISNUMBER($A1143),ISNUMBER(BBG_Data!E1143)),BBG_Data!E1143,NA())</f>
        <v/>
      </c>
      <c r="F1143" s="18">
        <f>IF(AND(ISNUMBER(B1143),ISNUMBER(B1142)),(B1143-B1142)*100,"")</f>
        <v/>
      </c>
      <c r="G1143" s="18">
        <f>IF(AND(ISNUMBER(C1143),ISNUMBER(C1142)),(C1143-C1142)*100,"")</f>
        <v/>
      </c>
      <c r="H1143" s="18">
        <f>IF(OR(NOT(ISNUMBER($A1143)),ROW()-2&lt;Settings!$B$11),NA(),IF(COUNT(OFFSET(F1143,1-Settings!$B$11,0,Settings!$B$11,1))&lt;Settings!$B$11,NA(),STDEV(OFFSET(F1143,1-Settings!$B$11,0,Settings!$B$11,1))*SQRT(Settings!$B$13)))</f>
        <v/>
      </c>
      <c r="I1143" s="18">
        <f>IF(OR(NOT(ISNUMBER($A1143)),ROW()-2&lt;Settings!$B$12),NA(),IF(COUNT(OFFSET(F1143,1-Settings!$B$12,0,Settings!$B$12,1))&lt;Settings!$B$12,NA(),STDEV(OFFSET(F1143,1-Settings!$B$12,0,Settings!$B$12,1))*SQRT(Settings!$B$13)))</f>
        <v/>
      </c>
      <c r="J1143" s="18">
        <f>IF(OR(NOT(ISNUMBER($A1143)),ROW()-2&lt;Settings!$B$11),NA(),IF(COUNT(OFFSET(G1143,1-Settings!$B$11,0,Settings!$B$11,1))&lt;Settings!$B$11,NA(),STDEV(OFFSET(G1143,1-Settings!$B$11,0,Settings!$B$11,1))*SQRT(Settings!$B$13)))</f>
        <v/>
      </c>
      <c r="K1143" s="18">
        <f>IF(OR(NOT(ISNUMBER($A1143)),ROW()-2&lt;Settings!$B$12),NA(),IF(COUNT(OFFSET(G1143,1-Settings!$B$12,0,Settings!$B$12,1))&lt;Settings!$B$12,NA(),STDEV(OFFSET(G1143,1-Settings!$B$12,0,Settings!$B$12,1))*SQRT(Settings!$B$13)))</f>
        <v/>
      </c>
      <c r="L1143" s="18">
        <f>IF(AND(ISNUMBER(D1143),ISNUMBER(H1143)),D1143-H1143,NA())</f>
        <v/>
      </c>
      <c r="M1143" s="18">
        <f>IF(AND(ISNUMBER(E1143),ISNUMBER(K1143)),E1143-K1143,NA())</f>
        <v/>
      </c>
      <c r="N1143" s="18">
        <f>IF(NOT(ISNUMBER($A1143)),NA(),IF(COUNT(OFFSET(G1143,1,0,Settings!$B$12,1))&lt;Settings!$B$12,NA(),STDEV(OFFSET(G1143,1,0,Settings!$B$12,1))*SQRT(Settings!$B$13)))</f>
        <v/>
      </c>
      <c r="O1143" s="18">
        <f>IF(AND(ISNUMBER(E1143),ISNUMBER(N1143)),E1143-N1143,NA())</f>
        <v/>
      </c>
      <c r="P1143" s="17">
        <f>IF(NOT(ISNUMBER($A1143)),NA(),IF(OR($A1143&lt;MIN(KW_TP!$A$2:$A$2501),$A1143&gt;MAX(KW_TP!$A$2:$A$2501)),NA(),INDEX(KW_TP!$C$2:$C$2501,MATCH($A1143,KW_TP!$A$2:$A$2501,1))))</f>
        <v/>
      </c>
    </row>
    <row r="1144">
      <c r="A1144" s="15">
        <f>IF(ISNUMBER(BBG_Data!A1144),BBG_Data!A1144,"")</f>
        <v/>
      </c>
      <c r="B1144" s="16">
        <f>IF(AND(ISNUMBER($A1144),ISNUMBER(BBG_Data!B1144)),BBG_Data!B1144,NA())</f>
        <v/>
      </c>
      <c r="C1144" s="16">
        <f>IF(AND(ISNUMBER($A1144),ISNUMBER(BBG_Data!C1144)),BBG_Data!C1144,NA())</f>
        <v/>
      </c>
      <c r="D1144" s="17">
        <f>IF(AND(ISNUMBER($A1144),ISNUMBER(BBG_Data!D1144)),BBG_Data!D1144,NA())</f>
        <v/>
      </c>
      <c r="E1144" s="17">
        <f>IF(AND(ISNUMBER($A1144),ISNUMBER(BBG_Data!E1144)),BBG_Data!E1144,NA())</f>
        <v/>
      </c>
      <c r="F1144" s="18">
        <f>IF(AND(ISNUMBER(B1144),ISNUMBER(B1143)),(B1144-B1143)*100,"")</f>
        <v/>
      </c>
      <c r="G1144" s="18">
        <f>IF(AND(ISNUMBER(C1144),ISNUMBER(C1143)),(C1144-C1143)*100,"")</f>
        <v/>
      </c>
      <c r="H1144" s="18">
        <f>IF(OR(NOT(ISNUMBER($A1144)),ROW()-2&lt;Settings!$B$11),NA(),IF(COUNT(OFFSET(F1144,1-Settings!$B$11,0,Settings!$B$11,1))&lt;Settings!$B$11,NA(),STDEV(OFFSET(F1144,1-Settings!$B$11,0,Settings!$B$11,1))*SQRT(Settings!$B$13)))</f>
        <v/>
      </c>
      <c r="I1144" s="18">
        <f>IF(OR(NOT(ISNUMBER($A1144)),ROW()-2&lt;Settings!$B$12),NA(),IF(COUNT(OFFSET(F1144,1-Settings!$B$12,0,Settings!$B$12,1))&lt;Settings!$B$12,NA(),STDEV(OFFSET(F1144,1-Settings!$B$12,0,Settings!$B$12,1))*SQRT(Settings!$B$13)))</f>
        <v/>
      </c>
      <c r="J1144" s="18">
        <f>IF(OR(NOT(ISNUMBER($A1144)),ROW()-2&lt;Settings!$B$11),NA(),IF(COUNT(OFFSET(G1144,1-Settings!$B$11,0,Settings!$B$11,1))&lt;Settings!$B$11,NA(),STDEV(OFFSET(G1144,1-Settings!$B$11,0,Settings!$B$11,1))*SQRT(Settings!$B$13)))</f>
        <v/>
      </c>
      <c r="K1144" s="18">
        <f>IF(OR(NOT(ISNUMBER($A1144)),ROW()-2&lt;Settings!$B$12),NA(),IF(COUNT(OFFSET(G1144,1-Settings!$B$12,0,Settings!$B$12,1))&lt;Settings!$B$12,NA(),STDEV(OFFSET(G1144,1-Settings!$B$12,0,Settings!$B$12,1))*SQRT(Settings!$B$13)))</f>
        <v/>
      </c>
      <c r="L1144" s="18">
        <f>IF(AND(ISNUMBER(D1144),ISNUMBER(H1144)),D1144-H1144,NA())</f>
        <v/>
      </c>
      <c r="M1144" s="18">
        <f>IF(AND(ISNUMBER(E1144),ISNUMBER(K1144)),E1144-K1144,NA())</f>
        <v/>
      </c>
      <c r="N1144" s="18">
        <f>IF(NOT(ISNUMBER($A1144)),NA(),IF(COUNT(OFFSET(G1144,1,0,Settings!$B$12,1))&lt;Settings!$B$12,NA(),STDEV(OFFSET(G1144,1,0,Settings!$B$12,1))*SQRT(Settings!$B$13)))</f>
        <v/>
      </c>
      <c r="O1144" s="18">
        <f>IF(AND(ISNUMBER(E1144),ISNUMBER(N1144)),E1144-N1144,NA())</f>
        <v/>
      </c>
      <c r="P1144" s="17">
        <f>IF(NOT(ISNUMBER($A1144)),NA(),IF(OR($A1144&lt;MIN(KW_TP!$A$2:$A$2501),$A1144&gt;MAX(KW_TP!$A$2:$A$2501)),NA(),INDEX(KW_TP!$C$2:$C$2501,MATCH($A1144,KW_TP!$A$2:$A$2501,1))))</f>
        <v/>
      </c>
    </row>
    <row r="1145">
      <c r="A1145" s="15">
        <f>IF(ISNUMBER(BBG_Data!A1145),BBG_Data!A1145,"")</f>
        <v/>
      </c>
      <c r="B1145" s="16">
        <f>IF(AND(ISNUMBER($A1145),ISNUMBER(BBG_Data!B1145)),BBG_Data!B1145,NA())</f>
        <v/>
      </c>
      <c r="C1145" s="16">
        <f>IF(AND(ISNUMBER($A1145),ISNUMBER(BBG_Data!C1145)),BBG_Data!C1145,NA())</f>
        <v/>
      </c>
      <c r="D1145" s="17">
        <f>IF(AND(ISNUMBER($A1145),ISNUMBER(BBG_Data!D1145)),BBG_Data!D1145,NA())</f>
        <v/>
      </c>
      <c r="E1145" s="17">
        <f>IF(AND(ISNUMBER($A1145),ISNUMBER(BBG_Data!E1145)),BBG_Data!E1145,NA())</f>
        <v/>
      </c>
      <c r="F1145" s="18">
        <f>IF(AND(ISNUMBER(B1145),ISNUMBER(B1144)),(B1145-B1144)*100,"")</f>
        <v/>
      </c>
      <c r="G1145" s="18">
        <f>IF(AND(ISNUMBER(C1145),ISNUMBER(C1144)),(C1145-C1144)*100,"")</f>
        <v/>
      </c>
      <c r="H1145" s="18">
        <f>IF(OR(NOT(ISNUMBER($A1145)),ROW()-2&lt;Settings!$B$11),NA(),IF(COUNT(OFFSET(F1145,1-Settings!$B$11,0,Settings!$B$11,1))&lt;Settings!$B$11,NA(),STDEV(OFFSET(F1145,1-Settings!$B$11,0,Settings!$B$11,1))*SQRT(Settings!$B$13)))</f>
        <v/>
      </c>
      <c r="I1145" s="18">
        <f>IF(OR(NOT(ISNUMBER($A1145)),ROW()-2&lt;Settings!$B$12),NA(),IF(COUNT(OFFSET(F1145,1-Settings!$B$12,0,Settings!$B$12,1))&lt;Settings!$B$12,NA(),STDEV(OFFSET(F1145,1-Settings!$B$12,0,Settings!$B$12,1))*SQRT(Settings!$B$13)))</f>
        <v/>
      </c>
      <c r="J1145" s="18">
        <f>IF(OR(NOT(ISNUMBER($A1145)),ROW()-2&lt;Settings!$B$11),NA(),IF(COUNT(OFFSET(G1145,1-Settings!$B$11,0,Settings!$B$11,1))&lt;Settings!$B$11,NA(),STDEV(OFFSET(G1145,1-Settings!$B$11,0,Settings!$B$11,1))*SQRT(Settings!$B$13)))</f>
        <v/>
      </c>
      <c r="K1145" s="18">
        <f>IF(OR(NOT(ISNUMBER($A1145)),ROW()-2&lt;Settings!$B$12),NA(),IF(COUNT(OFFSET(G1145,1-Settings!$B$12,0,Settings!$B$12,1))&lt;Settings!$B$12,NA(),STDEV(OFFSET(G1145,1-Settings!$B$12,0,Settings!$B$12,1))*SQRT(Settings!$B$13)))</f>
        <v/>
      </c>
      <c r="L1145" s="18">
        <f>IF(AND(ISNUMBER(D1145),ISNUMBER(H1145)),D1145-H1145,NA())</f>
        <v/>
      </c>
      <c r="M1145" s="18">
        <f>IF(AND(ISNUMBER(E1145),ISNUMBER(K1145)),E1145-K1145,NA())</f>
        <v/>
      </c>
      <c r="N1145" s="18">
        <f>IF(NOT(ISNUMBER($A1145)),NA(),IF(COUNT(OFFSET(G1145,1,0,Settings!$B$12,1))&lt;Settings!$B$12,NA(),STDEV(OFFSET(G1145,1,0,Settings!$B$12,1))*SQRT(Settings!$B$13)))</f>
        <v/>
      </c>
      <c r="O1145" s="18">
        <f>IF(AND(ISNUMBER(E1145),ISNUMBER(N1145)),E1145-N1145,NA())</f>
        <v/>
      </c>
      <c r="P1145" s="17">
        <f>IF(NOT(ISNUMBER($A1145)),NA(),IF(OR($A1145&lt;MIN(KW_TP!$A$2:$A$2501),$A1145&gt;MAX(KW_TP!$A$2:$A$2501)),NA(),INDEX(KW_TP!$C$2:$C$2501,MATCH($A1145,KW_TP!$A$2:$A$2501,1))))</f>
        <v/>
      </c>
    </row>
    <row r="1146">
      <c r="A1146" s="15">
        <f>IF(ISNUMBER(BBG_Data!A1146),BBG_Data!A1146,"")</f>
        <v/>
      </c>
      <c r="B1146" s="16">
        <f>IF(AND(ISNUMBER($A1146),ISNUMBER(BBG_Data!B1146)),BBG_Data!B1146,NA())</f>
        <v/>
      </c>
      <c r="C1146" s="16">
        <f>IF(AND(ISNUMBER($A1146),ISNUMBER(BBG_Data!C1146)),BBG_Data!C1146,NA())</f>
        <v/>
      </c>
      <c r="D1146" s="17">
        <f>IF(AND(ISNUMBER($A1146),ISNUMBER(BBG_Data!D1146)),BBG_Data!D1146,NA())</f>
        <v/>
      </c>
      <c r="E1146" s="17">
        <f>IF(AND(ISNUMBER($A1146),ISNUMBER(BBG_Data!E1146)),BBG_Data!E1146,NA())</f>
        <v/>
      </c>
      <c r="F1146" s="18">
        <f>IF(AND(ISNUMBER(B1146),ISNUMBER(B1145)),(B1146-B1145)*100,"")</f>
        <v/>
      </c>
      <c r="G1146" s="18">
        <f>IF(AND(ISNUMBER(C1146),ISNUMBER(C1145)),(C1146-C1145)*100,"")</f>
        <v/>
      </c>
      <c r="H1146" s="18">
        <f>IF(OR(NOT(ISNUMBER($A1146)),ROW()-2&lt;Settings!$B$11),NA(),IF(COUNT(OFFSET(F1146,1-Settings!$B$11,0,Settings!$B$11,1))&lt;Settings!$B$11,NA(),STDEV(OFFSET(F1146,1-Settings!$B$11,0,Settings!$B$11,1))*SQRT(Settings!$B$13)))</f>
        <v/>
      </c>
      <c r="I1146" s="18">
        <f>IF(OR(NOT(ISNUMBER($A1146)),ROW()-2&lt;Settings!$B$12),NA(),IF(COUNT(OFFSET(F1146,1-Settings!$B$12,0,Settings!$B$12,1))&lt;Settings!$B$12,NA(),STDEV(OFFSET(F1146,1-Settings!$B$12,0,Settings!$B$12,1))*SQRT(Settings!$B$13)))</f>
        <v/>
      </c>
      <c r="J1146" s="18">
        <f>IF(OR(NOT(ISNUMBER($A1146)),ROW()-2&lt;Settings!$B$11),NA(),IF(COUNT(OFFSET(G1146,1-Settings!$B$11,0,Settings!$B$11,1))&lt;Settings!$B$11,NA(),STDEV(OFFSET(G1146,1-Settings!$B$11,0,Settings!$B$11,1))*SQRT(Settings!$B$13)))</f>
        <v/>
      </c>
      <c r="K1146" s="18">
        <f>IF(OR(NOT(ISNUMBER($A1146)),ROW()-2&lt;Settings!$B$12),NA(),IF(COUNT(OFFSET(G1146,1-Settings!$B$12,0,Settings!$B$12,1))&lt;Settings!$B$12,NA(),STDEV(OFFSET(G1146,1-Settings!$B$12,0,Settings!$B$12,1))*SQRT(Settings!$B$13)))</f>
        <v/>
      </c>
      <c r="L1146" s="18">
        <f>IF(AND(ISNUMBER(D1146),ISNUMBER(H1146)),D1146-H1146,NA())</f>
        <v/>
      </c>
      <c r="M1146" s="18">
        <f>IF(AND(ISNUMBER(E1146),ISNUMBER(K1146)),E1146-K1146,NA())</f>
        <v/>
      </c>
      <c r="N1146" s="18">
        <f>IF(NOT(ISNUMBER($A1146)),NA(),IF(COUNT(OFFSET(G1146,1,0,Settings!$B$12,1))&lt;Settings!$B$12,NA(),STDEV(OFFSET(G1146,1,0,Settings!$B$12,1))*SQRT(Settings!$B$13)))</f>
        <v/>
      </c>
      <c r="O1146" s="18">
        <f>IF(AND(ISNUMBER(E1146),ISNUMBER(N1146)),E1146-N1146,NA())</f>
        <v/>
      </c>
      <c r="P1146" s="17">
        <f>IF(NOT(ISNUMBER($A1146)),NA(),IF(OR($A1146&lt;MIN(KW_TP!$A$2:$A$2501),$A1146&gt;MAX(KW_TP!$A$2:$A$2501)),NA(),INDEX(KW_TP!$C$2:$C$2501,MATCH($A1146,KW_TP!$A$2:$A$2501,1))))</f>
        <v/>
      </c>
    </row>
    <row r="1147">
      <c r="A1147" s="15">
        <f>IF(ISNUMBER(BBG_Data!A1147),BBG_Data!A1147,"")</f>
        <v/>
      </c>
      <c r="B1147" s="16">
        <f>IF(AND(ISNUMBER($A1147),ISNUMBER(BBG_Data!B1147)),BBG_Data!B1147,NA())</f>
        <v/>
      </c>
      <c r="C1147" s="16">
        <f>IF(AND(ISNUMBER($A1147),ISNUMBER(BBG_Data!C1147)),BBG_Data!C1147,NA())</f>
        <v/>
      </c>
      <c r="D1147" s="17">
        <f>IF(AND(ISNUMBER($A1147),ISNUMBER(BBG_Data!D1147)),BBG_Data!D1147,NA())</f>
        <v/>
      </c>
      <c r="E1147" s="17">
        <f>IF(AND(ISNUMBER($A1147),ISNUMBER(BBG_Data!E1147)),BBG_Data!E1147,NA())</f>
        <v/>
      </c>
      <c r="F1147" s="18">
        <f>IF(AND(ISNUMBER(B1147),ISNUMBER(B1146)),(B1147-B1146)*100,"")</f>
        <v/>
      </c>
      <c r="G1147" s="18">
        <f>IF(AND(ISNUMBER(C1147),ISNUMBER(C1146)),(C1147-C1146)*100,"")</f>
        <v/>
      </c>
      <c r="H1147" s="18">
        <f>IF(OR(NOT(ISNUMBER($A1147)),ROW()-2&lt;Settings!$B$11),NA(),IF(COUNT(OFFSET(F1147,1-Settings!$B$11,0,Settings!$B$11,1))&lt;Settings!$B$11,NA(),STDEV(OFFSET(F1147,1-Settings!$B$11,0,Settings!$B$11,1))*SQRT(Settings!$B$13)))</f>
        <v/>
      </c>
      <c r="I1147" s="18">
        <f>IF(OR(NOT(ISNUMBER($A1147)),ROW()-2&lt;Settings!$B$12),NA(),IF(COUNT(OFFSET(F1147,1-Settings!$B$12,0,Settings!$B$12,1))&lt;Settings!$B$12,NA(),STDEV(OFFSET(F1147,1-Settings!$B$12,0,Settings!$B$12,1))*SQRT(Settings!$B$13)))</f>
        <v/>
      </c>
      <c r="J1147" s="18">
        <f>IF(OR(NOT(ISNUMBER($A1147)),ROW()-2&lt;Settings!$B$11),NA(),IF(COUNT(OFFSET(G1147,1-Settings!$B$11,0,Settings!$B$11,1))&lt;Settings!$B$11,NA(),STDEV(OFFSET(G1147,1-Settings!$B$11,0,Settings!$B$11,1))*SQRT(Settings!$B$13)))</f>
        <v/>
      </c>
      <c r="K1147" s="18">
        <f>IF(OR(NOT(ISNUMBER($A1147)),ROW()-2&lt;Settings!$B$12),NA(),IF(COUNT(OFFSET(G1147,1-Settings!$B$12,0,Settings!$B$12,1))&lt;Settings!$B$12,NA(),STDEV(OFFSET(G1147,1-Settings!$B$12,0,Settings!$B$12,1))*SQRT(Settings!$B$13)))</f>
        <v/>
      </c>
      <c r="L1147" s="18">
        <f>IF(AND(ISNUMBER(D1147),ISNUMBER(H1147)),D1147-H1147,NA())</f>
        <v/>
      </c>
      <c r="M1147" s="18">
        <f>IF(AND(ISNUMBER(E1147),ISNUMBER(K1147)),E1147-K1147,NA())</f>
        <v/>
      </c>
      <c r="N1147" s="18">
        <f>IF(NOT(ISNUMBER($A1147)),NA(),IF(COUNT(OFFSET(G1147,1,0,Settings!$B$12,1))&lt;Settings!$B$12,NA(),STDEV(OFFSET(G1147,1,0,Settings!$B$12,1))*SQRT(Settings!$B$13)))</f>
        <v/>
      </c>
      <c r="O1147" s="18">
        <f>IF(AND(ISNUMBER(E1147),ISNUMBER(N1147)),E1147-N1147,NA())</f>
        <v/>
      </c>
      <c r="P1147" s="17">
        <f>IF(NOT(ISNUMBER($A1147)),NA(),IF(OR($A1147&lt;MIN(KW_TP!$A$2:$A$2501),$A1147&gt;MAX(KW_TP!$A$2:$A$2501)),NA(),INDEX(KW_TP!$C$2:$C$2501,MATCH($A1147,KW_TP!$A$2:$A$2501,1))))</f>
        <v/>
      </c>
    </row>
    <row r="1148">
      <c r="A1148" s="15">
        <f>IF(ISNUMBER(BBG_Data!A1148),BBG_Data!A1148,"")</f>
        <v/>
      </c>
      <c r="B1148" s="16">
        <f>IF(AND(ISNUMBER($A1148),ISNUMBER(BBG_Data!B1148)),BBG_Data!B1148,NA())</f>
        <v/>
      </c>
      <c r="C1148" s="16">
        <f>IF(AND(ISNUMBER($A1148),ISNUMBER(BBG_Data!C1148)),BBG_Data!C1148,NA())</f>
        <v/>
      </c>
      <c r="D1148" s="17">
        <f>IF(AND(ISNUMBER($A1148),ISNUMBER(BBG_Data!D1148)),BBG_Data!D1148,NA())</f>
        <v/>
      </c>
      <c r="E1148" s="17">
        <f>IF(AND(ISNUMBER($A1148),ISNUMBER(BBG_Data!E1148)),BBG_Data!E1148,NA())</f>
        <v/>
      </c>
      <c r="F1148" s="18">
        <f>IF(AND(ISNUMBER(B1148),ISNUMBER(B1147)),(B1148-B1147)*100,"")</f>
        <v/>
      </c>
      <c r="G1148" s="18">
        <f>IF(AND(ISNUMBER(C1148),ISNUMBER(C1147)),(C1148-C1147)*100,"")</f>
        <v/>
      </c>
      <c r="H1148" s="18">
        <f>IF(OR(NOT(ISNUMBER($A1148)),ROW()-2&lt;Settings!$B$11),NA(),IF(COUNT(OFFSET(F1148,1-Settings!$B$11,0,Settings!$B$11,1))&lt;Settings!$B$11,NA(),STDEV(OFFSET(F1148,1-Settings!$B$11,0,Settings!$B$11,1))*SQRT(Settings!$B$13)))</f>
        <v/>
      </c>
      <c r="I1148" s="18">
        <f>IF(OR(NOT(ISNUMBER($A1148)),ROW()-2&lt;Settings!$B$12),NA(),IF(COUNT(OFFSET(F1148,1-Settings!$B$12,0,Settings!$B$12,1))&lt;Settings!$B$12,NA(),STDEV(OFFSET(F1148,1-Settings!$B$12,0,Settings!$B$12,1))*SQRT(Settings!$B$13)))</f>
        <v/>
      </c>
      <c r="J1148" s="18">
        <f>IF(OR(NOT(ISNUMBER($A1148)),ROW()-2&lt;Settings!$B$11),NA(),IF(COUNT(OFFSET(G1148,1-Settings!$B$11,0,Settings!$B$11,1))&lt;Settings!$B$11,NA(),STDEV(OFFSET(G1148,1-Settings!$B$11,0,Settings!$B$11,1))*SQRT(Settings!$B$13)))</f>
        <v/>
      </c>
      <c r="K1148" s="18">
        <f>IF(OR(NOT(ISNUMBER($A1148)),ROW()-2&lt;Settings!$B$12),NA(),IF(COUNT(OFFSET(G1148,1-Settings!$B$12,0,Settings!$B$12,1))&lt;Settings!$B$12,NA(),STDEV(OFFSET(G1148,1-Settings!$B$12,0,Settings!$B$12,1))*SQRT(Settings!$B$13)))</f>
        <v/>
      </c>
      <c r="L1148" s="18">
        <f>IF(AND(ISNUMBER(D1148),ISNUMBER(H1148)),D1148-H1148,NA())</f>
        <v/>
      </c>
      <c r="M1148" s="18">
        <f>IF(AND(ISNUMBER(E1148),ISNUMBER(K1148)),E1148-K1148,NA())</f>
        <v/>
      </c>
      <c r="N1148" s="18">
        <f>IF(NOT(ISNUMBER($A1148)),NA(),IF(COUNT(OFFSET(G1148,1,0,Settings!$B$12,1))&lt;Settings!$B$12,NA(),STDEV(OFFSET(G1148,1,0,Settings!$B$12,1))*SQRT(Settings!$B$13)))</f>
        <v/>
      </c>
      <c r="O1148" s="18">
        <f>IF(AND(ISNUMBER(E1148),ISNUMBER(N1148)),E1148-N1148,NA())</f>
        <v/>
      </c>
      <c r="P1148" s="17">
        <f>IF(NOT(ISNUMBER($A1148)),NA(),IF(OR($A1148&lt;MIN(KW_TP!$A$2:$A$2501),$A1148&gt;MAX(KW_TP!$A$2:$A$2501)),NA(),INDEX(KW_TP!$C$2:$C$2501,MATCH($A1148,KW_TP!$A$2:$A$2501,1))))</f>
        <v/>
      </c>
    </row>
    <row r="1149">
      <c r="A1149" s="15">
        <f>IF(ISNUMBER(BBG_Data!A1149),BBG_Data!A1149,"")</f>
        <v/>
      </c>
      <c r="B1149" s="16">
        <f>IF(AND(ISNUMBER($A1149),ISNUMBER(BBG_Data!B1149)),BBG_Data!B1149,NA())</f>
        <v/>
      </c>
      <c r="C1149" s="16">
        <f>IF(AND(ISNUMBER($A1149),ISNUMBER(BBG_Data!C1149)),BBG_Data!C1149,NA())</f>
        <v/>
      </c>
      <c r="D1149" s="17">
        <f>IF(AND(ISNUMBER($A1149),ISNUMBER(BBG_Data!D1149)),BBG_Data!D1149,NA())</f>
        <v/>
      </c>
      <c r="E1149" s="17">
        <f>IF(AND(ISNUMBER($A1149),ISNUMBER(BBG_Data!E1149)),BBG_Data!E1149,NA())</f>
        <v/>
      </c>
      <c r="F1149" s="18">
        <f>IF(AND(ISNUMBER(B1149),ISNUMBER(B1148)),(B1149-B1148)*100,"")</f>
        <v/>
      </c>
      <c r="G1149" s="18">
        <f>IF(AND(ISNUMBER(C1149),ISNUMBER(C1148)),(C1149-C1148)*100,"")</f>
        <v/>
      </c>
      <c r="H1149" s="18">
        <f>IF(OR(NOT(ISNUMBER($A1149)),ROW()-2&lt;Settings!$B$11),NA(),IF(COUNT(OFFSET(F1149,1-Settings!$B$11,0,Settings!$B$11,1))&lt;Settings!$B$11,NA(),STDEV(OFFSET(F1149,1-Settings!$B$11,0,Settings!$B$11,1))*SQRT(Settings!$B$13)))</f>
        <v/>
      </c>
      <c r="I1149" s="18">
        <f>IF(OR(NOT(ISNUMBER($A1149)),ROW()-2&lt;Settings!$B$12),NA(),IF(COUNT(OFFSET(F1149,1-Settings!$B$12,0,Settings!$B$12,1))&lt;Settings!$B$12,NA(),STDEV(OFFSET(F1149,1-Settings!$B$12,0,Settings!$B$12,1))*SQRT(Settings!$B$13)))</f>
        <v/>
      </c>
      <c r="J1149" s="18">
        <f>IF(OR(NOT(ISNUMBER($A1149)),ROW()-2&lt;Settings!$B$11),NA(),IF(COUNT(OFFSET(G1149,1-Settings!$B$11,0,Settings!$B$11,1))&lt;Settings!$B$11,NA(),STDEV(OFFSET(G1149,1-Settings!$B$11,0,Settings!$B$11,1))*SQRT(Settings!$B$13)))</f>
        <v/>
      </c>
      <c r="K1149" s="18">
        <f>IF(OR(NOT(ISNUMBER($A1149)),ROW()-2&lt;Settings!$B$12),NA(),IF(COUNT(OFFSET(G1149,1-Settings!$B$12,0,Settings!$B$12,1))&lt;Settings!$B$12,NA(),STDEV(OFFSET(G1149,1-Settings!$B$12,0,Settings!$B$12,1))*SQRT(Settings!$B$13)))</f>
        <v/>
      </c>
      <c r="L1149" s="18">
        <f>IF(AND(ISNUMBER(D1149),ISNUMBER(H1149)),D1149-H1149,NA())</f>
        <v/>
      </c>
      <c r="M1149" s="18">
        <f>IF(AND(ISNUMBER(E1149),ISNUMBER(K1149)),E1149-K1149,NA())</f>
        <v/>
      </c>
      <c r="N1149" s="18">
        <f>IF(NOT(ISNUMBER($A1149)),NA(),IF(COUNT(OFFSET(G1149,1,0,Settings!$B$12,1))&lt;Settings!$B$12,NA(),STDEV(OFFSET(G1149,1,0,Settings!$B$12,1))*SQRT(Settings!$B$13)))</f>
        <v/>
      </c>
      <c r="O1149" s="18">
        <f>IF(AND(ISNUMBER(E1149),ISNUMBER(N1149)),E1149-N1149,NA())</f>
        <v/>
      </c>
      <c r="P1149" s="17">
        <f>IF(NOT(ISNUMBER($A1149)),NA(),IF(OR($A1149&lt;MIN(KW_TP!$A$2:$A$2501),$A1149&gt;MAX(KW_TP!$A$2:$A$2501)),NA(),INDEX(KW_TP!$C$2:$C$2501,MATCH($A1149,KW_TP!$A$2:$A$2501,1))))</f>
        <v/>
      </c>
    </row>
    <row r="1150">
      <c r="A1150" s="15">
        <f>IF(ISNUMBER(BBG_Data!A1150),BBG_Data!A1150,"")</f>
        <v/>
      </c>
      <c r="B1150" s="16">
        <f>IF(AND(ISNUMBER($A1150),ISNUMBER(BBG_Data!B1150)),BBG_Data!B1150,NA())</f>
        <v/>
      </c>
      <c r="C1150" s="16">
        <f>IF(AND(ISNUMBER($A1150),ISNUMBER(BBG_Data!C1150)),BBG_Data!C1150,NA())</f>
        <v/>
      </c>
      <c r="D1150" s="17">
        <f>IF(AND(ISNUMBER($A1150),ISNUMBER(BBG_Data!D1150)),BBG_Data!D1150,NA())</f>
        <v/>
      </c>
      <c r="E1150" s="17">
        <f>IF(AND(ISNUMBER($A1150),ISNUMBER(BBG_Data!E1150)),BBG_Data!E1150,NA())</f>
        <v/>
      </c>
      <c r="F1150" s="18">
        <f>IF(AND(ISNUMBER(B1150),ISNUMBER(B1149)),(B1150-B1149)*100,"")</f>
        <v/>
      </c>
      <c r="G1150" s="18">
        <f>IF(AND(ISNUMBER(C1150),ISNUMBER(C1149)),(C1150-C1149)*100,"")</f>
        <v/>
      </c>
      <c r="H1150" s="18">
        <f>IF(OR(NOT(ISNUMBER($A1150)),ROW()-2&lt;Settings!$B$11),NA(),IF(COUNT(OFFSET(F1150,1-Settings!$B$11,0,Settings!$B$11,1))&lt;Settings!$B$11,NA(),STDEV(OFFSET(F1150,1-Settings!$B$11,0,Settings!$B$11,1))*SQRT(Settings!$B$13)))</f>
        <v/>
      </c>
      <c r="I1150" s="18">
        <f>IF(OR(NOT(ISNUMBER($A1150)),ROW()-2&lt;Settings!$B$12),NA(),IF(COUNT(OFFSET(F1150,1-Settings!$B$12,0,Settings!$B$12,1))&lt;Settings!$B$12,NA(),STDEV(OFFSET(F1150,1-Settings!$B$12,0,Settings!$B$12,1))*SQRT(Settings!$B$13)))</f>
        <v/>
      </c>
      <c r="J1150" s="18">
        <f>IF(OR(NOT(ISNUMBER($A1150)),ROW()-2&lt;Settings!$B$11),NA(),IF(COUNT(OFFSET(G1150,1-Settings!$B$11,0,Settings!$B$11,1))&lt;Settings!$B$11,NA(),STDEV(OFFSET(G1150,1-Settings!$B$11,0,Settings!$B$11,1))*SQRT(Settings!$B$13)))</f>
        <v/>
      </c>
      <c r="K1150" s="18">
        <f>IF(OR(NOT(ISNUMBER($A1150)),ROW()-2&lt;Settings!$B$12),NA(),IF(COUNT(OFFSET(G1150,1-Settings!$B$12,0,Settings!$B$12,1))&lt;Settings!$B$12,NA(),STDEV(OFFSET(G1150,1-Settings!$B$12,0,Settings!$B$12,1))*SQRT(Settings!$B$13)))</f>
        <v/>
      </c>
      <c r="L1150" s="18">
        <f>IF(AND(ISNUMBER(D1150),ISNUMBER(H1150)),D1150-H1150,NA())</f>
        <v/>
      </c>
      <c r="M1150" s="18">
        <f>IF(AND(ISNUMBER(E1150),ISNUMBER(K1150)),E1150-K1150,NA())</f>
        <v/>
      </c>
      <c r="N1150" s="18">
        <f>IF(NOT(ISNUMBER($A1150)),NA(),IF(COUNT(OFFSET(G1150,1,0,Settings!$B$12,1))&lt;Settings!$B$12,NA(),STDEV(OFFSET(G1150,1,0,Settings!$B$12,1))*SQRT(Settings!$B$13)))</f>
        <v/>
      </c>
      <c r="O1150" s="18">
        <f>IF(AND(ISNUMBER(E1150),ISNUMBER(N1150)),E1150-N1150,NA())</f>
        <v/>
      </c>
      <c r="P1150" s="17">
        <f>IF(NOT(ISNUMBER($A1150)),NA(),IF(OR($A1150&lt;MIN(KW_TP!$A$2:$A$2501),$A1150&gt;MAX(KW_TP!$A$2:$A$2501)),NA(),INDEX(KW_TP!$C$2:$C$2501,MATCH($A1150,KW_TP!$A$2:$A$2501,1))))</f>
        <v/>
      </c>
    </row>
    <row r="1151">
      <c r="A1151" s="15">
        <f>IF(ISNUMBER(BBG_Data!A1151),BBG_Data!A1151,"")</f>
        <v/>
      </c>
      <c r="B1151" s="16">
        <f>IF(AND(ISNUMBER($A1151),ISNUMBER(BBG_Data!B1151)),BBG_Data!B1151,NA())</f>
        <v/>
      </c>
      <c r="C1151" s="16">
        <f>IF(AND(ISNUMBER($A1151),ISNUMBER(BBG_Data!C1151)),BBG_Data!C1151,NA())</f>
        <v/>
      </c>
      <c r="D1151" s="17">
        <f>IF(AND(ISNUMBER($A1151),ISNUMBER(BBG_Data!D1151)),BBG_Data!D1151,NA())</f>
        <v/>
      </c>
      <c r="E1151" s="17">
        <f>IF(AND(ISNUMBER($A1151),ISNUMBER(BBG_Data!E1151)),BBG_Data!E1151,NA())</f>
        <v/>
      </c>
      <c r="F1151" s="18">
        <f>IF(AND(ISNUMBER(B1151),ISNUMBER(B1150)),(B1151-B1150)*100,"")</f>
        <v/>
      </c>
      <c r="G1151" s="18">
        <f>IF(AND(ISNUMBER(C1151),ISNUMBER(C1150)),(C1151-C1150)*100,"")</f>
        <v/>
      </c>
      <c r="H1151" s="18">
        <f>IF(OR(NOT(ISNUMBER($A1151)),ROW()-2&lt;Settings!$B$11),NA(),IF(COUNT(OFFSET(F1151,1-Settings!$B$11,0,Settings!$B$11,1))&lt;Settings!$B$11,NA(),STDEV(OFFSET(F1151,1-Settings!$B$11,0,Settings!$B$11,1))*SQRT(Settings!$B$13)))</f>
        <v/>
      </c>
      <c r="I1151" s="18">
        <f>IF(OR(NOT(ISNUMBER($A1151)),ROW()-2&lt;Settings!$B$12),NA(),IF(COUNT(OFFSET(F1151,1-Settings!$B$12,0,Settings!$B$12,1))&lt;Settings!$B$12,NA(),STDEV(OFFSET(F1151,1-Settings!$B$12,0,Settings!$B$12,1))*SQRT(Settings!$B$13)))</f>
        <v/>
      </c>
      <c r="J1151" s="18">
        <f>IF(OR(NOT(ISNUMBER($A1151)),ROW()-2&lt;Settings!$B$11),NA(),IF(COUNT(OFFSET(G1151,1-Settings!$B$11,0,Settings!$B$11,1))&lt;Settings!$B$11,NA(),STDEV(OFFSET(G1151,1-Settings!$B$11,0,Settings!$B$11,1))*SQRT(Settings!$B$13)))</f>
        <v/>
      </c>
      <c r="K1151" s="18">
        <f>IF(OR(NOT(ISNUMBER($A1151)),ROW()-2&lt;Settings!$B$12),NA(),IF(COUNT(OFFSET(G1151,1-Settings!$B$12,0,Settings!$B$12,1))&lt;Settings!$B$12,NA(),STDEV(OFFSET(G1151,1-Settings!$B$12,0,Settings!$B$12,1))*SQRT(Settings!$B$13)))</f>
        <v/>
      </c>
      <c r="L1151" s="18">
        <f>IF(AND(ISNUMBER(D1151),ISNUMBER(H1151)),D1151-H1151,NA())</f>
        <v/>
      </c>
      <c r="M1151" s="18">
        <f>IF(AND(ISNUMBER(E1151),ISNUMBER(K1151)),E1151-K1151,NA())</f>
        <v/>
      </c>
      <c r="N1151" s="18">
        <f>IF(NOT(ISNUMBER($A1151)),NA(),IF(COUNT(OFFSET(G1151,1,0,Settings!$B$12,1))&lt;Settings!$B$12,NA(),STDEV(OFFSET(G1151,1,0,Settings!$B$12,1))*SQRT(Settings!$B$13)))</f>
        <v/>
      </c>
      <c r="O1151" s="18">
        <f>IF(AND(ISNUMBER(E1151),ISNUMBER(N1151)),E1151-N1151,NA())</f>
        <v/>
      </c>
      <c r="P1151" s="17">
        <f>IF(NOT(ISNUMBER($A1151)),NA(),IF(OR($A1151&lt;MIN(KW_TP!$A$2:$A$2501),$A1151&gt;MAX(KW_TP!$A$2:$A$2501)),NA(),INDEX(KW_TP!$C$2:$C$2501,MATCH($A1151,KW_TP!$A$2:$A$2501,1))))</f>
        <v/>
      </c>
    </row>
    <row r="1152">
      <c r="A1152" s="15">
        <f>IF(ISNUMBER(BBG_Data!A1152),BBG_Data!A1152,"")</f>
        <v/>
      </c>
      <c r="B1152" s="16">
        <f>IF(AND(ISNUMBER($A1152),ISNUMBER(BBG_Data!B1152)),BBG_Data!B1152,NA())</f>
        <v/>
      </c>
      <c r="C1152" s="16">
        <f>IF(AND(ISNUMBER($A1152),ISNUMBER(BBG_Data!C1152)),BBG_Data!C1152,NA())</f>
        <v/>
      </c>
      <c r="D1152" s="17">
        <f>IF(AND(ISNUMBER($A1152),ISNUMBER(BBG_Data!D1152)),BBG_Data!D1152,NA())</f>
        <v/>
      </c>
      <c r="E1152" s="17">
        <f>IF(AND(ISNUMBER($A1152),ISNUMBER(BBG_Data!E1152)),BBG_Data!E1152,NA())</f>
        <v/>
      </c>
      <c r="F1152" s="18">
        <f>IF(AND(ISNUMBER(B1152),ISNUMBER(B1151)),(B1152-B1151)*100,"")</f>
        <v/>
      </c>
      <c r="G1152" s="18">
        <f>IF(AND(ISNUMBER(C1152),ISNUMBER(C1151)),(C1152-C1151)*100,"")</f>
        <v/>
      </c>
      <c r="H1152" s="18">
        <f>IF(OR(NOT(ISNUMBER($A1152)),ROW()-2&lt;Settings!$B$11),NA(),IF(COUNT(OFFSET(F1152,1-Settings!$B$11,0,Settings!$B$11,1))&lt;Settings!$B$11,NA(),STDEV(OFFSET(F1152,1-Settings!$B$11,0,Settings!$B$11,1))*SQRT(Settings!$B$13)))</f>
        <v/>
      </c>
      <c r="I1152" s="18">
        <f>IF(OR(NOT(ISNUMBER($A1152)),ROW()-2&lt;Settings!$B$12),NA(),IF(COUNT(OFFSET(F1152,1-Settings!$B$12,0,Settings!$B$12,1))&lt;Settings!$B$12,NA(),STDEV(OFFSET(F1152,1-Settings!$B$12,0,Settings!$B$12,1))*SQRT(Settings!$B$13)))</f>
        <v/>
      </c>
      <c r="J1152" s="18">
        <f>IF(OR(NOT(ISNUMBER($A1152)),ROW()-2&lt;Settings!$B$11),NA(),IF(COUNT(OFFSET(G1152,1-Settings!$B$11,0,Settings!$B$11,1))&lt;Settings!$B$11,NA(),STDEV(OFFSET(G1152,1-Settings!$B$11,0,Settings!$B$11,1))*SQRT(Settings!$B$13)))</f>
        <v/>
      </c>
      <c r="K1152" s="18">
        <f>IF(OR(NOT(ISNUMBER($A1152)),ROW()-2&lt;Settings!$B$12),NA(),IF(COUNT(OFFSET(G1152,1-Settings!$B$12,0,Settings!$B$12,1))&lt;Settings!$B$12,NA(),STDEV(OFFSET(G1152,1-Settings!$B$12,0,Settings!$B$12,1))*SQRT(Settings!$B$13)))</f>
        <v/>
      </c>
      <c r="L1152" s="18">
        <f>IF(AND(ISNUMBER(D1152),ISNUMBER(H1152)),D1152-H1152,NA())</f>
        <v/>
      </c>
      <c r="M1152" s="18">
        <f>IF(AND(ISNUMBER(E1152),ISNUMBER(K1152)),E1152-K1152,NA())</f>
        <v/>
      </c>
      <c r="N1152" s="18">
        <f>IF(NOT(ISNUMBER($A1152)),NA(),IF(COUNT(OFFSET(G1152,1,0,Settings!$B$12,1))&lt;Settings!$B$12,NA(),STDEV(OFFSET(G1152,1,0,Settings!$B$12,1))*SQRT(Settings!$B$13)))</f>
        <v/>
      </c>
      <c r="O1152" s="18">
        <f>IF(AND(ISNUMBER(E1152),ISNUMBER(N1152)),E1152-N1152,NA())</f>
        <v/>
      </c>
      <c r="P1152" s="17">
        <f>IF(NOT(ISNUMBER($A1152)),NA(),IF(OR($A1152&lt;MIN(KW_TP!$A$2:$A$2501),$A1152&gt;MAX(KW_TP!$A$2:$A$2501)),NA(),INDEX(KW_TP!$C$2:$C$2501,MATCH($A1152,KW_TP!$A$2:$A$2501,1))))</f>
        <v/>
      </c>
    </row>
    <row r="1153">
      <c r="A1153" s="15">
        <f>IF(ISNUMBER(BBG_Data!A1153),BBG_Data!A1153,"")</f>
        <v/>
      </c>
      <c r="B1153" s="16">
        <f>IF(AND(ISNUMBER($A1153),ISNUMBER(BBG_Data!B1153)),BBG_Data!B1153,NA())</f>
        <v/>
      </c>
      <c r="C1153" s="16">
        <f>IF(AND(ISNUMBER($A1153),ISNUMBER(BBG_Data!C1153)),BBG_Data!C1153,NA())</f>
        <v/>
      </c>
      <c r="D1153" s="17">
        <f>IF(AND(ISNUMBER($A1153),ISNUMBER(BBG_Data!D1153)),BBG_Data!D1153,NA())</f>
        <v/>
      </c>
      <c r="E1153" s="17">
        <f>IF(AND(ISNUMBER($A1153),ISNUMBER(BBG_Data!E1153)),BBG_Data!E1153,NA())</f>
        <v/>
      </c>
      <c r="F1153" s="18">
        <f>IF(AND(ISNUMBER(B1153),ISNUMBER(B1152)),(B1153-B1152)*100,"")</f>
        <v/>
      </c>
      <c r="G1153" s="18">
        <f>IF(AND(ISNUMBER(C1153),ISNUMBER(C1152)),(C1153-C1152)*100,"")</f>
        <v/>
      </c>
      <c r="H1153" s="18">
        <f>IF(OR(NOT(ISNUMBER($A1153)),ROW()-2&lt;Settings!$B$11),NA(),IF(COUNT(OFFSET(F1153,1-Settings!$B$11,0,Settings!$B$11,1))&lt;Settings!$B$11,NA(),STDEV(OFFSET(F1153,1-Settings!$B$11,0,Settings!$B$11,1))*SQRT(Settings!$B$13)))</f>
        <v/>
      </c>
      <c r="I1153" s="18">
        <f>IF(OR(NOT(ISNUMBER($A1153)),ROW()-2&lt;Settings!$B$12),NA(),IF(COUNT(OFFSET(F1153,1-Settings!$B$12,0,Settings!$B$12,1))&lt;Settings!$B$12,NA(),STDEV(OFFSET(F1153,1-Settings!$B$12,0,Settings!$B$12,1))*SQRT(Settings!$B$13)))</f>
        <v/>
      </c>
      <c r="J1153" s="18">
        <f>IF(OR(NOT(ISNUMBER($A1153)),ROW()-2&lt;Settings!$B$11),NA(),IF(COUNT(OFFSET(G1153,1-Settings!$B$11,0,Settings!$B$11,1))&lt;Settings!$B$11,NA(),STDEV(OFFSET(G1153,1-Settings!$B$11,0,Settings!$B$11,1))*SQRT(Settings!$B$13)))</f>
        <v/>
      </c>
      <c r="K1153" s="18">
        <f>IF(OR(NOT(ISNUMBER($A1153)),ROW()-2&lt;Settings!$B$12),NA(),IF(COUNT(OFFSET(G1153,1-Settings!$B$12,0,Settings!$B$12,1))&lt;Settings!$B$12,NA(),STDEV(OFFSET(G1153,1-Settings!$B$12,0,Settings!$B$12,1))*SQRT(Settings!$B$13)))</f>
        <v/>
      </c>
      <c r="L1153" s="18">
        <f>IF(AND(ISNUMBER(D1153),ISNUMBER(H1153)),D1153-H1153,NA())</f>
        <v/>
      </c>
      <c r="M1153" s="18">
        <f>IF(AND(ISNUMBER(E1153),ISNUMBER(K1153)),E1153-K1153,NA())</f>
        <v/>
      </c>
      <c r="N1153" s="18">
        <f>IF(NOT(ISNUMBER($A1153)),NA(),IF(COUNT(OFFSET(G1153,1,0,Settings!$B$12,1))&lt;Settings!$B$12,NA(),STDEV(OFFSET(G1153,1,0,Settings!$B$12,1))*SQRT(Settings!$B$13)))</f>
        <v/>
      </c>
      <c r="O1153" s="18">
        <f>IF(AND(ISNUMBER(E1153),ISNUMBER(N1153)),E1153-N1153,NA())</f>
        <v/>
      </c>
      <c r="P1153" s="17">
        <f>IF(NOT(ISNUMBER($A1153)),NA(),IF(OR($A1153&lt;MIN(KW_TP!$A$2:$A$2501),$A1153&gt;MAX(KW_TP!$A$2:$A$2501)),NA(),INDEX(KW_TP!$C$2:$C$2501,MATCH($A1153,KW_TP!$A$2:$A$2501,1))))</f>
        <v/>
      </c>
    </row>
    <row r="1154">
      <c r="A1154" s="15">
        <f>IF(ISNUMBER(BBG_Data!A1154),BBG_Data!A1154,"")</f>
        <v/>
      </c>
      <c r="B1154" s="16">
        <f>IF(AND(ISNUMBER($A1154),ISNUMBER(BBG_Data!B1154)),BBG_Data!B1154,NA())</f>
        <v/>
      </c>
      <c r="C1154" s="16">
        <f>IF(AND(ISNUMBER($A1154),ISNUMBER(BBG_Data!C1154)),BBG_Data!C1154,NA())</f>
        <v/>
      </c>
      <c r="D1154" s="17">
        <f>IF(AND(ISNUMBER($A1154),ISNUMBER(BBG_Data!D1154)),BBG_Data!D1154,NA())</f>
        <v/>
      </c>
      <c r="E1154" s="17">
        <f>IF(AND(ISNUMBER($A1154),ISNUMBER(BBG_Data!E1154)),BBG_Data!E1154,NA())</f>
        <v/>
      </c>
      <c r="F1154" s="18">
        <f>IF(AND(ISNUMBER(B1154),ISNUMBER(B1153)),(B1154-B1153)*100,"")</f>
        <v/>
      </c>
      <c r="G1154" s="18">
        <f>IF(AND(ISNUMBER(C1154),ISNUMBER(C1153)),(C1154-C1153)*100,"")</f>
        <v/>
      </c>
      <c r="H1154" s="18">
        <f>IF(OR(NOT(ISNUMBER($A1154)),ROW()-2&lt;Settings!$B$11),NA(),IF(COUNT(OFFSET(F1154,1-Settings!$B$11,0,Settings!$B$11,1))&lt;Settings!$B$11,NA(),STDEV(OFFSET(F1154,1-Settings!$B$11,0,Settings!$B$11,1))*SQRT(Settings!$B$13)))</f>
        <v/>
      </c>
      <c r="I1154" s="18">
        <f>IF(OR(NOT(ISNUMBER($A1154)),ROW()-2&lt;Settings!$B$12),NA(),IF(COUNT(OFFSET(F1154,1-Settings!$B$12,0,Settings!$B$12,1))&lt;Settings!$B$12,NA(),STDEV(OFFSET(F1154,1-Settings!$B$12,0,Settings!$B$12,1))*SQRT(Settings!$B$13)))</f>
        <v/>
      </c>
      <c r="J1154" s="18">
        <f>IF(OR(NOT(ISNUMBER($A1154)),ROW()-2&lt;Settings!$B$11),NA(),IF(COUNT(OFFSET(G1154,1-Settings!$B$11,0,Settings!$B$11,1))&lt;Settings!$B$11,NA(),STDEV(OFFSET(G1154,1-Settings!$B$11,0,Settings!$B$11,1))*SQRT(Settings!$B$13)))</f>
        <v/>
      </c>
      <c r="K1154" s="18">
        <f>IF(OR(NOT(ISNUMBER($A1154)),ROW()-2&lt;Settings!$B$12),NA(),IF(COUNT(OFFSET(G1154,1-Settings!$B$12,0,Settings!$B$12,1))&lt;Settings!$B$12,NA(),STDEV(OFFSET(G1154,1-Settings!$B$12,0,Settings!$B$12,1))*SQRT(Settings!$B$13)))</f>
        <v/>
      </c>
      <c r="L1154" s="18">
        <f>IF(AND(ISNUMBER(D1154),ISNUMBER(H1154)),D1154-H1154,NA())</f>
        <v/>
      </c>
      <c r="M1154" s="18">
        <f>IF(AND(ISNUMBER(E1154),ISNUMBER(K1154)),E1154-K1154,NA())</f>
        <v/>
      </c>
      <c r="N1154" s="18">
        <f>IF(NOT(ISNUMBER($A1154)),NA(),IF(COUNT(OFFSET(G1154,1,0,Settings!$B$12,1))&lt;Settings!$B$12,NA(),STDEV(OFFSET(G1154,1,0,Settings!$B$12,1))*SQRT(Settings!$B$13)))</f>
        <v/>
      </c>
      <c r="O1154" s="18">
        <f>IF(AND(ISNUMBER(E1154),ISNUMBER(N1154)),E1154-N1154,NA())</f>
        <v/>
      </c>
      <c r="P1154" s="17">
        <f>IF(NOT(ISNUMBER($A1154)),NA(),IF(OR($A1154&lt;MIN(KW_TP!$A$2:$A$2501),$A1154&gt;MAX(KW_TP!$A$2:$A$2501)),NA(),INDEX(KW_TP!$C$2:$C$2501,MATCH($A1154,KW_TP!$A$2:$A$2501,1))))</f>
        <v/>
      </c>
    </row>
    <row r="1155">
      <c r="A1155" s="15">
        <f>IF(ISNUMBER(BBG_Data!A1155),BBG_Data!A1155,"")</f>
        <v/>
      </c>
      <c r="B1155" s="16">
        <f>IF(AND(ISNUMBER($A1155),ISNUMBER(BBG_Data!B1155)),BBG_Data!B1155,NA())</f>
        <v/>
      </c>
      <c r="C1155" s="16">
        <f>IF(AND(ISNUMBER($A1155),ISNUMBER(BBG_Data!C1155)),BBG_Data!C1155,NA())</f>
        <v/>
      </c>
      <c r="D1155" s="17">
        <f>IF(AND(ISNUMBER($A1155),ISNUMBER(BBG_Data!D1155)),BBG_Data!D1155,NA())</f>
        <v/>
      </c>
      <c r="E1155" s="17">
        <f>IF(AND(ISNUMBER($A1155),ISNUMBER(BBG_Data!E1155)),BBG_Data!E1155,NA())</f>
        <v/>
      </c>
      <c r="F1155" s="18">
        <f>IF(AND(ISNUMBER(B1155),ISNUMBER(B1154)),(B1155-B1154)*100,"")</f>
        <v/>
      </c>
      <c r="G1155" s="18">
        <f>IF(AND(ISNUMBER(C1155),ISNUMBER(C1154)),(C1155-C1154)*100,"")</f>
        <v/>
      </c>
      <c r="H1155" s="18">
        <f>IF(OR(NOT(ISNUMBER($A1155)),ROW()-2&lt;Settings!$B$11),NA(),IF(COUNT(OFFSET(F1155,1-Settings!$B$11,0,Settings!$B$11,1))&lt;Settings!$B$11,NA(),STDEV(OFFSET(F1155,1-Settings!$B$11,0,Settings!$B$11,1))*SQRT(Settings!$B$13)))</f>
        <v/>
      </c>
      <c r="I1155" s="18">
        <f>IF(OR(NOT(ISNUMBER($A1155)),ROW()-2&lt;Settings!$B$12),NA(),IF(COUNT(OFFSET(F1155,1-Settings!$B$12,0,Settings!$B$12,1))&lt;Settings!$B$12,NA(),STDEV(OFFSET(F1155,1-Settings!$B$12,0,Settings!$B$12,1))*SQRT(Settings!$B$13)))</f>
        <v/>
      </c>
      <c r="J1155" s="18">
        <f>IF(OR(NOT(ISNUMBER($A1155)),ROW()-2&lt;Settings!$B$11),NA(),IF(COUNT(OFFSET(G1155,1-Settings!$B$11,0,Settings!$B$11,1))&lt;Settings!$B$11,NA(),STDEV(OFFSET(G1155,1-Settings!$B$11,0,Settings!$B$11,1))*SQRT(Settings!$B$13)))</f>
        <v/>
      </c>
      <c r="K1155" s="18">
        <f>IF(OR(NOT(ISNUMBER($A1155)),ROW()-2&lt;Settings!$B$12),NA(),IF(COUNT(OFFSET(G1155,1-Settings!$B$12,0,Settings!$B$12,1))&lt;Settings!$B$12,NA(),STDEV(OFFSET(G1155,1-Settings!$B$12,0,Settings!$B$12,1))*SQRT(Settings!$B$13)))</f>
        <v/>
      </c>
      <c r="L1155" s="18">
        <f>IF(AND(ISNUMBER(D1155),ISNUMBER(H1155)),D1155-H1155,NA())</f>
        <v/>
      </c>
      <c r="M1155" s="18">
        <f>IF(AND(ISNUMBER(E1155),ISNUMBER(K1155)),E1155-K1155,NA())</f>
        <v/>
      </c>
      <c r="N1155" s="18">
        <f>IF(NOT(ISNUMBER($A1155)),NA(),IF(COUNT(OFFSET(G1155,1,0,Settings!$B$12,1))&lt;Settings!$B$12,NA(),STDEV(OFFSET(G1155,1,0,Settings!$B$12,1))*SQRT(Settings!$B$13)))</f>
        <v/>
      </c>
      <c r="O1155" s="18">
        <f>IF(AND(ISNUMBER(E1155),ISNUMBER(N1155)),E1155-N1155,NA())</f>
        <v/>
      </c>
      <c r="P1155" s="17">
        <f>IF(NOT(ISNUMBER($A1155)),NA(),IF(OR($A1155&lt;MIN(KW_TP!$A$2:$A$2501),$A1155&gt;MAX(KW_TP!$A$2:$A$2501)),NA(),INDEX(KW_TP!$C$2:$C$2501,MATCH($A1155,KW_TP!$A$2:$A$2501,1))))</f>
        <v/>
      </c>
    </row>
    <row r="1156">
      <c r="A1156" s="15">
        <f>IF(ISNUMBER(BBG_Data!A1156),BBG_Data!A1156,"")</f>
        <v/>
      </c>
      <c r="B1156" s="16">
        <f>IF(AND(ISNUMBER($A1156),ISNUMBER(BBG_Data!B1156)),BBG_Data!B1156,NA())</f>
        <v/>
      </c>
      <c r="C1156" s="16">
        <f>IF(AND(ISNUMBER($A1156),ISNUMBER(BBG_Data!C1156)),BBG_Data!C1156,NA())</f>
        <v/>
      </c>
      <c r="D1156" s="17">
        <f>IF(AND(ISNUMBER($A1156),ISNUMBER(BBG_Data!D1156)),BBG_Data!D1156,NA())</f>
        <v/>
      </c>
      <c r="E1156" s="17">
        <f>IF(AND(ISNUMBER($A1156),ISNUMBER(BBG_Data!E1156)),BBG_Data!E1156,NA())</f>
        <v/>
      </c>
      <c r="F1156" s="18">
        <f>IF(AND(ISNUMBER(B1156),ISNUMBER(B1155)),(B1156-B1155)*100,"")</f>
        <v/>
      </c>
      <c r="G1156" s="18">
        <f>IF(AND(ISNUMBER(C1156),ISNUMBER(C1155)),(C1156-C1155)*100,"")</f>
        <v/>
      </c>
      <c r="H1156" s="18">
        <f>IF(OR(NOT(ISNUMBER($A1156)),ROW()-2&lt;Settings!$B$11),NA(),IF(COUNT(OFFSET(F1156,1-Settings!$B$11,0,Settings!$B$11,1))&lt;Settings!$B$11,NA(),STDEV(OFFSET(F1156,1-Settings!$B$11,0,Settings!$B$11,1))*SQRT(Settings!$B$13)))</f>
        <v/>
      </c>
      <c r="I1156" s="18">
        <f>IF(OR(NOT(ISNUMBER($A1156)),ROW()-2&lt;Settings!$B$12),NA(),IF(COUNT(OFFSET(F1156,1-Settings!$B$12,0,Settings!$B$12,1))&lt;Settings!$B$12,NA(),STDEV(OFFSET(F1156,1-Settings!$B$12,0,Settings!$B$12,1))*SQRT(Settings!$B$13)))</f>
        <v/>
      </c>
      <c r="J1156" s="18">
        <f>IF(OR(NOT(ISNUMBER($A1156)),ROW()-2&lt;Settings!$B$11),NA(),IF(COUNT(OFFSET(G1156,1-Settings!$B$11,0,Settings!$B$11,1))&lt;Settings!$B$11,NA(),STDEV(OFFSET(G1156,1-Settings!$B$11,0,Settings!$B$11,1))*SQRT(Settings!$B$13)))</f>
        <v/>
      </c>
      <c r="K1156" s="18">
        <f>IF(OR(NOT(ISNUMBER($A1156)),ROW()-2&lt;Settings!$B$12),NA(),IF(COUNT(OFFSET(G1156,1-Settings!$B$12,0,Settings!$B$12,1))&lt;Settings!$B$12,NA(),STDEV(OFFSET(G1156,1-Settings!$B$12,0,Settings!$B$12,1))*SQRT(Settings!$B$13)))</f>
        <v/>
      </c>
      <c r="L1156" s="18">
        <f>IF(AND(ISNUMBER(D1156),ISNUMBER(H1156)),D1156-H1156,NA())</f>
        <v/>
      </c>
      <c r="M1156" s="18">
        <f>IF(AND(ISNUMBER(E1156),ISNUMBER(K1156)),E1156-K1156,NA())</f>
        <v/>
      </c>
      <c r="N1156" s="18">
        <f>IF(NOT(ISNUMBER($A1156)),NA(),IF(COUNT(OFFSET(G1156,1,0,Settings!$B$12,1))&lt;Settings!$B$12,NA(),STDEV(OFFSET(G1156,1,0,Settings!$B$12,1))*SQRT(Settings!$B$13)))</f>
        <v/>
      </c>
      <c r="O1156" s="18">
        <f>IF(AND(ISNUMBER(E1156),ISNUMBER(N1156)),E1156-N1156,NA())</f>
        <v/>
      </c>
      <c r="P1156" s="17">
        <f>IF(NOT(ISNUMBER($A1156)),NA(),IF(OR($A1156&lt;MIN(KW_TP!$A$2:$A$2501),$A1156&gt;MAX(KW_TP!$A$2:$A$2501)),NA(),INDEX(KW_TP!$C$2:$C$2501,MATCH($A1156,KW_TP!$A$2:$A$2501,1))))</f>
        <v/>
      </c>
    </row>
    <row r="1157">
      <c r="A1157" s="15">
        <f>IF(ISNUMBER(BBG_Data!A1157),BBG_Data!A1157,"")</f>
        <v/>
      </c>
      <c r="B1157" s="16">
        <f>IF(AND(ISNUMBER($A1157),ISNUMBER(BBG_Data!B1157)),BBG_Data!B1157,NA())</f>
        <v/>
      </c>
      <c r="C1157" s="16">
        <f>IF(AND(ISNUMBER($A1157),ISNUMBER(BBG_Data!C1157)),BBG_Data!C1157,NA())</f>
        <v/>
      </c>
      <c r="D1157" s="17">
        <f>IF(AND(ISNUMBER($A1157),ISNUMBER(BBG_Data!D1157)),BBG_Data!D1157,NA())</f>
        <v/>
      </c>
      <c r="E1157" s="17">
        <f>IF(AND(ISNUMBER($A1157),ISNUMBER(BBG_Data!E1157)),BBG_Data!E1157,NA())</f>
        <v/>
      </c>
      <c r="F1157" s="18">
        <f>IF(AND(ISNUMBER(B1157),ISNUMBER(B1156)),(B1157-B1156)*100,"")</f>
        <v/>
      </c>
      <c r="G1157" s="18">
        <f>IF(AND(ISNUMBER(C1157),ISNUMBER(C1156)),(C1157-C1156)*100,"")</f>
        <v/>
      </c>
      <c r="H1157" s="18">
        <f>IF(OR(NOT(ISNUMBER($A1157)),ROW()-2&lt;Settings!$B$11),NA(),IF(COUNT(OFFSET(F1157,1-Settings!$B$11,0,Settings!$B$11,1))&lt;Settings!$B$11,NA(),STDEV(OFFSET(F1157,1-Settings!$B$11,0,Settings!$B$11,1))*SQRT(Settings!$B$13)))</f>
        <v/>
      </c>
      <c r="I1157" s="18">
        <f>IF(OR(NOT(ISNUMBER($A1157)),ROW()-2&lt;Settings!$B$12),NA(),IF(COUNT(OFFSET(F1157,1-Settings!$B$12,0,Settings!$B$12,1))&lt;Settings!$B$12,NA(),STDEV(OFFSET(F1157,1-Settings!$B$12,0,Settings!$B$12,1))*SQRT(Settings!$B$13)))</f>
        <v/>
      </c>
      <c r="J1157" s="18">
        <f>IF(OR(NOT(ISNUMBER($A1157)),ROW()-2&lt;Settings!$B$11),NA(),IF(COUNT(OFFSET(G1157,1-Settings!$B$11,0,Settings!$B$11,1))&lt;Settings!$B$11,NA(),STDEV(OFFSET(G1157,1-Settings!$B$11,0,Settings!$B$11,1))*SQRT(Settings!$B$13)))</f>
        <v/>
      </c>
      <c r="K1157" s="18">
        <f>IF(OR(NOT(ISNUMBER($A1157)),ROW()-2&lt;Settings!$B$12),NA(),IF(COUNT(OFFSET(G1157,1-Settings!$B$12,0,Settings!$B$12,1))&lt;Settings!$B$12,NA(),STDEV(OFFSET(G1157,1-Settings!$B$12,0,Settings!$B$12,1))*SQRT(Settings!$B$13)))</f>
        <v/>
      </c>
      <c r="L1157" s="18">
        <f>IF(AND(ISNUMBER(D1157),ISNUMBER(H1157)),D1157-H1157,NA())</f>
        <v/>
      </c>
      <c r="M1157" s="18">
        <f>IF(AND(ISNUMBER(E1157),ISNUMBER(K1157)),E1157-K1157,NA())</f>
        <v/>
      </c>
      <c r="N1157" s="18">
        <f>IF(NOT(ISNUMBER($A1157)),NA(),IF(COUNT(OFFSET(G1157,1,0,Settings!$B$12,1))&lt;Settings!$B$12,NA(),STDEV(OFFSET(G1157,1,0,Settings!$B$12,1))*SQRT(Settings!$B$13)))</f>
        <v/>
      </c>
      <c r="O1157" s="18">
        <f>IF(AND(ISNUMBER(E1157),ISNUMBER(N1157)),E1157-N1157,NA())</f>
        <v/>
      </c>
      <c r="P1157" s="17">
        <f>IF(NOT(ISNUMBER($A1157)),NA(),IF(OR($A1157&lt;MIN(KW_TP!$A$2:$A$2501),$A1157&gt;MAX(KW_TP!$A$2:$A$2501)),NA(),INDEX(KW_TP!$C$2:$C$2501,MATCH($A1157,KW_TP!$A$2:$A$2501,1))))</f>
        <v/>
      </c>
    </row>
    <row r="1158">
      <c r="A1158" s="15">
        <f>IF(ISNUMBER(BBG_Data!A1158),BBG_Data!A1158,"")</f>
        <v/>
      </c>
      <c r="B1158" s="16">
        <f>IF(AND(ISNUMBER($A1158),ISNUMBER(BBG_Data!B1158)),BBG_Data!B1158,NA())</f>
        <v/>
      </c>
      <c r="C1158" s="16">
        <f>IF(AND(ISNUMBER($A1158),ISNUMBER(BBG_Data!C1158)),BBG_Data!C1158,NA())</f>
        <v/>
      </c>
      <c r="D1158" s="17">
        <f>IF(AND(ISNUMBER($A1158),ISNUMBER(BBG_Data!D1158)),BBG_Data!D1158,NA())</f>
        <v/>
      </c>
      <c r="E1158" s="17">
        <f>IF(AND(ISNUMBER($A1158),ISNUMBER(BBG_Data!E1158)),BBG_Data!E1158,NA())</f>
        <v/>
      </c>
      <c r="F1158" s="18">
        <f>IF(AND(ISNUMBER(B1158),ISNUMBER(B1157)),(B1158-B1157)*100,"")</f>
        <v/>
      </c>
      <c r="G1158" s="18">
        <f>IF(AND(ISNUMBER(C1158),ISNUMBER(C1157)),(C1158-C1157)*100,"")</f>
        <v/>
      </c>
      <c r="H1158" s="18">
        <f>IF(OR(NOT(ISNUMBER($A1158)),ROW()-2&lt;Settings!$B$11),NA(),IF(COUNT(OFFSET(F1158,1-Settings!$B$11,0,Settings!$B$11,1))&lt;Settings!$B$11,NA(),STDEV(OFFSET(F1158,1-Settings!$B$11,0,Settings!$B$11,1))*SQRT(Settings!$B$13)))</f>
        <v/>
      </c>
      <c r="I1158" s="18">
        <f>IF(OR(NOT(ISNUMBER($A1158)),ROW()-2&lt;Settings!$B$12),NA(),IF(COUNT(OFFSET(F1158,1-Settings!$B$12,0,Settings!$B$12,1))&lt;Settings!$B$12,NA(),STDEV(OFFSET(F1158,1-Settings!$B$12,0,Settings!$B$12,1))*SQRT(Settings!$B$13)))</f>
        <v/>
      </c>
      <c r="J1158" s="18">
        <f>IF(OR(NOT(ISNUMBER($A1158)),ROW()-2&lt;Settings!$B$11),NA(),IF(COUNT(OFFSET(G1158,1-Settings!$B$11,0,Settings!$B$11,1))&lt;Settings!$B$11,NA(),STDEV(OFFSET(G1158,1-Settings!$B$11,0,Settings!$B$11,1))*SQRT(Settings!$B$13)))</f>
        <v/>
      </c>
      <c r="K1158" s="18">
        <f>IF(OR(NOT(ISNUMBER($A1158)),ROW()-2&lt;Settings!$B$12),NA(),IF(COUNT(OFFSET(G1158,1-Settings!$B$12,0,Settings!$B$12,1))&lt;Settings!$B$12,NA(),STDEV(OFFSET(G1158,1-Settings!$B$12,0,Settings!$B$12,1))*SQRT(Settings!$B$13)))</f>
        <v/>
      </c>
      <c r="L1158" s="18">
        <f>IF(AND(ISNUMBER(D1158),ISNUMBER(H1158)),D1158-H1158,NA())</f>
        <v/>
      </c>
      <c r="M1158" s="18">
        <f>IF(AND(ISNUMBER(E1158),ISNUMBER(K1158)),E1158-K1158,NA())</f>
        <v/>
      </c>
      <c r="N1158" s="18">
        <f>IF(NOT(ISNUMBER($A1158)),NA(),IF(COUNT(OFFSET(G1158,1,0,Settings!$B$12,1))&lt;Settings!$B$12,NA(),STDEV(OFFSET(G1158,1,0,Settings!$B$12,1))*SQRT(Settings!$B$13)))</f>
        <v/>
      </c>
      <c r="O1158" s="18">
        <f>IF(AND(ISNUMBER(E1158),ISNUMBER(N1158)),E1158-N1158,NA())</f>
        <v/>
      </c>
      <c r="P1158" s="17">
        <f>IF(NOT(ISNUMBER($A1158)),NA(),IF(OR($A1158&lt;MIN(KW_TP!$A$2:$A$2501),$A1158&gt;MAX(KW_TP!$A$2:$A$2501)),NA(),INDEX(KW_TP!$C$2:$C$2501,MATCH($A1158,KW_TP!$A$2:$A$2501,1))))</f>
        <v/>
      </c>
    </row>
    <row r="1159">
      <c r="A1159" s="15">
        <f>IF(ISNUMBER(BBG_Data!A1159),BBG_Data!A1159,"")</f>
        <v/>
      </c>
      <c r="B1159" s="16">
        <f>IF(AND(ISNUMBER($A1159),ISNUMBER(BBG_Data!B1159)),BBG_Data!B1159,NA())</f>
        <v/>
      </c>
      <c r="C1159" s="16">
        <f>IF(AND(ISNUMBER($A1159),ISNUMBER(BBG_Data!C1159)),BBG_Data!C1159,NA())</f>
        <v/>
      </c>
      <c r="D1159" s="17">
        <f>IF(AND(ISNUMBER($A1159),ISNUMBER(BBG_Data!D1159)),BBG_Data!D1159,NA())</f>
        <v/>
      </c>
      <c r="E1159" s="17">
        <f>IF(AND(ISNUMBER($A1159),ISNUMBER(BBG_Data!E1159)),BBG_Data!E1159,NA())</f>
        <v/>
      </c>
      <c r="F1159" s="18">
        <f>IF(AND(ISNUMBER(B1159),ISNUMBER(B1158)),(B1159-B1158)*100,"")</f>
        <v/>
      </c>
      <c r="G1159" s="18">
        <f>IF(AND(ISNUMBER(C1159),ISNUMBER(C1158)),(C1159-C1158)*100,"")</f>
        <v/>
      </c>
      <c r="H1159" s="18">
        <f>IF(OR(NOT(ISNUMBER($A1159)),ROW()-2&lt;Settings!$B$11),NA(),IF(COUNT(OFFSET(F1159,1-Settings!$B$11,0,Settings!$B$11,1))&lt;Settings!$B$11,NA(),STDEV(OFFSET(F1159,1-Settings!$B$11,0,Settings!$B$11,1))*SQRT(Settings!$B$13)))</f>
        <v/>
      </c>
      <c r="I1159" s="18">
        <f>IF(OR(NOT(ISNUMBER($A1159)),ROW()-2&lt;Settings!$B$12),NA(),IF(COUNT(OFFSET(F1159,1-Settings!$B$12,0,Settings!$B$12,1))&lt;Settings!$B$12,NA(),STDEV(OFFSET(F1159,1-Settings!$B$12,0,Settings!$B$12,1))*SQRT(Settings!$B$13)))</f>
        <v/>
      </c>
      <c r="J1159" s="18">
        <f>IF(OR(NOT(ISNUMBER($A1159)),ROW()-2&lt;Settings!$B$11),NA(),IF(COUNT(OFFSET(G1159,1-Settings!$B$11,0,Settings!$B$11,1))&lt;Settings!$B$11,NA(),STDEV(OFFSET(G1159,1-Settings!$B$11,0,Settings!$B$11,1))*SQRT(Settings!$B$13)))</f>
        <v/>
      </c>
      <c r="K1159" s="18">
        <f>IF(OR(NOT(ISNUMBER($A1159)),ROW()-2&lt;Settings!$B$12),NA(),IF(COUNT(OFFSET(G1159,1-Settings!$B$12,0,Settings!$B$12,1))&lt;Settings!$B$12,NA(),STDEV(OFFSET(G1159,1-Settings!$B$12,0,Settings!$B$12,1))*SQRT(Settings!$B$13)))</f>
        <v/>
      </c>
      <c r="L1159" s="18">
        <f>IF(AND(ISNUMBER(D1159),ISNUMBER(H1159)),D1159-H1159,NA())</f>
        <v/>
      </c>
      <c r="M1159" s="18">
        <f>IF(AND(ISNUMBER(E1159),ISNUMBER(K1159)),E1159-K1159,NA())</f>
        <v/>
      </c>
      <c r="N1159" s="18">
        <f>IF(NOT(ISNUMBER($A1159)),NA(),IF(COUNT(OFFSET(G1159,1,0,Settings!$B$12,1))&lt;Settings!$B$12,NA(),STDEV(OFFSET(G1159,1,0,Settings!$B$12,1))*SQRT(Settings!$B$13)))</f>
        <v/>
      </c>
      <c r="O1159" s="18">
        <f>IF(AND(ISNUMBER(E1159),ISNUMBER(N1159)),E1159-N1159,NA())</f>
        <v/>
      </c>
      <c r="P1159" s="17">
        <f>IF(NOT(ISNUMBER($A1159)),NA(),IF(OR($A1159&lt;MIN(KW_TP!$A$2:$A$2501),$A1159&gt;MAX(KW_TP!$A$2:$A$2501)),NA(),INDEX(KW_TP!$C$2:$C$2501,MATCH($A1159,KW_TP!$A$2:$A$2501,1))))</f>
        <v/>
      </c>
    </row>
    <row r="1160">
      <c r="A1160" s="15">
        <f>IF(ISNUMBER(BBG_Data!A1160),BBG_Data!A1160,"")</f>
        <v/>
      </c>
      <c r="B1160" s="16">
        <f>IF(AND(ISNUMBER($A1160),ISNUMBER(BBG_Data!B1160)),BBG_Data!B1160,NA())</f>
        <v/>
      </c>
      <c r="C1160" s="16">
        <f>IF(AND(ISNUMBER($A1160),ISNUMBER(BBG_Data!C1160)),BBG_Data!C1160,NA())</f>
        <v/>
      </c>
      <c r="D1160" s="17">
        <f>IF(AND(ISNUMBER($A1160),ISNUMBER(BBG_Data!D1160)),BBG_Data!D1160,NA())</f>
        <v/>
      </c>
      <c r="E1160" s="17">
        <f>IF(AND(ISNUMBER($A1160),ISNUMBER(BBG_Data!E1160)),BBG_Data!E1160,NA())</f>
        <v/>
      </c>
      <c r="F1160" s="18">
        <f>IF(AND(ISNUMBER(B1160),ISNUMBER(B1159)),(B1160-B1159)*100,"")</f>
        <v/>
      </c>
      <c r="G1160" s="18">
        <f>IF(AND(ISNUMBER(C1160),ISNUMBER(C1159)),(C1160-C1159)*100,"")</f>
        <v/>
      </c>
      <c r="H1160" s="18">
        <f>IF(OR(NOT(ISNUMBER($A1160)),ROW()-2&lt;Settings!$B$11),NA(),IF(COUNT(OFFSET(F1160,1-Settings!$B$11,0,Settings!$B$11,1))&lt;Settings!$B$11,NA(),STDEV(OFFSET(F1160,1-Settings!$B$11,0,Settings!$B$11,1))*SQRT(Settings!$B$13)))</f>
        <v/>
      </c>
      <c r="I1160" s="18">
        <f>IF(OR(NOT(ISNUMBER($A1160)),ROW()-2&lt;Settings!$B$12),NA(),IF(COUNT(OFFSET(F1160,1-Settings!$B$12,0,Settings!$B$12,1))&lt;Settings!$B$12,NA(),STDEV(OFFSET(F1160,1-Settings!$B$12,0,Settings!$B$12,1))*SQRT(Settings!$B$13)))</f>
        <v/>
      </c>
      <c r="J1160" s="18">
        <f>IF(OR(NOT(ISNUMBER($A1160)),ROW()-2&lt;Settings!$B$11),NA(),IF(COUNT(OFFSET(G1160,1-Settings!$B$11,0,Settings!$B$11,1))&lt;Settings!$B$11,NA(),STDEV(OFFSET(G1160,1-Settings!$B$11,0,Settings!$B$11,1))*SQRT(Settings!$B$13)))</f>
        <v/>
      </c>
      <c r="K1160" s="18">
        <f>IF(OR(NOT(ISNUMBER($A1160)),ROW()-2&lt;Settings!$B$12),NA(),IF(COUNT(OFFSET(G1160,1-Settings!$B$12,0,Settings!$B$12,1))&lt;Settings!$B$12,NA(),STDEV(OFFSET(G1160,1-Settings!$B$12,0,Settings!$B$12,1))*SQRT(Settings!$B$13)))</f>
        <v/>
      </c>
      <c r="L1160" s="18">
        <f>IF(AND(ISNUMBER(D1160),ISNUMBER(H1160)),D1160-H1160,NA())</f>
        <v/>
      </c>
      <c r="M1160" s="18">
        <f>IF(AND(ISNUMBER(E1160),ISNUMBER(K1160)),E1160-K1160,NA())</f>
        <v/>
      </c>
      <c r="N1160" s="18">
        <f>IF(NOT(ISNUMBER($A1160)),NA(),IF(COUNT(OFFSET(G1160,1,0,Settings!$B$12,1))&lt;Settings!$B$12,NA(),STDEV(OFFSET(G1160,1,0,Settings!$B$12,1))*SQRT(Settings!$B$13)))</f>
        <v/>
      </c>
      <c r="O1160" s="18">
        <f>IF(AND(ISNUMBER(E1160),ISNUMBER(N1160)),E1160-N1160,NA())</f>
        <v/>
      </c>
      <c r="P1160" s="17">
        <f>IF(NOT(ISNUMBER($A1160)),NA(),IF(OR($A1160&lt;MIN(KW_TP!$A$2:$A$2501),$A1160&gt;MAX(KW_TP!$A$2:$A$2501)),NA(),INDEX(KW_TP!$C$2:$C$2501,MATCH($A1160,KW_TP!$A$2:$A$2501,1))))</f>
        <v/>
      </c>
    </row>
    <row r="1161">
      <c r="A1161" s="15">
        <f>IF(ISNUMBER(BBG_Data!A1161),BBG_Data!A1161,"")</f>
        <v/>
      </c>
      <c r="B1161" s="16">
        <f>IF(AND(ISNUMBER($A1161),ISNUMBER(BBG_Data!B1161)),BBG_Data!B1161,NA())</f>
        <v/>
      </c>
      <c r="C1161" s="16">
        <f>IF(AND(ISNUMBER($A1161),ISNUMBER(BBG_Data!C1161)),BBG_Data!C1161,NA())</f>
        <v/>
      </c>
      <c r="D1161" s="17">
        <f>IF(AND(ISNUMBER($A1161),ISNUMBER(BBG_Data!D1161)),BBG_Data!D1161,NA())</f>
        <v/>
      </c>
      <c r="E1161" s="17">
        <f>IF(AND(ISNUMBER($A1161),ISNUMBER(BBG_Data!E1161)),BBG_Data!E1161,NA())</f>
        <v/>
      </c>
      <c r="F1161" s="18">
        <f>IF(AND(ISNUMBER(B1161),ISNUMBER(B1160)),(B1161-B1160)*100,"")</f>
        <v/>
      </c>
      <c r="G1161" s="18">
        <f>IF(AND(ISNUMBER(C1161),ISNUMBER(C1160)),(C1161-C1160)*100,"")</f>
        <v/>
      </c>
      <c r="H1161" s="18">
        <f>IF(OR(NOT(ISNUMBER($A1161)),ROW()-2&lt;Settings!$B$11),NA(),IF(COUNT(OFFSET(F1161,1-Settings!$B$11,0,Settings!$B$11,1))&lt;Settings!$B$11,NA(),STDEV(OFFSET(F1161,1-Settings!$B$11,0,Settings!$B$11,1))*SQRT(Settings!$B$13)))</f>
        <v/>
      </c>
      <c r="I1161" s="18">
        <f>IF(OR(NOT(ISNUMBER($A1161)),ROW()-2&lt;Settings!$B$12),NA(),IF(COUNT(OFFSET(F1161,1-Settings!$B$12,0,Settings!$B$12,1))&lt;Settings!$B$12,NA(),STDEV(OFFSET(F1161,1-Settings!$B$12,0,Settings!$B$12,1))*SQRT(Settings!$B$13)))</f>
        <v/>
      </c>
      <c r="J1161" s="18">
        <f>IF(OR(NOT(ISNUMBER($A1161)),ROW()-2&lt;Settings!$B$11),NA(),IF(COUNT(OFFSET(G1161,1-Settings!$B$11,0,Settings!$B$11,1))&lt;Settings!$B$11,NA(),STDEV(OFFSET(G1161,1-Settings!$B$11,0,Settings!$B$11,1))*SQRT(Settings!$B$13)))</f>
        <v/>
      </c>
      <c r="K1161" s="18">
        <f>IF(OR(NOT(ISNUMBER($A1161)),ROW()-2&lt;Settings!$B$12),NA(),IF(COUNT(OFFSET(G1161,1-Settings!$B$12,0,Settings!$B$12,1))&lt;Settings!$B$12,NA(),STDEV(OFFSET(G1161,1-Settings!$B$12,0,Settings!$B$12,1))*SQRT(Settings!$B$13)))</f>
        <v/>
      </c>
      <c r="L1161" s="18">
        <f>IF(AND(ISNUMBER(D1161),ISNUMBER(H1161)),D1161-H1161,NA())</f>
        <v/>
      </c>
      <c r="M1161" s="18">
        <f>IF(AND(ISNUMBER(E1161),ISNUMBER(K1161)),E1161-K1161,NA())</f>
        <v/>
      </c>
      <c r="N1161" s="18">
        <f>IF(NOT(ISNUMBER($A1161)),NA(),IF(COUNT(OFFSET(G1161,1,0,Settings!$B$12,1))&lt;Settings!$B$12,NA(),STDEV(OFFSET(G1161,1,0,Settings!$B$12,1))*SQRT(Settings!$B$13)))</f>
        <v/>
      </c>
      <c r="O1161" s="18">
        <f>IF(AND(ISNUMBER(E1161),ISNUMBER(N1161)),E1161-N1161,NA())</f>
        <v/>
      </c>
      <c r="P1161" s="17">
        <f>IF(NOT(ISNUMBER($A1161)),NA(),IF(OR($A1161&lt;MIN(KW_TP!$A$2:$A$2501),$A1161&gt;MAX(KW_TP!$A$2:$A$2501)),NA(),INDEX(KW_TP!$C$2:$C$2501,MATCH($A1161,KW_TP!$A$2:$A$2501,1))))</f>
        <v/>
      </c>
    </row>
    <row r="1162">
      <c r="A1162" s="15">
        <f>IF(ISNUMBER(BBG_Data!A1162),BBG_Data!A1162,"")</f>
        <v/>
      </c>
      <c r="B1162" s="16">
        <f>IF(AND(ISNUMBER($A1162),ISNUMBER(BBG_Data!B1162)),BBG_Data!B1162,NA())</f>
        <v/>
      </c>
      <c r="C1162" s="16">
        <f>IF(AND(ISNUMBER($A1162),ISNUMBER(BBG_Data!C1162)),BBG_Data!C1162,NA())</f>
        <v/>
      </c>
      <c r="D1162" s="17">
        <f>IF(AND(ISNUMBER($A1162),ISNUMBER(BBG_Data!D1162)),BBG_Data!D1162,NA())</f>
        <v/>
      </c>
      <c r="E1162" s="17">
        <f>IF(AND(ISNUMBER($A1162),ISNUMBER(BBG_Data!E1162)),BBG_Data!E1162,NA())</f>
        <v/>
      </c>
      <c r="F1162" s="18">
        <f>IF(AND(ISNUMBER(B1162),ISNUMBER(B1161)),(B1162-B1161)*100,"")</f>
        <v/>
      </c>
      <c r="G1162" s="18">
        <f>IF(AND(ISNUMBER(C1162),ISNUMBER(C1161)),(C1162-C1161)*100,"")</f>
        <v/>
      </c>
      <c r="H1162" s="18">
        <f>IF(OR(NOT(ISNUMBER($A1162)),ROW()-2&lt;Settings!$B$11),NA(),IF(COUNT(OFFSET(F1162,1-Settings!$B$11,0,Settings!$B$11,1))&lt;Settings!$B$11,NA(),STDEV(OFFSET(F1162,1-Settings!$B$11,0,Settings!$B$11,1))*SQRT(Settings!$B$13)))</f>
        <v/>
      </c>
      <c r="I1162" s="18">
        <f>IF(OR(NOT(ISNUMBER($A1162)),ROW()-2&lt;Settings!$B$12),NA(),IF(COUNT(OFFSET(F1162,1-Settings!$B$12,0,Settings!$B$12,1))&lt;Settings!$B$12,NA(),STDEV(OFFSET(F1162,1-Settings!$B$12,0,Settings!$B$12,1))*SQRT(Settings!$B$13)))</f>
        <v/>
      </c>
      <c r="J1162" s="18">
        <f>IF(OR(NOT(ISNUMBER($A1162)),ROW()-2&lt;Settings!$B$11),NA(),IF(COUNT(OFFSET(G1162,1-Settings!$B$11,0,Settings!$B$11,1))&lt;Settings!$B$11,NA(),STDEV(OFFSET(G1162,1-Settings!$B$11,0,Settings!$B$11,1))*SQRT(Settings!$B$13)))</f>
        <v/>
      </c>
      <c r="K1162" s="18">
        <f>IF(OR(NOT(ISNUMBER($A1162)),ROW()-2&lt;Settings!$B$12),NA(),IF(COUNT(OFFSET(G1162,1-Settings!$B$12,0,Settings!$B$12,1))&lt;Settings!$B$12,NA(),STDEV(OFFSET(G1162,1-Settings!$B$12,0,Settings!$B$12,1))*SQRT(Settings!$B$13)))</f>
        <v/>
      </c>
      <c r="L1162" s="18">
        <f>IF(AND(ISNUMBER(D1162),ISNUMBER(H1162)),D1162-H1162,NA())</f>
        <v/>
      </c>
      <c r="M1162" s="18">
        <f>IF(AND(ISNUMBER(E1162),ISNUMBER(K1162)),E1162-K1162,NA())</f>
        <v/>
      </c>
      <c r="N1162" s="18">
        <f>IF(NOT(ISNUMBER($A1162)),NA(),IF(COUNT(OFFSET(G1162,1,0,Settings!$B$12,1))&lt;Settings!$B$12,NA(),STDEV(OFFSET(G1162,1,0,Settings!$B$12,1))*SQRT(Settings!$B$13)))</f>
        <v/>
      </c>
      <c r="O1162" s="18">
        <f>IF(AND(ISNUMBER(E1162),ISNUMBER(N1162)),E1162-N1162,NA())</f>
        <v/>
      </c>
      <c r="P1162" s="17">
        <f>IF(NOT(ISNUMBER($A1162)),NA(),IF(OR($A1162&lt;MIN(KW_TP!$A$2:$A$2501),$A1162&gt;MAX(KW_TP!$A$2:$A$2501)),NA(),INDEX(KW_TP!$C$2:$C$2501,MATCH($A1162,KW_TP!$A$2:$A$2501,1))))</f>
        <v/>
      </c>
    </row>
    <row r="1163">
      <c r="A1163" s="15">
        <f>IF(ISNUMBER(BBG_Data!A1163),BBG_Data!A1163,"")</f>
        <v/>
      </c>
      <c r="B1163" s="16">
        <f>IF(AND(ISNUMBER($A1163),ISNUMBER(BBG_Data!B1163)),BBG_Data!B1163,NA())</f>
        <v/>
      </c>
      <c r="C1163" s="16">
        <f>IF(AND(ISNUMBER($A1163),ISNUMBER(BBG_Data!C1163)),BBG_Data!C1163,NA())</f>
        <v/>
      </c>
      <c r="D1163" s="17">
        <f>IF(AND(ISNUMBER($A1163),ISNUMBER(BBG_Data!D1163)),BBG_Data!D1163,NA())</f>
        <v/>
      </c>
      <c r="E1163" s="17">
        <f>IF(AND(ISNUMBER($A1163),ISNUMBER(BBG_Data!E1163)),BBG_Data!E1163,NA())</f>
        <v/>
      </c>
      <c r="F1163" s="18">
        <f>IF(AND(ISNUMBER(B1163),ISNUMBER(B1162)),(B1163-B1162)*100,"")</f>
        <v/>
      </c>
      <c r="G1163" s="18">
        <f>IF(AND(ISNUMBER(C1163),ISNUMBER(C1162)),(C1163-C1162)*100,"")</f>
        <v/>
      </c>
      <c r="H1163" s="18">
        <f>IF(OR(NOT(ISNUMBER($A1163)),ROW()-2&lt;Settings!$B$11),NA(),IF(COUNT(OFFSET(F1163,1-Settings!$B$11,0,Settings!$B$11,1))&lt;Settings!$B$11,NA(),STDEV(OFFSET(F1163,1-Settings!$B$11,0,Settings!$B$11,1))*SQRT(Settings!$B$13)))</f>
        <v/>
      </c>
      <c r="I1163" s="18">
        <f>IF(OR(NOT(ISNUMBER($A1163)),ROW()-2&lt;Settings!$B$12),NA(),IF(COUNT(OFFSET(F1163,1-Settings!$B$12,0,Settings!$B$12,1))&lt;Settings!$B$12,NA(),STDEV(OFFSET(F1163,1-Settings!$B$12,0,Settings!$B$12,1))*SQRT(Settings!$B$13)))</f>
        <v/>
      </c>
      <c r="J1163" s="18">
        <f>IF(OR(NOT(ISNUMBER($A1163)),ROW()-2&lt;Settings!$B$11),NA(),IF(COUNT(OFFSET(G1163,1-Settings!$B$11,0,Settings!$B$11,1))&lt;Settings!$B$11,NA(),STDEV(OFFSET(G1163,1-Settings!$B$11,0,Settings!$B$11,1))*SQRT(Settings!$B$13)))</f>
        <v/>
      </c>
      <c r="K1163" s="18">
        <f>IF(OR(NOT(ISNUMBER($A1163)),ROW()-2&lt;Settings!$B$12),NA(),IF(COUNT(OFFSET(G1163,1-Settings!$B$12,0,Settings!$B$12,1))&lt;Settings!$B$12,NA(),STDEV(OFFSET(G1163,1-Settings!$B$12,0,Settings!$B$12,1))*SQRT(Settings!$B$13)))</f>
        <v/>
      </c>
      <c r="L1163" s="18">
        <f>IF(AND(ISNUMBER(D1163),ISNUMBER(H1163)),D1163-H1163,NA())</f>
        <v/>
      </c>
      <c r="M1163" s="18">
        <f>IF(AND(ISNUMBER(E1163),ISNUMBER(K1163)),E1163-K1163,NA())</f>
        <v/>
      </c>
      <c r="N1163" s="18">
        <f>IF(NOT(ISNUMBER($A1163)),NA(),IF(COUNT(OFFSET(G1163,1,0,Settings!$B$12,1))&lt;Settings!$B$12,NA(),STDEV(OFFSET(G1163,1,0,Settings!$B$12,1))*SQRT(Settings!$B$13)))</f>
        <v/>
      </c>
      <c r="O1163" s="18">
        <f>IF(AND(ISNUMBER(E1163),ISNUMBER(N1163)),E1163-N1163,NA())</f>
        <v/>
      </c>
      <c r="P1163" s="17">
        <f>IF(NOT(ISNUMBER($A1163)),NA(),IF(OR($A1163&lt;MIN(KW_TP!$A$2:$A$2501),$A1163&gt;MAX(KW_TP!$A$2:$A$2501)),NA(),INDEX(KW_TP!$C$2:$C$2501,MATCH($A1163,KW_TP!$A$2:$A$2501,1))))</f>
        <v/>
      </c>
    </row>
    <row r="1164">
      <c r="A1164" s="15">
        <f>IF(ISNUMBER(BBG_Data!A1164),BBG_Data!A1164,"")</f>
        <v/>
      </c>
      <c r="B1164" s="16">
        <f>IF(AND(ISNUMBER($A1164),ISNUMBER(BBG_Data!B1164)),BBG_Data!B1164,NA())</f>
        <v/>
      </c>
      <c r="C1164" s="16">
        <f>IF(AND(ISNUMBER($A1164),ISNUMBER(BBG_Data!C1164)),BBG_Data!C1164,NA())</f>
        <v/>
      </c>
      <c r="D1164" s="17">
        <f>IF(AND(ISNUMBER($A1164),ISNUMBER(BBG_Data!D1164)),BBG_Data!D1164,NA())</f>
        <v/>
      </c>
      <c r="E1164" s="17">
        <f>IF(AND(ISNUMBER($A1164),ISNUMBER(BBG_Data!E1164)),BBG_Data!E1164,NA())</f>
        <v/>
      </c>
      <c r="F1164" s="18">
        <f>IF(AND(ISNUMBER(B1164),ISNUMBER(B1163)),(B1164-B1163)*100,"")</f>
        <v/>
      </c>
      <c r="G1164" s="18">
        <f>IF(AND(ISNUMBER(C1164),ISNUMBER(C1163)),(C1164-C1163)*100,"")</f>
        <v/>
      </c>
      <c r="H1164" s="18">
        <f>IF(OR(NOT(ISNUMBER($A1164)),ROW()-2&lt;Settings!$B$11),NA(),IF(COUNT(OFFSET(F1164,1-Settings!$B$11,0,Settings!$B$11,1))&lt;Settings!$B$11,NA(),STDEV(OFFSET(F1164,1-Settings!$B$11,0,Settings!$B$11,1))*SQRT(Settings!$B$13)))</f>
        <v/>
      </c>
      <c r="I1164" s="18">
        <f>IF(OR(NOT(ISNUMBER($A1164)),ROW()-2&lt;Settings!$B$12),NA(),IF(COUNT(OFFSET(F1164,1-Settings!$B$12,0,Settings!$B$12,1))&lt;Settings!$B$12,NA(),STDEV(OFFSET(F1164,1-Settings!$B$12,0,Settings!$B$12,1))*SQRT(Settings!$B$13)))</f>
        <v/>
      </c>
      <c r="J1164" s="18">
        <f>IF(OR(NOT(ISNUMBER($A1164)),ROW()-2&lt;Settings!$B$11),NA(),IF(COUNT(OFFSET(G1164,1-Settings!$B$11,0,Settings!$B$11,1))&lt;Settings!$B$11,NA(),STDEV(OFFSET(G1164,1-Settings!$B$11,0,Settings!$B$11,1))*SQRT(Settings!$B$13)))</f>
        <v/>
      </c>
      <c r="K1164" s="18">
        <f>IF(OR(NOT(ISNUMBER($A1164)),ROW()-2&lt;Settings!$B$12),NA(),IF(COUNT(OFFSET(G1164,1-Settings!$B$12,0,Settings!$B$12,1))&lt;Settings!$B$12,NA(),STDEV(OFFSET(G1164,1-Settings!$B$12,0,Settings!$B$12,1))*SQRT(Settings!$B$13)))</f>
        <v/>
      </c>
      <c r="L1164" s="18">
        <f>IF(AND(ISNUMBER(D1164),ISNUMBER(H1164)),D1164-H1164,NA())</f>
        <v/>
      </c>
      <c r="M1164" s="18">
        <f>IF(AND(ISNUMBER(E1164),ISNUMBER(K1164)),E1164-K1164,NA())</f>
        <v/>
      </c>
      <c r="N1164" s="18">
        <f>IF(NOT(ISNUMBER($A1164)),NA(),IF(COUNT(OFFSET(G1164,1,0,Settings!$B$12,1))&lt;Settings!$B$12,NA(),STDEV(OFFSET(G1164,1,0,Settings!$B$12,1))*SQRT(Settings!$B$13)))</f>
        <v/>
      </c>
      <c r="O1164" s="18">
        <f>IF(AND(ISNUMBER(E1164),ISNUMBER(N1164)),E1164-N1164,NA())</f>
        <v/>
      </c>
      <c r="P1164" s="17">
        <f>IF(NOT(ISNUMBER($A1164)),NA(),IF(OR($A1164&lt;MIN(KW_TP!$A$2:$A$2501),$A1164&gt;MAX(KW_TP!$A$2:$A$2501)),NA(),INDEX(KW_TP!$C$2:$C$2501,MATCH($A1164,KW_TP!$A$2:$A$2501,1))))</f>
        <v/>
      </c>
    </row>
    <row r="1165">
      <c r="A1165" s="15">
        <f>IF(ISNUMBER(BBG_Data!A1165),BBG_Data!A1165,"")</f>
        <v/>
      </c>
      <c r="B1165" s="16">
        <f>IF(AND(ISNUMBER($A1165),ISNUMBER(BBG_Data!B1165)),BBG_Data!B1165,NA())</f>
        <v/>
      </c>
      <c r="C1165" s="16">
        <f>IF(AND(ISNUMBER($A1165),ISNUMBER(BBG_Data!C1165)),BBG_Data!C1165,NA())</f>
        <v/>
      </c>
      <c r="D1165" s="17">
        <f>IF(AND(ISNUMBER($A1165),ISNUMBER(BBG_Data!D1165)),BBG_Data!D1165,NA())</f>
        <v/>
      </c>
      <c r="E1165" s="17">
        <f>IF(AND(ISNUMBER($A1165),ISNUMBER(BBG_Data!E1165)),BBG_Data!E1165,NA())</f>
        <v/>
      </c>
      <c r="F1165" s="18">
        <f>IF(AND(ISNUMBER(B1165),ISNUMBER(B1164)),(B1165-B1164)*100,"")</f>
        <v/>
      </c>
      <c r="G1165" s="18">
        <f>IF(AND(ISNUMBER(C1165),ISNUMBER(C1164)),(C1165-C1164)*100,"")</f>
        <v/>
      </c>
      <c r="H1165" s="18">
        <f>IF(OR(NOT(ISNUMBER($A1165)),ROW()-2&lt;Settings!$B$11),NA(),IF(COUNT(OFFSET(F1165,1-Settings!$B$11,0,Settings!$B$11,1))&lt;Settings!$B$11,NA(),STDEV(OFFSET(F1165,1-Settings!$B$11,0,Settings!$B$11,1))*SQRT(Settings!$B$13)))</f>
        <v/>
      </c>
      <c r="I1165" s="18">
        <f>IF(OR(NOT(ISNUMBER($A1165)),ROW()-2&lt;Settings!$B$12),NA(),IF(COUNT(OFFSET(F1165,1-Settings!$B$12,0,Settings!$B$12,1))&lt;Settings!$B$12,NA(),STDEV(OFFSET(F1165,1-Settings!$B$12,0,Settings!$B$12,1))*SQRT(Settings!$B$13)))</f>
        <v/>
      </c>
      <c r="J1165" s="18">
        <f>IF(OR(NOT(ISNUMBER($A1165)),ROW()-2&lt;Settings!$B$11),NA(),IF(COUNT(OFFSET(G1165,1-Settings!$B$11,0,Settings!$B$11,1))&lt;Settings!$B$11,NA(),STDEV(OFFSET(G1165,1-Settings!$B$11,0,Settings!$B$11,1))*SQRT(Settings!$B$13)))</f>
        <v/>
      </c>
      <c r="K1165" s="18">
        <f>IF(OR(NOT(ISNUMBER($A1165)),ROW()-2&lt;Settings!$B$12),NA(),IF(COUNT(OFFSET(G1165,1-Settings!$B$12,0,Settings!$B$12,1))&lt;Settings!$B$12,NA(),STDEV(OFFSET(G1165,1-Settings!$B$12,0,Settings!$B$12,1))*SQRT(Settings!$B$13)))</f>
        <v/>
      </c>
      <c r="L1165" s="18">
        <f>IF(AND(ISNUMBER(D1165),ISNUMBER(H1165)),D1165-H1165,NA())</f>
        <v/>
      </c>
      <c r="M1165" s="18">
        <f>IF(AND(ISNUMBER(E1165),ISNUMBER(K1165)),E1165-K1165,NA())</f>
        <v/>
      </c>
      <c r="N1165" s="18">
        <f>IF(NOT(ISNUMBER($A1165)),NA(),IF(COUNT(OFFSET(G1165,1,0,Settings!$B$12,1))&lt;Settings!$B$12,NA(),STDEV(OFFSET(G1165,1,0,Settings!$B$12,1))*SQRT(Settings!$B$13)))</f>
        <v/>
      </c>
      <c r="O1165" s="18">
        <f>IF(AND(ISNUMBER(E1165),ISNUMBER(N1165)),E1165-N1165,NA())</f>
        <v/>
      </c>
      <c r="P1165" s="17">
        <f>IF(NOT(ISNUMBER($A1165)),NA(),IF(OR($A1165&lt;MIN(KW_TP!$A$2:$A$2501),$A1165&gt;MAX(KW_TP!$A$2:$A$2501)),NA(),INDEX(KW_TP!$C$2:$C$2501,MATCH($A1165,KW_TP!$A$2:$A$2501,1))))</f>
        <v/>
      </c>
    </row>
    <row r="1166">
      <c r="A1166" s="15">
        <f>IF(ISNUMBER(BBG_Data!A1166),BBG_Data!A1166,"")</f>
        <v/>
      </c>
      <c r="B1166" s="16">
        <f>IF(AND(ISNUMBER($A1166),ISNUMBER(BBG_Data!B1166)),BBG_Data!B1166,NA())</f>
        <v/>
      </c>
      <c r="C1166" s="16">
        <f>IF(AND(ISNUMBER($A1166),ISNUMBER(BBG_Data!C1166)),BBG_Data!C1166,NA())</f>
        <v/>
      </c>
      <c r="D1166" s="17">
        <f>IF(AND(ISNUMBER($A1166),ISNUMBER(BBG_Data!D1166)),BBG_Data!D1166,NA())</f>
        <v/>
      </c>
      <c r="E1166" s="17">
        <f>IF(AND(ISNUMBER($A1166),ISNUMBER(BBG_Data!E1166)),BBG_Data!E1166,NA())</f>
        <v/>
      </c>
      <c r="F1166" s="18">
        <f>IF(AND(ISNUMBER(B1166),ISNUMBER(B1165)),(B1166-B1165)*100,"")</f>
        <v/>
      </c>
      <c r="G1166" s="18">
        <f>IF(AND(ISNUMBER(C1166),ISNUMBER(C1165)),(C1166-C1165)*100,"")</f>
        <v/>
      </c>
      <c r="H1166" s="18">
        <f>IF(OR(NOT(ISNUMBER($A1166)),ROW()-2&lt;Settings!$B$11),NA(),IF(COUNT(OFFSET(F1166,1-Settings!$B$11,0,Settings!$B$11,1))&lt;Settings!$B$11,NA(),STDEV(OFFSET(F1166,1-Settings!$B$11,0,Settings!$B$11,1))*SQRT(Settings!$B$13)))</f>
        <v/>
      </c>
      <c r="I1166" s="18">
        <f>IF(OR(NOT(ISNUMBER($A1166)),ROW()-2&lt;Settings!$B$12),NA(),IF(COUNT(OFFSET(F1166,1-Settings!$B$12,0,Settings!$B$12,1))&lt;Settings!$B$12,NA(),STDEV(OFFSET(F1166,1-Settings!$B$12,0,Settings!$B$12,1))*SQRT(Settings!$B$13)))</f>
        <v/>
      </c>
      <c r="J1166" s="18">
        <f>IF(OR(NOT(ISNUMBER($A1166)),ROW()-2&lt;Settings!$B$11),NA(),IF(COUNT(OFFSET(G1166,1-Settings!$B$11,0,Settings!$B$11,1))&lt;Settings!$B$11,NA(),STDEV(OFFSET(G1166,1-Settings!$B$11,0,Settings!$B$11,1))*SQRT(Settings!$B$13)))</f>
        <v/>
      </c>
      <c r="K1166" s="18">
        <f>IF(OR(NOT(ISNUMBER($A1166)),ROW()-2&lt;Settings!$B$12),NA(),IF(COUNT(OFFSET(G1166,1-Settings!$B$12,0,Settings!$B$12,1))&lt;Settings!$B$12,NA(),STDEV(OFFSET(G1166,1-Settings!$B$12,0,Settings!$B$12,1))*SQRT(Settings!$B$13)))</f>
        <v/>
      </c>
      <c r="L1166" s="18">
        <f>IF(AND(ISNUMBER(D1166),ISNUMBER(H1166)),D1166-H1166,NA())</f>
        <v/>
      </c>
      <c r="M1166" s="18">
        <f>IF(AND(ISNUMBER(E1166),ISNUMBER(K1166)),E1166-K1166,NA())</f>
        <v/>
      </c>
      <c r="N1166" s="18">
        <f>IF(NOT(ISNUMBER($A1166)),NA(),IF(COUNT(OFFSET(G1166,1,0,Settings!$B$12,1))&lt;Settings!$B$12,NA(),STDEV(OFFSET(G1166,1,0,Settings!$B$12,1))*SQRT(Settings!$B$13)))</f>
        <v/>
      </c>
      <c r="O1166" s="18">
        <f>IF(AND(ISNUMBER(E1166),ISNUMBER(N1166)),E1166-N1166,NA())</f>
        <v/>
      </c>
      <c r="P1166" s="17">
        <f>IF(NOT(ISNUMBER($A1166)),NA(),IF(OR($A1166&lt;MIN(KW_TP!$A$2:$A$2501),$A1166&gt;MAX(KW_TP!$A$2:$A$2501)),NA(),INDEX(KW_TP!$C$2:$C$2501,MATCH($A1166,KW_TP!$A$2:$A$2501,1))))</f>
        <v/>
      </c>
    </row>
    <row r="1167">
      <c r="A1167" s="15">
        <f>IF(ISNUMBER(BBG_Data!A1167),BBG_Data!A1167,"")</f>
        <v/>
      </c>
      <c r="B1167" s="16">
        <f>IF(AND(ISNUMBER($A1167),ISNUMBER(BBG_Data!B1167)),BBG_Data!B1167,NA())</f>
        <v/>
      </c>
      <c r="C1167" s="16">
        <f>IF(AND(ISNUMBER($A1167),ISNUMBER(BBG_Data!C1167)),BBG_Data!C1167,NA())</f>
        <v/>
      </c>
      <c r="D1167" s="17">
        <f>IF(AND(ISNUMBER($A1167),ISNUMBER(BBG_Data!D1167)),BBG_Data!D1167,NA())</f>
        <v/>
      </c>
      <c r="E1167" s="17">
        <f>IF(AND(ISNUMBER($A1167),ISNUMBER(BBG_Data!E1167)),BBG_Data!E1167,NA())</f>
        <v/>
      </c>
      <c r="F1167" s="18">
        <f>IF(AND(ISNUMBER(B1167),ISNUMBER(B1166)),(B1167-B1166)*100,"")</f>
        <v/>
      </c>
      <c r="G1167" s="18">
        <f>IF(AND(ISNUMBER(C1167),ISNUMBER(C1166)),(C1167-C1166)*100,"")</f>
        <v/>
      </c>
      <c r="H1167" s="18">
        <f>IF(OR(NOT(ISNUMBER($A1167)),ROW()-2&lt;Settings!$B$11),NA(),IF(COUNT(OFFSET(F1167,1-Settings!$B$11,0,Settings!$B$11,1))&lt;Settings!$B$11,NA(),STDEV(OFFSET(F1167,1-Settings!$B$11,0,Settings!$B$11,1))*SQRT(Settings!$B$13)))</f>
        <v/>
      </c>
      <c r="I1167" s="18">
        <f>IF(OR(NOT(ISNUMBER($A1167)),ROW()-2&lt;Settings!$B$12),NA(),IF(COUNT(OFFSET(F1167,1-Settings!$B$12,0,Settings!$B$12,1))&lt;Settings!$B$12,NA(),STDEV(OFFSET(F1167,1-Settings!$B$12,0,Settings!$B$12,1))*SQRT(Settings!$B$13)))</f>
        <v/>
      </c>
      <c r="J1167" s="18">
        <f>IF(OR(NOT(ISNUMBER($A1167)),ROW()-2&lt;Settings!$B$11),NA(),IF(COUNT(OFFSET(G1167,1-Settings!$B$11,0,Settings!$B$11,1))&lt;Settings!$B$11,NA(),STDEV(OFFSET(G1167,1-Settings!$B$11,0,Settings!$B$11,1))*SQRT(Settings!$B$13)))</f>
        <v/>
      </c>
      <c r="K1167" s="18">
        <f>IF(OR(NOT(ISNUMBER($A1167)),ROW()-2&lt;Settings!$B$12),NA(),IF(COUNT(OFFSET(G1167,1-Settings!$B$12,0,Settings!$B$12,1))&lt;Settings!$B$12,NA(),STDEV(OFFSET(G1167,1-Settings!$B$12,0,Settings!$B$12,1))*SQRT(Settings!$B$13)))</f>
        <v/>
      </c>
      <c r="L1167" s="18">
        <f>IF(AND(ISNUMBER(D1167),ISNUMBER(H1167)),D1167-H1167,NA())</f>
        <v/>
      </c>
      <c r="M1167" s="18">
        <f>IF(AND(ISNUMBER(E1167),ISNUMBER(K1167)),E1167-K1167,NA())</f>
        <v/>
      </c>
      <c r="N1167" s="18">
        <f>IF(NOT(ISNUMBER($A1167)),NA(),IF(COUNT(OFFSET(G1167,1,0,Settings!$B$12,1))&lt;Settings!$B$12,NA(),STDEV(OFFSET(G1167,1,0,Settings!$B$12,1))*SQRT(Settings!$B$13)))</f>
        <v/>
      </c>
      <c r="O1167" s="18">
        <f>IF(AND(ISNUMBER(E1167),ISNUMBER(N1167)),E1167-N1167,NA())</f>
        <v/>
      </c>
      <c r="P1167" s="17">
        <f>IF(NOT(ISNUMBER($A1167)),NA(),IF(OR($A1167&lt;MIN(KW_TP!$A$2:$A$2501),$A1167&gt;MAX(KW_TP!$A$2:$A$2501)),NA(),INDEX(KW_TP!$C$2:$C$2501,MATCH($A1167,KW_TP!$A$2:$A$2501,1))))</f>
        <v/>
      </c>
    </row>
    <row r="1168">
      <c r="A1168" s="15">
        <f>IF(ISNUMBER(BBG_Data!A1168),BBG_Data!A1168,"")</f>
        <v/>
      </c>
      <c r="B1168" s="16">
        <f>IF(AND(ISNUMBER($A1168),ISNUMBER(BBG_Data!B1168)),BBG_Data!B1168,NA())</f>
        <v/>
      </c>
      <c r="C1168" s="16">
        <f>IF(AND(ISNUMBER($A1168),ISNUMBER(BBG_Data!C1168)),BBG_Data!C1168,NA())</f>
        <v/>
      </c>
      <c r="D1168" s="17">
        <f>IF(AND(ISNUMBER($A1168),ISNUMBER(BBG_Data!D1168)),BBG_Data!D1168,NA())</f>
        <v/>
      </c>
      <c r="E1168" s="17">
        <f>IF(AND(ISNUMBER($A1168),ISNUMBER(BBG_Data!E1168)),BBG_Data!E1168,NA())</f>
        <v/>
      </c>
      <c r="F1168" s="18">
        <f>IF(AND(ISNUMBER(B1168),ISNUMBER(B1167)),(B1168-B1167)*100,"")</f>
        <v/>
      </c>
      <c r="G1168" s="18">
        <f>IF(AND(ISNUMBER(C1168),ISNUMBER(C1167)),(C1168-C1167)*100,"")</f>
        <v/>
      </c>
      <c r="H1168" s="18">
        <f>IF(OR(NOT(ISNUMBER($A1168)),ROW()-2&lt;Settings!$B$11),NA(),IF(COUNT(OFFSET(F1168,1-Settings!$B$11,0,Settings!$B$11,1))&lt;Settings!$B$11,NA(),STDEV(OFFSET(F1168,1-Settings!$B$11,0,Settings!$B$11,1))*SQRT(Settings!$B$13)))</f>
        <v/>
      </c>
      <c r="I1168" s="18">
        <f>IF(OR(NOT(ISNUMBER($A1168)),ROW()-2&lt;Settings!$B$12),NA(),IF(COUNT(OFFSET(F1168,1-Settings!$B$12,0,Settings!$B$12,1))&lt;Settings!$B$12,NA(),STDEV(OFFSET(F1168,1-Settings!$B$12,0,Settings!$B$12,1))*SQRT(Settings!$B$13)))</f>
        <v/>
      </c>
      <c r="J1168" s="18">
        <f>IF(OR(NOT(ISNUMBER($A1168)),ROW()-2&lt;Settings!$B$11),NA(),IF(COUNT(OFFSET(G1168,1-Settings!$B$11,0,Settings!$B$11,1))&lt;Settings!$B$11,NA(),STDEV(OFFSET(G1168,1-Settings!$B$11,0,Settings!$B$11,1))*SQRT(Settings!$B$13)))</f>
        <v/>
      </c>
      <c r="K1168" s="18">
        <f>IF(OR(NOT(ISNUMBER($A1168)),ROW()-2&lt;Settings!$B$12),NA(),IF(COUNT(OFFSET(G1168,1-Settings!$B$12,0,Settings!$B$12,1))&lt;Settings!$B$12,NA(),STDEV(OFFSET(G1168,1-Settings!$B$12,0,Settings!$B$12,1))*SQRT(Settings!$B$13)))</f>
        <v/>
      </c>
      <c r="L1168" s="18">
        <f>IF(AND(ISNUMBER(D1168),ISNUMBER(H1168)),D1168-H1168,NA())</f>
        <v/>
      </c>
      <c r="M1168" s="18">
        <f>IF(AND(ISNUMBER(E1168),ISNUMBER(K1168)),E1168-K1168,NA())</f>
        <v/>
      </c>
      <c r="N1168" s="18">
        <f>IF(NOT(ISNUMBER($A1168)),NA(),IF(COUNT(OFFSET(G1168,1,0,Settings!$B$12,1))&lt;Settings!$B$12,NA(),STDEV(OFFSET(G1168,1,0,Settings!$B$12,1))*SQRT(Settings!$B$13)))</f>
        <v/>
      </c>
      <c r="O1168" s="18">
        <f>IF(AND(ISNUMBER(E1168),ISNUMBER(N1168)),E1168-N1168,NA())</f>
        <v/>
      </c>
      <c r="P1168" s="17">
        <f>IF(NOT(ISNUMBER($A1168)),NA(),IF(OR($A1168&lt;MIN(KW_TP!$A$2:$A$2501),$A1168&gt;MAX(KW_TP!$A$2:$A$2501)),NA(),INDEX(KW_TP!$C$2:$C$2501,MATCH($A1168,KW_TP!$A$2:$A$2501,1))))</f>
        <v/>
      </c>
    </row>
    <row r="1169">
      <c r="A1169" s="15">
        <f>IF(ISNUMBER(BBG_Data!A1169),BBG_Data!A1169,"")</f>
        <v/>
      </c>
      <c r="B1169" s="16">
        <f>IF(AND(ISNUMBER($A1169),ISNUMBER(BBG_Data!B1169)),BBG_Data!B1169,NA())</f>
        <v/>
      </c>
      <c r="C1169" s="16">
        <f>IF(AND(ISNUMBER($A1169),ISNUMBER(BBG_Data!C1169)),BBG_Data!C1169,NA())</f>
        <v/>
      </c>
      <c r="D1169" s="17">
        <f>IF(AND(ISNUMBER($A1169),ISNUMBER(BBG_Data!D1169)),BBG_Data!D1169,NA())</f>
        <v/>
      </c>
      <c r="E1169" s="17">
        <f>IF(AND(ISNUMBER($A1169),ISNUMBER(BBG_Data!E1169)),BBG_Data!E1169,NA())</f>
        <v/>
      </c>
      <c r="F1169" s="18">
        <f>IF(AND(ISNUMBER(B1169),ISNUMBER(B1168)),(B1169-B1168)*100,"")</f>
        <v/>
      </c>
      <c r="G1169" s="18">
        <f>IF(AND(ISNUMBER(C1169),ISNUMBER(C1168)),(C1169-C1168)*100,"")</f>
        <v/>
      </c>
      <c r="H1169" s="18">
        <f>IF(OR(NOT(ISNUMBER($A1169)),ROW()-2&lt;Settings!$B$11),NA(),IF(COUNT(OFFSET(F1169,1-Settings!$B$11,0,Settings!$B$11,1))&lt;Settings!$B$11,NA(),STDEV(OFFSET(F1169,1-Settings!$B$11,0,Settings!$B$11,1))*SQRT(Settings!$B$13)))</f>
        <v/>
      </c>
      <c r="I1169" s="18">
        <f>IF(OR(NOT(ISNUMBER($A1169)),ROW()-2&lt;Settings!$B$12),NA(),IF(COUNT(OFFSET(F1169,1-Settings!$B$12,0,Settings!$B$12,1))&lt;Settings!$B$12,NA(),STDEV(OFFSET(F1169,1-Settings!$B$12,0,Settings!$B$12,1))*SQRT(Settings!$B$13)))</f>
        <v/>
      </c>
      <c r="J1169" s="18">
        <f>IF(OR(NOT(ISNUMBER($A1169)),ROW()-2&lt;Settings!$B$11),NA(),IF(COUNT(OFFSET(G1169,1-Settings!$B$11,0,Settings!$B$11,1))&lt;Settings!$B$11,NA(),STDEV(OFFSET(G1169,1-Settings!$B$11,0,Settings!$B$11,1))*SQRT(Settings!$B$13)))</f>
        <v/>
      </c>
      <c r="K1169" s="18">
        <f>IF(OR(NOT(ISNUMBER($A1169)),ROW()-2&lt;Settings!$B$12),NA(),IF(COUNT(OFFSET(G1169,1-Settings!$B$12,0,Settings!$B$12,1))&lt;Settings!$B$12,NA(),STDEV(OFFSET(G1169,1-Settings!$B$12,0,Settings!$B$12,1))*SQRT(Settings!$B$13)))</f>
        <v/>
      </c>
      <c r="L1169" s="18">
        <f>IF(AND(ISNUMBER(D1169),ISNUMBER(H1169)),D1169-H1169,NA())</f>
        <v/>
      </c>
      <c r="M1169" s="18">
        <f>IF(AND(ISNUMBER(E1169),ISNUMBER(K1169)),E1169-K1169,NA())</f>
        <v/>
      </c>
      <c r="N1169" s="18">
        <f>IF(NOT(ISNUMBER($A1169)),NA(),IF(COUNT(OFFSET(G1169,1,0,Settings!$B$12,1))&lt;Settings!$B$12,NA(),STDEV(OFFSET(G1169,1,0,Settings!$B$12,1))*SQRT(Settings!$B$13)))</f>
        <v/>
      </c>
      <c r="O1169" s="18">
        <f>IF(AND(ISNUMBER(E1169),ISNUMBER(N1169)),E1169-N1169,NA())</f>
        <v/>
      </c>
      <c r="P1169" s="17">
        <f>IF(NOT(ISNUMBER($A1169)),NA(),IF(OR($A1169&lt;MIN(KW_TP!$A$2:$A$2501),$A1169&gt;MAX(KW_TP!$A$2:$A$2501)),NA(),INDEX(KW_TP!$C$2:$C$2501,MATCH($A1169,KW_TP!$A$2:$A$2501,1))))</f>
        <v/>
      </c>
    </row>
    <row r="1170">
      <c r="A1170" s="15">
        <f>IF(ISNUMBER(BBG_Data!A1170),BBG_Data!A1170,"")</f>
        <v/>
      </c>
      <c r="B1170" s="16">
        <f>IF(AND(ISNUMBER($A1170),ISNUMBER(BBG_Data!B1170)),BBG_Data!B1170,NA())</f>
        <v/>
      </c>
      <c r="C1170" s="16">
        <f>IF(AND(ISNUMBER($A1170),ISNUMBER(BBG_Data!C1170)),BBG_Data!C1170,NA())</f>
        <v/>
      </c>
      <c r="D1170" s="17">
        <f>IF(AND(ISNUMBER($A1170),ISNUMBER(BBG_Data!D1170)),BBG_Data!D1170,NA())</f>
        <v/>
      </c>
      <c r="E1170" s="17">
        <f>IF(AND(ISNUMBER($A1170),ISNUMBER(BBG_Data!E1170)),BBG_Data!E1170,NA())</f>
        <v/>
      </c>
      <c r="F1170" s="18">
        <f>IF(AND(ISNUMBER(B1170),ISNUMBER(B1169)),(B1170-B1169)*100,"")</f>
        <v/>
      </c>
      <c r="G1170" s="18">
        <f>IF(AND(ISNUMBER(C1170),ISNUMBER(C1169)),(C1170-C1169)*100,"")</f>
        <v/>
      </c>
      <c r="H1170" s="18">
        <f>IF(OR(NOT(ISNUMBER($A1170)),ROW()-2&lt;Settings!$B$11),NA(),IF(COUNT(OFFSET(F1170,1-Settings!$B$11,0,Settings!$B$11,1))&lt;Settings!$B$11,NA(),STDEV(OFFSET(F1170,1-Settings!$B$11,0,Settings!$B$11,1))*SQRT(Settings!$B$13)))</f>
        <v/>
      </c>
      <c r="I1170" s="18">
        <f>IF(OR(NOT(ISNUMBER($A1170)),ROW()-2&lt;Settings!$B$12),NA(),IF(COUNT(OFFSET(F1170,1-Settings!$B$12,0,Settings!$B$12,1))&lt;Settings!$B$12,NA(),STDEV(OFFSET(F1170,1-Settings!$B$12,0,Settings!$B$12,1))*SQRT(Settings!$B$13)))</f>
        <v/>
      </c>
      <c r="J1170" s="18">
        <f>IF(OR(NOT(ISNUMBER($A1170)),ROW()-2&lt;Settings!$B$11),NA(),IF(COUNT(OFFSET(G1170,1-Settings!$B$11,0,Settings!$B$11,1))&lt;Settings!$B$11,NA(),STDEV(OFFSET(G1170,1-Settings!$B$11,0,Settings!$B$11,1))*SQRT(Settings!$B$13)))</f>
        <v/>
      </c>
      <c r="K1170" s="18">
        <f>IF(OR(NOT(ISNUMBER($A1170)),ROW()-2&lt;Settings!$B$12),NA(),IF(COUNT(OFFSET(G1170,1-Settings!$B$12,0,Settings!$B$12,1))&lt;Settings!$B$12,NA(),STDEV(OFFSET(G1170,1-Settings!$B$12,0,Settings!$B$12,1))*SQRT(Settings!$B$13)))</f>
        <v/>
      </c>
      <c r="L1170" s="18">
        <f>IF(AND(ISNUMBER(D1170),ISNUMBER(H1170)),D1170-H1170,NA())</f>
        <v/>
      </c>
      <c r="M1170" s="18">
        <f>IF(AND(ISNUMBER(E1170),ISNUMBER(K1170)),E1170-K1170,NA())</f>
        <v/>
      </c>
      <c r="N1170" s="18">
        <f>IF(NOT(ISNUMBER($A1170)),NA(),IF(COUNT(OFFSET(G1170,1,0,Settings!$B$12,1))&lt;Settings!$B$12,NA(),STDEV(OFFSET(G1170,1,0,Settings!$B$12,1))*SQRT(Settings!$B$13)))</f>
        <v/>
      </c>
      <c r="O1170" s="18">
        <f>IF(AND(ISNUMBER(E1170),ISNUMBER(N1170)),E1170-N1170,NA())</f>
        <v/>
      </c>
      <c r="P1170" s="17">
        <f>IF(NOT(ISNUMBER($A1170)),NA(),IF(OR($A1170&lt;MIN(KW_TP!$A$2:$A$2501),$A1170&gt;MAX(KW_TP!$A$2:$A$2501)),NA(),INDEX(KW_TP!$C$2:$C$2501,MATCH($A1170,KW_TP!$A$2:$A$2501,1))))</f>
        <v/>
      </c>
    </row>
    <row r="1171">
      <c r="A1171" s="15">
        <f>IF(ISNUMBER(BBG_Data!A1171),BBG_Data!A1171,"")</f>
        <v/>
      </c>
      <c r="B1171" s="16">
        <f>IF(AND(ISNUMBER($A1171),ISNUMBER(BBG_Data!B1171)),BBG_Data!B1171,NA())</f>
        <v/>
      </c>
      <c r="C1171" s="16">
        <f>IF(AND(ISNUMBER($A1171),ISNUMBER(BBG_Data!C1171)),BBG_Data!C1171,NA())</f>
        <v/>
      </c>
      <c r="D1171" s="17">
        <f>IF(AND(ISNUMBER($A1171),ISNUMBER(BBG_Data!D1171)),BBG_Data!D1171,NA())</f>
        <v/>
      </c>
      <c r="E1171" s="17">
        <f>IF(AND(ISNUMBER($A1171),ISNUMBER(BBG_Data!E1171)),BBG_Data!E1171,NA())</f>
        <v/>
      </c>
      <c r="F1171" s="18">
        <f>IF(AND(ISNUMBER(B1171),ISNUMBER(B1170)),(B1171-B1170)*100,"")</f>
        <v/>
      </c>
      <c r="G1171" s="18">
        <f>IF(AND(ISNUMBER(C1171),ISNUMBER(C1170)),(C1171-C1170)*100,"")</f>
        <v/>
      </c>
      <c r="H1171" s="18">
        <f>IF(OR(NOT(ISNUMBER($A1171)),ROW()-2&lt;Settings!$B$11),NA(),IF(COUNT(OFFSET(F1171,1-Settings!$B$11,0,Settings!$B$11,1))&lt;Settings!$B$11,NA(),STDEV(OFFSET(F1171,1-Settings!$B$11,0,Settings!$B$11,1))*SQRT(Settings!$B$13)))</f>
        <v/>
      </c>
      <c r="I1171" s="18">
        <f>IF(OR(NOT(ISNUMBER($A1171)),ROW()-2&lt;Settings!$B$12),NA(),IF(COUNT(OFFSET(F1171,1-Settings!$B$12,0,Settings!$B$12,1))&lt;Settings!$B$12,NA(),STDEV(OFFSET(F1171,1-Settings!$B$12,0,Settings!$B$12,1))*SQRT(Settings!$B$13)))</f>
        <v/>
      </c>
      <c r="J1171" s="18">
        <f>IF(OR(NOT(ISNUMBER($A1171)),ROW()-2&lt;Settings!$B$11),NA(),IF(COUNT(OFFSET(G1171,1-Settings!$B$11,0,Settings!$B$11,1))&lt;Settings!$B$11,NA(),STDEV(OFFSET(G1171,1-Settings!$B$11,0,Settings!$B$11,1))*SQRT(Settings!$B$13)))</f>
        <v/>
      </c>
      <c r="K1171" s="18">
        <f>IF(OR(NOT(ISNUMBER($A1171)),ROW()-2&lt;Settings!$B$12),NA(),IF(COUNT(OFFSET(G1171,1-Settings!$B$12,0,Settings!$B$12,1))&lt;Settings!$B$12,NA(),STDEV(OFFSET(G1171,1-Settings!$B$12,0,Settings!$B$12,1))*SQRT(Settings!$B$13)))</f>
        <v/>
      </c>
      <c r="L1171" s="18">
        <f>IF(AND(ISNUMBER(D1171),ISNUMBER(H1171)),D1171-H1171,NA())</f>
        <v/>
      </c>
      <c r="M1171" s="18">
        <f>IF(AND(ISNUMBER(E1171),ISNUMBER(K1171)),E1171-K1171,NA())</f>
        <v/>
      </c>
      <c r="N1171" s="18">
        <f>IF(NOT(ISNUMBER($A1171)),NA(),IF(COUNT(OFFSET(G1171,1,0,Settings!$B$12,1))&lt;Settings!$B$12,NA(),STDEV(OFFSET(G1171,1,0,Settings!$B$12,1))*SQRT(Settings!$B$13)))</f>
        <v/>
      </c>
      <c r="O1171" s="18">
        <f>IF(AND(ISNUMBER(E1171),ISNUMBER(N1171)),E1171-N1171,NA())</f>
        <v/>
      </c>
      <c r="P1171" s="17">
        <f>IF(NOT(ISNUMBER($A1171)),NA(),IF(OR($A1171&lt;MIN(KW_TP!$A$2:$A$2501),$A1171&gt;MAX(KW_TP!$A$2:$A$2501)),NA(),INDEX(KW_TP!$C$2:$C$2501,MATCH($A1171,KW_TP!$A$2:$A$2501,1))))</f>
        <v/>
      </c>
    </row>
    <row r="1172">
      <c r="A1172" s="15">
        <f>IF(ISNUMBER(BBG_Data!A1172),BBG_Data!A1172,"")</f>
        <v/>
      </c>
      <c r="B1172" s="16">
        <f>IF(AND(ISNUMBER($A1172),ISNUMBER(BBG_Data!B1172)),BBG_Data!B1172,NA())</f>
        <v/>
      </c>
      <c r="C1172" s="16">
        <f>IF(AND(ISNUMBER($A1172),ISNUMBER(BBG_Data!C1172)),BBG_Data!C1172,NA())</f>
        <v/>
      </c>
      <c r="D1172" s="17">
        <f>IF(AND(ISNUMBER($A1172),ISNUMBER(BBG_Data!D1172)),BBG_Data!D1172,NA())</f>
        <v/>
      </c>
      <c r="E1172" s="17">
        <f>IF(AND(ISNUMBER($A1172),ISNUMBER(BBG_Data!E1172)),BBG_Data!E1172,NA())</f>
        <v/>
      </c>
      <c r="F1172" s="18">
        <f>IF(AND(ISNUMBER(B1172),ISNUMBER(B1171)),(B1172-B1171)*100,"")</f>
        <v/>
      </c>
      <c r="G1172" s="18">
        <f>IF(AND(ISNUMBER(C1172),ISNUMBER(C1171)),(C1172-C1171)*100,"")</f>
        <v/>
      </c>
      <c r="H1172" s="18">
        <f>IF(OR(NOT(ISNUMBER($A1172)),ROW()-2&lt;Settings!$B$11),NA(),IF(COUNT(OFFSET(F1172,1-Settings!$B$11,0,Settings!$B$11,1))&lt;Settings!$B$11,NA(),STDEV(OFFSET(F1172,1-Settings!$B$11,0,Settings!$B$11,1))*SQRT(Settings!$B$13)))</f>
        <v/>
      </c>
      <c r="I1172" s="18">
        <f>IF(OR(NOT(ISNUMBER($A1172)),ROW()-2&lt;Settings!$B$12),NA(),IF(COUNT(OFFSET(F1172,1-Settings!$B$12,0,Settings!$B$12,1))&lt;Settings!$B$12,NA(),STDEV(OFFSET(F1172,1-Settings!$B$12,0,Settings!$B$12,1))*SQRT(Settings!$B$13)))</f>
        <v/>
      </c>
      <c r="J1172" s="18">
        <f>IF(OR(NOT(ISNUMBER($A1172)),ROW()-2&lt;Settings!$B$11),NA(),IF(COUNT(OFFSET(G1172,1-Settings!$B$11,0,Settings!$B$11,1))&lt;Settings!$B$11,NA(),STDEV(OFFSET(G1172,1-Settings!$B$11,0,Settings!$B$11,1))*SQRT(Settings!$B$13)))</f>
        <v/>
      </c>
      <c r="K1172" s="18">
        <f>IF(OR(NOT(ISNUMBER($A1172)),ROW()-2&lt;Settings!$B$12),NA(),IF(COUNT(OFFSET(G1172,1-Settings!$B$12,0,Settings!$B$12,1))&lt;Settings!$B$12,NA(),STDEV(OFFSET(G1172,1-Settings!$B$12,0,Settings!$B$12,1))*SQRT(Settings!$B$13)))</f>
        <v/>
      </c>
      <c r="L1172" s="18">
        <f>IF(AND(ISNUMBER(D1172),ISNUMBER(H1172)),D1172-H1172,NA())</f>
        <v/>
      </c>
      <c r="M1172" s="18">
        <f>IF(AND(ISNUMBER(E1172),ISNUMBER(K1172)),E1172-K1172,NA())</f>
        <v/>
      </c>
      <c r="N1172" s="18">
        <f>IF(NOT(ISNUMBER($A1172)),NA(),IF(COUNT(OFFSET(G1172,1,0,Settings!$B$12,1))&lt;Settings!$B$12,NA(),STDEV(OFFSET(G1172,1,0,Settings!$B$12,1))*SQRT(Settings!$B$13)))</f>
        <v/>
      </c>
      <c r="O1172" s="18">
        <f>IF(AND(ISNUMBER(E1172),ISNUMBER(N1172)),E1172-N1172,NA())</f>
        <v/>
      </c>
      <c r="P1172" s="17">
        <f>IF(NOT(ISNUMBER($A1172)),NA(),IF(OR($A1172&lt;MIN(KW_TP!$A$2:$A$2501),$A1172&gt;MAX(KW_TP!$A$2:$A$2501)),NA(),INDEX(KW_TP!$C$2:$C$2501,MATCH($A1172,KW_TP!$A$2:$A$2501,1))))</f>
        <v/>
      </c>
    </row>
    <row r="1173">
      <c r="A1173" s="15">
        <f>IF(ISNUMBER(BBG_Data!A1173),BBG_Data!A1173,"")</f>
        <v/>
      </c>
      <c r="B1173" s="16">
        <f>IF(AND(ISNUMBER($A1173),ISNUMBER(BBG_Data!B1173)),BBG_Data!B1173,NA())</f>
        <v/>
      </c>
      <c r="C1173" s="16">
        <f>IF(AND(ISNUMBER($A1173),ISNUMBER(BBG_Data!C1173)),BBG_Data!C1173,NA())</f>
        <v/>
      </c>
      <c r="D1173" s="17">
        <f>IF(AND(ISNUMBER($A1173),ISNUMBER(BBG_Data!D1173)),BBG_Data!D1173,NA())</f>
        <v/>
      </c>
      <c r="E1173" s="17">
        <f>IF(AND(ISNUMBER($A1173),ISNUMBER(BBG_Data!E1173)),BBG_Data!E1173,NA())</f>
        <v/>
      </c>
      <c r="F1173" s="18">
        <f>IF(AND(ISNUMBER(B1173),ISNUMBER(B1172)),(B1173-B1172)*100,"")</f>
        <v/>
      </c>
      <c r="G1173" s="18">
        <f>IF(AND(ISNUMBER(C1173),ISNUMBER(C1172)),(C1173-C1172)*100,"")</f>
        <v/>
      </c>
      <c r="H1173" s="18">
        <f>IF(OR(NOT(ISNUMBER($A1173)),ROW()-2&lt;Settings!$B$11),NA(),IF(COUNT(OFFSET(F1173,1-Settings!$B$11,0,Settings!$B$11,1))&lt;Settings!$B$11,NA(),STDEV(OFFSET(F1173,1-Settings!$B$11,0,Settings!$B$11,1))*SQRT(Settings!$B$13)))</f>
        <v/>
      </c>
      <c r="I1173" s="18">
        <f>IF(OR(NOT(ISNUMBER($A1173)),ROW()-2&lt;Settings!$B$12),NA(),IF(COUNT(OFFSET(F1173,1-Settings!$B$12,0,Settings!$B$12,1))&lt;Settings!$B$12,NA(),STDEV(OFFSET(F1173,1-Settings!$B$12,0,Settings!$B$12,1))*SQRT(Settings!$B$13)))</f>
        <v/>
      </c>
      <c r="J1173" s="18">
        <f>IF(OR(NOT(ISNUMBER($A1173)),ROW()-2&lt;Settings!$B$11),NA(),IF(COUNT(OFFSET(G1173,1-Settings!$B$11,0,Settings!$B$11,1))&lt;Settings!$B$11,NA(),STDEV(OFFSET(G1173,1-Settings!$B$11,0,Settings!$B$11,1))*SQRT(Settings!$B$13)))</f>
        <v/>
      </c>
      <c r="K1173" s="18">
        <f>IF(OR(NOT(ISNUMBER($A1173)),ROW()-2&lt;Settings!$B$12),NA(),IF(COUNT(OFFSET(G1173,1-Settings!$B$12,0,Settings!$B$12,1))&lt;Settings!$B$12,NA(),STDEV(OFFSET(G1173,1-Settings!$B$12,0,Settings!$B$12,1))*SQRT(Settings!$B$13)))</f>
        <v/>
      </c>
      <c r="L1173" s="18">
        <f>IF(AND(ISNUMBER(D1173),ISNUMBER(H1173)),D1173-H1173,NA())</f>
        <v/>
      </c>
      <c r="M1173" s="18">
        <f>IF(AND(ISNUMBER(E1173),ISNUMBER(K1173)),E1173-K1173,NA())</f>
        <v/>
      </c>
      <c r="N1173" s="18">
        <f>IF(NOT(ISNUMBER($A1173)),NA(),IF(COUNT(OFFSET(G1173,1,0,Settings!$B$12,1))&lt;Settings!$B$12,NA(),STDEV(OFFSET(G1173,1,0,Settings!$B$12,1))*SQRT(Settings!$B$13)))</f>
        <v/>
      </c>
      <c r="O1173" s="18">
        <f>IF(AND(ISNUMBER(E1173),ISNUMBER(N1173)),E1173-N1173,NA())</f>
        <v/>
      </c>
      <c r="P1173" s="17">
        <f>IF(NOT(ISNUMBER($A1173)),NA(),IF(OR($A1173&lt;MIN(KW_TP!$A$2:$A$2501),$A1173&gt;MAX(KW_TP!$A$2:$A$2501)),NA(),INDEX(KW_TP!$C$2:$C$2501,MATCH($A1173,KW_TP!$A$2:$A$2501,1))))</f>
        <v/>
      </c>
    </row>
    <row r="1174">
      <c r="A1174" s="15">
        <f>IF(ISNUMBER(BBG_Data!A1174),BBG_Data!A1174,"")</f>
        <v/>
      </c>
      <c r="B1174" s="16">
        <f>IF(AND(ISNUMBER($A1174),ISNUMBER(BBG_Data!B1174)),BBG_Data!B1174,NA())</f>
        <v/>
      </c>
      <c r="C1174" s="16">
        <f>IF(AND(ISNUMBER($A1174),ISNUMBER(BBG_Data!C1174)),BBG_Data!C1174,NA())</f>
        <v/>
      </c>
      <c r="D1174" s="17">
        <f>IF(AND(ISNUMBER($A1174),ISNUMBER(BBG_Data!D1174)),BBG_Data!D1174,NA())</f>
        <v/>
      </c>
      <c r="E1174" s="17">
        <f>IF(AND(ISNUMBER($A1174),ISNUMBER(BBG_Data!E1174)),BBG_Data!E1174,NA())</f>
        <v/>
      </c>
      <c r="F1174" s="18">
        <f>IF(AND(ISNUMBER(B1174),ISNUMBER(B1173)),(B1174-B1173)*100,"")</f>
        <v/>
      </c>
      <c r="G1174" s="18">
        <f>IF(AND(ISNUMBER(C1174),ISNUMBER(C1173)),(C1174-C1173)*100,"")</f>
        <v/>
      </c>
      <c r="H1174" s="18">
        <f>IF(OR(NOT(ISNUMBER($A1174)),ROW()-2&lt;Settings!$B$11),NA(),IF(COUNT(OFFSET(F1174,1-Settings!$B$11,0,Settings!$B$11,1))&lt;Settings!$B$11,NA(),STDEV(OFFSET(F1174,1-Settings!$B$11,0,Settings!$B$11,1))*SQRT(Settings!$B$13)))</f>
        <v/>
      </c>
      <c r="I1174" s="18">
        <f>IF(OR(NOT(ISNUMBER($A1174)),ROW()-2&lt;Settings!$B$12),NA(),IF(COUNT(OFFSET(F1174,1-Settings!$B$12,0,Settings!$B$12,1))&lt;Settings!$B$12,NA(),STDEV(OFFSET(F1174,1-Settings!$B$12,0,Settings!$B$12,1))*SQRT(Settings!$B$13)))</f>
        <v/>
      </c>
      <c r="J1174" s="18">
        <f>IF(OR(NOT(ISNUMBER($A1174)),ROW()-2&lt;Settings!$B$11),NA(),IF(COUNT(OFFSET(G1174,1-Settings!$B$11,0,Settings!$B$11,1))&lt;Settings!$B$11,NA(),STDEV(OFFSET(G1174,1-Settings!$B$11,0,Settings!$B$11,1))*SQRT(Settings!$B$13)))</f>
        <v/>
      </c>
      <c r="K1174" s="18">
        <f>IF(OR(NOT(ISNUMBER($A1174)),ROW()-2&lt;Settings!$B$12),NA(),IF(COUNT(OFFSET(G1174,1-Settings!$B$12,0,Settings!$B$12,1))&lt;Settings!$B$12,NA(),STDEV(OFFSET(G1174,1-Settings!$B$12,0,Settings!$B$12,1))*SQRT(Settings!$B$13)))</f>
        <v/>
      </c>
      <c r="L1174" s="18">
        <f>IF(AND(ISNUMBER(D1174),ISNUMBER(H1174)),D1174-H1174,NA())</f>
        <v/>
      </c>
      <c r="M1174" s="18">
        <f>IF(AND(ISNUMBER(E1174),ISNUMBER(K1174)),E1174-K1174,NA())</f>
        <v/>
      </c>
      <c r="N1174" s="18">
        <f>IF(NOT(ISNUMBER($A1174)),NA(),IF(COUNT(OFFSET(G1174,1,0,Settings!$B$12,1))&lt;Settings!$B$12,NA(),STDEV(OFFSET(G1174,1,0,Settings!$B$12,1))*SQRT(Settings!$B$13)))</f>
        <v/>
      </c>
      <c r="O1174" s="18">
        <f>IF(AND(ISNUMBER(E1174),ISNUMBER(N1174)),E1174-N1174,NA())</f>
        <v/>
      </c>
      <c r="P1174" s="17">
        <f>IF(NOT(ISNUMBER($A1174)),NA(),IF(OR($A1174&lt;MIN(KW_TP!$A$2:$A$2501),$A1174&gt;MAX(KW_TP!$A$2:$A$2501)),NA(),INDEX(KW_TP!$C$2:$C$2501,MATCH($A1174,KW_TP!$A$2:$A$2501,1))))</f>
        <v/>
      </c>
    </row>
    <row r="1175">
      <c r="A1175" s="15">
        <f>IF(ISNUMBER(BBG_Data!A1175),BBG_Data!A1175,"")</f>
        <v/>
      </c>
      <c r="B1175" s="16">
        <f>IF(AND(ISNUMBER($A1175),ISNUMBER(BBG_Data!B1175)),BBG_Data!B1175,NA())</f>
        <v/>
      </c>
      <c r="C1175" s="16">
        <f>IF(AND(ISNUMBER($A1175),ISNUMBER(BBG_Data!C1175)),BBG_Data!C1175,NA())</f>
        <v/>
      </c>
      <c r="D1175" s="17">
        <f>IF(AND(ISNUMBER($A1175),ISNUMBER(BBG_Data!D1175)),BBG_Data!D1175,NA())</f>
        <v/>
      </c>
      <c r="E1175" s="17">
        <f>IF(AND(ISNUMBER($A1175),ISNUMBER(BBG_Data!E1175)),BBG_Data!E1175,NA())</f>
        <v/>
      </c>
      <c r="F1175" s="18">
        <f>IF(AND(ISNUMBER(B1175),ISNUMBER(B1174)),(B1175-B1174)*100,"")</f>
        <v/>
      </c>
      <c r="G1175" s="18">
        <f>IF(AND(ISNUMBER(C1175),ISNUMBER(C1174)),(C1175-C1174)*100,"")</f>
        <v/>
      </c>
      <c r="H1175" s="18">
        <f>IF(OR(NOT(ISNUMBER($A1175)),ROW()-2&lt;Settings!$B$11),NA(),IF(COUNT(OFFSET(F1175,1-Settings!$B$11,0,Settings!$B$11,1))&lt;Settings!$B$11,NA(),STDEV(OFFSET(F1175,1-Settings!$B$11,0,Settings!$B$11,1))*SQRT(Settings!$B$13)))</f>
        <v/>
      </c>
      <c r="I1175" s="18">
        <f>IF(OR(NOT(ISNUMBER($A1175)),ROW()-2&lt;Settings!$B$12),NA(),IF(COUNT(OFFSET(F1175,1-Settings!$B$12,0,Settings!$B$12,1))&lt;Settings!$B$12,NA(),STDEV(OFFSET(F1175,1-Settings!$B$12,0,Settings!$B$12,1))*SQRT(Settings!$B$13)))</f>
        <v/>
      </c>
      <c r="J1175" s="18">
        <f>IF(OR(NOT(ISNUMBER($A1175)),ROW()-2&lt;Settings!$B$11),NA(),IF(COUNT(OFFSET(G1175,1-Settings!$B$11,0,Settings!$B$11,1))&lt;Settings!$B$11,NA(),STDEV(OFFSET(G1175,1-Settings!$B$11,0,Settings!$B$11,1))*SQRT(Settings!$B$13)))</f>
        <v/>
      </c>
      <c r="K1175" s="18">
        <f>IF(OR(NOT(ISNUMBER($A1175)),ROW()-2&lt;Settings!$B$12),NA(),IF(COUNT(OFFSET(G1175,1-Settings!$B$12,0,Settings!$B$12,1))&lt;Settings!$B$12,NA(),STDEV(OFFSET(G1175,1-Settings!$B$12,0,Settings!$B$12,1))*SQRT(Settings!$B$13)))</f>
        <v/>
      </c>
      <c r="L1175" s="18">
        <f>IF(AND(ISNUMBER(D1175),ISNUMBER(H1175)),D1175-H1175,NA())</f>
        <v/>
      </c>
      <c r="M1175" s="18">
        <f>IF(AND(ISNUMBER(E1175),ISNUMBER(K1175)),E1175-K1175,NA())</f>
        <v/>
      </c>
      <c r="N1175" s="18">
        <f>IF(NOT(ISNUMBER($A1175)),NA(),IF(COUNT(OFFSET(G1175,1,0,Settings!$B$12,1))&lt;Settings!$B$12,NA(),STDEV(OFFSET(G1175,1,0,Settings!$B$12,1))*SQRT(Settings!$B$13)))</f>
        <v/>
      </c>
      <c r="O1175" s="18">
        <f>IF(AND(ISNUMBER(E1175),ISNUMBER(N1175)),E1175-N1175,NA())</f>
        <v/>
      </c>
      <c r="P1175" s="17">
        <f>IF(NOT(ISNUMBER($A1175)),NA(),IF(OR($A1175&lt;MIN(KW_TP!$A$2:$A$2501),$A1175&gt;MAX(KW_TP!$A$2:$A$2501)),NA(),INDEX(KW_TP!$C$2:$C$2501,MATCH($A1175,KW_TP!$A$2:$A$2501,1))))</f>
        <v/>
      </c>
    </row>
    <row r="1176">
      <c r="A1176" s="15">
        <f>IF(ISNUMBER(BBG_Data!A1176),BBG_Data!A1176,"")</f>
        <v/>
      </c>
      <c r="B1176" s="16">
        <f>IF(AND(ISNUMBER($A1176),ISNUMBER(BBG_Data!B1176)),BBG_Data!B1176,NA())</f>
        <v/>
      </c>
      <c r="C1176" s="16">
        <f>IF(AND(ISNUMBER($A1176),ISNUMBER(BBG_Data!C1176)),BBG_Data!C1176,NA())</f>
        <v/>
      </c>
      <c r="D1176" s="17">
        <f>IF(AND(ISNUMBER($A1176),ISNUMBER(BBG_Data!D1176)),BBG_Data!D1176,NA())</f>
        <v/>
      </c>
      <c r="E1176" s="17">
        <f>IF(AND(ISNUMBER($A1176),ISNUMBER(BBG_Data!E1176)),BBG_Data!E1176,NA())</f>
        <v/>
      </c>
      <c r="F1176" s="18">
        <f>IF(AND(ISNUMBER(B1176),ISNUMBER(B1175)),(B1176-B1175)*100,"")</f>
        <v/>
      </c>
      <c r="G1176" s="18">
        <f>IF(AND(ISNUMBER(C1176),ISNUMBER(C1175)),(C1176-C1175)*100,"")</f>
        <v/>
      </c>
      <c r="H1176" s="18">
        <f>IF(OR(NOT(ISNUMBER($A1176)),ROW()-2&lt;Settings!$B$11),NA(),IF(COUNT(OFFSET(F1176,1-Settings!$B$11,0,Settings!$B$11,1))&lt;Settings!$B$11,NA(),STDEV(OFFSET(F1176,1-Settings!$B$11,0,Settings!$B$11,1))*SQRT(Settings!$B$13)))</f>
        <v/>
      </c>
      <c r="I1176" s="18">
        <f>IF(OR(NOT(ISNUMBER($A1176)),ROW()-2&lt;Settings!$B$12),NA(),IF(COUNT(OFFSET(F1176,1-Settings!$B$12,0,Settings!$B$12,1))&lt;Settings!$B$12,NA(),STDEV(OFFSET(F1176,1-Settings!$B$12,0,Settings!$B$12,1))*SQRT(Settings!$B$13)))</f>
        <v/>
      </c>
      <c r="J1176" s="18">
        <f>IF(OR(NOT(ISNUMBER($A1176)),ROW()-2&lt;Settings!$B$11),NA(),IF(COUNT(OFFSET(G1176,1-Settings!$B$11,0,Settings!$B$11,1))&lt;Settings!$B$11,NA(),STDEV(OFFSET(G1176,1-Settings!$B$11,0,Settings!$B$11,1))*SQRT(Settings!$B$13)))</f>
        <v/>
      </c>
      <c r="K1176" s="18">
        <f>IF(OR(NOT(ISNUMBER($A1176)),ROW()-2&lt;Settings!$B$12),NA(),IF(COUNT(OFFSET(G1176,1-Settings!$B$12,0,Settings!$B$12,1))&lt;Settings!$B$12,NA(),STDEV(OFFSET(G1176,1-Settings!$B$12,0,Settings!$B$12,1))*SQRT(Settings!$B$13)))</f>
        <v/>
      </c>
      <c r="L1176" s="18">
        <f>IF(AND(ISNUMBER(D1176),ISNUMBER(H1176)),D1176-H1176,NA())</f>
        <v/>
      </c>
      <c r="M1176" s="18">
        <f>IF(AND(ISNUMBER(E1176),ISNUMBER(K1176)),E1176-K1176,NA())</f>
        <v/>
      </c>
      <c r="N1176" s="18">
        <f>IF(NOT(ISNUMBER($A1176)),NA(),IF(COUNT(OFFSET(G1176,1,0,Settings!$B$12,1))&lt;Settings!$B$12,NA(),STDEV(OFFSET(G1176,1,0,Settings!$B$12,1))*SQRT(Settings!$B$13)))</f>
        <v/>
      </c>
      <c r="O1176" s="18">
        <f>IF(AND(ISNUMBER(E1176),ISNUMBER(N1176)),E1176-N1176,NA())</f>
        <v/>
      </c>
      <c r="P1176" s="17">
        <f>IF(NOT(ISNUMBER($A1176)),NA(),IF(OR($A1176&lt;MIN(KW_TP!$A$2:$A$2501),$A1176&gt;MAX(KW_TP!$A$2:$A$2501)),NA(),INDEX(KW_TP!$C$2:$C$2501,MATCH($A1176,KW_TP!$A$2:$A$2501,1))))</f>
        <v/>
      </c>
    </row>
    <row r="1177">
      <c r="A1177" s="15">
        <f>IF(ISNUMBER(BBG_Data!A1177),BBG_Data!A1177,"")</f>
        <v/>
      </c>
      <c r="B1177" s="16">
        <f>IF(AND(ISNUMBER($A1177),ISNUMBER(BBG_Data!B1177)),BBG_Data!B1177,NA())</f>
        <v/>
      </c>
      <c r="C1177" s="16">
        <f>IF(AND(ISNUMBER($A1177),ISNUMBER(BBG_Data!C1177)),BBG_Data!C1177,NA())</f>
        <v/>
      </c>
      <c r="D1177" s="17">
        <f>IF(AND(ISNUMBER($A1177),ISNUMBER(BBG_Data!D1177)),BBG_Data!D1177,NA())</f>
        <v/>
      </c>
      <c r="E1177" s="17">
        <f>IF(AND(ISNUMBER($A1177),ISNUMBER(BBG_Data!E1177)),BBG_Data!E1177,NA())</f>
        <v/>
      </c>
      <c r="F1177" s="18">
        <f>IF(AND(ISNUMBER(B1177),ISNUMBER(B1176)),(B1177-B1176)*100,"")</f>
        <v/>
      </c>
      <c r="G1177" s="18">
        <f>IF(AND(ISNUMBER(C1177),ISNUMBER(C1176)),(C1177-C1176)*100,"")</f>
        <v/>
      </c>
      <c r="H1177" s="18">
        <f>IF(OR(NOT(ISNUMBER($A1177)),ROW()-2&lt;Settings!$B$11),NA(),IF(COUNT(OFFSET(F1177,1-Settings!$B$11,0,Settings!$B$11,1))&lt;Settings!$B$11,NA(),STDEV(OFFSET(F1177,1-Settings!$B$11,0,Settings!$B$11,1))*SQRT(Settings!$B$13)))</f>
        <v/>
      </c>
      <c r="I1177" s="18">
        <f>IF(OR(NOT(ISNUMBER($A1177)),ROW()-2&lt;Settings!$B$12),NA(),IF(COUNT(OFFSET(F1177,1-Settings!$B$12,0,Settings!$B$12,1))&lt;Settings!$B$12,NA(),STDEV(OFFSET(F1177,1-Settings!$B$12,0,Settings!$B$12,1))*SQRT(Settings!$B$13)))</f>
        <v/>
      </c>
      <c r="J1177" s="18">
        <f>IF(OR(NOT(ISNUMBER($A1177)),ROW()-2&lt;Settings!$B$11),NA(),IF(COUNT(OFFSET(G1177,1-Settings!$B$11,0,Settings!$B$11,1))&lt;Settings!$B$11,NA(),STDEV(OFFSET(G1177,1-Settings!$B$11,0,Settings!$B$11,1))*SQRT(Settings!$B$13)))</f>
        <v/>
      </c>
      <c r="K1177" s="18">
        <f>IF(OR(NOT(ISNUMBER($A1177)),ROW()-2&lt;Settings!$B$12),NA(),IF(COUNT(OFFSET(G1177,1-Settings!$B$12,0,Settings!$B$12,1))&lt;Settings!$B$12,NA(),STDEV(OFFSET(G1177,1-Settings!$B$12,0,Settings!$B$12,1))*SQRT(Settings!$B$13)))</f>
        <v/>
      </c>
      <c r="L1177" s="18">
        <f>IF(AND(ISNUMBER(D1177),ISNUMBER(H1177)),D1177-H1177,NA())</f>
        <v/>
      </c>
      <c r="M1177" s="18">
        <f>IF(AND(ISNUMBER(E1177),ISNUMBER(K1177)),E1177-K1177,NA())</f>
        <v/>
      </c>
      <c r="N1177" s="18">
        <f>IF(NOT(ISNUMBER($A1177)),NA(),IF(COUNT(OFFSET(G1177,1,0,Settings!$B$12,1))&lt;Settings!$B$12,NA(),STDEV(OFFSET(G1177,1,0,Settings!$B$12,1))*SQRT(Settings!$B$13)))</f>
        <v/>
      </c>
      <c r="O1177" s="18">
        <f>IF(AND(ISNUMBER(E1177),ISNUMBER(N1177)),E1177-N1177,NA())</f>
        <v/>
      </c>
      <c r="P1177" s="17">
        <f>IF(NOT(ISNUMBER($A1177)),NA(),IF(OR($A1177&lt;MIN(KW_TP!$A$2:$A$2501),$A1177&gt;MAX(KW_TP!$A$2:$A$2501)),NA(),INDEX(KW_TP!$C$2:$C$2501,MATCH($A1177,KW_TP!$A$2:$A$2501,1))))</f>
        <v/>
      </c>
    </row>
    <row r="1178">
      <c r="A1178" s="15">
        <f>IF(ISNUMBER(BBG_Data!A1178),BBG_Data!A1178,"")</f>
        <v/>
      </c>
      <c r="B1178" s="16">
        <f>IF(AND(ISNUMBER($A1178),ISNUMBER(BBG_Data!B1178)),BBG_Data!B1178,NA())</f>
        <v/>
      </c>
      <c r="C1178" s="16">
        <f>IF(AND(ISNUMBER($A1178),ISNUMBER(BBG_Data!C1178)),BBG_Data!C1178,NA())</f>
        <v/>
      </c>
      <c r="D1178" s="17">
        <f>IF(AND(ISNUMBER($A1178),ISNUMBER(BBG_Data!D1178)),BBG_Data!D1178,NA())</f>
        <v/>
      </c>
      <c r="E1178" s="17">
        <f>IF(AND(ISNUMBER($A1178),ISNUMBER(BBG_Data!E1178)),BBG_Data!E1178,NA())</f>
        <v/>
      </c>
      <c r="F1178" s="18">
        <f>IF(AND(ISNUMBER(B1178),ISNUMBER(B1177)),(B1178-B1177)*100,"")</f>
        <v/>
      </c>
      <c r="G1178" s="18">
        <f>IF(AND(ISNUMBER(C1178),ISNUMBER(C1177)),(C1178-C1177)*100,"")</f>
        <v/>
      </c>
      <c r="H1178" s="18">
        <f>IF(OR(NOT(ISNUMBER($A1178)),ROW()-2&lt;Settings!$B$11),NA(),IF(COUNT(OFFSET(F1178,1-Settings!$B$11,0,Settings!$B$11,1))&lt;Settings!$B$11,NA(),STDEV(OFFSET(F1178,1-Settings!$B$11,0,Settings!$B$11,1))*SQRT(Settings!$B$13)))</f>
        <v/>
      </c>
      <c r="I1178" s="18">
        <f>IF(OR(NOT(ISNUMBER($A1178)),ROW()-2&lt;Settings!$B$12),NA(),IF(COUNT(OFFSET(F1178,1-Settings!$B$12,0,Settings!$B$12,1))&lt;Settings!$B$12,NA(),STDEV(OFFSET(F1178,1-Settings!$B$12,0,Settings!$B$12,1))*SQRT(Settings!$B$13)))</f>
        <v/>
      </c>
      <c r="J1178" s="18">
        <f>IF(OR(NOT(ISNUMBER($A1178)),ROW()-2&lt;Settings!$B$11),NA(),IF(COUNT(OFFSET(G1178,1-Settings!$B$11,0,Settings!$B$11,1))&lt;Settings!$B$11,NA(),STDEV(OFFSET(G1178,1-Settings!$B$11,0,Settings!$B$11,1))*SQRT(Settings!$B$13)))</f>
        <v/>
      </c>
      <c r="K1178" s="18">
        <f>IF(OR(NOT(ISNUMBER($A1178)),ROW()-2&lt;Settings!$B$12),NA(),IF(COUNT(OFFSET(G1178,1-Settings!$B$12,0,Settings!$B$12,1))&lt;Settings!$B$12,NA(),STDEV(OFFSET(G1178,1-Settings!$B$12,0,Settings!$B$12,1))*SQRT(Settings!$B$13)))</f>
        <v/>
      </c>
      <c r="L1178" s="18">
        <f>IF(AND(ISNUMBER(D1178),ISNUMBER(H1178)),D1178-H1178,NA())</f>
        <v/>
      </c>
      <c r="M1178" s="18">
        <f>IF(AND(ISNUMBER(E1178),ISNUMBER(K1178)),E1178-K1178,NA())</f>
        <v/>
      </c>
      <c r="N1178" s="18">
        <f>IF(NOT(ISNUMBER($A1178)),NA(),IF(COUNT(OFFSET(G1178,1,0,Settings!$B$12,1))&lt;Settings!$B$12,NA(),STDEV(OFFSET(G1178,1,0,Settings!$B$12,1))*SQRT(Settings!$B$13)))</f>
        <v/>
      </c>
      <c r="O1178" s="18">
        <f>IF(AND(ISNUMBER(E1178),ISNUMBER(N1178)),E1178-N1178,NA())</f>
        <v/>
      </c>
      <c r="P1178" s="17">
        <f>IF(NOT(ISNUMBER($A1178)),NA(),IF(OR($A1178&lt;MIN(KW_TP!$A$2:$A$2501),$A1178&gt;MAX(KW_TP!$A$2:$A$2501)),NA(),INDEX(KW_TP!$C$2:$C$2501,MATCH($A1178,KW_TP!$A$2:$A$2501,1))))</f>
        <v/>
      </c>
    </row>
    <row r="1179">
      <c r="A1179" s="15">
        <f>IF(ISNUMBER(BBG_Data!A1179),BBG_Data!A1179,"")</f>
        <v/>
      </c>
      <c r="B1179" s="16">
        <f>IF(AND(ISNUMBER($A1179),ISNUMBER(BBG_Data!B1179)),BBG_Data!B1179,NA())</f>
        <v/>
      </c>
      <c r="C1179" s="16">
        <f>IF(AND(ISNUMBER($A1179),ISNUMBER(BBG_Data!C1179)),BBG_Data!C1179,NA())</f>
        <v/>
      </c>
      <c r="D1179" s="17">
        <f>IF(AND(ISNUMBER($A1179),ISNUMBER(BBG_Data!D1179)),BBG_Data!D1179,NA())</f>
        <v/>
      </c>
      <c r="E1179" s="17">
        <f>IF(AND(ISNUMBER($A1179),ISNUMBER(BBG_Data!E1179)),BBG_Data!E1179,NA())</f>
        <v/>
      </c>
      <c r="F1179" s="18">
        <f>IF(AND(ISNUMBER(B1179),ISNUMBER(B1178)),(B1179-B1178)*100,"")</f>
        <v/>
      </c>
      <c r="G1179" s="18">
        <f>IF(AND(ISNUMBER(C1179),ISNUMBER(C1178)),(C1179-C1178)*100,"")</f>
        <v/>
      </c>
      <c r="H1179" s="18">
        <f>IF(OR(NOT(ISNUMBER($A1179)),ROW()-2&lt;Settings!$B$11),NA(),IF(COUNT(OFFSET(F1179,1-Settings!$B$11,0,Settings!$B$11,1))&lt;Settings!$B$11,NA(),STDEV(OFFSET(F1179,1-Settings!$B$11,0,Settings!$B$11,1))*SQRT(Settings!$B$13)))</f>
        <v/>
      </c>
      <c r="I1179" s="18">
        <f>IF(OR(NOT(ISNUMBER($A1179)),ROW()-2&lt;Settings!$B$12),NA(),IF(COUNT(OFFSET(F1179,1-Settings!$B$12,0,Settings!$B$12,1))&lt;Settings!$B$12,NA(),STDEV(OFFSET(F1179,1-Settings!$B$12,0,Settings!$B$12,1))*SQRT(Settings!$B$13)))</f>
        <v/>
      </c>
      <c r="J1179" s="18">
        <f>IF(OR(NOT(ISNUMBER($A1179)),ROW()-2&lt;Settings!$B$11),NA(),IF(COUNT(OFFSET(G1179,1-Settings!$B$11,0,Settings!$B$11,1))&lt;Settings!$B$11,NA(),STDEV(OFFSET(G1179,1-Settings!$B$11,0,Settings!$B$11,1))*SQRT(Settings!$B$13)))</f>
        <v/>
      </c>
      <c r="K1179" s="18">
        <f>IF(OR(NOT(ISNUMBER($A1179)),ROW()-2&lt;Settings!$B$12),NA(),IF(COUNT(OFFSET(G1179,1-Settings!$B$12,0,Settings!$B$12,1))&lt;Settings!$B$12,NA(),STDEV(OFFSET(G1179,1-Settings!$B$12,0,Settings!$B$12,1))*SQRT(Settings!$B$13)))</f>
        <v/>
      </c>
      <c r="L1179" s="18">
        <f>IF(AND(ISNUMBER(D1179),ISNUMBER(H1179)),D1179-H1179,NA())</f>
        <v/>
      </c>
      <c r="M1179" s="18">
        <f>IF(AND(ISNUMBER(E1179),ISNUMBER(K1179)),E1179-K1179,NA())</f>
        <v/>
      </c>
      <c r="N1179" s="18">
        <f>IF(NOT(ISNUMBER($A1179)),NA(),IF(COUNT(OFFSET(G1179,1,0,Settings!$B$12,1))&lt;Settings!$B$12,NA(),STDEV(OFFSET(G1179,1,0,Settings!$B$12,1))*SQRT(Settings!$B$13)))</f>
        <v/>
      </c>
      <c r="O1179" s="18">
        <f>IF(AND(ISNUMBER(E1179),ISNUMBER(N1179)),E1179-N1179,NA())</f>
        <v/>
      </c>
      <c r="P1179" s="17">
        <f>IF(NOT(ISNUMBER($A1179)),NA(),IF(OR($A1179&lt;MIN(KW_TP!$A$2:$A$2501),$A1179&gt;MAX(KW_TP!$A$2:$A$2501)),NA(),INDEX(KW_TP!$C$2:$C$2501,MATCH($A1179,KW_TP!$A$2:$A$2501,1))))</f>
        <v/>
      </c>
    </row>
    <row r="1180">
      <c r="A1180" s="15">
        <f>IF(ISNUMBER(BBG_Data!A1180),BBG_Data!A1180,"")</f>
        <v/>
      </c>
      <c r="B1180" s="16">
        <f>IF(AND(ISNUMBER($A1180),ISNUMBER(BBG_Data!B1180)),BBG_Data!B1180,NA())</f>
        <v/>
      </c>
      <c r="C1180" s="16">
        <f>IF(AND(ISNUMBER($A1180),ISNUMBER(BBG_Data!C1180)),BBG_Data!C1180,NA())</f>
        <v/>
      </c>
      <c r="D1180" s="17">
        <f>IF(AND(ISNUMBER($A1180),ISNUMBER(BBG_Data!D1180)),BBG_Data!D1180,NA())</f>
        <v/>
      </c>
      <c r="E1180" s="17">
        <f>IF(AND(ISNUMBER($A1180),ISNUMBER(BBG_Data!E1180)),BBG_Data!E1180,NA())</f>
        <v/>
      </c>
      <c r="F1180" s="18">
        <f>IF(AND(ISNUMBER(B1180),ISNUMBER(B1179)),(B1180-B1179)*100,"")</f>
        <v/>
      </c>
      <c r="G1180" s="18">
        <f>IF(AND(ISNUMBER(C1180),ISNUMBER(C1179)),(C1180-C1179)*100,"")</f>
        <v/>
      </c>
      <c r="H1180" s="18">
        <f>IF(OR(NOT(ISNUMBER($A1180)),ROW()-2&lt;Settings!$B$11),NA(),IF(COUNT(OFFSET(F1180,1-Settings!$B$11,0,Settings!$B$11,1))&lt;Settings!$B$11,NA(),STDEV(OFFSET(F1180,1-Settings!$B$11,0,Settings!$B$11,1))*SQRT(Settings!$B$13)))</f>
        <v/>
      </c>
      <c r="I1180" s="18">
        <f>IF(OR(NOT(ISNUMBER($A1180)),ROW()-2&lt;Settings!$B$12),NA(),IF(COUNT(OFFSET(F1180,1-Settings!$B$12,0,Settings!$B$12,1))&lt;Settings!$B$12,NA(),STDEV(OFFSET(F1180,1-Settings!$B$12,0,Settings!$B$12,1))*SQRT(Settings!$B$13)))</f>
        <v/>
      </c>
      <c r="J1180" s="18">
        <f>IF(OR(NOT(ISNUMBER($A1180)),ROW()-2&lt;Settings!$B$11),NA(),IF(COUNT(OFFSET(G1180,1-Settings!$B$11,0,Settings!$B$11,1))&lt;Settings!$B$11,NA(),STDEV(OFFSET(G1180,1-Settings!$B$11,0,Settings!$B$11,1))*SQRT(Settings!$B$13)))</f>
        <v/>
      </c>
      <c r="K1180" s="18">
        <f>IF(OR(NOT(ISNUMBER($A1180)),ROW()-2&lt;Settings!$B$12),NA(),IF(COUNT(OFFSET(G1180,1-Settings!$B$12,0,Settings!$B$12,1))&lt;Settings!$B$12,NA(),STDEV(OFFSET(G1180,1-Settings!$B$12,0,Settings!$B$12,1))*SQRT(Settings!$B$13)))</f>
        <v/>
      </c>
      <c r="L1180" s="18">
        <f>IF(AND(ISNUMBER(D1180),ISNUMBER(H1180)),D1180-H1180,NA())</f>
        <v/>
      </c>
      <c r="M1180" s="18">
        <f>IF(AND(ISNUMBER(E1180),ISNUMBER(K1180)),E1180-K1180,NA())</f>
        <v/>
      </c>
      <c r="N1180" s="18">
        <f>IF(NOT(ISNUMBER($A1180)),NA(),IF(COUNT(OFFSET(G1180,1,0,Settings!$B$12,1))&lt;Settings!$B$12,NA(),STDEV(OFFSET(G1180,1,0,Settings!$B$12,1))*SQRT(Settings!$B$13)))</f>
        <v/>
      </c>
      <c r="O1180" s="18">
        <f>IF(AND(ISNUMBER(E1180),ISNUMBER(N1180)),E1180-N1180,NA())</f>
        <v/>
      </c>
      <c r="P1180" s="17">
        <f>IF(NOT(ISNUMBER($A1180)),NA(),IF(OR($A1180&lt;MIN(KW_TP!$A$2:$A$2501),$A1180&gt;MAX(KW_TP!$A$2:$A$2501)),NA(),INDEX(KW_TP!$C$2:$C$2501,MATCH($A1180,KW_TP!$A$2:$A$2501,1))))</f>
        <v/>
      </c>
    </row>
    <row r="1181">
      <c r="A1181" s="15">
        <f>IF(ISNUMBER(BBG_Data!A1181),BBG_Data!A1181,"")</f>
        <v/>
      </c>
      <c r="B1181" s="16">
        <f>IF(AND(ISNUMBER($A1181),ISNUMBER(BBG_Data!B1181)),BBG_Data!B1181,NA())</f>
        <v/>
      </c>
      <c r="C1181" s="16">
        <f>IF(AND(ISNUMBER($A1181),ISNUMBER(BBG_Data!C1181)),BBG_Data!C1181,NA())</f>
        <v/>
      </c>
      <c r="D1181" s="17">
        <f>IF(AND(ISNUMBER($A1181),ISNUMBER(BBG_Data!D1181)),BBG_Data!D1181,NA())</f>
        <v/>
      </c>
      <c r="E1181" s="17">
        <f>IF(AND(ISNUMBER($A1181),ISNUMBER(BBG_Data!E1181)),BBG_Data!E1181,NA())</f>
        <v/>
      </c>
      <c r="F1181" s="18">
        <f>IF(AND(ISNUMBER(B1181),ISNUMBER(B1180)),(B1181-B1180)*100,"")</f>
        <v/>
      </c>
      <c r="G1181" s="18">
        <f>IF(AND(ISNUMBER(C1181),ISNUMBER(C1180)),(C1181-C1180)*100,"")</f>
        <v/>
      </c>
      <c r="H1181" s="18">
        <f>IF(OR(NOT(ISNUMBER($A1181)),ROW()-2&lt;Settings!$B$11),NA(),IF(COUNT(OFFSET(F1181,1-Settings!$B$11,0,Settings!$B$11,1))&lt;Settings!$B$11,NA(),STDEV(OFFSET(F1181,1-Settings!$B$11,0,Settings!$B$11,1))*SQRT(Settings!$B$13)))</f>
        <v/>
      </c>
      <c r="I1181" s="18">
        <f>IF(OR(NOT(ISNUMBER($A1181)),ROW()-2&lt;Settings!$B$12),NA(),IF(COUNT(OFFSET(F1181,1-Settings!$B$12,0,Settings!$B$12,1))&lt;Settings!$B$12,NA(),STDEV(OFFSET(F1181,1-Settings!$B$12,0,Settings!$B$12,1))*SQRT(Settings!$B$13)))</f>
        <v/>
      </c>
      <c r="J1181" s="18">
        <f>IF(OR(NOT(ISNUMBER($A1181)),ROW()-2&lt;Settings!$B$11),NA(),IF(COUNT(OFFSET(G1181,1-Settings!$B$11,0,Settings!$B$11,1))&lt;Settings!$B$11,NA(),STDEV(OFFSET(G1181,1-Settings!$B$11,0,Settings!$B$11,1))*SQRT(Settings!$B$13)))</f>
        <v/>
      </c>
      <c r="K1181" s="18">
        <f>IF(OR(NOT(ISNUMBER($A1181)),ROW()-2&lt;Settings!$B$12),NA(),IF(COUNT(OFFSET(G1181,1-Settings!$B$12,0,Settings!$B$12,1))&lt;Settings!$B$12,NA(),STDEV(OFFSET(G1181,1-Settings!$B$12,0,Settings!$B$12,1))*SQRT(Settings!$B$13)))</f>
        <v/>
      </c>
      <c r="L1181" s="18">
        <f>IF(AND(ISNUMBER(D1181),ISNUMBER(H1181)),D1181-H1181,NA())</f>
        <v/>
      </c>
      <c r="M1181" s="18">
        <f>IF(AND(ISNUMBER(E1181),ISNUMBER(K1181)),E1181-K1181,NA())</f>
        <v/>
      </c>
      <c r="N1181" s="18">
        <f>IF(NOT(ISNUMBER($A1181)),NA(),IF(COUNT(OFFSET(G1181,1,0,Settings!$B$12,1))&lt;Settings!$B$12,NA(),STDEV(OFFSET(G1181,1,0,Settings!$B$12,1))*SQRT(Settings!$B$13)))</f>
        <v/>
      </c>
      <c r="O1181" s="18">
        <f>IF(AND(ISNUMBER(E1181),ISNUMBER(N1181)),E1181-N1181,NA())</f>
        <v/>
      </c>
      <c r="P1181" s="17">
        <f>IF(NOT(ISNUMBER($A1181)),NA(),IF(OR($A1181&lt;MIN(KW_TP!$A$2:$A$2501),$A1181&gt;MAX(KW_TP!$A$2:$A$2501)),NA(),INDEX(KW_TP!$C$2:$C$2501,MATCH($A1181,KW_TP!$A$2:$A$2501,1))))</f>
        <v/>
      </c>
    </row>
    <row r="1182">
      <c r="A1182" s="15">
        <f>IF(ISNUMBER(BBG_Data!A1182),BBG_Data!A1182,"")</f>
        <v/>
      </c>
      <c r="B1182" s="16">
        <f>IF(AND(ISNUMBER($A1182),ISNUMBER(BBG_Data!B1182)),BBG_Data!B1182,NA())</f>
        <v/>
      </c>
      <c r="C1182" s="16">
        <f>IF(AND(ISNUMBER($A1182),ISNUMBER(BBG_Data!C1182)),BBG_Data!C1182,NA())</f>
        <v/>
      </c>
      <c r="D1182" s="17">
        <f>IF(AND(ISNUMBER($A1182),ISNUMBER(BBG_Data!D1182)),BBG_Data!D1182,NA())</f>
        <v/>
      </c>
      <c r="E1182" s="17">
        <f>IF(AND(ISNUMBER($A1182),ISNUMBER(BBG_Data!E1182)),BBG_Data!E1182,NA())</f>
        <v/>
      </c>
      <c r="F1182" s="18">
        <f>IF(AND(ISNUMBER(B1182),ISNUMBER(B1181)),(B1182-B1181)*100,"")</f>
        <v/>
      </c>
      <c r="G1182" s="18">
        <f>IF(AND(ISNUMBER(C1182),ISNUMBER(C1181)),(C1182-C1181)*100,"")</f>
        <v/>
      </c>
      <c r="H1182" s="18">
        <f>IF(OR(NOT(ISNUMBER($A1182)),ROW()-2&lt;Settings!$B$11),NA(),IF(COUNT(OFFSET(F1182,1-Settings!$B$11,0,Settings!$B$11,1))&lt;Settings!$B$11,NA(),STDEV(OFFSET(F1182,1-Settings!$B$11,0,Settings!$B$11,1))*SQRT(Settings!$B$13)))</f>
        <v/>
      </c>
      <c r="I1182" s="18">
        <f>IF(OR(NOT(ISNUMBER($A1182)),ROW()-2&lt;Settings!$B$12),NA(),IF(COUNT(OFFSET(F1182,1-Settings!$B$12,0,Settings!$B$12,1))&lt;Settings!$B$12,NA(),STDEV(OFFSET(F1182,1-Settings!$B$12,0,Settings!$B$12,1))*SQRT(Settings!$B$13)))</f>
        <v/>
      </c>
      <c r="J1182" s="18">
        <f>IF(OR(NOT(ISNUMBER($A1182)),ROW()-2&lt;Settings!$B$11),NA(),IF(COUNT(OFFSET(G1182,1-Settings!$B$11,0,Settings!$B$11,1))&lt;Settings!$B$11,NA(),STDEV(OFFSET(G1182,1-Settings!$B$11,0,Settings!$B$11,1))*SQRT(Settings!$B$13)))</f>
        <v/>
      </c>
      <c r="K1182" s="18">
        <f>IF(OR(NOT(ISNUMBER($A1182)),ROW()-2&lt;Settings!$B$12),NA(),IF(COUNT(OFFSET(G1182,1-Settings!$B$12,0,Settings!$B$12,1))&lt;Settings!$B$12,NA(),STDEV(OFFSET(G1182,1-Settings!$B$12,0,Settings!$B$12,1))*SQRT(Settings!$B$13)))</f>
        <v/>
      </c>
      <c r="L1182" s="18">
        <f>IF(AND(ISNUMBER(D1182),ISNUMBER(H1182)),D1182-H1182,NA())</f>
        <v/>
      </c>
      <c r="M1182" s="18">
        <f>IF(AND(ISNUMBER(E1182),ISNUMBER(K1182)),E1182-K1182,NA())</f>
        <v/>
      </c>
      <c r="N1182" s="18">
        <f>IF(NOT(ISNUMBER($A1182)),NA(),IF(COUNT(OFFSET(G1182,1,0,Settings!$B$12,1))&lt;Settings!$B$12,NA(),STDEV(OFFSET(G1182,1,0,Settings!$B$12,1))*SQRT(Settings!$B$13)))</f>
        <v/>
      </c>
      <c r="O1182" s="18">
        <f>IF(AND(ISNUMBER(E1182),ISNUMBER(N1182)),E1182-N1182,NA())</f>
        <v/>
      </c>
      <c r="P1182" s="17">
        <f>IF(NOT(ISNUMBER($A1182)),NA(),IF(OR($A1182&lt;MIN(KW_TP!$A$2:$A$2501),$A1182&gt;MAX(KW_TP!$A$2:$A$2501)),NA(),INDEX(KW_TP!$C$2:$C$2501,MATCH($A1182,KW_TP!$A$2:$A$2501,1))))</f>
        <v/>
      </c>
    </row>
    <row r="1183">
      <c r="A1183" s="15">
        <f>IF(ISNUMBER(BBG_Data!A1183),BBG_Data!A1183,"")</f>
        <v/>
      </c>
      <c r="B1183" s="16">
        <f>IF(AND(ISNUMBER($A1183),ISNUMBER(BBG_Data!B1183)),BBG_Data!B1183,NA())</f>
        <v/>
      </c>
      <c r="C1183" s="16">
        <f>IF(AND(ISNUMBER($A1183),ISNUMBER(BBG_Data!C1183)),BBG_Data!C1183,NA())</f>
        <v/>
      </c>
      <c r="D1183" s="17">
        <f>IF(AND(ISNUMBER($A1183),ISNUMBER(BBG_Data!D1183)),BBG_Data!D1183,NA())</f>
        <v/>
      </c>
      <c r="E1183" s="17">
        <f>IF(AND(ISNUMBER($A1183),ISNUMBER(BBG_Data!E1183)),BBG_Data!E1183,NA())</f>
        <v/>
      </c>
      <c r="F1183" s="18">
        <f>IF(AND(ISNUMBER(B1183),ISNUMBER(B1182)),(B1183-B1182)*100,"")</f>
        <v/>
      </c>
      <c r="G1183" s="18">
        <f>IF(AND(ISNUMBER(C1183),ISNUMBER(C1182)),(C1183-C1182)*100,"")</f>
        <v/>
      </c>
      <c r="H1183" s="18">
        <f>IF(OR(NOT(ISNUMBER($A1183)),ROW()-2&lt;Settings!$B$11),NA(),IF(COUNT(OFFSET(F1183,1-Settings!$B$11,0,Settings!$B$11,1))&lt;Settings!$B$11,NA(),STDEV(OFFSET(F1183,1-Settings!$B$11,0,Settings!$B$11,1))*SQRT(Settings!$B$13)))</f>
        <v/>
      </c>
      <c r="I1183" s="18">
        <f>IF(OR(NOT(ISNUMBER($A1183)),ROW()-2&lt;Settings!$B$12),NA(),IF(COUNT(OFFSET(F1183,1-Settings!$B$12,0,Settings!$B$12,1))&lt;Settings!$B$12,NA(),STDEV(OFFSET(F1183,1-Settings!$B$12,0,Settings!$B$12,1))*SQRT(Settings!$B$13)))</f>
        <v/>
      </c>
      <c r="J1183" s="18">
        <f>IF(OR(NOT(ISNUMBER($A1183)),ROW()-2&lt;Settings!$B$11),NA(),IF(COUNT(OFFSET(G1183,1-Settings!$B$11,0,Settings!$B$11,1))&lt;Settings!$B$11,NA(),STDEV(OFFSET(G1183,1-Settings!$B$11,0,Settings!$B$11,1))*SQRT(Settings!$B$13)))</f>
        <v/>
      </c>
      <c r="K1183" s="18">
        <f>IF(OR(NOT(ISNUMBER($A1183)),ROW()-2&lt;Settings!$B$12),NA(),IF(COUNT(OFFSET(G1183,1-Settings!$B$12,0,Settings!$B$12,1))&lt;Settings!$B$12,NA(),STDEV(OFFSET(G1183,1-Settings!$B$12,0,Settings!$B$12,1))*SQRT(Settings!$B$13)))</f>
        <v/>
      </c>
      <c r="L1183" s="18">
        <f>IF(AND(ISNUMBER(D1183),ISNUMBER(H1183)),D1183-H1183,NA())</f>
        <v/>
      </c>
      <c r="M1183" s="18">
        <f>IF(AND(ISNUMBER(E1183),ISNUMBER(K1183)),E1183-K1183,NA())</f>
        <v/>
      </c>
      <c r="N1183" s="18">
        <f>IF(NOT(ISNUMBER($A1183)),NA(),IF(COUNT(OFFSET(G1183,1,0,Settings!$B$12,1))&lt;Settings!$B$12,NA(),STDEV(OFFSET(G1183,1,0,Settings!$B$12,1))*SQRT(Settings!$B$13)))</f>
        <v/>
      </c>
      <c r="O1183" s="18">
        <f>IF(AND(ISNUMBER(E1183),ISNUMBER(N1183)),E1183-N1183,NA())</f>
        <v/>
      </c>
      <c r="P1183" s="17">
        <f>IF(NOT(ISNUMBER($A1183)),NA(),IF(OR($A1183&lt;MIN(KW_TP!$A$2:$A$2501),$A1183&gt;MAX(KW_TP!$A$2:$A$2501)),NA(),INDEX(KW_TP!$C$2:$C$2501,MATCH($A1183,KW_TP!$A$2:$A$2501,1))))</f>
        <v/>
      </c>
    </row>
    <row r="1184">
      <c r="A1184" s="15">
        <f>IF(ISNUMBER(BBG_Data!A1184),BBG_Data!A1184,"")</f>
        <v/>
      </c>
      <c r="B1184" s="16">
        <f>IF(AND(ISNUMBER($A1184),ISNUMBER(BBG_Data!B1184)),BBG_Data!B1184,NA())</f>
        <v/>
      </c>
      <c r="C1184" s="16">
        <f>IF(AND(ISNUMBER($A1184),ISNUMBER(BBG_Data!C1184)),BBG_Data!C1184,NA())</f>
        <v/>
      </c>
      <c r="D1184" s="17">
        <f>IF(AND(ISNUMBER($A1184),ISNUMBER(BBG_Data!D1184)),BBG_Data!D1184,NA())</f>
        <v/>
      </c>
      <c r="E1184" s="17">
        <f>IF(AND(ISNUMBER($A1184),ISNUMBER(BBG_Data!E1184)),BBG_Data!E1184,NA())</f>
        <v/>
      </c>
      <c r="F1184" s="18">
        <f>IF(AND(ISNUMBER(B1184),ISNUMBER(B1183)),(B1184-B1183)*100,"")</f>
        <v/>
      </c>
      <c r="G1184" s="18">
        <f>IF(AND(ISNUMBER(C1184),ISNUMBER(C1183)),(C1184-C1183)*100,"")</f>
        <v/>
      </c>
      <c r="H1184" s="18">
        <f>IF(OR(NOT(ISNUMBER($A1184)),ROW()-2&lt;Settings!$B$11),NA(),IF(COUNT(OFFSET(F1184,1-Settings!$B$11,0,Settings!$B$11,1))&lt;Settings!$B$11,NA(),STDEV(OFFSET(F1184,1-Settings!$B$11,0,Settings!$B$11,1))*SQRT(Settings!$B$13)))</f>
        <v/>
      </c>
      <c r="I1184" s="18">
        <f>IF(OR(NOT(ISNUMBER($A1184)),ROW()-2&lt;Settings!$B$12),NA(),IF(COUNT(OFFSET(F1184,1-Settings!$B$12,0,Settings!$B$12,1))&lt;Settings!$B$12,NA(),STDEV(OFFSET(F1184,1-Settings!$B$12,0,Settings!$B$12,1))*SQRT(Settings!$B$13)))</f>
        <v/>
      </c>
      <c r="J1184" s="18">
        <f>IF(OR(NOT(ISNUMBER($A1184)),ROW()-2&lt;Settings!$B$11),NA(),IF(COUNT(OFFSET(G1184,1-Settings!$B$11,0,Settings!$B$11,1))&lt;Settings!$B$11,NA(),STDEV(OFFSET(G1184,1-Settings!$B$11,0,Settings!$B$11,1))*SQRT(Settings!$B$13)))</f>
        <v/>
      </c>
      <c r="K1184" s="18">
        <f>IF(OR(NOT(ISNUMBER($A1184)),ROW()-2&lt;Settings!$B$12),NA(),IF(COUNT(OFFSET(G1184,1-Settings!$B$12,0,Settings!$B$12,1))&lt;Settings!$B$12,NA(),STDEV(OFFSET(G1184,1-Settings!$B$12,0,Settings!$B$12,1))*SQRT(Settings!$B$13)))</f>
        <v/>
      </c>
      <c r="L1184" s="18">
        <f>IF(AND(ISNUMBER(D1184),ISNUMBER(H1184)),D1184-H1184,NA())</f>
        <v/>
      </c>
      <c r="M1184" s="18">
        <f>IF(AND(ISNUMBER(E1184),ISNUMBER(K1184)),E1184-K1184,NA())</f>
        <v/>
      </c>
      <c r="N1184" s="18">
        <f>IF(NOT(ISNUMBER($A1184)),NA(),IF(COUNT(OFFSET(G1184,1,0,Settings!$B$12,1))&lt;Settings!$B$12,NA(),STDEV(OFFSET(G1184,1,0,Settings!$B$12,1))*SQRT(Settings!$B$13)))</f>
        <v/>
      </c>
      <c r="O1184" s="18">
        <f>IF(AND(ISNUMBER(E1184),ISNUMBER(N1184)),E1184-N1184,NA())</f>
        <v/>
      </c>
      <c r="P1184" s="17">
        <f>IF(NOT(ISNUMBER($A1184)),NA(),IF(OR($A1184&lt;MIN(KW_TP!$A$2:$A$2501),$A1184&gt;MAX(KW_TP!$A$2:$A$2501)),NA(),INDEX(KW_TP!$C$2:$C$2501,MATCH($A1184,KW_TP!$A$2:$A$2501,1))))</f>
        <v/>
      </c>
    </row>
    <row r="1185">
      <c r="A1185" s="15">
        <f>IF(ISNUMBER(BBG_Data!A1185),BBG_Data!A1185,"")</f>
        <v/>
      </c>
      <c r="B1185" s="16">
        <f>IF(AND(ISNUMBER($A1185),ISNUMBER(BBG_Data!B1185)),BBG_Data!B1185,NA())</f>
        <v/>
      </c>
      <c r="C1185" s="16">
        <f>IF(AND(ISNUMBER($A1185),ISNUMBER(BBG_Data!C1185)),BBG_Data!C1185,NA())</f>
        <v/>
      </c>
      <c r="D1185" s="17">
        <f>IF(AND(ISNUMBER($A1185),ISNUMBER(BBG_Data!D1185)),BBG_Data!D1185,NA())</f>
        <v/>
      </c>
      <c r="E1185" s="17">
        <f>IF(AND(ISNUMBER($A1185),ISNUMBER(BBG_Data!E1185)),BBG_Data!E1185,NA())</f>
        <v/>
      </c>
      <c r="F1185" s="18">
        <f>IF(AND(ISNUMBER(B1185),ISNUMBER(B1184)),(B1185-B1184)*100,"")</f>
        <v/>
      </c>
      <c r="G1185" s="18">
        <f>IF(AND(ISNUMBER(C1185),ISNUMBER(C1184)),(C1185-C1184)*100,"")</f>
        <v/>
      </c>
      <c r="H1185" s="18">
        <f>IF(OR(NOT(ISNUMBER($A1185)),ROW()-2&lt;Settings!$B$11),NA(),IF(COUNT(OFFSET(F1185,1-Settings!$B$11,0,Settings!$B$11,1))&lt;Settings!$B$11,NA(),STDEV(OFFSET(F1185,1-Settings!$B$11,0,Settings!$B$11,1))*SQRT(Settings!$B$13)))</f>
        <v/>
      </c>
      <c r="I1185" s="18">
        <f>IF(OR(NOT(ISNUMBER($A1185)),ROW()-2&lt;Settings!$B$12),NA(),IF(COUNT(OFFSET(F1185,1-Settings!$B$12,0,Settings!$B$12,1))&lt;Settings!$B$12,NA(),STDEV(OFFSET(F1185,1-Settings!$B$12,0,Settings!$B$12,1))*SQRT(Settings!$B$13)))</f>
        <v/>
      </c>
      <c r="J1185" s="18">
        <f>IF(OR(NOT(ISNUMBER($A1185)),ROW()-2&lt;Settings!$B$11),NA(),IF(COUNT(OFFSET(G1185,1-Settings!$B$11,0,Settings!$B$11,1))&lt;Settings!$B$11,NA(),STDEV(OFFSET(G1185,1-Settings!$B$11,0,Settings!$B$11,1))*SQRT(Settings!$B$13)))</f>
        <v/>
      </c>
      <c r="K1185" s="18">
        <f>IF(OR(NOT(ISNUMBER($A1185)),ROW()-2&lt;Settings!$B$12),NA(),IF(COUNT(OFFSET(G1185,1-Settings!$B$12,0,Settings!$B$12,1))&lt;Settings!$B$12,NA(),STDEV(OFFSET(G1185,1-Settings!$B$12,0,Settings!$B$12,1))*SQRT(Settings!$B$13)))</f>
        <v/>
      </c>
      <c r="L1185" s="18">
        <f>IF(AND(ISNUMBER(D1185),ISNUMBER(H1185)),D1185-H1185,NA())</f>
        <v/>
      </c>
      <c r="M1185" s="18">
        <f>IF(AND(ISNUMBER(E1185),ISNUMBER(K1185)),E1185-K1185,NA())</f>
        <v/>
      </c>
      <c r="N1185" s="18">
        <f>IF(NOT(ISNUMBER($A1185)),NA(),IF(COUNT(OFFSET(G1185,1,0,Settings!$B$12,1))&lt;Settings!$B$12,NA(),STDEV(OFFSET(G1185,1,0,Settings!$B$12,1))*SQRT(Settings!$B$13)))</f>
        <v/>
      </c>
      <c r="O1185" s="18">
        <f>IF(AND(ISNUMBER(E1185),ISNUMBER(N1185)),E1185-N1185,NA())</f>
        <v/>
      </c>
      <c r="P1185" s="17">
        <f>IF(NOT(ISNUMBER($A1185)),NA(),IF(OR($A1185&lt;MIN(KW_TP!$A$2:$A$2501),$A1185&gt;MAX(KW_TP!$A$2:$A$2501)),NA(),INDEX(KW_TP!$C$2:$C$2501,MATCH($A1185,KW_TP!$A$2:$A$2501,1))))</f>
        <v/>
      </c>
    </row>
    <row r="1186">
      <c r="A1186" s="15">
        <f>IF(ISNUMBER(BBG_Data!A1186),BBG_Data!A1186,"")</f>
        <v/>
      </c>
      <c r="B1186" s="16">
        <f>IF(AND(ISNUMBER($A1186),ISNUMBER(BBG_Data!B1186)),BBG_Data!B1186,NA())</f>
        <v/>
      </c>
      <c r="C1186" s="16">
        <f>IF(AND(ISNUMBER($A1186),ISNUMBER(BBG_Data!C1186)),BBG_Data!C1186,NA())</f>
        <v/>
      </c>
      <c r="D1186" s="17">
        <f>IF(AND(ISNUMBER($A1186),ISNUMBER(BBG_Data!D1186)),BBG_Data!D1186,NA())</f>
        <v/>
      </c>
      <c r="E1186" s="17">
        <f>IF(AND(ISNUMBER($A1186),ISNUMBER(BBG_Data!E1186)),BBG_Data!E1186,NA())</f>
        <v/>
      </c>
      <c r="F1186" s="18">
        <f>IF(AND(ISNUMBER(B1186),ISNUMBER(B1185)),(B1186-B1185)*100,"")</f>
        <v/>
      </c>
      <c r="G1186" s="18">
        <f>IF(AND(ISNUMBER(C1186),ISNUMBER(C1185)),(C1186-C1185)*100,"")</f>
        <v/>
      </c>
      <c r="H1186" s="18">
        <f>IF(OR(NOT(ISNUMBER($A1186)),ROW()-2&lt;Settings!$B$11),NA(),IF(COUNT(OFFSET(F1186,1-Settings!$B$11,0,Settings!$B$11,1))&lt;Settings!$B$11,NA(),STDEV(OFFSET(F1186,1-Settings!$B$11,0,Settings!$B$11,1))*SQRT(Settings!$B$13)))</f>
        <v/>
      </c>
      <c r="I1186" s="18">
        <f>IF(OR(NOT(ISNUMBER($A1186)),ROW()-2&lt;Settings!$B$12),NA(),IF(COUNT(OFFSET(F1186,1-Settings!$B$12,0,Settings!$B$12,1))&lt;Settings!$B$12,NA(),STDEV(OFFSET(F1186,1-Settings!$B$12,0,Settings!$B$12,1))*SQRT(Settings!$B$13)))</f>
        <v/>
      </c>
      <c r="J1186" s="18">
        <f>IF(OR(NOT(ISNUMBER($A1186)),ROW()-2&lt;Settings!$B$11),NA(),IF(COUNT(OFFSET(G1186,1-Settings!$B$11,0,Settings!$B$11,1))&lt;Settings!$B$11,NA(),STDEV(OFFSET(G1186,1-Settings!$B$11,0,Settings!$B$11,1))*SQRT(Settings!$B$13)))</f>
        <v/>
      </c>
      <c r="K1186" s="18">
        <f>IF(OR(NOT(ISNUMBER($A1186)),ROW()-2&lt;Settings!$B$12),NA(),IF(COUNT(OFFSET(G1186,1-Settings!$B$12,0,Settings!$B$12,1))&lt;Settings!$B$12,NA(),STDEV(OFFSET(G1186,1-Settings!$B$12,0,Settings!$B$12,1))*SQRT(Settings!$B$13)))</f>
        <v/>
      </c>
      <c r="L1186" s="18">
        <f>IF(AND(ISNUMBER(D1186),ISNUMBER(H1186)),D1186-H1186,NA())</f>
        <v/>
      </c>
      <c r="M1186" s="18">
        <f>IF(AND(ISNUMBER(E1186),ISNUMBER(K1186)),E1186-K1186,NA())</f>
        <v/>
      </c>
      <c r="N1186" s="18">
        <f>IF(NOT(ISNUMBER($A1186)),NA(),IF(COUNT(OFFSET(G1186,1,0,Settings!$B$12,1))&lt;Settings!$B$12,NA(),STDEV(OFFSET(G1186,1,0,Settings!$B$12,1))*SQRT(Settings!$B$13)))</f>
        <v/>
      </c>
      <c r="O1186" s="18">
        <f>IF(AND(ISNUMBER(E1186),ISNUMBER(N1186)),E1186-N1186,NA())</f>
        <v/>
      </c>
      <c r="P1186" s="17">
        <f>IF(NOT(ISNUMBER($A1186)),NA(),IF(OR($A1186&lt;MIN(KW_TP!$A$2:$A$2501),$A1186&gt;MAX(KW_TP!$A$2:$A$2501)),NA(),INDEX(KW_TP!$C$2:$C$2501,MATCH($A1186,KW_TP!$A$2:$A$2501,1))))</f>
        <v/>
      </c>
    </row>
    <row r="1187">
      <c r="A1187" s="15">
        <f>IF(ISNUMBER(BBG_Data!A1187),BBG_Data!A1187,"")</f>
        <v/>
      </c>
      <c r="B1187" s="16">
        <f>IF(AND(ISNUMBER($A1187),ISNUMBER(BBG_Data!B1187)),BBG_Data!B1187,NA())</f>
        <v/>
      </c>
      <c r="C1187" s="16">
        <f>IF(AND(ISNUMBER($A1187),ISNUMBER(BBG_Data!C1187)),BBG_Data!C1187,NA())</f>
        <v/>
      </c>
      <c r="D1187" s="17">
        <f>IF(AND(ISNUMBER($A1187),ISNUMBER(BBG_Data!D1187)),BBG_Data!D1187,NA())</f>
        <v/>
      </c>
      <c r="E1187" s="17">
        <f>IF(AND(ISNUMBER($A1187),ISNUMBER(BBG_Data!E1187)),BBG_Data!E1187,NA())</f>
        <v/>
      </c>
      <c r="F1187" s="18">
        <f>IF(AND(ISNUMBER(B1187),ISNUMBER(B1186)),(B1187-B1186)*100,"")</f>
        <v/>
      </c>
      <c r="G1187" s="18">
        <f>IF(AND(ISNUMBER(C1187),ISNUMBER(C1186)),(C1187-C1186)*100,"")</f>
        <v/>
      </c>
      <c r="H1187" s="18">
        <f>IF(OR(NOT(ISNUMBER($A1187)),ROW()-2&lt;Settings!$B$11),NA(),IF(COUNT(OFFSET(F1187,1-Settings!$B$11,0,Settings!$B$11,1))&lt;Settings!$B$11,NA(),STDEV(OFFSET(F1187,1-Settings!$B$11,0,Settings!$B$11,1))*SQRT(Settings!$B$13)))</f>
        <v/>
      </c>
      <c r="I1187" s="18">
        <f>IF(OR(NOT(ISNUMBER($A1187)),ROW()-2&lt;Settings!$B$12),NA(),IF(COUNT(OFFSET(F1187,1-Settings!$B$12,0,Settings!$B$12,1))&lt;Settings!$B$12,NA(),STDEV(OFFSET(F1187,1-Settings!$B$12,0,Settings!$B$12,1))*SQRT(Settings!$B$13)))</f>
        <v/>
      </c>
      <c r="J1187" s="18">
        <f>IF(OR(NOT(ISNUMBER($A1187)),ROW()-2&lt;Settings!$B$11),NA(),IF(COUNT(OFFSET(G1187,1-Settings!$B$11,0,Settings!$B$11,1))&lt;Settings!$B$11,NA(),STDEV(OFFSET(G1187,1-Settings!$B$11,0,Settings!$B$11,1))*SQRT(Settings!$B$13)))</f>
        <v/>
      </c>
      <c r="K1187" s="18">
        <f>IF(OR(NOT(ISNUMBER($A1187)),ROW()-2&lt;Settings!$B$12),NA(),IF(COUNT(OFFSET(G1187,1-Settings!$B$12,0,Settings!$B$12,1))&lt;Settings!$B$12,NA(),STDEV(OFFSET(G1187,1-Settings!$B$12,0,Settings!$B$12,1))*SQRT(Settings!$B$13)))</f>
        <v/>
      </c>
      <c r="L1187" s="18">
        <f>IF(AND(ISNUMBER(D1187),ISNUMBER(H1187)),D1187-H1187,NA())</f>
        <v/>
      </c>
      <c r="M1187" s="18">
        <f>IF(AND(ISNUMBER(E1187),ISNUMBER(K1187)),E1187-K1187,NA())</f>
        <v/>
      </c>
      <c r="N1187" s="18">
        <f>IF(NOT(ISNUMBER($A1187)),NA(),IF(COUNT(OFFSET(G1187,1,0,Settings!$B$12,1))&lt;Settings!$B$12,NA(),STDEV(OFFSET(G1187,1,0,Settings!$B$12,1))*SQRT(Settings!$B$13)))</f>
        <v/>
      </c>
      <c r="O1187" s="18">
        <f>IF(AND(ISNUMBER(E1187),ISNUMBER(N1187)),E1187-N1187,NA())</f>
        <v/>
      </c>
      <c r="P1187" s="17">
        <f>IF(NOT(ISNUMBER($A1187)),NA(),IF(OR($A1187&lt;MIN(KW_TP!$A$2:$A$2501),$A1187&gt;MAX(KW_TP!$A$2:$A$2501)),NA(),INDEX(KW_TP!$C$2:$C$2501,MATCH($A1187,KW_TP!$A$2:$A$2501,1))))</f>
        <v/>
      </c>
    </row>
    <row r="1188">
      <c r="A1188" s="15">
        <f>IF(ISNUMBER(BBG_Data!A1188),BBG_Data!A1188,"")</f>
        <v/>
      </c>
      <c r="B1188" s="16">
        <f>IF(AND(ISNUMBER($A1188),ISNUMBER(BBG_Data!B1188)),BBG_Data!B1188,NA())</f>
        <v/>
      </c>
      <c r="C1188" s="16">
        <f>IF(AND(ISNUMBER($A1188),ISNUMBER(BBG_Data!C1188)),BBG_Data!C1188,NA())</f>
        <v/>
      </c>
      <c r="D1188" s="17">
        <f>IF(AND(ISNUMBER($A1188),ISNUMBER(BBG_Data!D1188)),BBG_Data!D1188,NA())</f>
        <v/>
      </c>
      <c r="E1188" s="17">
        <f>IF(AND(ISNUMBER($A1188),ISNUMBER(BBG_Data!E1188)),BBG_Data!E1188,NA())</f>
        <v/>
      </c>
      <c r="F1188" s="18">
        <f>IF(AND(ISNUMBER(B1188),ISNUMBER(B1187)),(B1188-B1187)*100,"")</f>
        <v/>
      </c>
      <c r="G1188" s="18">
        <f>IF(AND(ISNUMBER(C1188),ISNUMBER(C1187)),(C1188-C1187)*100,"")</f>
        <v/>
      </c>
      <c r="H1188" s="18">
        <f>IF(OR(NOT(ISNUMBER($A1188)),ROW()-2&lt;Settings!$B$11),NA(),IF(COUNT(OFFSET(F1188,1-Settings!$B$11,0,Settings!$B$11,1))&lt;Settings!$B$11,NA(),STDEV(OFFSET(F1188,1-Settings!$B$11,0,Settings!$B$11,1))*SQRT(Settings!$B$13)))</f>
        <v/>
      </c>
      <c r="I1188" s="18">
        <f>IF(OR(NOT(ISNUMBER($A1188)),ROW()-2&lt;Settings!$B$12),NA(),IF(COUNT(OFFSET(F1188,1-Settings!$B$12,0,Settings!$B$12,1))&lt;Settings!$B$12,NA(),STDEV(OFFSET(F1188,1-Settings!$B$12,0,Settings!$B$12,1))*SQRT(Settings!$B$13)))</f>
        <v/>
      </c>
      <c r="J1188" s="18">
        <f>IF(OR(NOT(ISNUMBER($A1188)),ROW()-2&lt;Settings!$B$11),NA(),IF(COUNT(OFFSET(G1188,1-Settings!$B$11,0,Settings!$B$11,1))&lt;Settings!$B$11,NA(),STDEV(OFFSET(G1188,1-Settings!$B$11,0,Settings!$B$11,1))*SQRT(Settings!$B$13)))</f>
        <v/>
      </c>
      <c r="K1188" s="18">
        <f>IF(OR(NOT(ISNUMBER($A1188)),ROW()-2&lt;Settings!$B$12),NA(),IF(COUNT(OFFSET(G1188,1-Settings!$B$12,0,Settings!$B$12,1))&lt;Settings!$B$12,NA(),STDEV(OFFSET(G1188,1-Settings!$B$12,0,Settings!$B$12,1))*SQRT(Settings!$B$13)))</f>
        <v/>
      </c>
      <c r="L1188" s="18">
        <f>IF(AND(ISNUMBER(D1188),ISNUMBER(H1188)),D1188-H1188,NA())</f>
        <v/>
      </c>
      <c r="M1188" s="18">
        <f>IF(AND(ISNUMBER(E1188),ISNUMBER(K1188)),E1188-K1188,NA())</f>
        <v/>
      </c>
      <c r="N1188" s="18">
        <f>IF(NOT(ISNUMBER($A1188)),NA(),IF(COUNT(OFFSET(G1188,1,0,Settings!$B$12,1))&lt;Settings!$B$12,NA(),STDEV(OFFSET(G1188,1,0,Settings!$B$12,1))*SQRT(Settings!$B$13)))</f>
        <v/>
      </c>
      <c r="O1188" s="18">
        <f>IF(AND(ISNUMBER(E1188),ISNUMBER(N1188)),E1188-N1188,NA())</f>
        <v/>
      </c>
      <c r="P1188" s="17">
        <f>IF(NOT(ISNUMBER($A1188)),NA(),IF(OR($A1188&lt;MIN(KW_TP!$A$2:$A$2501),$A1188&gt;MAX(KW_TP!$A$2:$A$2501)),NA(),INDEX(KW_TP!$C$2:$C$2501,MATCH($A1188,KW_TP!$A$2:$A$2501,1))))</f>
        <v/>
      </c>
    </row>
    <row r="1189">
      <c r="A1189" s="15">
        <f>IF(ISNUMBER(BBG_Data!A1189),BBG_Data!A1189,"")</f>
        <v/>
      </c>
      <c r="B1189" s="16">
        <f>IF(AND(ISNUMBER($A1189),ISNUMBER(BBG_Data!B1189)),BBG_Data!B1189,NA())</f>
        <v/>
      </c>
      <c r="C1189" s="16">
        <f>IF(AND(ISNUMBER($A1189),ISNUMBER(BBG_Data!C1189)),BBG_Data!C1189,NA())</f>
        <v/>
      </c>
      <c r="D1189" s="17">
        <f>IF(AND(ISNUMBER($A1189),ISNUMBER(BBG_Data!D1189)),BBG_Data!D1189,NA())</f>
        <v/>
      </c>
      <c r="E1189" s="17">
        <f>IF(AND(ISNUMBER($A1189),ISNUMBER(BBG_Data!E1189)),BBG_Data!E1189,NA())</f>
        <v/>
      </c>
      <c r="F1189" s="18">
        <f>IF(AND(ISNUMBER(B1189),ISNUMBER(B1188)),(B1189-B1188)*100,"")</f>
        <v/>
      </c>
      <c r="G1189" s="18">
        <f>IF(AND(ISNUMBER(C1189),ISNUMBER(C1188)),(C1189-C1188)*100,"")</f>
        <v/>
      </c>
      <c r="H1189" s="18">
        <f>IF(OR(NOT(ISNUMBER($A1189)),ROW()-2&lt;Settings!$B$11),NA(),IF(COUNT(OFFSET(F1189,1-Settings!$B$11,0,Settings!$B$11,1))&lt;Settings!$B$11,NA(),STDEV(OFFSET(F1189,1-Settings!$B$11,0,Settings!$B$11,1))*SQRT(Settings!$B$13)))</f>
        <v/>
      </c>
      <c r="I1189" s="18">
        <f>IF(OR(NOT(ISNUMBER($A1189)),ROW()-2&lt;Settings!$B$12),NA(),IF(COUNT(OFFSET(F1189,1-Settings!$B$12,0,Settings!$B$12,1))&lt;Settings!$B$12,NA(),STDEV(OFFSET(F1189,1-Settings!$B$12,0,Settings!$B$12,1))*SQRT(Settings!$B$13)))</f>
        <v/>
      </c>
      <c r="J1189" s="18">
        <f>IF(OR(NOT(ISNUMBER($A1189)),ROW()-2&lt;Settings!$B$11),NA(),IF(COUNT(OFFSET(G1189,1-Settings!$B$11,0,Settings!$B$11,1))&lt;Settings!$B$11,NA(),STDEV(OFFSET(G1189,1-Settings!$B$11,0,Settings!$B$11,1))*SQRT(Settings!$B$13)))</f>
        <v/>
      </c>
      <c r="K1189" s="18">
        <f>IF(OR(NOT(ISNUMBER($A1189)),ROW()-2&lt;Settings!$B$12),NA(),IF(COUNT(OFFSET(G1189,1-Settings!$B$12,0,Settings!$B$12,1))&lt;Settings!$B$12,NA(),STDEV(OFFSET(G1189,1-Settings!$B$12,0,Settings!$B$12,1))*SQRT(Settings!$B$13)))</f>
        <v/>
      </c>
      <c r="L1189" s="18">
        <f>IF(AND(ISNUMBER(D1189),ISNUMBER(H1189)),D1189-H1189,NA())</f>
        <v/>
      </c>
      <c r="M1189" s="18">
        <f>IF(AND(ISNUMBER(E1189),ISNUMBER(K1189)),E1189-K1189,NA())</f>
        <v/>
      </c>
      <c r="N1189" s="18">
        <f>IF(NOT(ISNUMBER($A1189)),NA(),IF(COUNT(OFFSET(G1189,1,0,Settings!$B$12,1))&lt;Settings!$B$12,NA(),STDEV(OFFSET(G1189,1,0,Settings!$B$12,1))*SQRT(Settings!$B$13)))</f>
        <v/>
      </c>
      <c r="O1189" s="18">
        <f>IF(AND(ISNUMBER(E1189),ISNUMBER(N1189)),E1189-N1189,NA())</f>
        <v/>
      </c>
      <c r="P1189" s="17">
        <f>IF(NOT(ISNUMBER($A1189)),NA(),IF(OR($A1189&lt;MIN(KW_TP!$A$2:$A$2501),$A1189&gt;MAX(KW_TP!$A$2:$A$2501)),NA(),INDEX(KW_TP!$C$2:$C$2501,MATCH($A1189,KW_TP!$A$2:$A$2501,1))))</f>
        <v/>
      </c>
    </row>
    <row r="1190">
      <c r="A1190" s="15">
        <f>IF(ISNUMBER(BBG_Data!A1190),BBG_Data!A1190,"")</f>
        <v/>
      </c>
      <c r="B1190" s="16">
        <f>IF(AND(ISNUMBER($A1190),ISNUMBER(BBG_Data!B1190)),BBG_Data!B1190,NA())</f>
        <v/>
      </c>
      <c r="C1190" s="16">
        <f>IF(AND(ISNUMBER($A1190),ISNUMBER(BBG_Data!C1190)),BBG_Data!C1190,NA())</f>
        <v/>
      </c>
      <c r="D1190" s="17">
        <f>IF(AND(ISNUMBER($A1190),ISNUMBER(BBG_Data!D1190)),BBG_Data!D1190,NA())</f>
        <v/>
      </c>
      <c r="E1190" s="17">
        <f>IF(AND(ISNUMBER($A1190),ISNUMBER(BBG_Data!E1190)),BBG_Data!E1190,NA())</f>
        <v/>
      </c>
      <c r="F1190" s="18">
        <f>IF(AND(ISNUMBER(B1190),ISNUMBER(B1189)),(B1190-B1189)*100,"")</f>
        <v/>
      </c>
      <c r="G1190" s="18">
        <f>IF(AND(ISNUMBER(C1190),ISNUMBER(C1189)),(C1190-C1189)*100,"")</f>
        <v/>
      </c>
      <c r="H1190" s="18">
        <f>IF(OR(NOT(ISNUMBER($A1190)),ROW()-2&lt;Settings!$B$11),NA(),IF(COUNT(OFFSET(F1190,1-Settings!$B$11,0,Settings!$B$11,1))&lt;Settings!$B$11,NA(),STDEV(OFFSET(F1190,1-Settings!$B$11,0,Settings!$B$11,1))*SQRT(Settings!$B$13)))</f>
        <v/>
      </c>
      <c r="I1190" s="18">
        <f>IF(OR(NOT(ISNUMBER($A1190)),ROW()-2&lt;Settings!$B$12),NA(),IF(COUNT(OFFSET(F1190,1-Settings!$B$12,0,Settings!$B$12,1))&lt;Settings!$B$12,NA(),STDEV(OFFSET(F1190,1-Settings!$B$12,0,Settings!$B$12,1))*SQRT(Settings!$B$13)))</f>
        <v/>
      </c>
      <c r="J1190" s="18">
        <f>IF(OR(NOT(ISNUMBER($A1190)),ROW()-2&lt;Settings!$B$11),NA(),IF(COUNT(OFFSET(G1190,1-Settings!$B$11,0,Settings!$B$11,1))&lt;Settings!$B$11,NA(),STDEV(OFFSET(G1190,1-Settings!$B$11,0,Settings!$B$11,1))*SQRT(Settings!$B$13)))</f>
        <v/>
      </c>
      <c r="K1190" s="18">
        <f>IF(OR(NOT(ISNUMBER($A1190)),ROW()-2&lt;Settings!$B$12),NA(),IF(COUNT(OFFSET(G1190,1-Settings!$B$12,0,Settings!$B$12,1))&lt;Settings!$B$12,NA(),STDEV(OFFSET(G1190,1-Settings!$B$12,0,Settings!$B$12,1))*SQRT(Settings!$B$13)))</f>
        <v/>
      </c>
      <c r="L1190" s="18">
        <f>IF(AND(ISNUMBER(D1190),ISNUMBER(H1190)),D1190-H1190,NA())</f>
        <v/>
      </c>
      <c r="M1190" s="18">
        <f>IF(AND(ISNUMBER(E1190),ISNUMBER(K1190)),E1190-K1190,NA())</f>
        <v/>
      </c>
      <c r="N1190" s="18">
        <f>IF(NOT(ISNUMBER($A1190)),NA(),IF(COUNT(OFFSET(G1190,1,0,Settings!$B$12,1))&lt;Settings!$B$12,NA(),STDEV(OFFSET(G1190,1,0,Settings!$B$12,1))*SQRT(Settings!$B$13)))</f>
        <v/>
      </c>
      <c r="O1190" s="18">
        <f>IF(AND(ISNUMBER(E1190),ISNUMBER(N1190)),E1190-N1190,NA())</f>
        <v/>
      </c>
      <c r="P1190" s="17">
        <f>IF(NOT(ISNUMBER($A1190)),NA(),IF(OR($A1190&lt;MIN(KW_TP!$A$2:$A$2501),$A1190&gt;MAX(KW_TP!$A$2:$A$2501)),NA(),INDEX(KW_TP!$C$2:$C$2501,MATCH($A1190,KW_TP!$A$2:$A$2501,1))))</f>
        <v/>
      </c>
    </row>
    <row r="1191">
      <c r="A1191" s="15">
        <f>IF(ISNUMBER(BBG_Data!A1191),BBG_Data!A1191,"")</f>
        <v/>
      </c>
      <c r="B1191" s="16">
        <f>IF(AND(ISNUMBER($A1191),ISNUMBER(BBG_Data!B1191)),BBG_Data!B1191,NA())</f>
        <v/>
      </c>
      <c r="C1191" s="16">
        <f>IF(AND(ISNUMBER($A1191),ISNUMBER(BBG_Data!C1191)),BBG_Data!C1191,NA())</f>
        <v/>
      </c>
      <c r="D1191" s="17">
        <f>IF(AND(ISNUMBER($A1191),ISNUMBER(BBG_Data!D1191)),BBG_Data!D1191,NA())</f>
        <v/>
      </c>
      <c r="E1191" s="17">
        <f>IF(AND(ISNUMBER($A1191),ISNUMBER(BBG_Data!E1191)),BBG_Data!E1191,NA())</f>
        <v/>
      </c>
      <c r="F1191" s="18">
        <f>IF(AND(ISNUMBER(B1191),ISNUMBER(B1190)),(B1191-B1190)*100,"")</f>
        <v/>
      </c>
      <c r="G1191" s="18">
        <f>IF(AND(ISNUMBER(C1191),ISNUMBER(C1190)),(C1191-C1190)*100,"")</f>
        <v/>
      </c>
      <c r="H1191" s="18">
        <f>IF(OR(NOT(ISNUMBER($A1191)),ROW()-2&lt;Settings!$B$11),NA(),IF(COUNT(OFFSET(F1191,1-Settings!$B$11,0,Settings!$B$11,1))&lt;Settings!$B$11,NA(),STDEV(OFFSET(F1191,1-Settings!$B$11,0,Settings!$B$11,1))*SQRT(Settings!$B$13)))</f>
        <v/>
      </c>
      <c r="I1191" s="18">
        <f>IF(OR(NOT(ISNUMBER($A1191)),ROW()-2&lt;Settings!$B$12),NA(),IF(COUNT(OFFSET(F1191,1-Settings!$B$12,0,Settings!$B$12,1))&lt;Settings!$B$12,NA(),STDEV(OFFSET(F1191,1-Settings!$B$12,0,Settings!$B$12,1))*SQRT(Settings!$B$13)))</f>
        <v/>
      </c>
      <c r="J1191" s="18">
        <f>IF(OR(NOT(ISNUMBER($A1191)),ROW()-2&lt;Settings!$B$11),NA(),IF(COUNT(OFFSET(G1191,1-Settings!$B$11,0,Settings!$B$11,1))&lt;Settings!$B$11,NA(),STDEV(OFFSET(G1191,1-Settings!$B$11,0,Settings!$B$11,1))*SQRT(Settings!$B$13)))</f>
        <v/>
      </c>
      <c r="K1191" s="18">
        <f>IF(OR(NOT(ISNUMBER($A1191)),ROW()-2&lt;Settings!$B$12),NA(),IF(COUNT(OFFSET(G1191,1-Settings!$B$12,0,Settings!$B$12,1))&lt;Settings!$B$12,NA(),STDEV(OFFSET(G1191,1-Settings!$B$12,0,Settings!$B$12,1))*SQRT(Settings!$B$13)))</f>
        <v/>
      </c>
      <c r="L1191" s="18">
        <f>IF(AND(ISNUMBER(D1191),ISNUMBER(H1191)),D1191-H1191,NA())</f>
        <v/>
      </c>
      <c r="M1191" s="18">
        <f>IF(AND(ISNUMBER(E1191),ISNUMBER(K1191)),E1191-K1191,NA())</f>
        <v/>
      </c>
      <c r="N1191" s="18">
        <f>IF(NOT(ISNUMBER($A1191)),NA(),IF(COUNT(OFFSET(G1191,1,0,Settings!$B$12,1))&lt;Settings!$B$12,NA(),STDEV(OFFSET(G1191,1,0,Settings!$B$12,1))*SQRT(Settings!$B$13)))</f>
        <v/>
      </c>
      <c r="O1191" s="18">
        <f>IF(AND(ISNUMBER(E1191),ISNUMBER(N1191)),E1191-N1191,NA())</f>
        <v/>
      </c>
      <c r="P1191" s="17">
        <f>IF(NOT(ISNUMBER($A1191)),NA(),IF(OR($A1191&lt;MIN(KW_TP!$A$2:$A$2501),$A1191&gt;MAX(KW_TP!$A$2:$A$2501)),NA(),INDEX(KW_TP!$C$2:$C$2501,MATCH($A1191,KW_TP!$A$2:$A$2501,1))))</f>
        <v/>
      </c>
    </row>
    <row r="1192">
      <c r="A1192" s="15">
        <f>IF(ISNUMBER(BBG_Data!A1192),BBG_Data!A1192,"")</f>
        <v/>
      </c>
      <c r="B1192" s="16">
        <f>IF(AND(ISNUMBER($A1192),ISNUMBER(BBG_Data!B1192)),BBG_Data!B1192,NA())</f>
        <v/>
      </c>
      <c r="C1192" s="16">
        <f>IF(AND(ISNUMBER($A1192),ISNUMBER(BBG_Data!C1192)),BBG_Data!C1192,NA())</f>
        <v/>
      </c>
      <c r="D1192" s="17">
        <f>IF(AND(ISNUMBER($A1192),ISNUMBER(BBG_Data!D1192)),BBG_Data!D1192,NA())</f>
        <v/>
      </c>
      <c r="E1192" s="17">
        <f>IF(AND(ISNUMBER($A1192),ISNUMBER(BBG_Data!E1192)),BBG_Data!E1192,NA())</f>
        <v/>
      </c>
      <c r="F1192" s="18">
        <f>IF(AND(ISNUMBER(B1192),ISNUMBER(B1191)),(B1192-B1191)*100,"")</f>
        <v/>
      </c>
      <c r="G1192" s="18">
        <f>IF(AND(ISNUMBER(C1192),ISNUMBER(C1191)),(C1192-C1191)*100,"")</f>
        <v/>
      </c>
      <c r="H1192" s="18">
        <f>IF(OR(NOT(ISNUMBER($A1192)),ROW()-2&lt;Settings!$B$11),NA(),IF(COUNT(OFFSET(F1192,1-Settings!$B$11,0,Settings!$B$11,1))&lt;Settings!$B$11,NA(),STDEV(OFFSET(F1192,1-Settings!$B$11,0,Settings!$B$11,1))*SQRT(Settings!$B$13)))</f>
        <v/>
      </c>
      <c r="I1192" s="18">
        <f>IF(OR(NOT(ISNUMBER($A1192)),ROW()-2&lt;Settings!$B$12),NA(),IF(COUNT(OFFSET(F1192,1-Settings!$B$12,0,Settings!$B$12,1))&lt;Settings!$B$12,NA(),STDEV(OFFSET(F1192,1-Settings!$B$12,0,Settings!$B$12,1))*SQRT(Settings!$B$13)))</f>
        <v/>
      </c>
      <c r="J1192" s="18">
        <f>IF(OR(NOT(ISNUMBER($A1192)),ROW()-2&lt;Settings!$B$11),NA(),IF(COUNT(OFFSET(G1192,1-Settings!$B$11,0,Settings!$B$11,1))&lt;Settings!$B$11,NA(),STDEV(OFFSET(G1192,1-Settings!$B$11,0,Settings!$B$11,1))*SQRT(Settings!$B$13)))</f>
        <v/>
      </c>
      <c r="K1192" s="18">
        <f>IF(OR(NOT(ISNUMBER($A1192)),ROW()-2&lt;Settings!$B$12),NA(),IF(COUNT(OFFSET(G1192,1-Settings!$B$12,0,Settings!$B$12,1))&lt;Settings!$B$12,NA(),STDEV(OFFSET(G1192,1-Settings!$B$12,0,Settings!$B$12,1))*SQRT(Settings!$B$13)))</f>
        <v/>
      </c>
      <c r="L1192" s="18">
        <f>IF(AND(ISNUMBER(D1192),ISNUMBER(H1192)),D1192-H1192,NA())</f>
        <v/>
      </c>
      <c r="M1192" s="18">
        <f>IF(AND(ISNUMBER(E1192),ISNUMBER(K1192)),E1192-K1192,NA())</f>
        <v/>
      </c>
      <c r="N1192" s="18">
        <f>IF(NOT(ISNUMBER($A1192)),NA(),IF(COUNT(OFFSET(G1192,1,0,Settings!$B$12,1))&lt;Settings!$B$12,NA(),STDEV(OFFSET(G1192,1,0,Settings!$B$12,1))*SQRT(Settings!$B$13)))</f>
        <v/>
      </c>
      <c r="O1192" s="18">
        <f>IF(AND(ISNUMBER(E1192),ISNUMBER(N1192)),E1192-N1192,NA())</f>
        <v/>
      </c>
      <c r="P1192" s="17">
        <f>IF(NOT(ISNUMBER($A1192)),NA(),IF(OR($A1192&lt;MIN(KW_TP!$A$2:$A$2501),$A1192&gt;MAX(KW_TP!$A$2:$A$2501)),NA(),INDEX(KW_TP!$C$2:$C$2501,MATCH($A1192,KW_TP!$A$2:$A$2501,1))))</f>
        <v/>
      </c>
    </row>
    <row r="1193">
      <c r="A1193" s="15">
        <f>IF(ISNUMBER(BBG_Data!A1193),BBG_Data!A1193,"")</f>
        <v/>
      </c>
      <c r="B1193" s="16">
        <f>IF(AND(ISNUMBER($A1193),ISNUMBER(BBG_Data!B1193)),BBG_Data!B1193,NA())</f>
        <v/>
      </c>
      <c r="C1193" s="16">
        <f>IF(AND(ISNUMBER($A1193),ISNUMBER(BBG_Data!C1193)),BBG_Data!C1193,NA())</f>
        <v/>
      </c>
      <c r="D1193" s="17">
        <f>IF(AND(ISNUMBER($A1193),ISNUMBER(BBG_Data!D1193)),BBG_Data!D1193,NA())</f>
        <v/>
      </c>
      <c r="E1193" s="17">
        <f>IF(AND(ISNUMBER($A1193),ISNUMBER(BBG_Data!E1193)),BBG_Data!E1193,NA())</f>
        <v/>
      </c>
      <c r="F1193" s="18">
        <f>IF(AND(ISNUMBER(B1193),ISNUMBER(B1192)),(B1193-B1192)*100,"")</f>
        <v/>
      </c>
      <c r="G1193" s="18">
        <f>IF(AND(ISNUMBER(C1193),ISNUMBER(C1192)),(C1193-C1192)*100,"")</f>
        <v/>
      </c>
      <c r="H1193" s="18">
        <f>IF(OR(NOT(ISNUMBER($A1193)),ROW()-2&lt;Settings!$B$11),NA(),IF(COUNT(OFFSET(F1193,1-Settings!$B$11,0,Settings!$B$11,1))&lt;Settings!$B$11,NA(),STDEV(OFFSET(F1193,1-Settings!$B$11,0,Settings!$B$11,1))*SQRT(Settings!$B$13)))</f>
        <v/>
      </c>
      <c r="I1193" s="18">
        <f>IF(OR(NOT(ISNUMBER($A1193)),ROW()-2&lt;Settings!$B$12),NA(),IF(COUNT(OFFSET(F1193,1-Settings!$B$12,0,Settings!$B$12,1))&lt;Settings!$B$12,NA(),STDEV(OFFSET(F1193,1-Settings!$B$12,0,Settings!$B$12,1))*SQRT(Settings!$B$13)))</f>
        <v/>
      </c>
      <c r="J1193" s="18">
        <f>IF(OR(NOT(ISNUMBER($A1193)),ROW()-2&lt;Settings!$B$11),NA(),IF(COUNT(OFFSET(G1193,1-Settings!$B$11,0,Settings!$B$11,1))&lt;Settings!$B$11,NA(),STDEV(OFFSET(G1193,1-Settings!$B$11,0,Settings!$B$11,1))*SQRT(Settings!$B$13)))</f>
        <v/>
      </c>
      <c r="K1193" s="18">
        <f>IF(OR(NOT(ISNUMBER($A1193)),ROW()-2&lt;Settings!$B$12),NA(),IF(COUNT(OFFSET(G1193,1-Settings!$B$12,0,Settings!$B$12,1))&lt;Settings!$B$12,NA(),STDEV(OFFSET(G1193,1-Settings!$B$12,0,Settings!$B$12,1))*SQRT(Settings!$B$13)))</f>
        <v/>
      </c>
      <c r="L1193" s="18">
        <f>IF(AND(ISNUMBER(D1193),ISNUMBER(H1193)),D1193-H1193,NA())</f>
        <v/>
      </c>
      <c r="M1193" s="18">
        <f>IF(AND(ISNUMBER(E1193),ISNUMBER(K1193)),E1193-K1193,NA())</f>
        <v/>
      </c>
      <c r="N1193" s="18">
        <f>IF(NOT(ISNUMBER($A1193)),NA(),IF(COUNT(OFFSET(G1193,1,0,Settings!$B$12,1))&lt;Settings!$B$12,NA(),STDEV(OFFSET(G1193,1,0,Settings!$B$12,1))*SQRT(Settings!$B$13)))</f>
        <v/>
      </c>
      <c r="O1193" s="18">
        <f>IF(AND(ISNUMBER(E1193),ISNUMBER(N1193)),E1193-N1193,NA())</f>
        <v/>
      </c>
      <c r="P1193" s="17">
        <f>IF(NOT(ISNUMBER($A1193)),NA(),IF(OR($A1193&lt;MIN(KW_TP!$A$2:$A$2501),$A1193&gt;MAX(KW_TP!$A$2:$A$2501)),NA(),INDEX(KW_TP!$C$2:$C$2501,MATCH($A1193,KW_TP!$A$2:$A$2501,1))))</f>
        <v/>
      </c>
    </row>
    <row r="1194">
      <c r="A1194" s="15">
        <f>IF(ISNUMBER(BBG_Data!A1194),BBG_Data!A1194,"")</f>
        <v/>
      </c>
      <c r="B1194" s="16">
        <f>IF(AND(ISNUMBER($A1194),ISNUMBER(BBG_Data!B1194)),BBG_Data!B1194,NA())</f>
        <v/>
      </c>
      <c r="C1194" s="16">
        <f>IF(AND(ISNUMBER($A1194),ISNUMBER(BBG_Data!C1194)),BBG_Data!C1194,NA())</f>
        <v/>
      </c>
      <c r="D1194" s="17">
        <f>IF(AND(ISNUMBER($A1194),ISNUMBER(BBG_Data!D1194)),BBG_Data!D1194,NA())</f>
        <v/>
      </c>
      <c r="E1194" s="17">
        <f>IF(AND(ISNUMBER($A1194),ISNUMBER(BBG_Data!E1194)),BBG_Data!E1194,NA())</f>
        <v/>
      </c>
      <c r="F1194" s="18">
        <f>IF(AND(ISNUMBER(B1194),ISNUMBER(B1193)),(B1194-B1193)*100,"")</f>
        <v/>
      </c>
      <c r="G1194" s="18">
        <f>IF(AND(ISNUMBER(C1194),ISNUMBER(C1193)),(C1194-C1193)*100,"")</f>
        <v/>
      </c>
      <c r="H1194" s="18">
        <f>IF(OR(NOT(ISNUMBER($A1194)),ROW()-2&lt;Settings!$B$11),NA(),IF(COUNT(OFFSET(F1194,1-Settings!$B$11,0,Settings!$B$11,1))&lt;Settings!$B$11,NA(),STDEV(OFFSET(F1194,1-Settings!$B$11,0,Settings!$B$11,1))*SQRT(Settings!$B$13)))</f>
        <v/>
      </c>
      <c r="I1194" s="18">
        <f>IF(OR(NOT(ISNUMBER($A1194)),ROW()-2&lt;Settings!$B$12),NA(),IF(COUNT(OFFSET(F1194,1-Settings!$B$12,0,Settings!$B$12,1))&lt;Settings!$B$12,NA(),STDEV(OFFSET(F1194,1-Settings!$B$12,0,Settings!$B$12,1))*SQRT(Settings!$B$13)))</f>
        <v/>
      </c>
      <c r="J1194" s="18">
        <f>IF(OR(NOT(ISNUMBER($A1194)),ROW()-2&lt;Settings!$B$11),NA(),IF(COUNT(OFFSET(G1194,1-Settings!$B$11,0,Settings!$B$11,1))&lt;Settings!$B$11,NA(),STDEV(OFFSET(G1194,1-Settings!$B$11,0,Settings!$B$11,1))*SQRT(Settings!$B$13)))</f>
        <v/>
      </c>
      <c r="K1194" s="18">
        <f>IF(OR(NOT(ISNUMBER($A1194)),ROW()-2&lt;Settings!$B$12),NA(),IF(COUNT(OFFSET(G1194,1-Settings!$B$12,0,Settings!$B$12,1))&lt;Settings!$B$12,NA(),STDEV(OFFSET(G1194,1-Settings!$B$12,0,Settings!$B$12,1))*SQRT(Settings!$B$13)))</f>
        <v/>
      </c>
      <c r="L1194" s="18">
        <f>IF(AND(ISNUMBER(D1194),ISNUMBER(H1194)),D1194-H1194,NA())</f>
        <v/>
      </c>
      <c r="M1194" s="18">
        <f>IF(AND(ISNUMBER(E1194),ISNUMBER(K1194)),E1194-K1194,NA())</f>
        <v/>
      </c>
      <c r="N1194" s="18">
        <f>IF(NOT(ISNUMBER($A1194)),NA(),IF(COUNT(OFFSET(G1194,1,0,Settings!$B$12,1))&lt;Settings!$B$12,NA(),STDEV(OFFSET(G1194,1,0,Settings!$B$12,1))*SQRT(Settings!$B$13)))</f>
        <v/>
      </c>
      <c r="O1194" s="18">
        <f>IF(AND(ISNUMBER(E1194),ISNUMBER(N1194)),E1194-N1194,NA())</f>
        <v/>
      </c>
      <c r="P1194" s="17">
        <f>IF(NOT(ISNUMBER($A1194)),NA(),IF(OR($A1194&lt;MIN(KW_TP!$A$2:$A$2501),$A1194&gt;MAX(KW_TP!$A$2:$A$2501)),NA(),INDEX(KW_TP!$C$2:$C$2501,MATCH($A1194,KW_TP!$A$2:$A$2501,1))))</f>
        <v/>
      </c>
    </row>
    <row r="1195">
      <c r="A1195" s="15">
        <f>IF(ISNUMBER(BBG_Data!A1195),BBG_Data!A1195,"")</f>
        <v/>
      </c>
      <c r="B1195" s="16">
        <f>IF(AND(ISNUMBER($A1195),ISNUMBER(BBG_Data!B1195)),BBG_Data!B1195,NA())</f>
        <v/>
      </c>
      <c r="C1195" s="16">
        <f>IF(AND(ISNUMBER($A1195),ISNUMBER(BBG_Data!C1195)),BBG_Data!C1195,NA())</f>
        <v/>
      </c>
      <c r="D1195" s="17">
        <f>IF(AND(ISNUMBER($A1195),ISNUMBER(BBG_Data!D1195)),BBG_Data!D1195,NA())</f>
        <v/>
      </c>
      <c r="E1195" s="17">
        <f>IF(AND(ISNUMBER($A1195),ISNUMBER(BBG_Data!E1195)),BBG_Data!E1195,NA())</f>
        <v/>
      </c>
      <c r="F1195" s="18">
        <f>IF(AND(ISNUMBER(B1195),ISNUMBER(B1194)),(B1195-B1194)*100,"")</f>
        <v/>
      </c>
      <c r="G1195" s="18">
        <f>IF(AND(ISNUMBER(C1195),ISNUMBER(C1194)),(C1195-C1194)*100,"")</f>
        <v/>
      </c>
      <c r="H1195" s="18">
        <f>IF(OR(NOT(ISNUMBER($A1195)),ROW()-2&lt;Settings!$B$11),NA(),IF(COUNT(OFFSET(F1195,1-Settings!$B$11,0,Settings!$B$11,1))&lt;Settings!$B$11,NA(),STDEV(OFFSET(F1195,1-Settings!$B$11,0,Settings!$B$11,1))*SQRT(Settings!$B$13)))</f>
        <v/>
      </c>
      <c r="I1195" s="18">
        <f>IF(OR(NOT(ISNUMBER($A1195)),ROW()-2&lt;Settings!$B$12),NA(),IF(COUNT(OFFSET(F1195,1-Settings!$B$12,0,Settings!$B$12,1))&lt;Settings!$B$12,NA(),STDEV(OFFSET(F1195,1-Settings!$B$12,0,Settings!$B$12,1))*SQRT(Settings!$B$13)))</f>
        <v/>
      </c>
      <c r="J1195" s="18">
        <f>IF(OR(NOT(ISNUMBER($A1195)),ROW()-2&lt;Settings!$B$11),NA(),IF(COUNT(OFFSET(G1195,1-Settings!$B$11,0,Settings!$B$11,1))&lt;Settings!$B$11,NA(),STDEV(OFFSET(G1195,1-Settings!$B$11,0,Settings!$B$11,1))*SQRT(Settings!$B$13)))</f>
        <v/>
      </c>
      <c r="K1195" s="18">
        <f>IF(OR(NOT(ISNUMBER($A1195)),ROW()-2&lt;Settings!$B$12),NA(),IF(COUNT(OFFSET(G1195,1-Settings!$B$12,0,Settings!$B$12,1))&lt;Settings!$B$12,NA(),STDEV(OFFSET(G1195,1-Settings!$B$12,0,Settings!$B$12,1))*SQRT(Settings!$B$13)))</f>
        <v/>
      </c>
      <c r="L1195" s="18">
        <f>IF(AND(ISNUMBER(D1195),ISNUMBER(H1195)),D1195-H1195,NA())</f>
        <v/>
      </c>
      <c r="M1195" s="18">
        <f>IF(AND(ISNUMBER(E1195),ISNUMBER(K1195)),E1195-K1195,NA())</f>
        <v/>
      </c>
      <c r="N1195" s="18">
        <f>IF(NOT(ISNUMBER($A1195)),NA(),IF(COUNT(OFFSET(G1195,1,0,Settings!$B$12,1))&lt;Settings!$B$12,NA(),STDEV(OFFSET(G1195,1,0,Settings!$B$12,1))*SQRT(Settings!$B$13)))</f>
        <v/>
      </c>
      <c r="O1195" s="18">
        <f>IF(AND(ISNUMBER(E1195),ISNUMBER(N1195)),E1195-N1195,NA())</f>
        <v/>
      </c>
      <c r="P1195" s="17">
        <f>IF(NOT(ISNUMBER($A1195)),NA(),IF(OR($A1195&lt;MIN(KW_TP!$A$2:$A$2501),$A1195&gt;MAX(KW_TP!$A$2:$A$2501)),NA(),INDEX(KW_TP!$C$2:$C$2501,MATCH($A1195,KW_TP!$A$2:$A$2501,1))))</f>
        <v/>
      </c>
    </row>
    <row r="1196">
      <c r="A1196" s="15">
        <f>IF(ISNUMBER(BBG_Data!A1196),BBG_Data!A1196,"")</f>
        <v/>
      </c>
      <c r="B1196" s="16">
        <f>IF(AND(ISNUMBER($A1196),ISNUMBER(BBG_Data!B1196)),BBG_Data!B1196,NA())</f>
        <v/>
      </c>
      <c r="C1196" s="16">
        <f>IF(AND(ISNUMBER($A1196),ISNUMBER(BBG_Data!C1196)),BBG_Data!C1196,NA())</f>
        <v/>
      </c>
      <c r="D1196" s="17">
        <f>IF(AND(ISNUMBER($A1196),ISNUMBER(BBG_Data!D1196)),BBG_Data!D1196,NA())</f>
        <v/>
      </c>
      <c r="E1196" s="17">
        <f>IF(AND(ISNUMBER($A1196),ISNUMBER(BBG_Data!E1196)),BBG_Data!E1196,NA())</f>
        <v/>
      </c>
      <c r="F1196" s="18">
        <f>IF(AND(ISNUMBER(B1196),ISNUMBER(B1195)),(B1196-B1195)*100,"")</f>
        <v/>
      </c>
      <c r="G1196" s="18">
        <f>IF(AND(ISNUMBER(C1196),ISNUMBER(C1195)),(C1196-C1195)*100,"")</f>
        <v/>
      </c>
      <c r="H1196" s="18">
        <f>IF(OR(NOT(ISNUMBER($A1196)),ROW()-2&lt;Settings!$B$11),NA(),IF(COUNT(OFFSET(F1196,1-Settings!$B$11,0,Settings!$B$11,1))&lt;Settings!$B$11,NA(),STDEV(OFFSET(F1196,1-Settings!$B$11,0,Settings!$B$11,1))*SQRT(Settings!$B$13)))</f>
        <v/>
      </c>
      <c r="I1196" s="18">
        <f>IF(OR(NOT(ISNUMBER($A1196)),ROW()-2&lt;Settings!$B$12),NA(),IF(COUNT(OFFSET(F1196,1-Settings!$B$12,0,Settings!$B$12,1))&lt;Settings!$B$12,NA(),STDEV(OFFSET(F1196,1-Settings!$B$12,0,Settings!$B$12,1))*SQRT(Settings!$B$13)))</f>
        <v/>
      </c>
      <c r="J1196" s="18">
        <f>IF(OR(NOT(ISNUMBER($A1196)),ROW()-2&lt;Settings!$B$11),NA(),IF(COUNT(OFFSET(G1196,1-Settings!$B$11,0,Settings!$B$11,1))&lt;Settings!$B$11,NA(),STDEV(OFFSET(G1196,1-Settings!$B$11,0,Settings!$B$11,1))*SQRT(Settings!$B$13)))</f>
        <v/>
      </c>
      <c r="K1196" s="18">
        <f>IF(OR(NOT(ISNUMBER($A1196)),ROW()-2&lt;Settings!$B$12),NA(),IF(COUNT(OFFSET(G1196,1-Settings!$B$12,0,Settings!$B$12,1))&lt;Settings!$B$12,NA(),STDEV(OFFSET(G1196,1-Settings!$B$12,0,Settings!$B$12,1))*SQRT(Settings!$B$13)))</f>
        <v/>
      </c>
      <c r="L1196" s="18">
        <f>IF(AND(ISNUMBER(D1196),ISNUMBER(H1196)),D1196-H1196,NA())</f>
        <v/>
      </c>
      <c r="M1196" s="18">
        <f>IF(AND(ISNUMBER(E1196),ISNUMBER(K1196)),E1196-K1196,NA())</f>
        <v/>
      </c>
      <c r="N1196" s="18">
        <f>IF(NOT(ISNUMBER($A1196)),NA(),IF(COUNT(OFFSET(G1196,1,0,Settings!$B$12,1))&lt;Settings!$B$12,NA(),STDEV(OFFSET(G1196,1,0,Settings!$B$12,1))*SQRT(Settings!$B$13)))</f>
        <v/>
      </c>
      <c r="O1196" s="18">
        <f>IF(AND(ISNUMBER(E1196),ISNUMBER(N1196)),E1196-N1196,NA())</f>
        <v/>
      </c>
      <c r="P1196" s="17">
        <f>IF(NOT(ISNUMBER($A1196)),NA(),IF(OR($A1196&lt;MIN(KW_TP!$A$2:$A$2501),$A1196&gt;MAX(KW_TP!$A$2:$A$2501)),NA(),INDEX(KW_TP!$C$2:$C$2501,MATCH($A1196,KW_TP!$A$2:$A$2501,1))))</f>
        <v/>
      </c>
    </row>
    <row r="1197">
      <c r="A1197" s="15">
        <f>IF(ISNUMBER(BBG_Data!A1197),BBG_Data!A1197,"")</f>
        <v/>
      </c>
      <c r="B1197" s="16">
        <f>IF(AND(ISNUMBER($A1197),ISNUMBER(BBG_Data!B1197)),BBG_Data!B1197,NA())</f>
        <v/>
      </c>
      <c r="C1197" s="16">
        <f>IF(AND(ISNUMBER($A1197),ISNUMBER(BBG_Data!C1197)),BBG_Data!C1197,NA())</f>
        <v/>
      </c>
      <c r="D1197" s="17">
        <f>IF(AND(ISNUMBER($A1197),ISNUMBER(BBG_Data!D1197)),BBG_Data!D1197,NA())</f>
        <v/>
      </c>
      <c r="E1197" s="17">
        <f>IF(AND(ISNUMBER($A1197),ISNUMBER(BBG_Data!E1197)),BBG_Data!E1197,NA())</f>
        <v/>
      </c>
      <c r="F1197" s="18">
        <f>IF(AND(ISNUMBER(B1197),ISNUMBER(B1196)),(B1197-B1196)*100,"")</f>
        <v/>
      </c>
      <c r="G1197" s="18">
        <f>IF(AND(ISNUMBER(C1197),ISNUMBER(C1196)),(C1197-C1196)*100,"")</f>
        <v/>
      </c>
      <c r="H1197" s="18">
        <f>IF(OR(NOT(ISNUMBER($A1197)),ROW()-2&lt;Settings!$B$11),NA(),IF(COUNT(OFFSET(F1197,1-Settings!$B$11,0,Settings!$B$11,1))&lt;Settings!$B$11,NA(),STDEV(OFFSET(F1197,1-Settings!$B$11,0,Settings!$B$11,1))*SQRT(Settings!$B$13)))</f>
        <v/>
      </c>
      <c r="I1197" s="18">
        <f>IF(OR(NOT(ISNUMBER($A1197)),ROW()-2&lt;Settings!$B$12),NA(),IF(COUNT(OFFSET(F1197,1-Settings!$B$12,0,Settings!$B$12,1))&lt;Settings!$B$12,NA(),STDEV(OFFSET(F1197,1-Settings!$B$12,0,Settings!$B$12,1))*SQRT(Settings!$B$13)))</f>
        <v/>
      </c>
      <c r="J1197" s="18">
        <f>IF(OR(NOT(ISNUMBER($A1197)),ROW()-2&lt;Settings!$B$11),NA(),IF(COUNT(OFFSET(G1197,1-Settings!$B$11,0,Settings!$B$11,1))&lt;Settings!$B$11,NA(),STDEV(OFFSET(G1197,1-Settings!$B$11,0,Settings!$B$11,1))*SQRT(Settings!$B$13)))</f>
        <v/>
      </c>
      <c r="K1197" s="18">
        <f>IF(OR(NOT(ISNUMBER($A1197)),ROW()-2&lt;Settings!$B$12),NA(),IF(COUNT(OFFSET(G1197,1-Settings!$B$12,0,Settings!$B$12,1))&lt;Settings!$B$12,NA(),STDEV(OFFSET(G1197,1-Settings!$B$12,0,Settings!$B$12,1))*SQRT(Settings!$B$13)))</f>
        <v/>
      </c>
      <c r="L1197" s="18">
        <f>IF(AND(ISNUMBER(D1197),ISNUMBER(H1197)),D1197-H1197,NA())</f>
        <v/>
      </c>
      <c r="M1197" s="18">
        <f>IF(AND(ISNUMBER(E1197),ISNUMBER(K1197)),E1197-K1197,NA())</f>
        <v/>
      </c>
      <c r="N1197" s="18">
        <f>IF(NOT(ISNUMBER($A1197)),NA(),IF(COUNT(OFFSET(G1197,1,0,Settings!$B$12,1))&lt;Settings!$B$12,NA(),STDEV(OFFSET(G1197,1,0,Settings!$B$12,1))*SQRT(Settings!$B$13)))</f>
        <v/>
      </c>
      <c r="O1197" s="18">
        <f>IF(AND(ISNUMBER(E1197),ISNUMBER(N1197)),E1197-N1197,NA())</f>
        <v/>
      </c>
      <c r="P1197" s="17">
        <f>IF(NOT(ISNUMBER($A1197)),NA(),IF(OR($A1197&lt;MIN(KW_TP!$A$2:$A$2501),$A1197&gt;MAX(KW_TP!$A$2:$A$2501)),NA(),INDEX(KW_TP!$C$2:$C$2501,MATCH($A1197,KW_TP!$A$2:$A$2501,1))))</f>
        <v/>
      </c>
    </row>
    <row r="1198">
      <c r="A1198" s="15">
        <f>IF(ISNUMBER(BBG_Data!A1198),BBG_Data!A1198,"")</f>
        <v/>
      </c>
      <c r="B1198" s="16">
        <f>IF(AND(ISNUMBER($A1198),ISNUMBER(BBG_Data!B1198)),BBG_Data!B1198,NA())</f>
        <v/>
      </c>
      <c r="C1198" s="16">
        <f>IF(AND(ISNUMBER($A1198),ISNUMBER(BBG_Data!C1198)),BBG_Data!C1198,NA())</f>
        <v/>
      </c>
      <c r="D1198" s="17">
        <f>IF(AND(ISNUMBER($A1198),ISNUMBER(BBG_Data!D1198)),BBG_Data!D1198,NA())</f>
        <v/>
      </c>
      <c r="E1198" s="17">
        <f>IF(AND(ISNUMBER($A1198),ISNUMBER(BBG_Data!E1198)),BBG_Data!E1198,NA())</f>
        <v/>
      </c>
      <c r="F1198" s="18">
        <f>IF(AND(ISNUMBER(B1198),ISNUMBER(B1197)),(B1198-B1197)*100,"")</f>
        <v/>
      </c>
      <c r="G1198" s="18">
        <f>IF(AND(ISNUMBER(C1198),ISNUMBER(C1197)),(C1198-C1197)*100,"")</f>
        <v/>
      </c>
      <c r="H1198" s="18">
        <f>IF(OR(NOT(ISNUMBER($A1198)),ROW()-2&lt;Settings!$B$11),NA(),IF(COUNT(OFFSET(F1198,1-Settings!$B$11,0,Settings!$B$11,1))&lt;Settings!$B$11,NA(),STDEV(OFFSET(F1198,1-Settings!$B$11,0,Settings!$B$11,1))*SQRT(Settings!$B$13)))</f>
        <v/>
      </c>
      <c r="I1198" s="18">
        <f>IF(OR(NOT(ISNUMBER($A1198)),ROW()-2&lt;Settings!$B$12),NA(),IF(COUNT(OFFSET(F1198,1-Settings!$B$12,0,Settings!$B$12,1))&lt;Settings!$B$12,NA(),STDEV(OFFSET(F1198,1-Settings!$B$12,0,Settings!$B$12,1))*SQRT(Settings!$B$13)))</f>
        <v/>
      </c>
      <c r="J1198" s="18">
        <f>IF(OR(NOT(ISNUMBER($A1198)),ROW()-2&lt;Settings!$B$11),NA(),IF(COUNT(OFFSET(G1198,1-Settings!$B$11,0,Settings!$B$11,1))&lt;Settings!$B$11,NA(),STDEV(OFFSET(G1198,1-Settings!$B$11,0,Settings!$B$11,1))*SQRT(Settings!$B$13)))</f>
        <v/>
      </c>
      <c r="K1198" s="18">
        <f>IF(OR(NOT(ISNUMBER($A1198)),ROW()-2&lt;Settings!$B$12),NA(),IF(COUNT(OFFSET(G1198,1-Settings!$B$12,0,Settings!$B$12,1))&lt;Settings!$B$12,NA(),STDEV(OFFSET(G1198,1-Settings!$B$12,0,Settings!$B$12,1))*SQRT(Settings!$B$13)))</f>
        <v/>
      </c>
      <c r="L1198" s="18">
        <f>IF(AND(ISNUMBER(D1198),ISNUMBER(H1198)),D1198-H1198,NA())</f>
        <v/>
      </c>
      <c r="M1198" s="18">
        <f>IF(AND(ISNUMBER(E1198),ISNUMBER(K1198)),E1198-K1198,NA())</f>
        <v/>
      </c>
      <c r="N1198" s="18">
        <f>IF(NOT(ISNUMBER($A1198)),NA(),IF(COUNT(OFFSET(G1198,1,0,Settings!$B$12,1))&lt;Settings!$B$12,NA(),STDEV(OFFSET(G1198,1,0,Settings!$B$12,1))*SQRT(Settings!$B$13)))</f>
        <v/>
      </c>
      <c r="O1198" s="18">
        <f>IF(AND(ISNUMBER(E1198),ISNUMBER(N1198)),E1198-N1198,NA())</f>
        <v/>
      </c>
      <c r="P1198" s="17">
        <f>IF(NOT(ISNUMBER($A1198)),NA(),IF(OR($A1198&lt;MIN(KW_TP!$A$2:$A$2501),$A1198&gt;MAX(KW_TP!$A$2:$A$2501)),NA(),INDEX(KW_TP!$C$2:$C$2501,MATCH($A1198,KW_TP!$A$2:$A$2501,1))))</f>
        <v/>
      </c>
    </row>
    <row r="1199">
      <c r="A1199" s="15">
        <f>IF(ISNUMBER(BBG_Data!A1199),BBG_Data!A1199,"")</f>
        <v/>
      </c>
      <c r="B1199" s="16">
        <f>IF(AND(ISNUMBER($A1199),ISNUMBER(BBG_Data!B1199)),BBG_Data!B1199,NA())</f>
        <v/>
      </c>
      <c r="C1199" s="16">
        <f>IF(AND(ISNUMBER($A1199),ISNUMBER(BBG_Data!C1199)),BBG_Data!C1199,NA())</f>
        <v/>
      </c>
      <c r="D1199" s="17">
        <f>IF(AND(ISNUMBER($A1199),ISNUMBER(BBG_Data!D1199)),BBG_Data!D1199,NA())</f>
        <v/>
      </c>
      <c r="E1199" s="17">
        <f>IF(AND(ISNUMBER($A1199),ISNUMBER(BBG_Data!E1199)),BBG_Data!E1199,NA())</f>
        <v/>
      </c>
      <c r="F1199" s="18">
        <f>IF(AND(ISNUMBER(B1199),ISNUMBER(B1198)),(B1199-B1198)*100,"")</f>
        <v/>
      </c>
      <c r="G1199" s="18">
        <f>IF(AND(ISNUMBER(C1199),ISNUMBER(C1198)),(C1199-C1198)*100,"")</f>
        <v/>
      </c>
      <c r="H1199" s="18">
        <f>IF(OR(NOT(ISNUMBER($A1199)),ROW()-2&lt;Settings!$B$11),NA(),IF(COUNT(OFFSET(F1199,1-Settings!$B$11,0,Settings!$B$11,1))&lt;Settings!$B$11,NA(),STDEV(OFFSET(F1199,1-Settings!$B$11,0,Settings!$B$11,1))*SQRT(Settings!$B$13)))</f>
        <v/>
      </c>
      <c r="I1199" s="18">
        <f>IF(OR(NOT(ISNUMBER($A1199)),ROW()-2&lt;Settings!$B$12),NA(),IF(COUNT(OFFSET(F1199,1-Settings!$B$12,0,Settings!$B$12,1))&lt;Settings!$B$12,NA(),STDEV(OFFSET(F1199,1-Settings!$B$12,0,Settings!$B$12,1))*SQRT(Settings!$B$13)))</f>
        <v/>
      </c>
      <c r="J1199" s="18">
        <f>IF(OR(NOT(ISNUMBER($A1199)),ROW()-2&lt;Settings!$B$11),NA(),IF(COUNT(OFFSET(G1199,1-Settings!$B$11,0,Settings!$B$11,1))&lt;Settings!$B$11,NA(),STDEV(OFFSET(G1199,1-Settings!$B$11,0,Settings!$B$11,1))*SQRT(Settings!$B$13)))</f>
        <v/>
      </c>
      <c r="K1199" s="18">
        <f>IF(OR(NOT(ISNUMBER($A1199)),ROW()-2&lt;Settings!$B$12),NA(),IF(COUNT(OFFSET(G1199,1-Settings!$B$12,0,Settings!$B$12,1))&lt;Settings!$B$12,NA(),STDEV(OFFSET(G1199,1-Settings!$B$12,0,Settings!$B$12,1))*SQRT(Settings!$B$13)))</f>
        <v/>
      </c>
      <c r="L1199" s="18">
        <f>IF(AND(ISNUMBER(D1199),ISNUMBER(H1199)),D1199-H1199,NA())</f>
        <v/>
      </c>
      <c r="M1199" s="18">
        <f>IF(AND(ISNUMBER(E1199),ISNUMBER(K1199)),E1199-K1199,NA())</f>
        <v/>
      </c>
      <c r="N1199" s="18">
        <f>IF(NOT(ISNUMBER($A1199)),NA(),IF(COUNT(OFFSET(G1199,1,0,Settings!$B$12,1))&lt;Settings!$B$12,NA(),STDEV(OFFSET(G1199,1,0,Settings!$B$12,1))*SQRT(Settings!$B$13)))</f>
        <v/>
      </c>
      <c r="O1199" s="18">
        <f>IF(AND(ISNUMBER(E1199),ISNUMBER(N1199)),E1199-N1199,NA())</f>
        <v/>
      </c>
      <c r="P1199" s="17">
        <f>IF(NOT(ISNUMBER($A1199)),NA(),IF(OR($A1199&lt;MIN(KW_TP!$A$2:$A$2501),$A1199&gt;MAX(KW_TP!$A$2:$A$2501)),NA(),INDEX(KW_TP!$C$2:$C$2501,MATCH($A1199,KW_TP!$A$2:$A$2501,1))))</f>
        <v/>
      </c>
    </row>
    <row r="1200">
      <c r="A1200" s="15">
        <f>IF(ISNUMBER(BBG_Data!A1200),BBG_Data!A1200,"")</f>
        <v/>
      </c>
      <c r="B1200" s="16">
        <f>IF(AND(ISNUMBER($A1200),ISNUMBER(BBG_Data!B1200)),BBG_Data!B1200,NA())</f>
        <v/>
      </c>
      <c r="C1200" s="16">
        <f>IF(AND(ISNUMBER($A1200),ISNUMBER(BBG_Data!C1200)),BBG_Data!C1200,NA())</f>
        <v/>
      </c>
      <c r="D1200" s="17">
        <f>IF(AND(ISNUMBER($A1200),ISNUMBER(BBG_Data!D1200)),BBG_Data!D1200,NA())</f>
        <v/>
      </c>
      <c r="E1200" s="17">
        <f>IF(AND(ISNUMBER($A1200),ISNUMBER(BBG_Data!E1200)),BBG_Data!E1200,NA())</f>
        <v/>
      </c>
      <c r="F1200" s="18">
        <f>IF(AND(ISNUMBER(B1200),ISNUMBER(B1199)),(B1200-B1199)*100,"")</f>
        <v/>
      </c>
      <c r="G1200" s="18">
        <f>IF(AND(ISNUMBER(C1200),ISNUMBER(C1199)),(C1200-C1199)*100,"")</f>
        <v/>
      </c>
      <c r="H1200" s="18">
        <f>IF(OR(NOT(ISNUMBER($A1200)),ROW()-2&lt;Settings!$B$11),NA(),IF(COUNT(OFFSET(F1200,1-Settings!$B$11,0,Settings!$B$11,1))&lt;Settings!$B$11,NA(),STDEV(OFFSET(F1200,1-Settings!$B$11,0,Settings!$B$11,1))*SQRT(Settings!$B$13)))</f>
        <v/>
      </c>
      <c r="I1200" s="18">
        <f>IF(OR(NOT(ISNUMBER($A1200)),ROW()-2&lt;Settings!$B$12),NA(),IF(COUNT(OFFSET(F1200,1-Settings!$B$12,0,Settings!$B$12,1))&lt;Settings!$B$12,NA(),STDEV(OFFSET(F1200,1-Settings!$B$12,0,Settings!$B$12,1))*SQRT(Settings!$B$13)))</f>
        <v/>
      </c>
      <c r="J1200" s="18">
        <f>IF(OR(NOT(ISNUMBER($A1200)),ROW()-2&lt;Settings!$B$11),NA(),IF(COUNT(OFFSET(G1200,1-Settings!$B$11,0,Settings!$B$11,1))&lt;Settings!$B$11,NA(),STDEV(OFFSET(G1200,1-Settings!$B$11,0,Settings!$B$11,1))*SQRT(Settings!$B$13)))</f>
        <v/>
      </c>
      <c r="K1200" s="18">
        <f>IF(OR(NOT(ISNUMBER($A1200)),ROW()-2&lt;Settings!$B$12),NA(),IF(COUNT(OFFSET(G1200,1-Settings!$B$12,0,Settings!$B$12,1))&lt;Settings!$B$12,NA(),STDEV(OFFSET(G1200,1-Settings!$B$12,0,Settings!$B$12,1))*SQRT(Settings!$B$13)))</f>
        <v/>
      </c>
      <c r="L1200" s="18">
        <f>IF(AND(ISNUMBER(D1200),ISNUMBER(H1200)),D1200-H1200,NA())</f>
        <v/>
      </c>
      <c r="M1200" s="18">
        <f>IF(AND(ISNUMBER(E1200),ISNUMBER(K1200)),E1200-K1200,NA())</f>
        <v/>
      </c>
      <c r="N1200" s="18">
        <f>IF(NOT(ISNUMBER($A1200)),NA(),IF(COUNT(OFFSET(G1200,1,0,Settings!$B$12,1))&lt;Settings!$B$12,NA(),STDEV(OFFSET(G1200,1,0,Settings!$B$12,1))*SQRT(Settings!$B$13)))</f>
        <v/>
      </c>
      <c r="O1200" s="18">
        <f>IF(AND(ISNUMBER(E1200),ISNUMBER(N1200)),E1200-N1200,NA())</f>
        <v/>
      </c>
      <c r="P1200" s="17">
        <f>IF(NOT(ISNUMBER($A1200)),NA(),IF(OR($A1200&lt;MIN(KW_TP!$A$2:$A$2501),$A1200&gt;MAX(KW_TP!$A$2:$A$2501)),NA(),INDEX(KW_TP!$C$2:$C$2501,MATCH($A1200,KW_TP!$A$2:$A$2501,1))))</f>
        <v/>
      </c>
    </row>
    <row r="1201">
      <c r="A1201" s="15">
        <f>IF(ISNUMBER(BBG_Data!A1201),BBG_Data!A1201,"")</f>
        <v/>
      </c>
      <c r="B1201" s="16">
        <f>IF(AND(ISNUMBER($A1201),ISNUMBER(BBG_Data!B1201)),BBG_Data!B1201,NA())</f>
        <v/>
      </c>
      <c r="C1201" s="16">
        <f>IF(AND(ISNUMBER($A1201),ISNUMBER(BBG_Data!C1201)),BBG_Data!C1201,NA())</f>
        <v/>
      </c>
      <c r="D1201" s="17">
        <f>IF(AND(ISNUMBER($A1201),ISNUMBER(BBG_Data!D1201)),BBG_Data!D1201,NA())</f>
        <v/>
      </c>
      <c r="E1201" s="17">
        <f>IF(AND(ISNUMBER($A1201),ISNUMBER(BBG_Data!E1201)),BBG_Data!E1201,NA())</f>
        <v/>
      </c>
      <c r="F1201" s="18">
        <f>IF(AND(ISNUMBER(B1201),ISNUMBER(B1200)),(B1201-B1200)*100,"")</f>
        <v/>
      </c>
      <c r="G1201" s="18">
        <f>IF(AND(ISNUMBER(C1201),ISNUMBER(C1200)),(C1201-C1200)*100,"")</f>
        <v/>
      </c>
      <c r="H1201" s="18">
        <f>IF(OR(NOT(ISNUMBER($A1201)),ROW()-2&lt;Settings!$B$11),NA(),IF(COUNT(OFFSET(F1201,1-Settings!$B$11,0,Settings!$B$11,1))&lt;Settings!$B$11,NA(),STDEV(OFFSET(F1201,1-Settings!$B$11,0,Settings!$B$11,1))*SQRT(Settings!$B$13)))</f>
        <v/>
      </c>
      <c r="I1201" s="18">
        <f>IF(OR(NOT(ISNUMBER($A1201)),ROW()-2&lt;Settings!$B$12),NA(),IF(COUNT(OFFSET(F1201,1-Settings!$B$12,0,Settings!$B$12,1))&lt;Settings!$B$12,NA(),STDEV(OFFSET(F1201,1-Settings!$B$12,0,Settings!$B$12,1))*SQRT(Settings!$B$13)))</f>
        <v/>
      </c>
      <c r="J1201" s="18">
        <f>IF(OR(NOT(ISNUMBER($A1201)),ROW()-2&lt;Settings!$B$11),NA(),IF(COUNT(OFFSET(G1201,1-Settings!$B$11,0,Settings!$B$11,1))&lt;Settings!$B$11,NA(),STDEV(OFFSET(G1201,1-Settings!$B$11,0,Settings!$B$11,1))*SQRT(Settings!$B$13)))</f>
        <v/>
      </c>
      <c r="K1201" s="18">
        <f>IF(OR(NOT(ISNUMBER($A1201)),ROW()-2&lt;Settings!$B$12),NA(),IF(COUNT(OFFSET(G1201,1-Settings!$B$12,0,Settings!$B$12,1))&lt;Settings!$B$12,NA(),STDEV(OFFSET(G1201,1-Settings!$B$12,0,Settings!$B$12,1))*SQRT(Settings!$B$13)))</f>
        <v/>
      </c>
      <c r="L1201" s="18">
        <f>IF(AND(ISNUMBER(D1201),ISNUMBER(H1201)),D1201-H1201,NA())</f>
        <v/>
      </c>
      <c r="M1201" s="18">
        <f>IF(AND(ISNUMBER(E1201),ISNUMBER(K1201)),E1201-K1201,NA())</f>
        <v/>
      </c>
      <c r="N1201" s="18">
        <f>IF(NOT(ISNUMBER($A1201)),NA(),IF(COUNT(OFFSET(G1201,1,0,Settings!$B$12,1))&lt;Settings!$B$12,NA(),STDEV(OFFSET(G1201,1,0,Settings!$B$12,1))*SQRT(Settings!$B$13)))</f>
        <v/>
      </c>
      <c r="O1201" s="18">
        <f>IF(AND(ISNUMBER(E1201),ISNUMBER(N1201)),E1201-N1201,NA())</f>
        <v/>
      </c>
      <c r="P1201" s="17">
        <f>IF(NOT(ISNUMBER($A1201)),NA(),IF(OR($A1201&lt;MIN(KW_TP!$A$2:$A$2501),$A1201&gt;MAX(KW_TP!$A$2:$A$2501)),NA(),INDEX(KW_TP!$C$2:$C$2501,MATCH($A1201,KW_TP!$A$2:$A$2501,1))))</f>
        <v/>
      </c>
    </row>
    <row r="1202">
      <c r="A1202" s="15">
        <f>IF(ISNUMBER(BBG_Data!A1202),BBG_Data!A1202,"")</f>
        <v/>
      </c>
      <c r="B1202" s="16">
        <f>IF(AND(ISNUMBER($A1202),ISNUMBER(BBG_Data!B1202)),BBG_Data!B1202,NA())</f>
        <v/>
      </c>
      <c r="C1202" s="16">
        <f>IF(AND(ISNUMBER($A1202),ISNUMBER(BBG_Data!C1202)),BBG_Data!C1202,NA())</f>
        <v/>
      </c>
      <c r="D1202" s="17">
        <f>IF(AND(ISNUMBER($A1202),ISNUMBER(BBG_Data!D1202)),BBG_Data!D1202,NA())</f>
        <v/>
      </c>
      <c r="E1202" s="17">
        <f>IF(AND(ISNUMBER($A1202),ISNUMBER(BBG_Data!E1202)),BBG_Data!E1202,NA())</f>
        <v/>
      </c>
      <c r="F1202" s="18">
        <f>IF(AND(ISNUMBER(B1202),ISNUMBER(B1201)),(B1202-B1201)*100,"")</f>
        <v/>
      </c>
      <c r="G1202" s="18">
        <f>IF(AND(ISNUMBER(C1202),ISNUMBER(C1201)),(C1202-C1201)*100,"")</f>
        <v/>
      </c>
      <c r="H1202" s="18">
        <f>IF(OR(NOT(ISNUMBER($A1202)),ROW()-2&lt;Settings!$B$11),NA(),IF(COUNT(OFFSET(F1202,1-Settings!$B$11,0,Settings!$B$11,1))&lt;Settings!$B$11,NA(),STDEV(OFFSET(F1202,1-Settings!$B$11,0,Settings!$B$11,1))*SQRT(Settings!$B$13)))</f>
        <v/>
      </c>
      <c r="I1202" s="18">
        <f>IF(OR(NOT(ISNUMBER($A1202)),ROW()-2&lt;Settings!$B$12),NA(),IF(COUNT(OFFSET(F1202,1-Settings!$B$12,0,Settings!$B$12,1))&lt;Settings!$B$12,NA(),STDEV(OFFSET(F1202,1-Settings!$B$12,0,Settings!$B$12,1))*SQRT(Settings!$B$13)))</f>
        <v/>
      </c>
      <c r="J1202" s="18">
        <f>IF(OR(NOT(ISNUMBER($A1202)),ROW()-2&lt;Settings!$B$11),NA(),IF(COUNT(OFFSET(G1202,1-Settings!$B$11,0,Settings!$B$11,1))&lt;Settings!$B$11,NA(),STDEV(OFFSET(G1202,1-Settings!$B$11,0,Settings!$B$11,1))*SQRT(Settings!$B$13)))</f>
        <v/>
      </c>
      <c r="K1202" s="18">
        <f>IF(OR(NOT(ISNUMBER($A1202)),ROW()-2&lt;Settings!$B$12),NA(),IF(COUNT(OFFSET(G1202,1-Settings!$B$12,0,Settings!$B$12,1))&lt;Settings!$B$12,NA(),STDEV(OFFSET(G1202,1-Settings!$B$12,0,Settings!$B$12,1))*SQRT(Settings!$B$13)))</f>
        <v/>
      </c>
      <c r="L1202" s="18">
        <f>IF(AND(ISNUMBER(D1202),ISNUMBER(H1202)),D1202-H1202,NA())</f>
        <v/>
      </c>
      <c r="M1202" s="18">
        <f>IF(AND(ISNUMBER(E1202),ISNUMBER(K1202)),E1202-K1202,NA())</f>
        <v/>
      </c>
      <c r="N1202" s="18">
        <f>IF(NOT(ISNUMBER($A1202)),NA(),IF(COUNT(OFFSET(G1202,1,0,Settings!$B$12,1))&lt;Settings!$B$12,NA(),STDEV(OFFSET(G1202,1,0,Settings!$B$12,1))*SQRT(Settings!$B$13)))</f>
        <v/>
      </c>
      <c r="O1202" s="18">
        <f>IF(AND(ISNUMBER(E1202),ISNUMBER(N1202)),E1202-N1202,NA())</f>
        <v/>
      </c>
      <c r="P1202" s="17">
        <f>IF(NOT(ISNUMBER($A1202)),NA(),IF(OR($A1202&lt;MIN(KW_TP!$A$2:$A$2501),$A1202&gt;MAX(KW_TP!$A$2:$A$2501)),NA(),INDEX(KW_TP!$C$2:$C$2501,MATCH($A1202,KW_TP!$A$2:$A$2501,1))))</f>
        <v/>
      </c>
    </row>
    <row r="1203">
      <c r="A1203" s="15">
        <f>IF(ISNUMBER(BBG_Data!A1203),BBG_Data!A1203,"")</f>
        <v/>
      </c>
      <c r="B1203" s="16">
        <f>IF(AND(ISNUMBER($A1203),ISNUMBER(BBG_Data!B1203)),BBG_Data!B1203,NA())</f>
        <v/>
      </c>
      <c r="C1203" s="16">
        <f>IF(AND(ISNUMBER($A1203),ISNUMBER(BBG_Data!C1203)),BBG_Data!C1203,NA())</f>
        <v/>
      </c>
      <c r="D1203" s="17">
        <f>IF(AND(ISNUMBER($A1203),ISNUMBER(BBG_Data!D1203)),BBG_Data!D1203,NA())</f>
        <v/>
      </c>
      <c r="E1203" s="17">
        <f>IF(AND(ISNUMBER($A1203),ISNUMBER(BBG_Data!E1203)),BBG_Data!E1203,NA())</f>
        <v/>
      </c>
      <c r="F1203" s="18">
        <f>IF(AND(ISNUMBER(B1203),ISNUMBER(B1202)),(B1203-B1202)*100,"")</f>
        <v/>
      </c>
      <c r="G1203" s="18">
        <f>IF(AND(ISNUMBER(C1203),ISNUMBER(C1202)),(C1203-C1202)*100,"")</f>
        <v/>
      </c>
      <c r="H1203" s="18">
        <f>IF(OR(NOT(ISNUMBER($A1203)),ROW()-2&lt;Settings!$B$11),NA(),IF(COUNT(OFFSET(F1203,1-Settings!$B$11,0,Settings!$B$11,1))&lt;Settings!$B$11,NA(),STDEV(OFFSET(F1203,1-Settings!$B$11,0,Settings!$B$11,1))*SQRT(Settings!$B$13)))</f>
        <v/>
      </c>
      <c r="I1203" s="18">
        <f>IF(OR(NOT(ISNUMBER($A1203)),ROW()-2&lt;Settings!$B$12),NA(),IF(COUNT(OFFSET(F1203,1-Settings!$B$12,0,Settings!$B$12,1))&lt;Settings!$B$12,NA(),STDEV(OFFSET(F1203,1-Settings!$B$12,0,Settings!$B$12,1))*SQRT(Settings!$B$13)))</f>
        <v/>
      </c>
      <c r="J1203" s="18">
        <f>IF(OR(NOT(ISNUMBER($A1203)),ROW()-2&lt;Settings!$B$11),NA(),IF(COUNT(OFFSET(G1203,1-Settings!$B$11,0,Settings!$B$11,1))&lt;Settings!$B$11,NA(),STDEV(OFFSET(G1203,1-Settings!$B$11,0,Settings!$B$11,1))*SQRT(Settings!$B$13)))</f>
        <v/>
      </c>
      <c r="K1203" s="18">
        <f>IF(OR(NOT(ISNUMBER($A1203)),ROW()-2&lt;Settings!$B$12),NA(),IF(COUNT(OFFSET(G1203,1-Settings!$B$12,0,Settings!$B$12,1))&lt;Settings!$B$12,NA(),STDEV(OFFSET(G1203,1-Settings!$B$12,0,Settings!$B$12,1))*SQRT(Settings!$B$13)))</f>
        <v/>
      </c>
      <c r="L1203" s="18">
        <f>IF(AND(ISNUMBER(D1203),ISNUMBER(H1203)),D1203-H1203,NA())</f>
        <v/>
      </c>
      <c r="M1203" s="18">
        <f>IF(AND(ISNUMBER(E1203),ISNUMBER(K1203)),E1203-K1203,NA())</f>
        <v/>
      </c>
      <c r="N1203" s="18">
        <f>IF(NOT(ISNUMBER($A1203)),NA(),IF(COUNT(OFFSET(G1203,1,0,Settings!$B$12,1))&lt;Settings!$B$12,NA(),STDEV(OFFSET(G1203,1,0,Settings!$B$12,1))*SQRT(Settings!$B$13)))</f>
        <v/>
      </c>
      <c r="O1203" s="18">
        <f>IF(AND(ISNUMBER(E1203),ISNUMBER(N1203)),E1203-N1203,NA())</f>
        <v/>
      </c>
      <c r="P1203" s="17">
        <f>IF(NOT(ISNUMBER($A1203)),NA(),IF(OR($A1203&lt;MIN(KW_TP!$A$2:$A$2501),$A1203&gt;MAX(KW_TP!$A$2:$A$2501)),NA(),INDEX(KW_TP!$C$2:$C$2501,MATCH($A1203,KW_TP!$A$2:$A$2501,1))))</f>
        <v/>
      </c>
    </row>
    <row r="1204">
      <c r="A1204" s="15">
        <f>IF(ISNUMBER(BBG_Data!A1204),BBG_Data!A1204,"")</f>
        <v/>
      </c>
      <c r="B1204" s="16">
        <f>IF(AND(ISNUMBER($A1204),ISNUMBER(BBG_Data!B1204)),BBG_Data!B1204,NA())</f>
        <v/>
      </c>
      <c r="C1204" s="16">
        <f>IF(AND(ISNUMBER($A1204),ISNUMBER(BBG_Data!C1204)),BBG_Data!C1204,NA())</f>
        <v/>
      </c>
      <c r="D1204" s="17">
        <f>IF(AND(ISNUMBER($A1204),ISNUMBER(BBG_Data!D1204)),BBG_Data!D1204,NA())</f>
        <v/>
      </c>
      <c r="E1204" s="17">
        <f>IF(AND(ISNUMBER($A1204),ISNUMBER(BBG_Data!E1204)),BBG_Data!E1204,NA())</f>
        <v/>
      </c>
      <c r="F1204" s="18">
        <f>IF(AND(ISNUMBER(B1204),ISNUMBER(B1203)),(B1204-B1203)*100,"")</f>
        <v/>
      </c>
      <c r="G1204" s="18">
        <f>IF(AND(ISNUMBER(C1204),ISNUMBER(C1203)),(C1204-C1203)*100,"")</f>
        <v/>
      </c>
      <c r="H1204" s="18">
        <f>IF(OR(NOT(ISNUMBER($A1204)),ROW()-2&lt;Settings!$B$11),NA(),IF(COUNT(OFFSET(F1204,1-Settings!$B$11,0,Settings!$B$11,1))&lt;Settings!$B$11,NA(),STDEV(OFFSET(F1204,1-Settings!$B$11,0,Settings!$B$11,1))*SQRT(Settings!$B$13)))</f>
        <v/>
      </c>
      <c r="I1204" s="18">
        <f>IF(OR(NOT(ISNUMBER($A1204)),ROW()-2&lt;Settings!$B$12),NA(),IF(COUNT(OFFSET(F1204,1-Settings!$B$12,0,Settings!$B$12,1))&lt;Settings!$B$12,NA(),STDEV(OFFSET(F1204,1-Settings!$B$12,0,Settings!$B$12,1))*SQRT(Settings!$B$13)))</f>
        <v/>
      </c>
      <c r="J1204" s="18">
        <f>IF(OR(NOT(ISNUMBER($A1204)),ROW()-2&lt;Settings!$B$11),NA(),IF(COUNT(OFFSET(G1204,1-Settings!$B$11,0,Settings!$B$11,1))&lt;Settings!$B$11,NA(),STDEV(OFFSET(G1204,1-Settings!$B$11,0,Settings!$B$11,1))*SQRT(Settings!$B$13)))</f>
        <v/>
      </c>
      <c r="K1204" s="18">
        <f>IF(OR(NOT(ISNUMBER($A1204)),ROW()-2&lt;Settings!$B$12),NA(),IF(COUNT(OFFSET(G1204,1-Settings!$B$12,0,Settings!$B$12,1))&lt;Settings!$B$12,NA(),STDEV(OFFSET(G1204,1-Settings!$B$12,0,Settings!$B$12,1))*SQRT(Settings!$B$13)))</f>
        <v/>
      </c>
      <c r="L1204" s="18">
        <f>IF(AND(ISNUMBER(D1204),ISNUMBER(H1204)),D1204-H1204,NA())</f>
        <v/>
      </c>
      <c r="M1204" s="18">
        <f>IF(AND(ISNUMBER(E1204),ISNUMBER(K1204)),E1204-K1204,NA())</f>
        <v/>
      </c>
      <c r="N1204" s="18">
        <f>IF(NOT(ISNUMBER($A1204)),NA(),IF(COUNT(OFFSET(G1204,1,0,Settings!$B$12,1))&lt;Settings!$B$12,NA(),STDEV(OFFSET(G1204,1,0,Settings!$B$12,1))*SQRT(Settings!$B$13)))</f>
        <v/>
      </c>
      <c r="O1204" s="18">
        <f>IF(AND(ISNUMBER(E1204),ISNUMBER(N1204)),E1204-N1204,NA())</f>
        <v/>
      </c>
      <c r="P1204" s="17">
        <f>IF(NOT(ISNUMBER($A1204)),NA(),IF(OR($A1204&lt;MIN(KW_TP!$A$2:$A$2501),$A1204&gt;MAX(KW_TP!$A$2:$A$2501)),NA(),INDEX(KW_TP!$C$2:$C$2501,MATCH($A1204,KW_TP!$A$2:$A$2501,1))))</f>
        <v/>
      </c>
    </row>
    <row r="1205">
      <c r="A1205" s="15">
        <f>IF(ISNUMBER(BBG_Data!A1205),BBG_Data!A1205,"")</f>
        <v/>
      </c>
      <c r="B1205" s="16">
        <f>IF(AND(ISNUMBER($A1205),ISNUMBER(BBG_Data!B1205)),BBG_Data!B1205,NA())</f>
        <v/>
      </c>
      <c r="C1205" s="16">
        <f>IF(AND(ISNUMBER($A1205),ISNUMBER(BBG_Data!C1205)),BBG_Data!C1205,NA())</f>
        <v/>
      </c>
      <c r="D1205" s="17">
        <f>IF(AND(ISNUMBER($A1205),ISNUMBER(BBG_Data!D1205)),BBG_Data!D1205,NA())</f>
        <v/>
      </c>
      <c r="E1205" s="17">
        <f>IF(AND(ISNUMBER($A1205),ISNUMBER(BBG_Data!E1205)),BBG_Data!E1205,NA())</f>
        <v/>
      </c>
      <c r="F1205" s="18">
        <f>IF(AND(ISNUMBER(B1205),ISNUMBER(B1204)),(B1205-B1204)*100,"")</f>
        <v/>
      </c>
      <c r="G1205" s="18">
        <f>IF(AND(ISNUMBER(C1205),ISNUMBER(C1204)),(C1205-C1204)*100,"")</f>
        <v/>
      </c>
      <c r="H1205" s="18">
        <f>IF(OR(NOT(ISNUMBER($A1205)),ROW()-2&lt;Settings!$B$11),NA(),IF(COUNT(OFFSET(F1205,1-Settings!$B$11,0,Settings!$B$11,1))&lt;Settings!$B$11,NA(),STDEV(OFFSET(F1205,1-Settings!$B$11,0,Settings!$B$11,1))*SQRT(Settings!$B$13)))</f>
        <v/>
      </c>
      <c r="I1205" s="18">
        <f>IF(OR(NOT(ISNUMBER($A1205)),ROW()-2&lt;Settings!$B$12),NA(),IF(COUNT(OFFSET(F1205,1-Settings!$B$12,0,Settings!$B$12,1))&lt;Settings!$B$12,NA(),STDEV(OFFSET(F1205,1-Settings!$B$12,0,Settings!$B$12,1))*SQRT(Settings!$B$13)))</f>
        <v/>
      </c>
      <c r="J1205" s="18">
        <f>IF(OR(NOT(ISNUMBER($A1205)),ROW()-2&lt;Settings!$B$11),NA(),IF(COUNT(OFFSET(G1205,1-Settings!$B$11,0,Settings!$B$11,1))&lt;Settings!$B$11,NA(),STDEV(OFFSET(G1205,1-Settings!$B$11,0,Settings!$B$11,1))*SQRT(Settings!$B$13)))</f>
        <v/>
      </c>
      <c r="K1205" s="18">
        <f>IF(OR(NOT(ISNUMBER($A1205)),ROW()-2&lt;Settings!$B$12),NA(),IF(COUNT(OFFSET(G1205,1-Settings!$B$12,0,Settings!$B$12,1))&lt;Settings!$B$12,NA(),STDEV(OFFSET(G1205,1-Settings!$B$12,0,Settings!$B$12,1))*SQRT(Settings!$B$13)))</f>
        <v/>
      </c>
      <c r="L1205" s="18">
        <f>IF(AND(ISNUMBER(D1205),ISNUMBER(H1205)),D1205-H1205,NA())</f>
        <v/>
      </c>
      <c r="M1205" s="18">
        <f>IF(AND(ISNUMBER(E1205),ISNUMBER(K1205)),E1205-K1205,NA())</f>
        <v/>
      </c>
      <c r="N1205" s="18">
        <f>IF(NOT(ISNUMBER($A1205)),NA(),IF(COUNT(OFFSET(G1205,1,0,Settings!$B$12,1))&lt;Settings!$B$12,NA(),STDEV(OFFSET(G1205,1,0,Settings!$B$12,1))*SQRT(Settings!$B$13)))</f>
        <v/>
      </c>
      <c r="O1205" s="18">
        <f>IF(AND(ISNUMBER(E1205),ISNUMBER(N1205)),E1205-N1205,NA())</f>
        <v/>
      </c>
      <c r="P1205" s="17">
        <f>IF(NOT(ISNUMBER($A1205)),NA(),IF(OR($A1205&lt;MIN(KW_TP!$A$2:$A$2501),$A1205&gt;MAX(KW_TP!$A$2:$A$2501)),NA(),INDEX(KW_TP!$C$2:$C$2501,MATCH($A1205,KW_TP!$A$2:$A$2501,1))))</f>
        <v/>
      </c>
    </row>
    <row r="1206">
      <c r="A1206" s="15">
        <f>IF(ISNUMBER(BBG_Data!A1206),BBG_Data!A1206,"")</f>
        <v/>
      </c>
      <c r="B1206" s="16">
        <f>IF(AND(ISNUMBER($A1206),ISNUMBER(BBG_Data!B1206)),BBG_Data!B1206,NA())</f>
        <v/>
      </c>
      <c r="C1206" s="16">
        <f>IF(AND(ISNUMBER($A1206),ISNUMBER(BBG_Data!C1206)),BBG_Data!C1206,NA())</f>
        <v/>
      </c>
      <c r="D1206" s="17">
        <f>IF(AND(ISNUMBER($A1206),ISNUMBER(BBG_Data!D1206)),BBG_Data!D1206,NA())</f>
        <v/>
      </c>
      <c r="E1206" s="17">
        <f>IF(AND(ISNUMBER($A1206),ISNUMBER(BBG_Data!E1206)),BBG_Data!E1206,NA())</f>
        <v/>
      </c>
      <c r="F1206" s="18">
        <f>IF(AND(ISNUMBER(B1206),ISNUMBER(B1205)),(B1206-B1205)*100,"")</f>
        <v/>
      </c>
      <c r="G1206" s="18">
        <f>IF(AND(ISNUMBER(C1206),ISNUMBER(C1205)),(C1206-C1205)*100,"")</f>
        <v/>
      </c>
      <c r="H1206" s="18">
        <f>IF(OR(NOT(ISNUMBER($A1206)),ROW()-2&lt;Settings!$B$11),NA(),IF(COUNT(OFFSET(F1206,1-Settings!$B$11,0,Settings!$B$11,1))&lt;Settings!$B$11,NA(),STDEV(OFFSET(F1206,1-Settings!$B$11,0,Settings!$B$11,1))*SQRT(Settings!$B$13)))</f>
        <v/>
      </c>
      <c r="I1206" s="18">
        <f>IF(OR(NOT(ISNUMBER($A1206)),ROW()-2&lt;Settings!$B$12),NA(),IF(COUNT(OFFSET(F1206,1-Settings!$B$12,0,Settings!$B$12,1))&lt;Settings!$B$12,NA(),STDEV(OFFSET(F1206,1-Settings!$B$12,0,Settings!$B$12,1))*SQRT(Settings!$B$13)))</f>
        <v/>
      </c>
      <c r="J1206" s="18">
        <f>IF(OR(NOT(ISNUMBER($A1206)),ROW()-2&lt;Settings!$B$11),NA(),IF(COUNT(OFFSET(G1206,1-Settings!$B$11,0,Settings!$B$11,1))&lt;Settings!$B$11,NA(),STDEV(OFFSET(G1206,1-Settings!$B$11,0,Settings!$B$11,1))*SQRT(Settings!$B$13)))</f>
        <v/>
      </c>
      <c r="K1206" s="18">
        <f>IF(OR(NOT(ISNUMBER($A1206)),ROW()-2&lt;Settings!$B$12),NA(),IF(COUNT(OFFSET(G1206,1-Settings!$B$12,0,Settings!$B$12,1))&lt;Settings!$B$12,NA(),STDEV(OFFSET(G1206,1-Settings!$B$12,0,Settings!$B$12,1))*SQRT(Settings!$B$13)))</f>
        <v/>
      </c>
      <c r="L1206" s="18">
        <f>IF(AND(ISNUMBER(D1206),ISNUMBER(H1206)),D1206-H1206,NA())</f>
        <v/>
      </c>
      <c r="M1206" s="18">
        <f>IF(AND(ISNUMBER(E1206),ISNUMBER(K1206)),E1206-K1206,NA())</f>
        <v/>
      </c>
      <c r="N1206" s="18">
        <f>IF(NOT(ISNUMBER($A1206)),NA(),IF(COUNT(OFFSET(G1206,1,0,Settings!$B$12,1))&lt;Settings!$B$12,NA(),STDEV(OFFSET(G1206,1,0,Settings!$B$12,1))*SQRT(Settings!$B$13)))</f>
        <v/>
      </c>
      <c r="O1206" s="18">
        <f>IF(AND(ISNUMBER(E1206),ISNUMBER(N1206)),E1206-N1206,NA())</f>
        <v/>
      </c>
      <c r="P1206" s="17">
        <f>IF(NOT(ISNUMBER($A1206)),NA(),IF(OR($A1206&lt;MIN(KW_TP!$A$2:$A$2501),$A1206&gt;MAX(KW_TP!$A$2:$A$2501)),NA(),INDEX(KW_TP!$C$2:$C$2501,MATCH($A1206,KW_TP!$A$2:$A$2501,1))))</f>
        <v/>
      </c>
    </row>
    <row r="1207">
      <c r="A1207" s="15">
        <f>IF(ISNUMBER(BBG_Data!A1207),BBG_Data!A1207,"")</f>
        <v/>
      </c>
      <c r="B1207" s="16">
        <f>IF(AND(ISNUMBER($A1207),ISNUMBER(BBG_Data!B1207)),BBG_Data!B1207,NA())</f>
        <v/>
      </c>
      <c r="C1207" s="16">
        <f>IF(AND(ISNUMBER($A1207),ISNUMBER(BBG_Data!C1207)),BBG_Data!C1207,NA())</f>
        <v/>
      </c>
      <c r="D1207" s="17">
        <f>IF(AND(ISNUMBER($A1207),ISNUMBER(BBG_Data!D1207)),BBG_Data!D1207,NA())</f>
        <v/>
      </c>
      <c r="E1207" s="17">
        <f>IF(AND(ISNUMBER($A1207),ISNUMBER(BBG_Data!E1207)),BBG_Data!E1207,NA())</f>
        <v/>
      </c>
      <c r="F1207" s="18">
        <f>IF(AND(ISNUMBER(B1207),ISNUMBER(B1206)),(B1207-B1206)*100,"")</f>
        <v/>
      </c>
      <c r="G1207" s="18">
        <f>IF(AND(ISNUMBER(C1207),ISNUMBER(C1206)),(C1207-C1206)*100,"")</f>
        <v/>
      </c>
      <c r="H1207" s="18">
        <f>IF(OR(NOT(ISNUMBER($A1207)),ROW()-2&lt;Settings!$B$11),NA(),IF(COUNT(OFFSET(F1207,1-Settings!$B$11,0,Settings!$B$11,1))&lt;Settings!$B$11,NA(),STDEV(OFFSET(F1207,1-Settings!$B$11,0,Settings!$B$11,1))*SQRT(Settings!$B$13)))</f>
        <v/>
      </c>
      <c r="I1207" s="18">
        <f>IF(OR(NOT(ISNUMBER($A1207)),ROW()-2&lt;Settings!$B$12),NA(),IF(COUNT(OFFSET(F1207,1-Settings!$B$12,0,Settings!$B$12,1))&lt;Settings!$B$12,NA(),STDEV(OFFSET(F1207,1-Settings!$B$12,0,Settings!$B$12,1))*SQRT(Settings!$B$13)))</f>
        <v/>
      </c>
      <c r="J1207" s="18">
        <f>IF(OR(NOT(ISNUMBER($A1207)),ROW()-2&lt;Settings!$B$11),NA(),IF(COUNT(OFFSET(G1207,1-Settings!$B$11,0,Settings!$B$11,1))&lt;Settings!$B$11,NA(),STDEV(OFFSET(G1207,1-Settings!$B$11,0,Settings!$B$11,1))*SQRT(Settings!$B$13)))</f>
        <v/>
      </c>
      <c r="K1207" s="18">
        <f>IF(OR(NOT(ISNUMBER($A1207)),ROW()-2&lt;Settings!$B$12),NA(),IF(COUNT(OFFSET(G1207,1-Settings!$B$12,0,Settings!$B$12,1))&lt;Settings!$B$12,NA(),STDEV(OFFSET(G1207,1-Settings!$B$12,0,Settings!$B$12,1))*SQRT(Settings!$B$13)))</f>
        <v/>
      </c>
      <c r="L1207" s="18">
        <f>IF(AND(ISNUMBER(D1207),ISNUMBER(H1207)),D1207-H1207,NA())</f>
        <v/>
      </c>
      <c r="M1207" s="18">
        <f>IF(AND(ISNUMBER(E1207),ISNUMBER(K1207)),E1207-K1207,NA())</f>
        <v/>
      </c>
      <c r="N1207" s="18">
        <f>IF(NOT(ISNUMBER($A1207)),NA(),IF(COUNT(OFFSET(G1207,1,0,Settings!$B$12,1))&lt;Settings!$B$12,NA(),STDEV(OFFSET(G1207,1,0,Settings!$B$12,1))*SQRT(Settings!$B$13)))</f>
        <v/>
      </c>
      <c r="O1207" s="18">
        <f>IF(AND(ISNUMBER(E1207),ISNUMBER(N1207)),E1207-N1207,NA())</f>
        <v/>
      </c>
      <c r="P1207" s="17">
        <f>IF(NOT(ISNUMBER($A1207)),NA(),IF(OR($A1207&lt;MIN(KW_TP!$A$2:$A$2501),$A1207&gt;MAX(KW_TP!$A$2:$A$2501)),NA(),INDEX(KW_TP!$C$2:$C$2501,MATCH($A1207,KW_TP!$A$2:$A$2501,1))))</f>
        <v/>
      </c>
    </row>
    <row r="1208">
      <c r="A1208" s="15">
        <f>IF(ISNUMBER(BBG_Data!A1208),BBG_Data!A1208,"")</f>
        <v/>
      </c>
      <c r="B1208" s="16">
        <f>IF(AND(ISNUMBER($A1208),ISNUMBER(BBG_Data!B1208)),BBG_Data!B1208,NA())</f>
        <v/>
      </c>
      <c r="C1208" s="16">
        <f>IF(AND(ISNUMBER($A1208),ISNUMBER(BBG_Data!C1208)),BBG_Data!C1208,NA())</f>
        <v/>
      </c>
      <c r="D1208" s="17">
        <f>IF(AND(ISNUMBER($A1208),ISNUMBER(BBG_Data!D1208)),BBG_Data!D1208,NA())</f>
        <v/>
      </c>
      <c r="E1208" s="17">
        <f>IF(AND(ISNUMBER($A1208),ISNUMBER(BBG_Data!E1208)),BBG_Data!E1208,NA())</f>
        <v/>
      </c>
      <c r="F1208" s="18">
        <f>IF(AND(ISNUMBER(B1208),ISNUMBER(B1207)),(B1208-B1207)*100,"")</f>
        <v/>
      </c>
      <c r="G1208" s="18">
        <f>IF(AND(ISNUMBER(C1208),ISNUMBER(C1207)),(C1208-C1207)*100,"")</f>
        <v/>
      </c>
      <c r="H1208" s="18">
        <f>IF(OR(NOT(ISNUMBER($A1208)),ROW()-2&lt;Settings!$B$11),NA(),IF(COUNT(OFFSET(F1208,1-Settings!$B$11,0,Settings!$B$11,1))&lt;Settings!$B$11,NA(),STDEV(OFFSET(F1208,1-Settings!$B$11,0,Settings!$B$11,1))*SQRT(Settings!$B$13)))</f>
        <v/>
      </c>
      <c r="I1208" s="18">
        <f>IF(OR(NOT(ISNUMBER($A1208)),ROW()-2&lt;Settings!$B$12),NA(),IF(COUNT(OFFSET(F1208,1-Settings!$B$12,0,Settings!$B$12,1))&lt;Settings!$B$12,NA(),STDEV(OFFSET(F1208,1-Settings!$B$12,0,Settings!$B$12,1))*SQRT(Settings!$B$13)))</f>
        <v/>
      </c>
      <c r="J1208" s="18">
        <f>IF(OR(NOT(ISNUMBER($A1208)),ROW()-2&lt;Settings!$B$11),NA(),IF(COUNT(OFFSET(G1208,1-Settings!$B$11,0,Settings!$B$11,1))&lt;Settings!$B$11,NA(),STDEV(OFFSET(G1208,1-Settings!$B$11,0,Settings!$B$11,1))*SQRT(Settings!$B$13)))</f>
        <v/>
      </c>
      <c r="K1208" s="18">
        <f>IF(OR(NOT(ISNUMBER($A1208)),ROW()-2&lt;Settings!$B$12),NA(),IF(COUNT(OFFSET(G1208,1-Settings!$B$12,0,Settings!$B$12,1))&lt;Settings!$B$12,NA(),STDEV(OFFSET(G1208,1-Settings!$B$12,0,Settings!$B$12,1))*SQRT(Settings!$B$13)))</f>
        <v/>
      </c>
      <c r="L1208" s="18">
        <f>IF(AND(ISNUMBER(D1208),ISNUMBER(H1208)),D1208-H1208,NA())</f>
        <v/>
      </c>
      <c r="M1208" s="18">
        <f>IF(AND(ISNUMBER(E1208),ISNUMBER(K1208)),E1208-K1208,NA())</f>
        <v/>
      </c>
      <c r="N1208" s="18">
        <f>IF(NOT(ISNUMBER($A1208)),NA(),IF(COUNT(OFFSET(G1208,1,0,Settings!$B$12,1))&lt;Settings!$B$12,NA(),STDEV(OFFSET(G1208,1,0,Settings!$B$12,1))*SQRT(Settings!$B$13)))</f>
        <v/>
      </c>
      <c r="O1208" s="18">
        <f>IF(AND(ISNUMBER(E1208),ISNUMBER(N1208)),E1208-N1208,NA())</f>
        <v/>
      </c>
      <c r="P1208" s="17">
        <f>IF(NOT(ISNUMBER($A1208)),NA(),IF(OR($A1208&lt;MIN(KW_TP!$A$2:$A$2501),$A1208&gt;MAX(KW_TP!$A$2:$A$2501)),NA(),INDEX(KW_TP!$C$2:$C$2501,MATCH($A1208,KW_TP!$A$2:$A$2501,1))))</f>
        <v/>
      </c>
    </row>
    <row r="1209">
      <c r="A1209" s="15">
        <f>IF(ISNUMBER(BBG_Data!A1209),BBG_Data!A1209,"")</f>
        <v/>
      </c>
      <c r="B1209" s="16">
        <f>IF(AND(ISNUMBER($A1209),ISNUMBER(BBG_Data!B1209)),BBG_Data!B1209,NA())</f>
        <v/>
      </c>
      <c r="C1209" s="16">
        <f>IF(AND(ISNUMBER($A1209),ISNUMBER(BBG_Data!C1209)),BBG_Data!C1209,NA())</f>
        <v/>
      </c>
      <c r="D1209" s="17">
        <f>IF(AND(ISNUMBER($A1209),ISNUMBER(BBG_Data!D1209)),BBG_Data!D1209,NA())</f>
        <v/>
      </c>
      <c r="E1209" s="17">
        <f>IF(AND(ISNUMBER($A1209),ISNUMBER(BBG_Data!E1209)),BBG_Data!E1209,NA())</f>
        <v/>
      </c>
      <c r="F1209" s="18">
        <f>IF(AND(ISNUMBER(B1209),ISNUMBER(B1208)),(B1209-B1208)*100,"")</f>
        <v/>
      </c>
      <c r="G1209" s="18">
        <f>IF(AND(ISNUMBER(C1209),ISNUMBER(C1208)),(C1209-C1208)*100,"")</f>
        <v/>
      </c>
      <c r="H1209" s="18">
        <f>IF(OR(NOT(ISNUMBER($A1209)),ROW()-2&lt;Settings!$B$11),NA(),IF(COUNT(OFFSET(F1209,1-Settings!$B$11,0,Settings!$B$11,1))&lt;Settings!$B$11,NA(),STDEV(OFFSET(F1209,1-Settings!$B$11,0,Settings!$B$11,1))*SQRT(Settings!$B$13)))</f>
        <v/>
      </c>
      <c r="I1209" s="18">
        <f>IF(OR(NOT(ISNUMBER($A1209)),ROW()-2&lt;Settings!$B$12),NA(),IF(COUNT(OFFSET(F1209,1-Settings!$B$12,0,Settings!$B$12,1))&lt;Settings!$B$12,NA(),STDEV(OFFSET(F1209,1-Settings!$B$12,0,Settings!$B$12,1))*SQRT(Settings!$B$13)))</f>
        <v/>
      </c>
      <c r="J1209" s="18">
        <f>IF(OR(NOT(ISNUMBER($A1209)),ROW()-2&lt;Settings!$B$11),NA(),IF(COUNT(OFFSET(G1209,1-Settings!$B$11,0,Settings!$B$11,1))&lt;Settings!$B$11,NA(),STDEV(OFFSET(G1209,1-Settings!$B$11,0,Settings!$B$11,1))*SQRT(Settings!$B$13)))</f>
        <v/>
      </c>
      <c r="K1209" s="18">
        <f>IF(OR(NOT(ISNUMBER($A1209)),ROW()-2&lt;Settings!$B$12),NA(),IF(COUNT(OFFSET(G1209,1-Settings!$B$12,0,Settings!$B$12,1))&lt;Settings!$B$12,NA(),STDEV(OFFSET(G1209,1-Settings!$B$12,0,Settings!$B$12,1))*SQRT(Settings!$B$13)))</f>
        <v/>
      </c>
      <c r="L1209" s="18">
        <f>IF(AND(ISNUMBER(D1209),ISNUMBER(H1209)),D1209-H1209,NA())</f>
        <v/>
      </c>
      <c r="M1209" s="18">
        <f>IF(AND(ISNUMBER(E1209),ISNUMBER(K1209)),E1209-K1209,NA())</f>
        <v/>
      </c>
      <c r="N1209" s="18">
        <f>IF(NOT(ISNUMBER($A1209)),NA(),IF(COUNT(OFFSET(G1209,1,0,Settings!$B$12,1))&lt;Settings!$B$12,NA(),STDEV(OFFSET(G1209,1,0,Settings!$B$12,1))*SQRT(Settings!$B$13)))</f>
        <v/>
      </c>
      <c r="O1209" s="18">
        <f>IF(AND(ISNUMBER(E1209),ISNUMBER(N1209)),E1209-N1209,NA())</f>
        <v/>
      </c>
      <c r="P1209" s="17">
        <f>IF(NOT(ISNUMBER($A1209)),NA(),IF(OR($A1209&lt;MIN(KW_TP!$A$2:$A$2501),$A1209&gt;MAX(KW_TP!$A$2:$A$2501)),NA(),INDEX(KW_TP!$C$2:$C$2501,MATCH($A1209,KW_TP!$A$2:$A$2501,1))))</f>
        <v/>
      </c>
    </row>
    <row r="1210">
      <c r="A1210" s="15">
        <f>IF(ISNUMBER(BBG_Data!A1210),BBG_Data!A1210,"")</f>
        <v/>
      </c>
      <c r="B1210" s="16">
        <f>IF(AND(ISNUMBER($A1210),ISNUMBER(BBG_Data!B1210)),BBG_Data!B1210,NA())</f>
        <v/>
      </c>
      <c r="C1210" s="16">
        <f>IF(AND(ISNUMBER($A1210),ISNUMBER(BBG_Data!C1210)),BBG_Data!C1210,NA())</f>
        <v/>
      </c>
      <c r="D1210" s="17">
        <f>IF(AND(ISNUMBER($A1210),ISNUMBER(BBG_Data!D1210)),BBG_Data!D1210,NA())</f>
        <v/>
      </c>
      <c r="E1210" s="17">
        <f>IF(AND(ISNUMBER($A1210),ISNUMBER(BBG_Data!E1210)),BBG_Data!E1210,NA())</f>
        <v/>
      </c>
      <c r="F1210" s="18">
        <f>IF(AND(ISNUMBER(B1210),ISNUMBER(B1209)),(B1210-B1209)*100,"")</f>
        <v/>
      </c>
      <c r="G1210" s="18">
        <f>IF(AND(ISNUMBER(C1210),ISNUMBER(C1209)),(C1210-C1209)*100,"")</f>
        <v/>
      </c>
      <c r="H1210" s="18">
        <f>IF(OR(NOT(ISNUMBER($A1210)),ROW()-2&lt;Settings!$B$11),NA(),IF(COUNT(OFFSET(F1210,1-Settings!$B$11,0,Settings!$B$11,1))&lt;Settings!$B$11,NA(),STDEV(OFFSET(F1210,1-Settings!$B$11,0,Settings!$B$11,1))*SQRT(Settings!$B$13)))</f>
        <v/>
      </c>
      <c r="I1210" s="18">
        <f>IF(OR(NOT(ISNUMBER($A1210)),ROW()-2&lt;Settings!$B$12),NA(),IF(COUNT(OFFSET(F1210,1-Settings!$B$12,0,Settings!$B$12,1))&lt;Settings!$B$12,NA(),STDEV(OFFSET(F1210,1-Settings!$B$12,0,Settings!$B$12,1))*SQRT(Settings!$B$13)))</f>
        <v/>
      </c>
      <c r="J1210" s="18">
        <f>IF(OR(NOT(ISNUMBER($A1210)),ROW()-2&lt;Settings!$B$11),NA(),IF(COUNT(OFFSET(G1210,1-Settings!$B$11,0,Settings!$B$11,1))&lt;Settings!$B$11,NA(),STDEV(OFFSET(G1210,1-Settings!$B$11,0,Settings!$B$11,1))*SQRT(Settings!$B$13)))</f>
        <v/>
      </c>
      <c r="K1210" s="18">
        <f>IF(OR(NOT(ISNUMBER($A1210)),ROW()-2&lt;Settings!$B$12),NA(),IF(COUNT(OFFSET(G1210,1-Settings!$B$12,0,Settings!$B$12,1))&lt;Settings!$B$12,NA(),STDEV(OFFSET(G1210,1-Settings!$B$12,0,Settings!$B$12,1))*SQRT(Settings!$B$13)))</f>
        <v/>
      </c>
      <c r="L1210" s="18">
        <f>IF(AND(ISNUMBER(D1210),ISNUMBER(H1210)),D1210-H1210,NA())</f>
        <v/>
      </c>
      <c r="M1210" s="18">
        <f>IF(AND(ISNUMBER(E1210),ISNUMBER(K1210)),E1210-K1210,NA())</f>
        <v/>
      </c>
      <c r="N1210" s="18">
        <f>IF(NOT(ISNUMBER($A1210)),NA(),IF(COUNT(OFFSET(G1210,1,0,Settings!$B$12,1))&lt;Settings!$B$12,NA(),STDEV(OFFSET(G1210,1,0,Settings!$B$12,1))*SQRT(Settings!$B$13)))</f>
        <v/>
      </c>
      <c r="O1210" s="18">
        <f>IF(AND(ISNUMBER(E1210),ISNUMBER(N1210)),E1210-N1210,NA())</f>
        <v/>
      </c>
      <c r="P1210" s="17">
        <f>IF(NOT(ISNUMBER($A1210)),NA(),IF(OR($A1210&lt;MIN(KW_TP!$A$2:$A$2501),$A1210&gt;MAX(KW_TP!$A$2:$A$2501)),NA(),INDEX(KW_TP!$C$2:$C$2501,MATCH($A1210,KW_TP!$A$2:$A$2501,1))))</f>
        <v/>
      </c>
    </row>
    <row r="1211">
      <c r="A1211" s="15">
        <f>IF(ISNUMBER(BBG_Data!A1211),BBG_Data!A1211,"")</f>
        <v/>
      </c>
      <c r="B1211" s="16">
        <f>IF(AND(ISNUMBER($A1211),ISNUMBER(BBG_Data!B1211)),BBG_Data!B1211,NA())</f>
        <v/>
      </c>
      <c r="C1211" s="16">
        <f>IF(AND(ISNUMBER($A1211),ISNUMBER(BBG_Data!C1211)),BBG_Data!C1211,NA())</f>
        <v/>
      </c>
      <c r="D1211" s="17">
        <f>IF(AND(ISNUMBER($A1211),ISNUMBER(BBG_Data!D1211)),BBG_Data!D1211,NA())</f>
        <v/>
      </c>
      <c r="E1211" s="17">
        <f>IF(AND(ISNUMBER($A1211),ISNUMBER(BBG_Data!E1211)),BBG_Data!E1211,NA())</f>
        <v/>
      </c>
      <c r="F1211" s="18">
        <f>IF(AND(ISNUMBER(B1211),ISNUMBER(B1210)),(B1211-B1210)*100,"")</f>
        <v/>
      </c>
      <c r="G1211" s="18">
        <f>IF(AND(ISNUMBER(C1211),ISNUMBER(C1210)),(C1211-C1210)*100,"")</f>
        <v/>
      </c>
      <c r="H1211" s="18">
        <f>IF(OR(NOT(ISNUMBER($A1211)),ROW()-2&lt;Settings!$B$11),NA(),IF(COUNT(OFFSET(F1211,1-Settings!$B$11,0,Settings!$B$11,1))&lt;Settings!$B$11,NA(),STDEV(OFFSET(F1211,1-Settings!$B$11,0,Settings!$B$11,1))*SQRT(Settings!$B$13)))</f>
        <v/>
      </c>
      <c r="I1211" s="18">
        <f>IF(OR(NOT(ISNUMBER($A1211)),ROW()-2&lt;Settings!$B$12),NA(),IF(COUNT(OFFSET(F1211,1-Settings!$B$12,0,Settings!$B$12,1))&lt;Settings!$B$12,NA(),STDEV(OFFSET(F1211,1-Settings!$B$12,0,Settings!$B$12,1))*SQRT(Settings!$B$13)))</f>
        <v/>
      </c>
      <c r="J1211" s="18">
        <f>IF(OR(NOT(ISNUMBER($A1211)),ROW()-2&lt;Settings!$B$11),NA(),IF(COUNT(OFFSET(G1211,1-Settings!$B$11,0,Settings!$B$11,1))&lt;Settings!$B$11,NA(),STDEV(OFFSET(G1211,1-Settings!$B$11,0,Settings!$B$11,1))*SQRT(Settings!$B$13)))</f>
        <v/>
      </c>
      <c r="K1211" s="18">
        <f>IF(OR(NOT(ISNUMBER($A1211)),ROW()-2&lt;Settings!$B$12),NA(),IF(COUNT(OFFSET(G1211,1-Settings!$B$12,0,Settings!$B$12,1))&lt;Settings!$B$12,NA(),STDEV(OFFSET(G1211,1-Settings!$B$12,0,Settings!$B$12,1))*SQRT(Settings!$B$13)))</f>
        <v/>
      </c>
      <c r="L1211" s="18">
        <f>IF(AND(ISNUMBER(D1211),ISNUMBER(H1211)),D1211-H1211,NA())</f>
        <v/>
      </c>
      <c r="M1211" s="18">
        <f>IF(AND(ISNUMBER(E1211),ISNUMBER(K1211)),E1211-K1211,NA())</f>
        <v/>
      </c>
      <c r="N1211" s="18">
        <f>IF(NOT(ISNUMBER($A1211)),NA(),IF(COUNT(OFFSET(G1211,1,0,Settings!$B$12,1))&lt;Settings!$B$12,NA(),STDEV(OFFSET(G1211,1,0,Settings!$B$12,1))*SQRT(Settings!$B$13)))</f>
        <v/>
      </c>
      <c r="O1211" s="18">
        <f>IF(AND(ISNUMBER(E1211),ISNUMBER(N1211)),E1211-N1211,NA())</f>
        <v/>
      </c>
      <c r="P1211" s="17">
        <f>IF(NOT(ISNUMBER($A1211)),NA(),IF(OR($A1211&lt;MIN(KW_TP!$A$2:$A$2501),$A1211&gt;MAX(KW_TP!$A$2:$A$2501)),NA(),INDEX(KW_TP!$C$2:$C$2501,MATCH($A1211,KW_TP!$A$2:$A$2501,1))))</f>
        <v/>
      </c>
    </row>
    <row r="1212">
      <c r="A1212" s="15">
        <f>IF(ISNUMBER(BBG_Data!A1212),BBG_Data!A1212,"")</f>
        <v/>
      </c>
      <c r="B1212" s="16">
        <f>IF(AND(ISNUMBER($A1212),ISNUMBER(BBG_Data!B1212)),BBG_Data!B1212,NA())</f>
        <v/>
      </c>
      <c r="C1212" s="16">
        <f>IF(AND(ISNUMBER($A1212),ISNUMBER(BBG_Data!C1212)),BBG_Data!C1212,NA())</f>
        <v/>
      </c>
      <c r="D1212" s="17">
        <f>IF(AND(ISNUMBER($A1212),ISNUMBER(BBG_Data!D1212)),BBG_Data!D1212,NA())</f>
        <v/>
      </c>
      <c r="E1212" s="17">
        <f>IF(AND(ISNUMBER($A1212),ISNUMBER(BBG_Data!E1212)),BBG_Data!E1212,NA())</f>
        <v/>
      </c>
      <c r="F1212" s="18">
        <f>IF(AND(ISNUMBER(B1212),ISNUMBER(B1211)),(B1212-B1211)*100,"")</f>
        <v/>
      </c>
      <c r="G1212" s="18">
        <f>IF(AND(ISNUMBER(C1212),ISNUMBER(C1211)),(C1212-C1211)*100,"")</f>
        <v/>
      </c>
      <c r="H1212" s="18">
        <f>IF(OR(NOT(ISNUMBER($A1212)),ROW()-2&lt;Settings!$B$11),NA(),IF(COUNT(OFFSET(F1212,1-Settings!$B$11,0,Settings!$B$11,1))&lt;Settings!$B$11,NA(),STDEV(OFFSET(F1212,1-Settings!$B$11,0,Settings!$B$11,1))*SQRT(Settings!$B$13)))</f>
        <v/>
      </c>
      <c r="I1212" s="18">
        <f>IF(OR(NOT(ISNUMBER($A1212)),ROW()-2&lt;Settings!$B$12),NA(),IF(COUNT(OFFSET(F1212,1-Settings!$B$12,0,Settings!$B$12,1))&lt;Settings!$B$12,NA(),STDEV(OFFSET(F1212,1-Settings!$B$12,0,Settings!$B$12,1))*SQRT(Settings!$B$13)))</f>
        <v/>
      </c>
      <c r="J1212" s="18">
        <f>IF(OR(NOT(ISNUMBER($A1212)),ROW()-2&lt;Settings!$B$11),NA(),IF(COUNT(OFFSET(G1212,1-Settings!$B$11,0,Settings!$B$11,1))&lt;Settings!$B$11,NA(),STDEV(OFFSET(G1212,1-Settings!$B$11,0,Settings!$B$11,1))*SQRT(Settings!$B$13)))</f>
        <v/>
      </c>
      <c r="K1212" s="18">
        <f>IF(OR(NOT(ISNUMBER($A1212)),ROW()-2&lt;Settings!$B$12),NA(),IF(COUNT(OFFSET(G1212,1-Settings!$B$12,0,Settings!$B$12,1))&lt;Settings!$B$12,NA(),STDEV(OFFSET(G1212,1-Settings!$B$12,0,Settings!$B$12,1))*SQRT(Settings!$B$13)))</f>
        <v/>
      </c>
      <c r="L1212" s="18">
        <f>IF(AND(ISNUMBER(D1212),ISNUMBER(H1212)),D1212-H1212,NA())</f>
        <v/>
      </c>
      <c r="M1212" s="18">
        <f>IF(AND(ISNUMBER(E1212),ISNUMBER(K1212)),E1212-K1212,NA())</f>
        <v/>
      </c>
      <c r="N1212" s="18">
        <f>IF(NOT(ISNUMBER($A1212)),NA(),IF(COUNT(OFFSET(G1212,1,0,Settings!$B$12,1))&lt;Settings!$B$12,NA(),STDEV(OFFSET(G1212,1,0,Settings!$B$12,1))*SQRT(Settings!$B$13)))</f>
        <v/>
      </c>
      <c r="O1212" s="18">
        <f>IF(AND(ISNUMBER(E1212),ISNUMBER(N1212)),E1212-N1212,NA())</f>
        <v/>
      </c>
      <c r="P1212" s="17">
        <f>IF(NOT(ISNUMBER($A1212)),NA(),IF(OR($A1212&lt;MIN(KW_TP!$A$2:$A$2501),$A1212&gt;MAX(KW_TP!$A$2:$A$2501)),NA(),INDEX(KW_TP!$C$2:$C$2501,MATCH($A1212,KW_TP!$A$2:$A$2501,1))))</f>
        <v/>
      </c>
    </row>
    <row r="1213">
      <c r="A1213" s="15">
        <f>IF(ISNUMBER(BBG_Data!A1213),BBG_Data!A1213,"")</f>
        <v/>
      </c>
      <c r="B1213" s="16">
        <f>IF(AND(ISNUMBER($A1213),ISNUMBER(BBG_Data!B1213)),BBG_Data!B1213,NA())</f>
        <v/>
      </c>
      <c r="C1213" s="16">
        <f>IF(AND(ISNUMBER($A1213),ISNUMBER(BBG_Data!C1213)),BBG_Data!C1213,NA())</f>
        <v/>
      </c>
      <c r="D1213" s="17">
        <f>IF(AND(ISNUMBER($A1213),ISNUMBER(BBG_Data!D1213)),BBG_Data!D1213,NA())</f>
        <v/>
      </c>
      <c r="E1213" s="17">
        <f>IF(AND(ISNUMBER($A1213),ISNUMBER(BBG_Data!E1213)),BBG_Data!E1213,NA())</f>
        <v/>
      </c>
      <c r="F1213" s="18">
        <f>IF(AND(ISNUMBER(B1213),ISNUMBER(B1212)),(B1213-B1212)*100,"")</f>
        <v/>
      </c>
      <c r="G1213" s="18">
        <f>IF(AND(ISNUMBER(C1213),ISNUMBER(C1212)),(C1213-C1212)*100,"")</f>
        <v/>
      </c>
      <c r="H1213" s="18">
        <f>IF(OR(NOT(ISNUMBER($A1213)),ROW()-2&lt;Settings!$B$11),NA(),IF(COUNT(OFFSET(F1213,1-Settings!$B$11,0,Settings!$B$11,1))&lt;Settings!$B$11,NA(),STDEV(OFFSET(F1213,1-Settings!$B$11,0,Settings!$B$11,1))*SQRT(Settings!$B$13)))</f>
        <v/>
      </c>
      <c r="I1213" s="18">
        <f>IF(OR(NOT(ISNUMBER($A1213)),ROW()-2&lt;Settings!$B$12),NA(),IF(COUNT(OFFSET(F1213,1-Settings!$B$12,0,Settings!$B$12,1))&lt;Settings!$B$12,NA(),STDEV(OFFSET(F1213,1-Settings!$B$12,0,Settings!$B$12,1))*SQRT(Settings!$B$13)))</f>
        <v/>
      </c>
      <c r="J1213" s="18">
        <f>IF(OR(NOT(ISNUMBER($A1213)),ROW()-2&lt;Settings!$B$11),NA(),IF(COUNT(OFFSET(G1213,1-Settings!$B$11,0,Settings!$B$11,1))&lt;Settings!$B$11,NA(),STDEV(OFFSET(G1213,1-Settings!$B$11,0,Settings!$B$11,1))*SQRT(Settings!$B$13)))</f>
        <v/>
      </c>
      <c r="K1213" s="18">
        <f>IF(OR(NOT(ISNUMBER($A1213)),ROW()-2&lt;Settings!$B$12),NA(),IF(COUNT(OFFSET(G1213,1-Settings!$B$12,0,Settings!$B$12,1))&lt;Settings!$B$12,NA(),STDEV(OFFSET(G1213,1-Settings!$B$12,0,Settings!$B$12,1))*SQRT(Settings!$B$13)))</f>
        <v/>
      </c>
      <c r="L1213" s="18">
        <f>IF(AND(ISNUMBER(D1213),ISNUMBER(H1213)),D1213-H1213,NA())</f>
        <v/>
      </c>
      <c r="M1213" s="18">
        <f>IF(AND(ISNUMBER(E1213),ISNUMBER(K1213)),E1213-K1213,NA())</f>
        <v/>
      </c>
      <c r="N1213" s="18">
        <f>IF(NOT(ISNUMBER($A1213)),NA(),IF(COUNT(OFFSET(G1213,1,0,Settings!$B$12,1))&lt;Settings!$B$12,NA(),STDEV(OFFSET(G1213,1,0,Settings!$B$12,1))*SQRT(Settings!$B$13)))</f>
        <v/>
      </c>
      <c r="O1213" s="18">
        <f>IF(AND(ISNUMBER(E1213),ISNUMBER(N1213)),E1213-N1213,NA())</f>
        <v/>
      </c>
      <c r="P1213" s="17">
        <f>IF(NOT(ISNUMBER($A1213)),NA(),IF(OR($A1213&lt;MIN(KW_TP!$A$2:$A$2501),$A1213&gt;MAX(KW_TP!$A$2:$A$2501)),NA(),INDEX(KW_TP!$C$2:$C$2501,MATCH($A1213,KW_TP!$A$2:$A$2501,1))))</f>
        <v/>
      </c>
    </row>
    <row r="1214">
      <c r="A1214" s="15">
        <f>IF(ISNUMBER(BBG_Data!A1214),BBG_Data!A1214,"")</f>
        <v/>
      </c>
      <c r="B1214" s="16">
        <f>IF(AND(ISNUMBER($A1214),ISNUMBER(BBG_Data!B1214)),BBG_Data!B1214,NA())</f>
        <v/>
      </c>
      <c r="C1214" s="16">
        <f>IF(AND(ISNUMBER($A1214),ISNUMBER(BBG_Data!C1214)),BBG_Data!C1214,NA())</f>
        <v/>
      </c>
      <c r="D1214" s="17">
        <f>IF(AND(ISNUMBER($A1214),ISNUMBER(BBG_Data!D1214)),BBG_Data!D1214,NA())</f>
        <v/>
      </c>
      <c r="E1214" s="17">
        <f>IF(AND(ISNUMBER($A1214),ISNUMBER(BBG_Data!E1214)),BBG_Data!E1214,NA())</f>
        <v/>
      </c>
      <c r="F1214" s="18">
        <f>IF(AND(ISNUMBER(B1214),ISNUMBER(B1213)),(B1214-B1213)*100,"")</f>
        <v/>
      </c>
      <c r="G1214" s="18">
        <f>IF(AND(ISNUMBER(C1214),ISNUMBER(C1213)),(C1214-C1213)*100,"")</f>
        <v/>
      </c>
      <c r="H1214" s="18">
        <f>IF(OR(NOT(ISNUMBER($A1214)),ROW()-2&lt;Settings!$B$11),NA(),IF(COUNT(OFFSET(F1214,1-Settings!$B$11,0,Settings!$B$11,1))&lt;Settings!$B$11,NA(),STDEV(OFFSET(F1214,1-Settings!$B$11,0,Settings!$B$11,1))*SQRT(Settings!$B$13)))</f>
        <v/>
      </c>
      <c r="I1214" s="18">
        <f>IF(OR(NOT(ISNUMBER($A1214)),ROW()-2&lt;Settings!$B$12),NA(),IF(COUNT(OFFSET(F1214,1-Settings!$B$12,0,Settings!$B$12,1))&lt;Settings!$B$12,NA(),STDEV(OFFSET(F1214,1-Settings!$B$12,0,Settings!$B$12,1))*SQRT(Settings!$B$13)))</f>
        <v/>
      </c>
      <c r="J1214" s="18">
        <f>IF(OR(NOT(ISNUMBER($A1214)),ROW()-2&lt;Settings!$B$11),NA(),IF(COUNT(OFFSET(G1214,1-Settings!$B$11,0,Settings!$B$11,1))&lt;Settings!$B$11,NA(),STDEV(OFFSET(G1214,1-Settings!$B$11,0,Settings!$B$11,1))*SQRT(Settings!$B$13)))</f>
        <v/>
      </c>
      <c r="K1214" s="18">
        <f>IF(OR(NOT(ISNUMBER($A1214)),ROW()-2&lt;Settings!$B$12),NA(),IF(COUNT(OFFSET(G1214,1-Settings!$B$12,0,Settings!$B$12,1))&lt;Settings!$B$12,NA(),STDEV(OFFSET(G1214,1-Settings!$B$12,0,Settings!$B$12,1))*SQRT(Settings!$B$13)))</f>
        <v/>
      </c>
      <c r="L1214" s="18">
        <f>IF(AND(ISNUMBER(D1214),ISNUMBER(H1214)),D1214-H1214,NA())</f>
        <v/>
      </c>
      <c r="M1214" s="18">
        <f>IF(AND(ISNUMBER(E1214),ISNUMBER(K1214)),E1214-K1214,NA())</f>
        <v/>
      </c>
      <c r="N1214" s="18">
        <f>IF(NOT(ISNUMBER($A1214)),NA(),IF(COUNT(OFFSET(G1214,1,0,Settings!$B$12,1))&lt;Settings!$B$12,NA(),STDEV(OFFSET(G1214,1,0,Settings!$B$12,1))*SQRT(Settings!$B$13)))</f>
        <v/>
      </c>
      <c r="O1214" s="18">
        <f>IF(AND(ISNUMBER(E1214),ISNUMBER(N1214)),E1214-N1214,NA())</f>
        <v/>
      </c>
      <c r="P1214" s="17">
        <f>IF(NOT(ISNUMBER($A1214)),NA(),IF(OR($A1214&lt;MIN(KW_TP!$A$2:$A$2501),$A1214&gt;MAX(KW_TP!$A$2:$A$2501)),NA(),INDEX(KW_TP!$C$2:$C$2501,MATCH($A1214,KW_TP!$A$2:$A$2501,1))))</f>
        <v/>
      </c>
    </row>
    <row r="1215">
      <c r="A1215" s="15">
        <f>IF(ISNUMBER(BBG_Data!A1215),BBG_Data!A1215,"")</f>
        <v/>
      </c>
      <c r="B1215" s="16">
        <f>IF(AND(ISNUMBER($A1215),ISNUMBER(BBG_Data!B1215)),BBG_Data!B1215,NA())</f>
        <v/>
      </c>
      <c r="C1215" s="16">
        <f>IF(AND(ISNUMBER($A1215),ISNUMBER(BBG_Data!C1215)),BBG_Data!C1215,NA())</f>
        <v/>
      </c>
      <c r="D1215" s="17">
        <f>IF(AND(ISNUMBER($A1215),ISNUMBER(BBG_Data!D1215)),BBG_Data!D1215,NA())</f>
        <v/>
      </c>
      <c r="E1215" s="17">
        <f>IF(AND(ISNUMBER($A1215),ISNUMBER(BBG_Data!E1215)),BBG_Data!E1215,NA())</f>
        <v/>
      </c>
      <c r="F1215" s="18">
        <f>IF(AND(ISNUMBER(B1215),ISNUMBER(B1214)),(B1215-B1214)*100,"")</f>
        <v/>
      </c>
      <c r="G1215" s="18">
        <f>IF(AND(ISNUMBER(C1215),ISNUMBER(C1214)),(C1215-C1214)*100,"")</f>
        <v/>
      </c>
      <c r="H1215" s="18">
        <f>IF(OR(NOT(ISNUMBER($A1215)),ROW()-2&lt;Settings!$B$11),NA(),IF(COUNT(OFFSET(F1215,1-Settings!$B$11,0,Settings!$B$11,1))&lt;Settings!$B$11,NA(),STDEV(OFFSET(F1215,1-Settings!$B$11,0,Settings!$B$11,1))*SQRT(Settings!$B$13)))</f>
        <v/>
      </c>
      <c r="I1215" s="18">
        <f>IF(OR(NOT(ISNUMBER($A1215)),ROW()-2&lt;Settings!$B$12),NA(),IF(COUNT(OFFSET(F1215,1-Settings!$B$12,0,Settings!$B$12,1))&lt;Settings!$B$12,NA(),STDEV(OFFSET(F1215,1-Settings!$B$12,0,Settings!$B$12,1))*SQRT(Settings!$B$13)))</f>
        <v/>
      </c>
      <c r="J1215" s="18">
        <f>IF(OR(NOT(ISNUMBER($A1215)),ROW()-2&lt;Settings!$B$11),NA(),IF(COUNT(OFFSET(G1215,1-Settings!$B$11,0,Settings!$B$11,1))&lt;Settings!$B$11,NA(),STDEV(OFFSET(G1215,1-Settings!$B$11,0,Settings!$B$11,1))*SQRT(Settings!$B$13)))</f>
        <v/>
      </c>
      <c r="K1215" s="18">
        <f>IF(OR(NOT(ISNUMBER($A1215)),ROW()-2&lt;Settings!$B$12),NA(),IF(COUNT(OFFSET(G1215,1-Settings!$B$12,0,Settings!$B$12,1))&lt;Settings!$B$12,NA(),STDEV(OFFSET(G1215,1-Settings!$B$12,0,Settings!$B$12,1))*SQRT(Settings!$B$13)))</f>
        <v/>
      </c>
      <c r="L1215" s="18">
        <f>IF(AND(ISNUMBER(D1215),ISNUMBER(H1215)),D1215-H1215,NA())</f>
        <v/>
      </c>
      <c r="M1215" s="18">
        <f>IF(AND(ISNUMBER(E1215),ISNUMBER(K1215)),E1215-K1215,NA())</f>
        <v/>
      </c>
      <c r="N1215" s="18">
        <f>IF(NOT(ISNUMBER($A1215)),NA(),IF(COUNT(OFFSET(G1215,1,0,Settings!$B$12,1))&lt;Settings!$B$12,NA(),STDEV(OFFSET(G1215,1,0,Settings!$B$12,1))*SQRT(Settings!$B$13)))</f>
        <v/>
      </c>
      <c r="O1215" s="18">
        <f>IF(AND(ISNUMBER(E1215),ISNUMBER(N1215)),E1215-N1215,NA())</f>
        <v/>
      </c>
      <c r="P1215" s="17">
        <f>IF(NOT(ISNUMBER($A1215)),NA(),IF(OR($A1215&lt;MIN(KW_TP!$A$2:$A$2501),$A1215&gt;MAX(KW_TP!$A$2:$A$2501)),NA(),INDEX(KW_TP!$C$2:$C$2501,MATCH($A1215,KW_TP!$A$2:$A$2501,1))))</f>
        <v/>
      </c>
    </row>
    <row r="1216">
      <c r="A1216" s="15">
        <f>IF(ISNUMBER(BBG_Data!A1216),BBG_Data!A1216,"")</f>
        <v/>
      </c>
      <c r="B1216" s="16">
        <f>IF(AND(ISNUMBER($A1216),ISNUMBER(BBG_Data!B1216)),BBG_Data!B1216,NA())</f>
        <v/>
      </c>
      <c r="C1216" s="16">
        <f>IF(AND(ISNUMBER($A1216),ISNUMBER(BBG_Data!C1216)),BBG_Data!C1216,NA())</f>
        <v/>
      </c>
      <c r="D1216" s="17">
        <f>IF(AND(ISNUMBER($A1216),ISNUMBER(BBG_Data!D1216)),BBG_Data!D1216,NA())</f>
        <v/>
      </c>
      <c r="E1216" s="17">
        <f>IF(AND(ISNUMBER($A1216),ISNUMBER(BBG_Data!E1216)),BBG_Data!E1216,NA())</f>
        <v/>
      </c>
      <c r="F1216" s="18">
        <f>IF(AND(ISNUMBER(B1216),ISNUMBER(B1215)),(B1216-B1215)*100,"")</f>
        <v/>
      </c>
      <c r="G1216" s="18">
        <f>IF(AND(ISNUMBER(C1216),ISNUMBER(C1215)),(C1216-C1215)*100,"")</f>
        <v/>
      </c>
      <c r="H1216" s="18">
        <f>IF(OR(NOT(ISNUMBER($A1216)),ROW()-2&lt;Settings!$B$11),NA(),IF(COUNT(OFFSET(F1216,1-Settings!$B$11,0,Settings!$B$11,1))&lt;Settings!$B$11,NA(),STDEV(OFFSET(F1216,1-Settings!$B$11,0,Settings!$B$11,1))*SQRT(Settings!$B$13)))</f>
        <v/>
      </c>
      <c r="I1216" s="18">
        <f>IF(OR(NOT(ISNUMBER($A1216)),ROW()-2&lt;Settings!$B$12),NA(),IF(COUNT(OFFSET(F1216,1-Settings!$B$12,0,Settings!$B$12,1))&lt;Settings!$B$12,NA(),STDEV(OFFSET(F1216,1-Settings!$B$12,0,Settings!$B$12,1))*SQRT(Settings!$B$13)))</f>
        <v/>
      </c>
      <c r="J1216" s="18">
        <f>IF(OR(NOT(ISNUMBER($A1216)),ROW()-2&lt;Settings!$B$11),NA(),IF(COUNT(OFFSET(G1216,1-Settings!$B$11,0,Settings!$B$11,1))&lt;Settings!$B$11,NA(),STDEV(OFFSET(G1216,1-Settings!$B$11,0,Settings!$B$11,1))*SQRT(Settings!$B$13)))</f>
        <v/>
      </c>
      <c r="K1216" s="18">
        <f>IF(OR(NOT(ISNUMBER($A1216)),ROW()-2&lt;Settings!$B$12),NA(),IF(COUNT(OFFSET(G1216,1-Settings!$B$12,0,Settings!$B$12,1))&lt;Settings!$B$12,NA(),STDEV(OFFSET(G1216,1-Settings!$B$12,0,Settings!$B$12,1))*SQRT(Settings!$B$13)))</f>
        <v/>
      </c>
      <c r="L1216" s="18">
        <f>IF(AND(ISNUMBER(D1216),ISNUMBER(H1216)),D1216-H1216,NA())</f>
        <v/>
      </c>
      <c r="M1216" s="18">
        <f>IF(AND(ISNUMBER(E1216),ISNUMBER(K1216)),E1216-K1216,NA())</f>
        <v/>
      </c>
      <c r="N1216" s="18">
        <f>IF(NOT(ISNUMBER($A1216)),NA(),IF(COUNT(OFFSET(G1216,1,0,Settings!$B$12,1))&lt;Settings!$B$12,NA(),STDEV(OFFSET(G1216,1,0,Settings!$B$12,1))*SQRT(Settings!$B$13)))</f>
        <v/>
      </c>
      <c r="O1216" s="18">
        <f>IF(AND(ISNUMBER(E1216),ISNUMBER(N1216)),E1216-N1216,NA())</f>
        <v/>
      </c>
      <c r="P1216" s="17">
        <f>IF(NOT(ISNUMBER($A1216)),NA(),IF(OR($A1216&lt;MIN(KW_TP!$A$2:$A$2501),$A1216&gt;MAX(KW_TP!$A$2:$A$2501)),NA(),INDEX(KW_TP!$C$2:$C$2501,MATCH($A1216,KW_TP!$A$2:$A$2501,1))))</f>
        <v/>
      </c>
    </row>
    <row r="1217">
      <c r="A1217" s="15">
        <f>IF(ISNUMBER(BBG_Data!A1217),BBG_Data!A1217,"")</f>
        <v/>
      </c>
      <c r="B1217" s="16">
        <f>IF(AND(ISNUMBER($A1217),ISNUMBER(BBG_Data!B1217)),BBG_Data!B1217,NA())</f>
        <v/>
      </c>
      <c r="C1217" s="16">
        <f>IF(AND(ISNUMBER($A1217),ISNUMBER(BBG_Data!C1217)),BBG_Data!C1217,NA())</f>
        <v/>
      </c>
      <c r="D1217" s="17">
        <f>IF(AND(ISNUMBER($A1217),ISNUMBER(BBG_Data!D1217)),BBG_Data!D1217,NA())</f>
        <v/>
      </c>
      <c r="E1217" s="17">
        <f>IF(AND(ISNUMBER($A1217),ISNUMBER(BBG_Data!E1217)),BBG_Data!E1217,NA())</f>
        <v/>
      </c>
      <c r="F1217" s="18">
        <f>IF(AND(ISNUMBER(B1217),ISNUMBER(B1216)),(B1217-B1216)*100,"")</f>
        <v/>
      </c>
      <c r="G1217" s="18">
        <f>IF(AND(ISNUMBER(C1217),ISNUMBER(C1216)),(C1217-C1216)*100,"")</f>
        <v/>
      </c>
      <c r="H1217" s="18">
        <f>IF(OR(NOT(ISNUMBER($A1217)),ROW()-2&lt;Settings!$B$11),NA(),IF(COUNT(OFFSET(F1217,1-Settings!$B$11,0,Settings!$B$11,1))&lt;Settings!$B$11,NA(),STDEV(OFFSET(F1217,1-Settings!$B$11,0,Settings!$B$11,1))*SQRT(Settings!$B$13)))</f>
        <v/>
      </c>
      <c r="I1217" s="18">
        <f>IF(OR(NOT(ISNUMBER($A1217)),ROW()-2&lt;Settings!$B$12),NA(),IF(COUNT(OFFSET(F1217,1-Settings!$B$12,0,Settings!$B$12,1))&lt;Settings!$B$12,NA(),STDEV(OFFSET(F1217,1-Settings!$B$12,0,Settings!$B$12,1))*SQRT(Settings!$B$13)))</f>
        <v/>
      </c>
      <c r="J1217" s="18">
        <f>IF(OR(NOT(ISNUMBER($A1217)),ROW()-2&lt;Settings!$B$11),NA(),IF(COUNT(OFFSET(G1217,1-Settings!$B$11,0,Settings!$B$11,1))&lt;Settings!$B$11,NA(),STDEV(OFFSET(G1217,1-Settings!$B$11,0,Settings!$B$11,1))*SQRT(Settings!$B$13)))</f>
        <v/>
      </c>
      <c r="K1217" s="18">
        <f>IF(OR(NOT(ISNUMBER($A1217)),ROW()-2&lt;Settings!$B$12),NA(),IF(COUNT(OFFSET(G1217,1-Settings!$B$12,0,Settings!$B$12,1))&lt;Settings!$B$12,NA(),STDEV(OFFSET(G1217,1-Settings!$B$12,0,Settings!$B$12,1))*SQRT(Settings!$B$13)))</f>
        <v/>
      </c>
      <c r="L1217" s="18">
        <f>IF(AND(ISNUMBER(D1217),ISNUMBER(H1217)),D1217-H1217,NA())</f>
        <v/>
      </c>
      <c r="M1217" s="18">
        <f>IF(AND(ISNUMBER(E1217),ISNUMBER(K1217)),E1217-K1217,NA())</f>
        <v/>
      </c>
      <c r="N1217" s="18">
        <f>IF(NOT(ISNUMBER($A1217)),NA(),IF(COUNT(OFFSET(G1217,1,0,Settings!$B$12,1))&lt;Settings!$B$12,NA(),STDEV(OFFSET(G1217,1,0,Settings!$B$12,1))*SQRT(Settings!$B$13)))</f>
        <v/>
      </c>
      <c r="O1217" s="18">
        <f>IF(AND(ISNUMBER(E1217),ISNUMBER(N1217)),E1217-N1217,NA())</f>
        <v/>
      </c>
      <c r="P1217" s="17">
        <f>IF(NOT(ISNUMBER($A1217)),NA(),IF(OR($A1217&lt;MIN(KW_TP!$A$2:$A$2501),$A1217&gt;MAX(KW_TP!$A$2:$A$2501)),NA(),INDEX(KW_TP!$C$2:$C$2501,MATCH($A1217,KW_TP!$A$2:$A$2501,1))))</f>
        <v/>
      </c>
    </row>
    <row r="1218">
      <c r="A1218" s="15">
        <f>IF(ISNUMBER(BBG_Data!A1218),BBG_Data!A1218,"")</f>
        <v/>
      </c>
      <c r="B1218" s="16">
        <f>IF(AND(ISNUMBER($A1218),ISNUMBER(BBG_Data!B1218)),BBG_Data!B1218,NA())</f>
        <v/>
      </c>
      <c r="C1218" s="16">
        <f>IF(AND(ISNUMBER($A1218),ISNUMBER(BBG_Data!C1218)),BBG_Data!C1218,NA())</f>
        <v/>
      </c>
      <c r="D1218" s="17">
        <f>IF(AND(ISNUMBER($A1218),ISNUMBER(BBG_Data!D1218)),BBG_Data!D1218,NA())</f>
        <v/>
      </c>
      <c r="E1218" s="17">
        <f>IF(AND(ISNUMBER($A1218),ISNUMBER(BBG_Data!E1218)),BBG_Data!E1218,NA())</f>
        <v/>
      </c>
      <c r="F1218" s="18">
        <f>IF(AND(ISNUMBER(B1218),ISNUMBER(B1217)),(B1218-B1217)*100,"")</f>
        <v/>
      </c>
      <c r="G1218" s="18">
        <f>IF(AND(ISNUMBER(C1218),ISNUMBER(C1217)),(C1218-C1217)*100,"")</f>
        <v/>
      </c>
      <c r="H1218" s="18">
        <f>IF(OR(NOT(ISNUMBER($A1218)),ROW()-2&lt;Settings!$B$11),NA(),IF(COUNT(OFFSET(F1218,1-Settings!$B$11,0,Settings!$B$11,1))&lt;Settings!$B$11,NA(),STDEV(OFFSET(F1218,1-Settings!$B$11,0,Settings!$B$11,1))*SQRT(Settings!$B$13)))</f>
        <v/>
      </c>
      <c r="I1218" s="18">
        <f>IF(OR(NOT(ISNUMBER($A1218)),ROW()-2&lt;Settings!$B$12),NA(),IF(COUNT(OFFSET(F1218,1-Settings!$B$12,0,Settings!$B$12,1))&lt;Settings!$B$12,NA(),STDEV(OFFSET(F1218,1-Settings!$B$12,0,Settings!$B$12,1))*SQRT(Settings!$B$13)))</f>
        <v/>
      </c>
      <c r="J1218" s="18">
        <f>IF(OR(NOT(ISNUMBER($A1218)),ROW()-2&lt;Settings!$B$11),NA(),IF(COUNT(OFFSET(G1218,1-Settings!$B$11,0,Settings!$B$11,1))&lt;Settings!$B$11,NA(),STDEV(OFFSET(G1218,1-Settings!$B$11,0,Settings!$B$11,1))*SQRT(Settings!$B$13)))</f>
        <v/>
      </c>
      <c r="K1218" s="18">
        <f>IF(OR(NOT(ISNUMBER($A1218)),ROW()-2&lt;Settings!$B$12),NA(),IF(COUNT(OFFSET(G1218,1-Settings!$B$12,0,Settings!$B$12,1))&lt;Settings!$B$12,NA(),STDEV(OFFSET(G1218,1-Settings!$B$12,0,Settings!$B$12,1))*SQRT(Settings!$B$13)))</f>
        <v/>
      </c>
      <c r="L1218" s="18">
        <f>IF(AND(ISNUMBER(D1218),ISNUMBER(H1218)),D1218-H1218,NA())</f>
        <v/>
      </c>
      <c r="M1218" s="18">
        <f>IF(AND(ISNUMBER(E1218),ISNUMBER(K1218)),E1218-K1218,NA())</f>
        <v/>
      </c>
      <c r="N1218" s="18">
        <f>IF(NOT(ISNUMBER($A1218)),NA(),IF(COUNT(OFFSET(G1218,1,0,Settings!$B$12,1))&lt;Settings!$B$12,NA(),STDEV(OFFSET(G1218,1,0,Settings!$B$12,1))*SQRT(Settings!$B$13)))</f>
        <v/>
      </c>
      <c r="O1218" s="18">
        <f>IF(AND(ISNUMBER(E1218),ISNUMBER(N1218)),E1218-N1218,NA())</f>
        <v/>
      </c>
      <c r="P1218" s="17">
        <f>IF(NOT(ISNUMBER($A1218)),NA(),IF(OR($A1218&lt;MIN(KW_TP!$A$2:$A$2501),$A1218&gt;MAX(KW_TP!$A$2:$A$2501)),NA(),INDEX(KW_TP!$C$2:$C$2501,MATCH($A1218,KW_TP!$A$2:$A$2501,1))))</f>
        <v/>
      </c>
    </row>
    <row r="1219">
      <c r="A1219" s="15">
        <f>IF(ISNUMBER(BBG_Data!A1219),BBG_Data!A1219,"")</f>
        <v/>
      </c>
      <c r="B1219" s="16">
        <f>IF(AND(ISNUMBER($A1219),ISNUMBER(BBG_Data!B1219)),BBG_Data!B1219,NA())</f>
        <v/>
      </c>
      <c r="C1219" s="16">
        <f>IF(AND(ISNUMBER($A1219),ISNUMBER(BBG_Data!C1219)),BBG_Data!C1219,NA())</f>
        <v/>
      </c>
      <c r="D1219" s="17">
        <f>IF(AND(ISNUMBER($A1219),ISNUMBER(BBG_Data!D1219)),BBG_Data!D1219,NA())</f>
        <v/>
      </c>
      <c r="E1219" s="17">
        <f>IF(AND(ISNUMBER($A1219),ISNUMBER(BBG_Data!E1219)),BBG_Data!E1219,NA())</f>
        <v/>
      </c>
      <c r="F1219" s="18">
        <f>IF(AND(ISNUMBER(B1219),ISNUMBER(B1218)),(B1219-B1218)*100,"")</f>
        <v/>
      </c>
      <c r="G1219" s="18">
        <f>IF(AND(ISNUMBER(C1219),ISNUMBER(C1218)),(C1219-C1218)*100,"")</f>
        <v/>
      </c>
      <c r="H1219" s="18">
        <f>IF(OR(NOT(ISNUMBER($A1219)),ROW()-2&lt;Settings!$B$11),NA(),IF(COUNT(OFFSET(F1219,1-Settings!$B$11,0,Settings!$B$11,1))&lt;Settings!$B$11,NA(),STDEV(OFFSET(F1219,1-Settings!$B$11,0,Settings!$B$11,1))*SQRT(Settings!$B$13)))</f>
        <v/>
      </c>
      <c r="I1219" s="18">
        <f>IF(OR(NOT(ISNUMBER($A1219)),ROW()-2&lt;Settings!$B$12),NA(),IF(COUNT(OFFSET(F1219,1-Settings!$B$12,0,Settings!$B$12,1))&lt;Settings!$B$12,NA(),STDEV(OFFSET(F1219,1-Settings!$B$12,0,Settings!$B$12,1))*SQRT(Settings!$B$13)))</f>
        <v/>
      </c>
      <c r="J1219" s="18">
        <f>IF(OR(NOT(ISNUMBER($A1219)),ROW()-2&lt;Settings!$B$11),NA(),IF(COUNT(OFFSET(G1219,1-Settings!$B$11,0,Settings!$B$11,1))&lt;Settings!$B$11,NA(),STDEV(OFFSET(G1219,1-Settings!$B$11,0,Settings!$B$11,1))*SQRT(Settings!$B$13)))</f>
        <v/>
      </c>
      <c r="K1219" s="18">
        <f>IF(OR(NOT(ISNUMBER($A1219)),ROW()-2&lt;Settings!$B$12),NA(),IF(COUNT(OFFSET(G1219,1-Settings!$B$12,0,Settings!$B$12,1))&lt;Settings!$B$12,NA(),STDEV(OFFSET(G1219,1-Settings!$B$12,0,Settings!$B$12,1))*SQRT(Settings!$B$13)))</f>
        <v/>
      </c>
      <c r="L1219" s="18">
        <f>IF(AND(ISNUMBER(D1219),ISNUMBER(H1219)),D1219-H1219,NA())</f>
        <v/>
      </c>
      <c r="M1219" s="18">
        <f>IF(AND(ISNUMBER(E1219),ISNUMBER(K1219)),E1219-K1219,NA())</f>
        <v/>
      </c>
      <c r="N1219" s="18">
        <f>IF(NOT(ISNUMBER($A1219)),NA(),IF(COUNT(OFFSET(G1219,1,0,Settings!$B$12,1))&lt;Settings!$B$12,NA(),STDEV(OFFSET(G1219,1,0,Settings!$B$12,1))*SQRT(Settings!$B$13)))</f>
        <v/>
      </c>
      <c r="O1219" s="18">
        <f>IF(AND(ISNUMBER(E1219),ISNUMBER(N1219)),E1219-N1219,NA())</f>
        <v/>
      </c>
      <c r="P1219" s="17">
        <f>IF(NOT(ISNUMBER($A1219)),NA(),IF(OR($A1219&lt;MIN(KW_TP!$A$2:$A$2501),$A1219&gt;MAX(KW_TP!$A$2:$A$2501)),NA(),INDEX(KW_TP!$C$2:$C$2501,MATCH($A1219,KW_TP!$A$2:$A$2501,1))))</f>
        <v/>
      </c>
    </row>
    <row r="1220">
      <c r="A1220" s="15">
        <f>IF(ISNUMBER(BBG_Data!A1220),BBG_Data!A1220,"")</f>
        <v/>
      </c>
      <c r="B1220" s="16">
        <f>IF(AND(ISNUMBER($A1220),ISNUMBER(BBG_Data!B1220)),BBG_Data!B1220,NA())</f>
        <v/>
      </c>
      <c r="C1220" s="16">
        <f>IF(AND(ISNUMBER($A1220),ISNUMBER(BBG_Data!C1220)),BBG_Data!C1220,NA())</f>
        <v/>
      </c>
      <c r="D1220" s="17">
        <f>IF(AND(ISNUMBER($A1220),ISNUMBER(BBG_Data!D1220)),BBG_Data!D1220,NA())</f>
        <v/>
      </c>
      <c r="E1220" s="17">
        <f>IF(AND(ISNUMBER($A1220),ISNUMBER(BBG_Data!E1220)),BBG_Data!E1220,NA())</f>
        <v/>
      </c>
      <c r="F1220" s="18">
        <f>IF(AND(ISNUMBER(B1220),ISNUMBER(B1219)),(B1220-B1219)*100,"")</f>
        <v/>
      </c>
      <c r="G1220" s="18">
        <f>IF(AND(ISNUMBER(C1220),ISNUMBER(C1219)),(C1220-C1219)*100,"")</f>
        <v/>
      </c>
      <c r="H1220" s="18">
        <f>IF(OR(NOT(ISNUMBER($A1220)),ROW()-2&lt;Settings!$B$11),NA(),IF(COUNT(OFFSET(F1220,1-Settings!$B$11,0,Settings!$B$11,1))&lt;Settings!$B$11,NA(),STDEV(OFFSET(F1220,1-Settings!$B$11,0,Settings!$B$11,1))*SQRT(Settings!$B$13)))</f>
        <v/>
      </c>
      <c r="I1220" s="18">
        <f>IF(OR(NOT(ISNUMBER($A1220)),ROW()-2&lt;Settings!$B$12),NA(),IF(COUNT(OFFSET(F1220,1-Settings!$B$12,0,Settings!$B$12,1))&lt;Settings!$B$12,NA(),STDEV(OFFSET(F1220,1-Settings!$B$12,0,Settings!$B$12,1))*SQRT(Settings!$B$13)))</f>
        <v/>
      </c>
      <c r="J1220" s="18">
        <f>IF(OR(NOT(ISNUMBER($A1220)),ROW()-2&lt;Settings!$B$11),NA(),IF(COUNT(OFFSET(G1220,1-Settings!$B$11,0,Settings!$B$11,1))&lt;Settings!$B$11,NA(),STDEV(OFFSET(G1220,1-Settings!$B$11,0,Settings!$B$11,1))*SQRT(Settings!$B$13)))</f>
        <v/>
      </c>
      <c r="K1220" s="18">
        <f>IF(OR(NOT(ISNUMBER($A1220)),ROW()-2&lt;Settings!$B$12),NA(),IF(COUNT(OFFSET(G1220,1-Settings!$B$12,0,Settings!$B$12,1))&lt;Settings!$B$12,NA(),STDEV(OFFSET(G1220,1-Settings!$B$12,0,Settings!$B$12,1))*SQRT(Settings!$B$13)))</f>
        <v/>
      </c>
      <c r="L1220" s="18">
        <f>IF(AND(ISNUMBER(D1220),ISNUMBER(H1220)),D1220-H1220,NA())</f>
        <v/>
      </c>
      <c r="M1220" s="18">
        <f>IF(AND(ISNUMBER(E1220),ISNUMBER(K1220)),E1220-K1220,NA())</f>
        <v/>
      </c>
      <c r="N1220" s="18">
        <f>IF(NOT(ISNUMBER($A1220)),NA(),IF(COUNT(OFFSET(G1220,1,0,Settings!$B$12,1))&lt;Settings!$B$12,NA(),STDEV(OFFSET(G1220,1,0,Settings!$B$12,1))*SQRT(Settings!$B$13)))</f>
        <v/>
      </c>
      <c r="O1220" s="18">
        <f>IF(AND(ISNUMBER(E1220),ISNUMBER(N1220)),E1220-N1220,NA())</f>
        <v/>
      </c>
      <c r="P1220" s="17">
        <f>IF(NOT(ISNUMBER($A1220)),NA(),IF(OR($A1220&lt;MIN(KW_TP!$A$2:$A$2501),$A1220&gt;MAX(KW_TP!$A$2:$A$2501)),NA(),INDEX(KW_TP!$C$2:$C$2501,MATCH($A1220,KW_TP!$A$2:$A$2501,1))))</f>
        <v/>
      </c>
    </row>
    <row r="1221">
      <c r="A1221" s="15">
        <f>IF(ISNUMBER(BBG_Data!A1221),BBG_Data!A1221,"")</f>
        <v/>
      </c>
      <c r="B1221" s="16">
        <f>IF(AND(ISNUMBER($A1221),ISNUMBER(BBG_Data!B1221)),BBG_Data!B1221,NA())</f>
        <v/>
      </c>
      <c r="C1221" s="16">
        <f>IF(AND(ISNUMBER($A1221),ISNUMBER(BBG_Data!C1221)),BBG_Data!C1221,NA())</f>
        <v/>
      </c>
      <c r="D1221" s="17">
        <f>IF(AND(ISNUMBER($A1221),ISNUMBER(BBG_Data!D1221)),BBG_Data!D1221,NA())</f>
        <v/>
      </c>
      <c r="E1221" s="17">
        <f>IF(AND(ISNUMBER($A1221),ISNUMBER(BBG_Data!E1221)),BBG_Data!E1221,NA())</f>
        <v/>
      </c>
      <c r="F1221" s="18">
        <f>IF(AND(ISNUMBER(B1221),ISNUMBER(B1220)),(B1221-B1220)*100,"")</f>
        <v/>
      </c>
      <c r="G1221" s="18">
        <f>IF(AND(ISNUMBER(C1221),ISNUMBER(C1220)),(C1221-C1220)*100,"")</f>
        <v/>
      </c>
      <c r="H1221" s="18">
        <f>IF(OR(NOT(ISNUMBER($A1221)),ROW()-2&lt;Settings!$B$11),NA(),IF(COUNT(OFFSET(F1221,1-Settings!$B$11,0,Settings!$B$11,1))&lt;Settings!$B$11,NA(),STDEV(OFFSET(F1221,1-Settings!$B$11,0,Settings!$B$11,1))*SQRT(Settings!$B$13)))</f>
        <v/>
      </c>
      <c r="I1221" s="18">
        <f>IF(OR(NOT(ISNUMBER($A1221)),ROW()-2&lt;Settings!$B$12),NA(),IF(COUNT(OFFSET(F1221,1-Settings!$B$12,0,Settings!$B$12,1))&lt;Settings!$B$12,NA(),STDEV(OFFSET(F1221,1-Settings!$B$12,0,Settings!$B$12,1))*SQRT(Settings!$B$13)))</f>
        <v/>
      </c>
      <c r="J1221" s="18">
        <f>IF(OR(NOT(ISNUMBER($A1221)),ROW()-2&lt;Settings!$B$11),NA(),IF(COUNT(OFFSET(G1221,1-Settings!$B$11,0,Settings!$B$11,1))&lt;Settings!$B$11,NA(),STDEV(OFFSET(G1221,1-Settings!$B$11,0,Settings!$B$11,1))*SQRT(Settings!$B$13)))</f>
        <v/>
      </c>
      <c r="K1221" s="18">
        <f>IF(OR(NOT(ISNUMBER($A1221)),ROW()-2&lt;Settings!$B$12),NA(),IF(COUNT(OFFSET(G1221,1-Settings!$B$12,0,Settings!$B$12,1))&lt;Settings!$B$12,NA(),STDEV(OFFSET(G1221,1-Settings!$B$12,0,Settings!$B$12,1))*SQRT(Settings!$B$13)))</f>
        <v/>
      </c>
      <c r="L1221" s="18">
        <f>IF(AND(ISNUMBER(D1221),ISNUMBER(H1221)),D1221-H1221,NA())</f>
        <v/>
      </c>
      <c r="M1221" s="18">
        <f>IF(AND(ISNUMBER(E1221),ISNUMBER(K1221)),E1221-K1221,NA())</f>
        <v/>
      </c>
      <c r="N1221" s="18">
        <f>IF(NOT(ISNUMBER($A1221)),NA(),IF(COUNT(OFFSET(G1221,1,0,Settings!$B$12,1))&lt;Settings!$B$12,NA(),STDEV(OFFSET(G1221,1,0,Settings!$B$12,1))*SQRT(Settings!$B$13)))</f>
        <v/>
      </c>
      <c r="O1221" s="18">
        <f>IF(AND(ISNUMBER(E1221),ISNUMBER(N1221)),E1221-N1221,NA())</f>
        <v/>
      </c>
      <c r="P1221" s="17">
        <f>IF(NOT(ISNUMBER($A1221)),NA(),IF(OR($A1221&lt;MIN(KW_TP!$A$2:$A$2501),$A1221&gt;MAX(KW_TP!$A$2:$A$2501)),NA(),INDEX(KW_TP!$C$2:$C$2501,MATCH($A1221,KW_TP!$A$2:$A$2501,1))))</f>
        <v/>
      </c>
    </row>
    <row r="1222">
      <c r="A1222" s="15">
        <f>IF(ISNUMBER(BBG_Data!A1222),BBG_Data!A1222,"")</f>
        <v/>
      </c>
      <c r="B1222" s="16">
        <f>IF(AND(ISNUMBER($A1222),ISNUMBER(BBG_Data!B1222)),BBG_Data!B1222,NA())</f>
        <v/>
      </c>
      <c r="C1222" s="16">
        <f>IF(AND(ISNUMBER($A1222),ISNUMBER(BBG_Data!C1222)),BBG_Data!C1222,NA())</f>
        <v/>
      </c>
      <c r="D1222" s="17">
        <f>IF(AND(ISNUMBER($A1222),ISNUMBER(BBG_Data!D1222)),BBG_Data!D1222,NA())</f>
        <v/>
      </c>
      <c r="E1222" s="17">
        <f>IF(AND(ISNUMBER($A1222),ISNUMBER(BBG_Data!E1222)),BBG_Data!E1222,NA())</f>
        <v/>
      </c>
      <c r="F1222" s="18">
        <f>IF(AND(ISNUMBER(B1222),ISNUMBER(B1221)),(B1222-B1221)*100,"")</f>
        <v/>
      </c>
      <c r="G1222" s="18">
        <f>IF(AND(ISNUMBER(C1222),ISNUMBER(C1221)),(C1222-C1221)*100,"")</f>
        <v/>
      </c>
      <c r="H1222" s="18">
        <f>IF(OR(NOT(ISNUMBER($A1222)),ROW()-2&lt;Settings!$B$11),NA(),IF(COUNT(OFFSET(F1222,1-Settings!$B$11,0,Settings!$B$11,1))&lt;Settings!$B$11,NA(),STDEV(OFFSET(F1222,1-Settings!$B$11,0,Settings!$B$11,1))*SQRT(Settings!$B$13)))</f>
        <v/>
      </c>
      <c r="I1222" s="18">
        <f>IF(OR(NOT(ISNUMBER($A1222)),ROW()-2&lt;Settings!$B$12),NA(),IF(COUNT(OFFSET(F1222,1-Settings!$B$12,0,Settings!$B$12,1))&lt;Settings!$B$12,NA(),STDEV(OFFSET(F1222,1-Settings!$B$12,0,Settings!$B$12,1))*SQRT(Settings!$B$13)))</f>
        <v/>
      </c>
      <c r="J1222" s="18">
        <f>IF(OR(NOT(ISNUMBER($A1222)),ROW()-2&lt;Settings!$B$11),NA(),IF(COUNT(OFFSET(G1222,1-Settings!$B$11,0,Settings!$B$11,1))&lt;Settings!$B$11,NA(),STDEV(OFFSET(G1222,1-Settings!$B$11,0,Settings!$B$11,1))*SQRT(Settings!$B$13)))</f>
        <v/>
      </c>
      <c r="K1222" s="18">
        <f>IF(OR(NOT(ISNUMBER($A1222)),ROW()-2&lt;Settings!$B$12),NA(),IF(COUNT(OFFSET(G1222,1-Settings!$B$12,0,Settings!$B$12,1))&lt;Settings!$B$12,NA(),STDEV(OFFSET(G1222,1-Settings!$B$12,0,Settings!$B$12,1))*SQRT(Settings!$B$13)))</f>
        <v/>
      </c>
      <c r="L1222" s="18">
        <f>IF(AND(ISNUMBER(D1222),ISNUMBER(H1222)),D1222-H1222,NA())</f>
        <v/>
      </c>
      <c r="M1222" s="18">
        <f>IF(AND(ISNUMBER(E1222),ISNUMBER(K1222)),E1222-K1222,NA())</f>
        <v/>
      </c>
      <c r="N1222" s="18">
        <f>IF(NOT(ISNUMBER($A1222)),NA(),IF(COUNT(OFFSET(G1222,1,0,Settings!$B$12,1))&lt;Settings!$B$12,NA(),STDEV(OFFSET(G1222,1,0,Settings!$B$12,1))*SQRT(Settings!$B$13)))</f>
        <v/>
      </c>
      <c r="O1222" s="18">
        <f>IF(AND(ISNUMBER(E1222),ISNUMBER(N1222)),E1222-N1222,NA())</f>
        <v/>
      </c>
      <c r="P1222" s="17">
        <f>IF(NOT(ISNUMBER($A1222)),NA(),IF(OR($A1222&lt;MIN(KW_TP!$A$2:$A$2501),$A1222&gt;MAX(KW_TP!$A$2:$A$2501)),NA(),INDEX(KW_TP!$C$2:$C$2501,MATCH($A1222,KW_TP!$A$2:$A$2501,1))))</f>
        <v/>
      </c>
    </row>
    <row r="1223">
      <c r="A1223" s="15">
        <f>IF(ISNUMBER(BBG_Data!A1223),BBG_Data!A1223,"")</f>
        <v/>
      </c>
      <c r="B1223" s="16">
        <f>IF(AND(ISNUMBER($A1223),ISNUMBER(BBG_Data!B1223)),BBG_Data!B1223,NA())</f>
        <v/>
      </c>
      <c r="C1223" s="16">
        <f>IF(AND(ISNUMBER($A1223),ISNUMBER(BBG_Data!C1223)),BBG_Data!C1223,NA())</f>
        <v/>
      </c>
      <c r="D1223" s="17">
        <f>IF(AND(ISNUMBER($A1223),ISNUMBER(BBG_Data!D1223)),BBG_Data!D1223,NA())</f>
        <v/>
      </c>
      <c r="E1223" s="17">
        <f>IF(AND(ISNUMBER($A1223),ISNUMBER(BBG_Data!E1223)),BBG_Data!E1223,NA())</f>
        <v/>
      </c>
      <c r="F1223" s="18">
        <f>IF(AND(ISNUMBER(B1223),ISNUMBER(B1222)),(B1223-B1222)*100,"")</f>
        <v/>
      </c>
      <c r="G1223" s="18">
        <f>IF(AND(ISNUMBER(C1223),ISNUMBER(C1222)),(C1223-C1222)*100,"")</f>
        <v/>
      </c>
      <c r="H1223" s="18">
        <f>IF(OR(NOT(ISNUMBER($A1223)),ROW()-2&lt;Settings!$B$11),NA(),IF(COUNT(OFFSET(F1223,1-Settings!$B$11,0,Settings!$B$11,1))&lt;Settings!$B$11,NA(),STDEV(OFFSET(F1223,1-Settings!$B$11,0,Settings!$B$11,1))*SQRT(Settings!$B$13)))</f>
        <v/>
      </c>
      <c r="I1223" s="18">
        <f>IF(OR(NOT(ISNUMBER($A1223)),ROW()-2&lt;Settings!$B$12),NA(),IF(COUNT(OFFSET(F1223,1-Settings!$B$12,0,Settings!$B$12,1))&lt;Settings!$B$12,NA(),STDEV(OFFSET(F1223,1-Settings!$B$12,0,Settings!$B$12,1))*SQRT(Settings!$B$13)))</f>
        <v/>
      </c>
      <c r="J1223" s="18">
        <f>IF(OR(NOT(ISNUMBER($A1223)),ROW()-2&lt;Settings!$B$11),NA(),IF(COUNT(OFFSET(G1223,1-Settings!$B$11,0,Settings!$B$11,1))&lt;Settings!$B$11,NA(),STDEV(OFFSET(G1223,1-Settings!$B$11,0,Settings!$B$11,1))*SQRT(Settings!$B$13)))</f>
        <v/>
      </c>
      <c r="K1223" s="18">
        <f>IF(OR(NOT(ISNUMBER($A1223)),ROW()-2&lt;Settings!$B$12),NA(),IF(COUNT(OFFSET(G1223,1-Settings!$B$12,0,Settings!$B$12,1))&lt;Settings!$B$12,NA(),STDEV(OFFSET(G1223,1-Settings!$B$12,0,Settings!$B$12,1))*SQRT(Settings!$B$13)))</f>
        <v/>
      </c>
      <c r="L1223" s="18">
        <f>IF(AND(ISNUMBER(D1223),ISNUMBER(H1223)),D1223-H1223,NA())</f>
        <v/>
      </c>
      <c r="M1223" s="18">
        <f>IF(AND(ISNUMBER(E1223),ISNUMBER(K1223)),E1223-K1223,NA())</f>
        <v/>
      </c>
      <c r="N1223" s="18">
        <f>IF(NOT(ISNUMBER($A1223)),NA(),IF(COUNT(OFFSET(G1223,1,0,Settings!$B$12,1))&lt;Settings!$B$12,NA(),STDEV(OFFSET(G1223,1,0,Settings!$B$12,1))*SQRT(Settings!$B$13)))</f>
        <v/>
      </c>
      <c r="O1223" s="18">
        <f>IF(AND(ISNUMBER(E1223),ISNUMBER(N1223)),E1223-N1223,NA())</f>
        <v/>
      </c>
      <c r="P1223" s="17">
        <f>IF(NOT(ISNUMBER($A1223)),NA(),IF(OR($A1223&lt;MIN(KW_TP!$A$2:$A$2501),$A1223&gt;MAX(KW_TP!$A$2:$A$2501)),NA(),INDEX(KW_TP!$C$2:$C$2501,MATCH($A1223,KW_TP!$A$2:$A$2501,1))))</f>
        <v/>
      </c>
    </row>
    <row r="1224">
      <c r="A1224" s="15">
        <f>IF(ISNUMBER(BBG_Data!A1224),BBG_Data!A1224,"")</f>
        <v/>
      </c>
      <c r="B1224" s="16">
        <f>IF(AND(ISNUMBER($A1224),ISNUMBER(BBG_Data!B1224)),BBG_Data!B1224,NA())</f>
        <v/>
      </c>
      <c r="C1224" s="16">
        <f>IF(AND(ISNUMBER($A1224),ISNUMBER(BBG_Data!C1224)),BBG_Data!C1224,NA())</f>
        <v/>
      </c>
      <c r="D1224" s="17">
        <f>IF(AND(ISNUMBER($A1224),ISNUMBER(BBG_Data!D1224)),BBG_Data!D1224,NA())</f>
        <v/>
      </c>
      <c r="E1224" s="17">
        <f>IF(AND(ISNUMBER($A1224),ISNUMBER(BBG_Data!E1224)),BBG_Data!E1224,NA())</f>
        <v/>
      </c>
      <c r="F1224" s="18">
        <f>IF(AND(ISNUMBER(B1224),ISNUMBER(B1223)),(B1224-B1223)*100,"")</f>
        <v/>
      </c>
      <c r="G1224" s="18">
        <f>IF(AND(ISNUMBER(C1224),ISNUMBER(C1223)),(C1224-C1223)*100,"")</f>
        <v/>
      </c>
      <c r="H1224" s="18">
        <f>IF(OR(NOT(ISNUMBER($A1224)),ROW()-2&lt;Settings!$B$11),NA(),IF(COUNT(OFFSET(F1224,1-Settings!$B$11,0,Settings!$B$11,1))&lt;Settings!$B$11,NA(),STDEV(OFFSET(F1224,1-Settings!$B$11,0,Settings!$B$11,1))*SQRT(Settings!$B$13)))</f>
        <v/>
      </c>
      <c r="I1224" s="18">
        <f>IF(OR(NOT(ISNUMBER($A1224)),ROW()-2&lt;Settings!$B$12),NA(),IF(COUNT(OFFSET(F1224,1-Settings!$B$12,0,Settings!$B$12,1))&lt;Settings!$B$12,NA(),STDEV(OFFSET(F1224,1-Settings!$B$12,0,Settings!$B$12,1))*SQRT(Settings!$B$13)))</f>
        <v/>
      </c>
      <c r="J1224" s="18">
        <f>IF(OR(NOT(ISNUMBER($A1224)),ROW()-2&lt;Settings!$B$11),NA(),IF(COUNT(OFFSET(G1224,1-Settings!$B$11,0,Settings!$B$11,1))&lt;Settings!$B$11,NA(),STDEV(OFFSET(G1224,1-Settings!$B$11,0,Settings!$B$11,1))*SQRT(Settings!$B$13)))</f>
        <v/>
      </c>
      <c r="K1224" s="18">
        <f>IF(OR(NOT(ISNUMBER($A1224)),ROW()-2&lt;Settings!$B$12),NA(),IF(COUNT(OFFSET(G1224,1-Settings!$B$12,0,Settings!$B$12,1))&lt;Settings!$B$12,NA(),STDEV(OFFSET(G1224,1-Settings!$B$12,0,Settings!$B$12,1))*SQRT(Settings!$B$13)))</f>
        <v/>
      </c>
      <c r="L1224" s="18">
        <f>IF(AND(ISNUMBER(D1224),ISNUMBER(H1224)),D1224-H1224,NA())</f>
        <v/>
      </c>
      <c r="M1224" s="18">
        <f>IF(AND(ISNUMBER(E1224),ISNUMBER(K1224)),E1224-K1224,NA())</f>
        <v/>
      </c>
      <c r="N1224" s="18">
        <f>IF(NOT(ISNUMBER($A1224)),NA(),IF(COUNT(OFFSET(G1224,1,0,Settings!$B$12,1))&lt;Settings!$B$12,NA(),STDEV(OFFSET(G1224,1,0,Settings!$B$12,1))*SQRT(Settings!$B$13)))</f>
        <v/>
      </c>
      <c r="O1224" s="18">
        <f>IF(AND(ISNUMBER(E1224),ISNUMBER(N1224)),E1224-N1224,NA())</f>
        <v/>
      </c>
      <c r="P1224" s="17">
        <f>IF(NOT(ISNUMBER($A1224)),NA(),IF(OR($A1224&lt;MIN(KW_TP!$A$2:$A$2501),$A1224&gt;MAX(KW_TP!$A$2:$A$2501)),NA(),INDEX(KW_TP!$C$2:$C$2501,MATCH($A1224,KW_TP!$A$2:$A$2501,1))))</f>
        <v/>
      </c>
    </row>
    <row r="1225">
      <c r="A1225" s="15">
        <f>IF(ISNUMBER(BBG_Data!A1225),BBG_Data!A1225,"")</f>
        <v/>
      </c>
      <c r="B1225" s="16">
        <f>IF(AND(ISNUMBER($A1225),ISNUMBER(BBG_Data!B1225)),BBG_Data!B1225,NA())</f>
        <v/>
      </c>
      <c r="C1225" s="16">
        <f>IF(AND(ISNUMBER($A1225),ISNUMBER(BBG_Data!C1225)),BBG_Data!C1225,NA())</f>
        <v/>
      </c>
      <c r="D1225" s="17">
        <f>IF(AND(ISNUMBER($A1225),ISNUMBER(BBG_Data!D1225)),BBG_Data!D1225,NA())</f>
        <v/>
      </c>
      <c r="E1225" s="17">
        <f>IF(AND(ISNUMBER($A1225),ISNUMBER(BBG_Data!E1225)),BBG_Data!E1225,NA())</f>
        <v/>
      </c>
      <c r="F1225" s="18">
        <f>IF(AND(ISNUMBER(B1225),ISNUMBER(B1224)),(B1225-B1224)*100,"")</f>
        <v/>
      </c>
      <c r="G1225" s="18">
        <f>IF(AND(ISNUMBER(C1225),ISNUMBER(C1224)),(C1225-C1224)*100,"")</f>
        <v/>
      </c>
      <c r="H1225" s="18">
        <f>IF(OR(NOT(ISNUMBER($A1225)),ROW()-2&lt;Settings!$B$11),NA(),IF(COUNT(OFFSET(F1225,1-Settings!$B$11,0,Settings!$B$11,1))&lt;Settings!$B$11,NA(),STDEV(OFFSET(F1225,1-Settings!$B$11,0,Settings!$B$11,1))*SQRT(Settings!$B$13)))</f>
        <v/>
      </c>
      <c r="I1225" s="18">
        <f>IF(OR(NOT(ISNUMBER($A1225)),ROW()-2&lt;Settings!$B$12),NA(),IF(COUNT(OFFSET(F1225,1-Settings!$B$12,0,Settings!$B$12,1))&lt;Settings!$B$12,NA(),STDEV(OFFSET(F1225,1-Settings!$B$12,0,Settings!$B$12,1))*SQRT(Settings!$B$13)))</f>
        <v/>
      </c>
      <c r="J1225" s="18">
        <f>IF(OR(NOT(ISNUMBER($A1225)),ROW()-2&lt;Settings!$B$11),NA(),IF(COUNT(OFFSET(G1225,1-Settings!$B$11,0,Settings!$B$11,1))&lt;Settings!$B$11,NA(),STDEV(OFFSET(G1225,1-Settings!$B$11,0,Settings!$B$11,1))*SQRT(Settings!$B$13)))</f>
        <v/>
      </c>
      <c r="K1225" s="18">
        <f>IF(OR(NOT(ISNUMBER($A1225)),ROW()-2&lt;Settings!$B$12),NA(),IF(COUNT(OFFSET(G1225,1-Settings!$B$12,0,Settings!$B$12,1))&lt;Settings!$B$12,NA(),STDEV(OFFSET(G1225,1-Settings!$B$12,0,Settings!$B$12,1))*SQRT(Settings!$B$13)))</f>
        <v/>
      </c>
      <c r="L1225" s="18">
        <f>IF(AND(ISNUMBER(D1225),ISNUMBER(H1225)),D1225-H1225,NA())</f>
        <v/>
      </c>
      <c r="M1225" s="18">
        <f>IF(AND(ISNUMBER(E1225),ISNUMBER(K1225)),E1225-K1225,NA())</f>
        <v/>
      </c>
      <c r="N1225" s="18">
        <f>IF(NOT(ISNUMBER($A1225)),NA(),IF(COUNT(OFFSET(G1225,1,0,Settings!$B$12,1))&lt;Settings!$B$12,NA(),STDEV(OFFSET(G1225,1,0,Settings!$B$12,1))*SQRT(Settings!$B$13)))</f>
        <v/>
      </c>
      <c r="O1225" s="18">
        <f>IF(AND(ISNUMBER(E1225),ISNUMBER(N1225)),E1225-N1225,NA())</f>
        <v/>
      </c>
      <c r="P1225" s="17">
        <f>IF(NOT(ISNUMBER($A1225)),NA(),IF(OR($A1225&lt;MIN(KW_TP!$A$2:$A$2501),$A1225&gt;MAX(KW_TP!$A$2:$A$2501)),NA(),INDEX(KW_TP!$C$2:$C$2501,MATCH($A1225,KW_TP!$A$2:$A$2501,1))))</f>
        <v/>
      </c>
    </row>
    <row r="1226">
      <c r="A1226" s="15">
        <f>IF(ISNUMBER(BBG_Data!A1226),BBG_Data!A1226,"")</f>
        <v/>
      </c>
      <c r="B1226" s="16">
        <f>IF(AND(ISNUMBER($A1226),ISNUMBER(BBG_Data!B1226)),BBG_Data!B1226,NA())</f>
        <v/>
      </c>
      <c r="C1226" s="16">
        <f>IF(AND(ISNUMBER($A1226),ISNUMBER(BBG_Data!C1226)),BBG_Data!C1226,NA())</f>
        <v/>
      </c>
      <c r="D1226" s="17">
        <f>IF(AND(ISNUMBER($A1226),ISNUMBER(BBG_Data!D1226)),BBG_Data!D1226,NA())</f>
        <v/>
      </c>
      <c r="E1226" s="17">
        <f>IF(AND(ISNUMBER($A1226),ISNUMBER(BBG_Data!E1226)),BBG_Data!E1226,NA())</f>
        <v/>
      </c>
      <c r="F1226" s="18">
        <f>IF(AND(ISNUMBER(B1226),ISNUMBER(B1225)),(B1226-B1225)*100,"")</f>
        <v/>
      </c>
      <c r="G1226" s="18">
        <f>IF(AND(ISNUMBER(C1226),ISNUMBER(C1225)),(C1226-C1225)*100,"")</f>
        <v/>
      </c>
      <c r="H1226" s="18">
        <f>IF(OR(NOT(ISNUMBER($A1226)),ROW()-2&lt;Settings!$B$11),NA(),IF(COUNT(OFFSET(F1226,1-Settings!$B$11,0,Settings!$B$11,1))&lt;Settings!$B$11,NA(),STDEV(OFFSET(F1226,1-Settings!$B$11,0,Settings!$B$11,1))*SQRT(Settings!$B$13)))</f>
        <v/>
      </c>
      <c r="I1226" s="18">
        <f>IF(OR(NOT(ISNUMBER($A1226)),ROW()-2&lt;Settings!$B$12),NA(),IF(COUNT(OFFSET(F1226,1-Settings!$B$12,0,Settings!$B$12,1))&lt;Settings!$B$12,NA(),STDEV(OFFSET(F1226,1-Settings!$B$12,0,Settings!$B$12,1))*SQRT(Settings!$B$13)))</f>
        <v/>
      </c>
      <c r="J1226" s="18">
        <f>IF(OR(NOT(ISNUMBER($A1226)),ROW()-2&lt;Settings!$B$11),NA(),IF(COUNT(OFFSET(G1226,1-Settings!$B$11,0,Settings!$B$11,1))&lt;Settings!$B$11,NA(),STDEV(OFFSET(G1226,1-Settings!$B$11,0,Settings!$B$11,1))*SQRT(Settings!$B$13)))</f>
        <v/>
      </c>
      <c r="K1226" s="18">
        <f>IF(OR(NOT(ISNUMBER($A1226)),ROW()-2&lt;Settings!$B$12),NA(),IF(COUNT(OFFSET(G1226,1-Settings!$B$12,0,Settings!$B$12,1))&lt;Settings!$B$12,NA(),STDEV(OFFSET(G1226,1-Settings!$B$12,0,Settings!$B$12,1))*SQRT(Settings!$B$13)))</f>
        <v/>
      </c>
      <c r="L1226" s="18">
        <f>IF(AND(ISNUMBER(D1226),ISNUMBER(H1226)),D1226-H1226,NA())</f>
        <v/>
      </c>
      <c r="M1226" s="18">
        <f>IF(AND(ISNUMBER(E1226),ISNUMBER(K1226)),E1226-K1226,NA())</f>
        <v/>
      </c>
      <c r="N1226" s="18">
        <f>IF(NOT(ISNUMBER($A1226)),NA(),IF(COUNT(OFFSET(G1226,1,0,Settings!$B$12,1))&lt;Settings!$B$12,NA(),STDEV(OFFSET(G1226,1,0,Settings!$B$12,1))*SQRT(Settings!$B$13)))</f>
        <v/>
      </c>
      <c r="O1226" s="18">
        <f>IF(AND(ISNUMBER(E1226),ISNUMBER(N1226)),E1226-N1226,NA())</f>
        <v/>
      </c>
      <c r="P1226" s="17">
        <f>IF(NOT(ISNUMBER($A1226)),NA(),IF(OR($A1226&lt;MIN(KW_TP!$A$2:$A$2501),$A1226&gt;MAX(KW_TP!$A$2:$A$2501)),NA(),INDEX(KW_TP!$C$2:$C$2501,MATCH($A1226,KW_TP!$A$2:$A$2501,1))))</f>
        <v/>
      </c>
    </row>
    <row r="1227">
      <c r="A1227" s="15">
        <f>IF(ISNUMBER(BBG_Data!A1227),BBG_Data!A1227,"")</f>
        <v/>
      </c>
      <c r="B1227" s="16">
        <f>IF(AND(ISNUMBER($A1227),ISNUMBER(BBG_Data!B1227)),BBG_Data!B1227,NA())</f>
        <v/>
      </c>
      <c r="C1227" s="16">
        <f>IF(AND(ISNUMBER($A1227),ISNUMBER(BBG_Data!C1227)),BBG_Data!C1227,NA())</f>
        <v/>
      </c>
      <c r="D1227" s="17">
        <f>IF(AND(ISNUMBER($A1227),ISNUMBER(BBG_Data!D1227)),BBG_Data!D1227,NA())</f>
        <v/>
      </c>
      <c r="E1227" s="17">
        <f>IF(AND(ISNUMBER($A1227),ISNUMBER(BBG_Data!E1227)),BBG_Data!E1227,NA())</f>
        <v/>
      </c>
      <c r="F1227" s="18">
        <f>IF(AND(ISNUMBER(B1227),ISNUMBER(B1226)),(B1227-B1226)*100,"")</f>
        <v/>
      </c>
      <c r="G1227" s="18">
        <f>IF(AND(ISNUMBER(C1227),ISNUMBER(C1226)),(C1227-C1226)*100,"")</f>
        <v/>
      </c>
      <c r="H1227" s="18">
        <f>IF(OR(NOT(ISNUMBER($A1227)),ROW()-2&lt;Settings!$B$11),NA(),IF(COUNT(OFFSET(F1227,1-Settings!$B$11,0,Settings!$B$11,1))&lt;Settings!$B$11,NA(),STDEV(OFFSET(F1227,1-Settings!$B$11,0,Settings!$B$11,1))*SQRT(Settings!$B$13)))</f>
        <v/>
      </c>
      <c r="I1227" s="18">
        <f>IF(OR(NOT(ISNUMBER($A1227)),ROW()-2&lt;Settings!$B$12),NA(),IF(COUNT(OFFSET(F1227,1-Settings!$B$12,0,Settings!$B$12,1))&lt;Settings!$B$12,NA(),STDEV(OFFSET(F1227,1-Settings!$B$12,0,Settings!$B$12,1))*SQRT(Settings!$B$13)))</f>
        <v/>
      </c>
      <c r="J1227" s="18">
        <f>IF(OR(NOT(ISNUMBER($A1227)),ROW()-2&lt;Settings!$B$11),NA(),IF(COUNT(OFFSET(G1227,1-Settings!$B$11,0,Settings!$B$11,1))&lt;Settings!$B$11,NA(),STDEV(OFFSET(G1227,1-Settings!$B$11,0,Settings!$B$11,1))*SQRT(Settings!$B$13)))</f>
        <v/>
      </c>
      <c r="K1227" s="18">
        <f>IF(OR(NOT(ISNUMBER($A1227)),ROW()-2&lt;Settings!$B$12),NA(),IF(COUNT(OFFSET(G1227,1-Settings!$B$12,0,Settings!$B$12,1))&lt;Settings!$B$12,NA(),STDEV(OFFSET(G1227,1-Settings!$B$12,0,Settings!$B$12,1))*SQRT(Settings!$B$13)))</f>
        <v/>
      </c>
      <c r="L1227" s="18">
        <f>IF(AND(ISNUMBER(D1227),ISNUMBER(H1227)),D1227-H1227,NA())</f>
        <v/>
      </c>
      <c r="M1227" s="18">
        <f>IF(AND(ISNUMBER(E1227),ISNUMBER(K1227)),E1227-K1227,NA())</f>
        <v/>
      </c>
      <c r="N1227" s="18">
        <f>IF(NOT(ISNUMBER($A1227)),NA(),IF(COUNT(OFFSET(G1227,1,0,Settings!$B$12,1))&lt;Settings!$B$12,NA(),STDEV(OFFSET(G1227,1,0,Settings!$B$12,1))*SQRT(Settings!$B$13)))</f>
        <v/>
      </c>
      <c r="O1227" s="18">
        <f>IF(AND(ISNUMBER(E1227),ISNUMBER(N1227)),E1227-N1227,NA())</f>
        <v/>
      </c>
      <c r="P1227" s="17">
        <f>IF(NOT(ISNUMBER($A1227)),NA(),IF(OR($A1227&lt;MIN(KW_TP!$A$2:$A$2501),$A1227&gt;MAX(KW_TP!$A$2:$A$2501)),NA(),INDEX(KW_TP!$C$2:$C$2501,MATCH($A1227,KW_TP!$A$2:$A$2501,1))))</f>
        <v/>
      </c>
    </row>
    <row r="1228">
      <c r="A1228" s="15">
        <f>IF(ISNUMBER(BBG_Data!A1228),BBG_Data!A1228,"")</f>
        <v/>
      </c>
      <c r="B1228" s="16">
        <f>IF(AND(ISNUMBER($A1228),ISNUMBER(BBG_Data!B1228)),BBG_Data!B1228,NA())</f>
        <v/>
      </c>
      <c r="C1228" s="16">
        <f>IF(AND(ISNUMBER($A1228),ISNUMBER(BBG_Data!C1228)),BBG_Data!C1228,NA())</f>
        <v/>
      </c>
      <c r="D1228" s="17">
        <f>IF(AND(ISNUMBER($A1228),ISNUMBER(BBG_Data!D1228)),BBG_Data!D1228,NA())</f>
        <v/>
      </c>
      <c r="E1228" s="17">
        <f>IF(AND(ISNUMBER($A1228),ISNUMBER(BBG_Data!E1228)),BBG_Data!E1228,NA())</f>
        <v/>
      </c>
      <c r="F1228" s="18">
        <f>IF(AND(ISNUMBER(B1228),ISNUMBER(B1227)),(B1228-B1227)*100,"")</f>
        <v/>
      </c>
      <c r="G1228" s="18">
        <f>IF(AND(ISNUMBER(C1228),ISNUMBER(C1227)),(C1228-C1227)*100,"")</f>
        <v/>
      </c>
      <c r="H1228" s="18">
        <f>IF(OR(NOT(ISNUMBER($A1228)),ROW()-2&lt;Settings!$B$11),NA(),IF(COUNT(OFFSET(F1228,1-Settings!$B$11,0,Settings!$B$11,1))&lt;Settings!$B$11,NA(),STDEV(OFFSET(F1228,1-Settings!$B$11,0,Settings!$B$11,1))*SQRT(Settings!$B$13)))</f>
        <v/>
      </c>
      <c r="I1228" s="18">
        <f>IF(OR(NOT(ISNUMBER($A1228)),ROW()-2&lt;Settings!$B$12),NA(),IF(COUNT(OFFSET(F1228,1-Settings!$B$12,0,Settings!$B$12,1))&lt;Settings!$B$12,NA(),STDEV(OFFSET(F1228,1-Settings!$B$12,0,Settings!$B$12,1))*SQRT(Settings!$B$13)))</f>
        <v/>
      </c>
      <c r="J1228" s="18">
        <f>IF(OR(NOT(ISNUMBER($A1228)),ROW()-2&lt;Settings!$B$11),NA(),IF(COUNT(OFFSET(G1228,1-Settings!$B$11,0,Settings!$B$11,1))&lt;Settings!$B$11,NA(),STDEV(OFFSET(G1228,1-Settings!$B$11,0,Settings!$B$11,1))*SQRT(Settings!$B$13)))</f>
        <v/>
      </c>
      <c r="K1228" s="18">
        <f>IF(OR(NOT(ISNUMBER($A1228)),ROW()-2&lt;Settings!$B$12),NA(),IF(COUNT(OFFSET(G1228,1-Settings!$B$12,0,Settings!$B$12,1))&lt;Settings!$B$12,NA(),STDEV(OFFSET(G1228,1-Settings!$B$12,0,Settings!$B$12,1))*SQRT(Settings!$B$13)))</f>
        <v/>
      </c>
      <c r="L1228" s="18">
        <f>IF(AND(ISNUMBER(D1228),ISNUMBER(H1228)),D1228-H1228,NA())</f>
        <v/>
      </c>
      <c r="M1228" s="18">
        <f>IF(AND(ISNUMBER(E1228),ISNUMBER(K1228)),E1228-K1228,NA())</f>
        <v/>
      </c>
      <c r="N1228" s="18">
        <f>IF(NOT(ISNUMBER($A1228)),NA(),IF(COUNT(OFFSET(G1228,1,0,Settings!$B$12,1))&lt;Settings!$B$12,NA(),STDEV(OFFSET(G1228,1,0,Settings!$B$12,1))*SQRT(Settings!$B$13)))</f>
        <v/>
      </c>
      <c r="O1228" s="18">
        <f>IF(AND(ISNUMBER(E1228),ISNUMBER(N1228)),E1228-N1228,NA())</f>
        <v/>
      </c>
      <c r="P1228" s="17">
        <f>IF(NOT(ISNUMBER($A1228)),NA(),IF(OR($A1228&lt;MIN(KW_TP!$A$2:$A$2501),$A1228&gt;MAX(KW_TP!$A$2:$A$2501)),NA(),INDEX(KW_TP!$C$2:$C$2501,MATCH($A1228,KW_TP!$A$2:$A$2501,1))))</f>
        <v/>
      </c>
    </row>
    <row r="1229">
      <c r="A1229" s="15">
        <f>IF(ISNUMBER(BBG_Data!A1229),BBG_Data!A1229,"")</f>
        <v/>
      </c>
      <c r="B1229" s="16">
        <f>IF(AND(ISNUMBER($A1229),ISNUMBER(BBG_Data!B1229)),BBG_Data!B1229,NA())</f>
        <v/>
      </c>
      <c r="C1229" s="16">
        <f>IF(AND(ISNUMBER($A1229),ISNUMBER(BBG_Data!C1229)),BBG_Data!C1229,NA())</f>
        <v/>
      </c>
      <c r="D1229" s="17">
        <f>IF(AND(ISNUMBER($A1229),ISNUMBER(BBG_Data!D1229)),BBG_Data!D1229,NA())</f>
        <v/>
      </c>
      <c r="E1229" s="17">
        <f>IF(AND(ISNUMBER($A1229),ISNUMBER(BBG_Data!E1229)),BBG_Data!E1229,NA())</f>
        <v/>
      </c>
      <c r="F1229" s="18">
        <f>IF(AND(ISNUMBER(B1229),ISNUMBER(B1228)),(B1229-B1228)*100,"")</f>
        <v/>
      </c>
      <c r="G1229" s="18">
        <f>IF(AND(ISNUMBER(C1229),ISNUMBER(C1228)),(C1229-C1228)*100,"")</f>
        <v/>
      </c>
      <c r="H1229" s="18">
        <f>IF(OR(NOT(ISNUMBER($A1229)),ROW()-2&lt;Settings!$B$11),NA(),IF(COUNT(OFFSET(F1229,1-Settings!$B$11,0,Settings!$B$11,1))&lt;Settings!$B$11,NA(),STDEV(OFFSET(F1229,1-Settings!$B$11,0,Settings!$B$11,1))*SQRT(Settings!$B$13)))</f>
        <v/>
      </c>
      <c r="I1229" s="18">
        <f>IF(OR(NOT(ISNUMBER($A1229)),ROW()-2&lt;Settings!$B$12),NA(),IF(COUNT(OFFSET(F1229,1-Settings!$B$12,0,Settings!$B$12,1))&lt;Settings!$B$12,NA(),STDEV(OFFSET(F1229,1-Settings!$B$12,0,Settings!$B$12,1))*SQRT(Settings!$B$13)))</f>
        <v/>
      </c>
      <c r="J1229" s="18">
        <f>IF(OR(NOT(ISNUMBER($A1229)),ROW()-2&lt;Settings!$B$11),NA(),IF(COUNT(OFFSET(G1229,1-Settings!$B$11,0,Settings!$B$11,1))&lt;Settings!$B$11,NA(),STDEV(OFFSET(G1229,1-Settings!$B$11,0,Settings!$B$11,1))*SQRT(Settings!$B$13)))</f>
        <v/>
      </c>
      <c r="K1229" s="18">
        <f>IF(OR(NOT(ISNUMBER($A1229)),ROW()-2&lt;Settings!$B$12),NA(),IF(COUNT(OFFSET(G1229,1-Settings!$B$12,0,Settings!$B$12,1))&lt;Settings!$B$12,NA(),STDEV(OFFSET(G1229,1-Settings!$B$12,0,Settings!$B$12,1))*SQRT(Settings!$B$13)))</f>
        <v/>
      </c>
      <c r="L1229" s="18">
        <f>IF(AND(ISNUMBER(D1229),ISNUMBER(H1229)),D1229-H1229,NA())</f>
        <v/>
      </c>
      <c r="M1229" s="18">
        <f>IF(AND(ISNUMBER(E1229),ISNUMBER(K1229)),E1229-K1229,NA())</f>
        <v/>
      </c>
      <c r="N1229" s="18">
        <f>IF(NOT(ISNUMBER($A1229)),NA(),IF(COUNT(OFFSET(G1229,1,0,Settings!$B$12,1))&lt;Settings!$B$12,NA(),STDEV(OFFSET(G1229,1,0,Settings!$B$12,1))*SQRT(Settings!$B$13)))</f>
        <v/>
      </c>
      <c r="O1229" s="18">
        <f>IF(AND(ISNUMBER(E1229),ISNUMBER(N1229)),E1229-N1229,NA())</f>
        <v/>
      </c>
      <c r="P1229" s="17">
        <f>IF(NOT(ISNUMBER($A1229)),NA(),IF(OR($A1229&lt;MIN(KW_TP!$A$2:$A$2501),$A1229&gt;MAX(KW_TP!$A$2:$A$2501)),NA(),INDEX(KW_TP!$C$2:$C$2501,MATCH($A1229,KW_TP!$A$2:$A$2501,1))))</f>
        <v/>
      </c>
    </row>
    <row r="1230">
      <c r="A1230" s="15">
        <f>IF(ISNUMBER(BBG_Data!A1230),BBG_Data!A1230,"")</f>
        <v/>
      </c>
      <c r="B1230" s="16">
        <f>IF(AND(ISNUMBER($A1230),ISNUMBER(BBG_Data!B1230)),BBG_Data!B1230,NA())</f>
        <v/>
      </c>
      <c r="C1230" s="16">
        <f>IF(AND(ISNUMBER($A1230),ISNUMBER(BBG_Data!C1230)),BBG_Data!C1230,NA())</f>
        <v/>
      </c>
      <c r="D1230" s="17">
        <f>IF(AND(ISNUMBER($A1230),ISNUMBER(BBG_Data!D1230)),BBG_Data!D1230,NA())</f>
        <v/>
      </c>
      <c r="E1230" s="17">
        <f>IF(AND(ISNUMBER($A1230),ISNUMBER(BBG_Data!E1230)),BBG_Data!E1230,NA())</f>
        <v/>
      </c>
      <c r="F1230" s="18">
        <f>IF(AND(ISNUMBER(B1230),ISNUMBER(B1229)),(B1230-B1229)*100,"")</f>
        <v/>
      </c>
      <c r="G1230" s="18">
        <f>IF(AND(ISNUMBER(C1230),ISNUMBER(C1229)),(C1230-C1229)*100,"")</f>
        <v/>
      </c>
      <c r="H1230" s="18">
        <f>IF(OR(NOT(ISNUMBER($A1230)),ROW()-2&lt;Settings!$B$11),NA(),IF(COUNT(OFFSET(F1230,1-Settings!$B$11,0,Settings!$B$11,1))&lt;Settings!$B$11,NA(),STDEV(OFFSET(F1230,1-Settings!$B$11,0,Settings!$B$11,1))*SQRT(Settings!$B$13)))</f>
        <v/>
      </c>
      <c r="I1230" s="18">
        <f>IF(OR(NOT(ISNUMBER($A1230)),ROW()-2&lt;Settings!$B$12),NA(),IF(COUNT(OFFSET(F1230,1-Settings!$B$12,0,Settings!$B$12,1))&lt;Settings!$B$12,NA(),STDEV(OFFSET(F1230,1-Settings!$B$12,0,Settings!$B$12,1))*SQRT(Settings!$B$13)))</f>
        <v/>
      </c>
      <c r="J1230" s="18">
        <f>IF(OR(NOT(ISNUMBER($A1230)),ROW()-2&lt;Settings!$B$11),NA(),IF(COUNT(OFFSET(G1230,1-Settings!$B$11,0,Settings!$B$11,1))&lt;Settings!$B$11,NA(),STDEV(OFFSET(G1230,1-Settings!$B$11,0,Settings!$B$11,1))*SQRT(Settings!$B$13)))</f>
        <v/>
      </c>
      <c r="K1230" s="18">
        <f>IF(OR(NOT(ISNUMBER($A1230)),ROW()-2&lt;Settings!$B$12),NA(),IF(COUNT(OFFSET(G1230,1-Settings!$B$12,0,Settings!$B$12,1))&lt;Settings!$B$12,NA(),STDEV(OFFSET(G1230,1-Settings!$B$12,0,Settings!$B$12,1))*SQRT(Settings!$B$13)))</f>
        <v/>
      </c>
      <c r="L1230" s="18">
        <f>IF(AND(ISNUMBER(D1230),ISNUMBER(H1230)),D1230-H1230,NA())</f>
        <v/>
      </c>
      <c r="M1230" s="18">
        <f>IF(AND(ISNUMBER(E1230),ISNUMBER(K1230)),E1230-K1230,NA())</f>
        <v/>
      </c>
      <c r="N1230" s="18">
        <f>IF(NOT(ISNUMBER($A1230)),NA(),IF(COUNT(OFFSET(G1230,1,0,Settings!$B$12,1))&lt;Settings!$B$12,NA(),STDEV(OFFSET(G1230,1,0,Settings!$B$12,1))*SQRT(Settings!$B$13)))</f>
        <v/>
      </c>
      <c r="O1230" s="18">
        <f>IF(AND(ISNUMBER(E1230),ISNUMBER(N1230)),E1230-N1230,NA())</f>
        <v/>
      </c>
      <c r="P1230" s="17">
        <f>IF(NOT(ISNUMBER($A1230)),NA(),IF(OR($A1230&lt;MIN(KW_TP!$A$2:$A$2501),$A1230&gt;MAX(KW_TP!$A$2:$A$2501)),NA(),INDEX(KW_TP!$C$2:$C$2501,MATCH($A1230,KW_TP!$A$2:$A$2501,1))))</f>
        <v/>
      </c>
    </row>
    <row r="1231">
      <c r="A1231" s="15">
        <f>IF(ISNUMBER(BBG_Data!A1231),BBG_Data!A1231,"")</f>
        <v/>
      </c>
      <c r="B1231" s="16">
        <f>IF(AND(ISNUMBER($A1231),ISNUMBER(BBG_Data!B1231)),BBG_Data!B1231,NA())</f>
        <v/>
      </c>
      <c r="C1231" s="16">
        <f>IF(AND(ISNUMBER($A1231),ISNUMBER(BBG_Data!C1231)),BBG_Data!C1231,NA())</f>
        <v/>
      </c>
      <c r="D1231" s="17">
        <f>IF(AND(ISNUMBER($A1231),ISNUMBER(BBG_Data!D1231)),BBG_Data!D1231,NA())</f>
        <v/>
      </c>
      <c r="E1231" s="17">
        <f>IF(AND(ISNUMBER($A1231),ISNUMBER(BBG_Data!E1231)),BBG_Data!E1231,NA())</f>
        <v/>
      </c>
      <c r="F1231" s="18">
        <f>IF(AND(ISNUMBER(B1231),ISNUMBER(B1230)),(B1231-B1230)*100,"")</f>
        <v/>
      </c>
      <c r="G1231" s="18">
        <f>IF(AND(ISNUMBER(C1231),ISNUMBER(C1230)),(C1231-C1230)*100,"")</f>
        <v/>
      </c>
      <c r="H1231" s="18">
        <f>IF(OR(NOT(ISNUMBER($A1231)),ROW()-2&lt;Settings!$B$11),NA(),IF(COUNT(OFFSET(F1231,1-Settings!$B$11,0,Settings!$B$11,1))&lt;Settings!$B$11,NA(),STDEV(OFFSET(F1231,1-Settings!$B$11,0,Settings!$B$11,1))*SQRT(Settings!$B$13)))</f>
        <v/>
      </c>
      <c r="I1231" s="18">
        <f>IF(OR(NOT(ISNUMBER($A1231)),ROW()-2&lt;Settings!$B$12),NA(),IF(COUNT(OFFSET(F1231,1-Settings!$B$12,0,Settings!$B$12,1))&lt;Settings!$B$12,NA(),STDEV(OFFSET(F1231,1-Settings!$B$12,0,Settings!$B$12,1))*SQRT(Settings!$B$13)))</f>
        <v/>
      </c>
      <c r="J1231" s="18">
        <f>IF(OR(NOT(ISNUMBER($A1231)),ROW()-2&lt;Settings!$B$11),NA(),IF(COUNT(OFFSET(G1231,1-Settings!$B$11,0,Settings!$B$11,1))&lt;Settings!$B$11,NA(),STDEV(OFFSET(G1231,1-Settings!$B$11,0,Settings!$B$11,1))*SQRT(Settings!$B$13)))</f>
        <v/>
      </c>
      <c r="K1231" s="18">
        <f>IF(OR(NOT(ISNUMBER($A1231)),ROW()-2&lt;Settings!$B$12),NA(),IF(COUNT(OFFSET(G1231,1-Settings!$B$12,0,Settings!$B$12,1))&lt;Settings!$B$12,NA(),STDEV(OFFSET(G1231,1-Settings!$B$12,0,Settings!$B$12,1))*SQRT(Settings!$B$13)))</f>
        <v/>
      </c>
      <c r="L1231" s="18">
        <f>IF(AND(ISNUMBER(D1231),ISNUMBER(H1231)),D1231-H1231,NA())</f>
        <v/>
      </c>
      <c r="M1231" s="18">
        <f>IF(AND(ISNUMBER(E1231),ISNUMBER(K1231)),E1231-K1231,NA())</f>
        <v/>
      </c>
      <c r="N1231" s="18">
        <f>IF(NOT(ISNUMBER($A1231)),NA(),IF(COUNT(OFFSET(G1231,1,0,Settings!$B$12,1))&lt;Settings!$B$12,NA(),STDEV(OFFSET(G1231,1,0,Settings!$B$12,1))*SQRT(Settings!$B$13)))</f>
        <v/>
      </c>
      <c r="O1231" s="18">
        <f>IF(AND(ISNUMBER(E1231),ISNUMBER(N1231)),E1231-N1231,NA())</f>
        <v/>
      </c>
      <c r="P1231" s="17">
        <f>IF(NOT(ISNUMBER($A1231)),NA(),IF(OR($A1231&lt;MIN(KW_TP!$A$2:$A$2501),$A1231&gt;MAX(KW_TP!$A$2:$A$2501)),NA(),INDEX(KW_TP!$C$2:$C$2501,MATCH($A1231,KW_TP!$A$2:$A$2501,1))))</f>
        <v/>
      </c>
    </row>
    <row r="1232">
      <c r="A1232" s="15">
        <f>IF(ISNUMBER(BBG_Data!A1232),BBG_Data!A1232,"")</f>
        <v/>
      </c>
      <c r="B1232" s="16">
        <f>IF(AND(ISNUMBER($A1232),ISNUMBER(BBG_Data!B1232)),BBG_Data!B1232,NA())</f>
        <v/>
      </c>
      <c r="C1232" s="16">
        <f>IF(AND(ISNUMBER($A1232),ISNUMBER(BBG_Data!C1232)),BBG_Data!C1232,NA())</f>
        <v/>
      </c>
      <c r="D1232" s="17">
        <f>IF(AND(ISNUMBER($A1232),ISNUMBER(BBG_Data!D1232)),BBG_Data!D1232,NA())</f>
        <v/>
      </c>
      <c r="E1232" s="17">
        <f>IF(AND(ISNUMBER($A1232),ISNUMBER(BBG_Data!E1232)),BBG_Data!E1232,NA())</f>
        <v/>
      </c>
      <c r="F1232" s="18">
        <f>IF(AND(ISNUMBER(B1232),ISNUMBER(B1231)),(B1232-B1231)*100,"")</f>
        <v/>
      </c>
      <c r="G1232" s="18">
        <f>IF(AND(ISNUMBER(C1232),ISNUMBER(C1231)),(C1232-C1231)*100,"")</f>
        <v/>
      </c>
      <c r="H1232" s="18">
        <f>IF(OR(NOT(ISNUMBER($A1232)),ROW()-2&lt;Settings!$B$11),NA(),IF(COUNT(OFFSET(F1232,1-Settings!$B$11,0,Settings!$B$11,1))&lt;Settings!$B$11,NA(),STDEV(OFFSET(F1232,1-Settings!$B$11,0,Settings!$B$11,1))*SQRT(Settings!$B$13)))</f>
        <v/>
      </c>
      <c r="I1232" s="18">
        <f>IF(OR(NOT(ISNUMBER($A1232)),ROW()-2&lt;Settings!$B$12),NA(),IF(COUNT(OFFSET(F1232,1-Settings!$B$12,0,Settings!$B$12,1))&lt;Settings!$B$12,NA(),STDEV(OFFSET(F1232,1-Settings!$B$12,0,Settings!$B$12,1))*SQRT(Settings!$B$13)))</f>
        <v/>
      </c>
      <c r="J1232" s="18">
        <f>IF(OR(NOT(ISNUMBER($A1232)),ROW()-2&lt;Settings!$B$11),NA(),IF(COUNT(OFFSET(G1232,1-Settings!$B$11,0,Settings!$B$11,1))&lt;Settings!$B$11,NA(),STDEV(OFFSET(G1232,1-Settings!$B$11,0,Settings!$B$11,1))*SQRT(Settings!$B$13)))</f>
        <v/>
      </c>
      <c r="K1232" s="18">
        <f>IF(OR(NOT(ISNUMBER($A1232)),ROW()-2&lt;Settings!$B$12),NA(),IF(COUNT(OFFSET(G1232,1-Settings!$B$12,0,Settings!$B$12,1))&lt;Settings!$B$12,NA(),STDEV(OFFSET(G1232,1-Settings!$B$12,0,Settings!$B$12,1))*SQRT(Settings!$B$13)))</f>
        <v/>
      </c>
      <c r="L1232" s="18">
        <f>IF(AND(ISNUMBER(D1232),ISNUMBER(H1232)),D1232-H1232,NA())</f>
        <v/>
      </c>
      <c r="M1232" s="18">
        <f>IF(AND(ISNUMBER(E1232),ISNUMBER(K1232)),E1232-K1232,NA())</f>
        <v/>
      </c>
      <c r="N1232" s="18">
        <f>IF(NOT(ISNUMBER($A1232)),NA(),IF(COUNT(OFFSET(G1232,1,0,Settings!$B$12,1))&lt;Settings!$B$12,NA(),STDEV(OFFSET(G1232,1,0,Settings!$B$12,1))*SQRT(Settings!$B$13)))</f>
        <v/>
      </c>
      <c r="O1232" s="18">
        <f>IF(AND(ISNUMBER(E1232),ISNUMBER(N1232)),E1232-N1232,NA())</f>
        <v/>
      </c>
      <c r="P1232" s="17">
        <f>IF(NOT(ISNUMBER($A1232)),NA(),IF(OR($A1232&lt;MIN(KW_TP!$A$2:$A$2501),$A1232&gt;MAX(KW_TP!$A$2:$A$2501)),NA(),INDEX(KW_TP!$C$2:$C$2501,MATCH($A1232,KW_TP!$A$2:$A$2501,1))))</f>
        <v/>
      </c>
    </row>
    <row r="1233">
      <c r="A1233" s="15">
        <f>IF(ISNUMBER(BBG_Data!A1233),BBG_Data!A1233,"")</f>
        <v/>
      </c>
      <c r="B1233" s="16">
        <f>IF(AND(ISNUMBER($A1233),ISNUMBER(BBG_Data!B1233)),BBG_Data!B1233,NA())</f>
        <v/>
      </c>
      <c r="C1233" s="16">
        <f>IF(AND(ISNUMBER($A1233),ISNUMBER(BBG_Data!C1233)),BBG_Data!C1233,NA())</f>
        <v/>
      </c>
      <c r="D1233" s="17">
        <f>IF(AND(ISNUMBER($A1233),ISNUMBER(BBG_Data!D1233)),BBG_Data!D1233,NA())</f>
        <v/>
      </c>
      <c r="E1233" s="17">
        <f>IF(AND(ISNUMBER($A1233),ISNUMBER(BBG_Data!E1233)),BBG_Data!E1233,NA())</f>
        <v/>
      </c>
      <c r="F1233" s="18">
        <f>IF(AND(ISNUMBER(B1233),ISNUMBER(B1232)),(B1233-B1232)*100,"")</f>
        <v/>
      </c>
      <c r="G1233" s="18">
        <f>IF(AND(ISNUMBER(C1233),ISNUMBER(C1232)),(C1233-C1232)*100,"")</f>
        <v/>
      </c>
      <c r="H1233" s="18">
        <f>IF(OR(NOT(ISNUMBER($A1233)),ROW()-2&lt;Settings!$B$11),NA(),IF(COUNT(OFFSET(F1233,1-Settings!$B$11,0,Settings!$B$11,1))&lt;Settings!$B$11,NA(),STDEV(OFFSET(F1233,1-Settings!$B$11,0,Settings!$B$11,1))*SQRT(Settings!$B$13)))</f>
        <v/>
      </c>
      <c r="I1233" s="18">
        <f>IF(OR(NOT(ISNUMBER($A1233)),ROW()-2&lt;Settings!$B$12),NA(),IF(COUNT(OFFSET(F1233,1-Settings!$B$12,0,Settings!$B$12,1))&lt;Settings!$B$12,NA(),STDEV(OFFSET(F1233,1-Settings!$B$12,0,Settings!$B$12,1))*SQRT(Settings!$B$13)))</f>
        <v/>
      </c>
      <c r="J1233" s="18">
        <f>IF(OR(NOT(ISNUMBER($A1233)),ROW()-2&lt;Settings!$B$11),NA(),IF(COUNT(OFFSET(G1233,1-Settings!$B$11,0,Settings!$B$11,1))&lt;Settings!$B$11,NA(),STDEV(OFFSET(G1233,1-Settings!$B$11,0,Settings!$B$11,1))*SQRT(Settings!$B$13)))</f>
        <v/>
      </c>
      <c r="K1233" s="18">
        <f>IF(OR(NOT(ISNUMBER($A1233)),ROW()-2&lt;Settings!$B$12),NA(),IF(COUNT(OFFSET(G1233,1-Settings!$B$12,0,Settings!$B$12,1))&lt;Settings!$B$12,NA(),STDEV(OFFSET(G1233,1-Settings!$B$12,0,Settings!$B$12,1))*SQRT(Settings!$B$13)))</f>
        <v/>
      </c>
      <c r="L1233" s="18">
        <f>IF(AND(ISNUMBER(D1233),ISNUMBER(H1233)),D1233-H1233,NA())</f>
        <v/>
      </c>
      <c r="M1233" s="18">
        <f>IF(AND(ISNUMBER(E1233),ISNUMBER(K1233)),E1233-K1233,NA())</f>
        <v/>
      </c>
      <c r="N1233" s="18">
        <f>IF(NOT(ISNUMBER($A1233)),NA(),IF(COUNT(OFFSET(G1233,1,0,Settings!$B$12,1))&lt;Settings!$B$12,NA(),STDEV(OFFSET(G1233,1,0,Settings!$B$12,1))*SQRT(Settings!$B$13)))</f>
        <v/>
      </c>
      <c r="O1233" s="18">
        <f>IF(AND(ISNUMBER(E1233),ISNUMBER(N1233)),E1233-N1233,NA())</f>
        <v/>
      </c>
      <c r="P1233" s="17">
        <f>IF(NOT(ISNUMBER($A1233)),NA(),IF(OR($A1233&lt;MIN(KW_TP!$A$2:$A$2501),$A1233&gt;MAX(KW_TP!$A$2:$A$2501)),NA(),INDEX(KW_TP!$C$2:$C$2501,MATCH($A1233,KW_TP!$A$2:$A$2501,1))))</f>
        <v/>
      </c>
    </row>
    <row r="1234">
      <c r="A1234" s="15">
        <f>IF(ISNUMBER(BBG_Data!A1234),BBG_Data!A1234,"")</f>
        <v/>
      </c>
      <c r="B1234" s="16">
        <f>IF(AND(ISNUMBER($A1234),ISNUMBER(BBG_Data!B1234)),BBG_Data!B1234,NA())</f>
        <v/>
      </c>
      <c r="C1234" s="16">
        <f>IF(AND(ISNUMBER($A1234),ISNUMBER(BBG_Data!C1234)),BBG_Data!C1234,NA())</f>
        <v/>
      </c>
      <c r="D1234" s="17">
        <f>IF(AND(ISNUMBER($A1234),ISNUMBER(BBG_Data!D1234)),BBG_Data!D1234,NA())</f>
        <v/>
      </c>
      <c r="E1234" s="17">
        <f>IF(AND(ISNUMBER($A1234),ISNUMBER(BBG_Data!E1234)),BBG_Data!E1234,NA())</f>
        <v/>
      </c>
      <c r="F1234" s="18">
        <f>IF(AND(ISNUMBER(B1234),ISNUMBER(B1233)),(B1234-B1233)*100,"")</f>
        <v/>
      </c>
      <c r="G1234" s="18">
        <f>IF(AND(ISNUMBER(C1234),ISNUMBER(C1233)),(C1234-C1233)*100,"")</f>
        <v/>
      </c>
      <c r="H1234" s="18">
        <f>IF(OR(NOT(ISNUMBER($A1234)),ROW()-2&lt;Settings!$B$11),NA(),IF(COUNT(OFFSET(F1234,1-Settings!$B$11,0,Settings!$B$11,1))&lt;Settings!$B$11,NA(),STDEV(OFFSET(F1234,1-Settings!$B$11,0,Settings!$B$11,1))*SQRT(Settings!$B$13)))</f>
        <v/>
      </c>
      <c r="I1234" s="18">
        <f>IF(OR(NOT(ISNUMBER($A1234)),ROW()-2&lt;Settings!$B$12),NA(),IF(COUNT(OFFSET(F1234,1-Settings!$B$12,0,Settings!$B$12,1))&lt;Settings!$B$12,NA(),STDEV(OFFSET(F1234,1-Settings!$B$12,0,Settings!$B$12,1))*SQRT(Settings!$B$13)))</f>
        <v/>
      </c>
      <c r="J1234" s="18">
        <f>IF(OR(NOT(ISNUMBER($A1234)),ROW()-2&lt;Settings!$B$11),NA(),IF(COUNT(OFFSET(G1234,1-Settings!$B$11,0,Settings!$B$11,1))&lt;Settings!$B$11,NA(),STDEV(OFFSET(G1234,1-Settings!$B$11,0,Settings!$B$11,1))*SQRT(Settings!$B$13)))</f>
        <v/>
      </c>
      <c r="K1234" s="18">
        <f>IF(OR(NOT(ISNUMBER($A1234)),ROW()-2&lt;Settings!$B$12),NA(),IF(COUNT(OFFSET(G1234,1-Settings!$B$12,0,Settings!$B$12,1))&lt;Settings!$B$12,NA(),STDEV(OFFSET(G1234,1-Settings!$B$12,0,Settings!$B$12,1))*SQRT(Settings!$B$13)))</f>
        <v/>
      </c>
      <c r="L1234" s="18">
        <f>IF(AND(ISNUMBER(D1234),ISNUMBER(H1234)),D1234-H1234,NA())</f>
        <v/>
      </c>
      <c r="M1234" s="18">
        <f>IF(AND(ISNUMBER(E1234),ISNUMBER(K1234)),E1234-K1234,NA())</f>
        <v/>
      </c>
      <c r="N1234" s="18">
        <f>IF(NOT(ISNUMBER($A1234)),NA(),IF(COUNT(OFFSET(G1234,1,0,Settings!$B$12,1))&lt;Settings!$B$12,NA(),STDEV(OFFSET(G1234,1,0,Settings!$B$12,1))*SQRT(Settings!$B$13)))</f>
        <v/>
      </c>
      <c r="O1234" s="18">
        <f>IF(AND(ISNUMBER(E1234),ISNUMBER(N1234)),E1234-N1234,NA())</f>
        <v/>
      </c>
      <c r="P1234" s="17">
        <f>IF(NOT(ISNUMBER($A1234)),NA(),IF(OR($A1234&lt;MIN(KW_TP!$A$2:$A$2501),$A1234&gt;MAX(KW_TP!$A$2:$A$2501)),NA(),INDEX(KW_TP!$C$2:$C$2501,MATCH($A1234,KW_TP!$A$2:$A$2501,1))))</f>
        <v/>
      </c>
    </row>
    <row r="1235">
      <c r="A1235" s="15">
        <f>IF(ISNUMBER(BBG_Data!A1235),BBG_Data!A1235,"")</f>
        <v/>
      </c>
      <c r="B1235" s="16">
        <f>IF(AND(ISNUMBER($A1235),ISNUMBER(BBG_Data!B1235)),BBG_Data!B1235,NA())</f>
        <v/>
      </c>
      <c r="C1235" s="16">
        <f>IF(AND(ISNUMBER($A1235),ISNUMBER(BBG_Data!C1235)),BBG_Data!C1235,NA())</f>
        <v/>
      </c>
      <c r="D1235" s="17">
        <f>IF(AND(ISNUMBER($A1235),ISNUMBER(BBG_Data!D1235)),BBG_Data!D1235,NA())</f>
        <v/>
      </c>
      <c r="E1235" s="17">
        <f>IF(AND(ISNUMBER($A1235),ISNUMBER(BBG_Data!E1235)),BBG_Data!E1235,NA())</f>
        <v/>
      </c>
      <c r="F1235" s="18">
        <f>IF(AND(ISNUMBER(B1235),ISNUMBER(B1234)),(B1235-B1234)*100,"")</f>
        <v/>
      </c>
      <c r="G1235" s="18">
        <f>IF(AND(ISNUMBER(C1235),ISNUMBER(C1234)),(C1235-C1234)*100,"")</f>
        <v/>
      </c>
      <c r="H1235" s="18">
        <f>IF(OR(NOT(ISNUMBER($A1235)),ROW()-2&lt;Settings!$B$11),NA(),IF(COUNT(OFFSET(F1235,1-Settings!$B$11,0,Settings!$B$11,1))&lt;Settings!$B$11,NA(),STDEV(OFFSET(F1235,1-Settings!$B$11,0,Settings!$B$11,1))*SQRT(Settings!$B$13)))</f>
        <v/>
      </c>
      <c r="I1235" s="18">
        <f>IF(OR(NOT(ISNUMBER($A1235)),ROW()-2&lt;Settings!$B$12),NA(),IF(COUNT(OFFSET(F1235,1-Settings!$B$12,0,Settings!$B$12,1))&lt;Settings!$B$12,NA(),STDEV(OFFSET(F1235,1-Settings!$B$12,0,Settings!$B$12,1))*SQRT(Settings!$B$13)))</f>
        <v/>
      </c>
      <c r="J1235" s="18">
        <f>IF(OR(NOT(ISNUMBER($A1235)),ROW()-2&lt;Settings!$B$11),NA(),IF(COUNT(OFFSET(G1235,1-Settings!$B$11,0,Settings!$B$11,1))&lt;Settings!$B$11,NA(),STDEV(OFFSET(G1235,1-Settings!$B$11,0,Settings!$B$11,1))*SQRT(Settings!$B$13)))</f>
        <v/>
      </c>
      <c r="K1235" s="18">
        <f>IF(OR(NOT(ISNUMBER($A1235)),ROW()-2&lt;Settings!$B$12),NA(),IF(COUNT(OFFSET(G1235,1-Settings!$B$12,0,Settings!$B$12,1))&lt;Settings!$B$12,NA(),STDEV(OFFSET(G1235,1-Settings!$B$12,0,Settings!$B$12,1))*SQRT(Settings!$B$13)))</f>
        <v/>
      </c>
      <c r="L1235" s="18">
        <f>IF(AND(ISNUMBER(D1235),ISNUMBER(H1235)),D1235-H1235,NA())</f>
        <v/>
      </c>
      <c r="M1235" s="18">
        <f>IF(AND(ISNUMBER(E1235),ISNUMBER(K1235)),E1235-K1235,NA())</f>
        <v/>
      </c>
      <c r="N1235" s="18">
        <f>IF(NOT(ISNUMBER($A1235)),NA(),IF(COUNT(OFFSET(G1235,1,0,Settings!$B$12,1))&lt;Settings!$B$12,NA(),STDEV(OFFSET(G1235,1,0,Settings!$B$12,1))*SQRT(Settings!$B$13)))</f>
        <v/>
      </c>
      <c r="O1235" s="18">
        <f>IF(AND(ISNUMBER(E1235),ISNUMBER(N1235)),E1235-N1235,NA())</f>
        <v/>
      </c>
      <c r="P1235" s="17">
        <f>IF(NOT(ISNUMBER($A1235)),NA(),IF(OR($A1235&lt;MIN(KW_TP!$A$2:$A$2501),$A1235&gt;MAX(KW_TP!$A$2:$A$2501)),NA(),INDEX(KW_TP!$C$2:$C$2501,MATCH($A1235,KW_TP!$A$2:$A$2501,1))))</f>
        <v/>
      </c>
    </row>
    <row r="1236">
      <c r="A1236" s="15">
        <f>IF(ISNUMBER(BBG_Data!A1236),BBG_Data!A1236,"")</f>
        <v/>
      </c>
      <c r="B1236" s="16">
        <f>IF(AND(ISNUMBER($A1236),ISNUMBER(BBG_Data!B1236)),BBG_Data!B1236,NA())</f>
        <v/>
      </c>
      <c r="C1236" s="16">
        <f>IF(AND(ISNUMBER($A1236),ISNUMBER(BBG_Data!C1236)),BBG_Data!C1236,NA())</f>
        <v/>
      </c>
      <c r="D1236" s="17">
        <f>IF(AND(ISNUMBER($A1236),ISNUMBER(BBG_Data!D1236)),BBG_Data!D1236,NA())</f>
        <v/>
      </c>
      <c r="E1236" s="17">
        <f>IF(AND(ISNUMBER($A1236),ISNUMBER(BBG_Data!E1236)),BBG_Data!E1236,NA())</f>
        <v/>
      </c>
      <c r="F1236" s="18">
        <f>IF(AND(ISNUMBER(B1236),ISNUMBER(B1235)),(B1236-B1235)*100,"")</f>
        <v/>
      </c>
      <c r="G1236" s="18">
        <f>IF(AND(ISNUMBER(C1236),ISNUMBER(C1235)),(C1236-C1235)*100,"")</f>
        <v/>
      </c>
      <c r="H1236" s="18">
        <f>IF(OR(NOT(ISNUMBER($A1236)),ROW()-2&lt;Settings!$B$11),NA(),IF(COUNT(OFFSET(F1236,1-Settings!$B$11,0,Settings!$B$11,1))&lt;Settings!$B$11,NA(),STDEV(OFFSET(F1236,1-Settings!$B$11,0,Settings!$B$11,1))*SQRT(Settings!$B$13)))</f>
        <v/>
      </c>
      <c r="I1236" s="18">
        <f>IF(OR(NOT(ISNUMBER($A1236)),ROW()-2&lt;Settings!$B$12),NA(),IF(COUNT(OFFSET(F1236,1-Settings!$B$12,0,Settings!$B$12,1))&lt;Settings!$B$12,NA(),STDEV(OFFSET(F1236,1-Settings!$B$12,0,Settings!$B$12,1))*SQRT(Settings!$B$13)))</f>
        <v/>
      </c>
      <c r="J1236" s="18">
        <f>IF(OR(NOT(ISNUMBER($A1236)),ROW()-2&lt;Settings!$B$11),NA(),IF(COUNT(OFFSET(G1236,1-Settings!$B$11,0,Settings!$B$11,1))&lt;Settings!$B$11,NA(),STDEV(OFFSET(G1236,1-Settings!$B$11,0,Settings!$B$11,1))*SQRT(Settings!$B$13)))</f>
        <v/>
      </c>
      <c r="K1236" s="18">
        <f>IF(OR(NOT(ISNUMBER($A1236)),ROW()-2&lt;Settings!$B$12),NA(),IF(COUNT(OFFSET(G1236,1-Settings!$B$12,0,Settings!$B$12,1))&lt;Settings!$B$12,NA(),STDEV(OFFSET(G1236,1-Settings!$B$12,0,Settings!$B$12,1))*SQRT(Settings!$B$13)))</f>
        <v/>
      </c>
      <c r="L1236" s="18">
        <f>IF(AND(ISNUMBER(D1236),ISNUMBER(H1236)),D1236-H1236,NA())</f>
        <v/>
      </c>
      <c r="M1236" s="18">
        <f>IF(AND(ISNUMBER(E1236),ISNUMBER(K1236)),E1236-K1236,NA())</f>
        <v/>
      </c>
      <c r="N1236" s="18">
        <f>IF(NOT(ISNUMBER($A1236)),NA(),IF(COUNT(OFFSET(G1236,1,0,Settings!$B$12,1))&lt;Settings!$B$12,NA(),STDEV(OFFSET(G1236,1,0,Settings!$B$12,1))*SQRT(Settings!$B$13)))</f>
        <v/>
      </c>
      <c r="O1236" s="18">
        <f>IF(AND(ISNUMBER(E1236),ISNUMBER(N1236)),E1236-N1236,NA())</f>
        <v/>
      </c>
      <c r="P1236" s="17">
        <f>IF(NOT(ISNUMBER($A1236)),NA(),IF(OR($A1236&lt;MIN(KW_TP!$A$2:$A$2501),$A1236&gt;MAX(KW_TP!$A$2:$A$2501)),NA(),INDEX(KW_TP!$C$2:$C$2501,MATCH($A1236,KW_TP!$A$2:$A$2501,1))))</f>
        <v/>
      </c>
    </row>
    <row r="1237">
      <c r="A1237" s="15">
        <f>IF(ISNUMBER(BBG_Data!A1237),BBG_Data!A1237,"")</f>
        <v/>
      </c>
      <c r="B1237" s="16">
        <f>IF(AND(ISNUMBER($A1237),ISNUMBER(BBG_Data!B1237)),BBG_Data!B1237,NA())</f>
        <v/>
      </c>
      <c r="C1237" s="16">
        <f>IF(AND(ISNUMBER($A1237),ISNUMBER(BBG_Data!C1237)),BBG_Data!C1237,NA())</f>
        <v/>
      </c>
      <c r="D1237" s="17">
        <f>IF(AND(ISNUMBER($A1237),ISNUMBER(BBG_Data!D1237)),BBG_Data!D1237,NA())</f>
        <v/>
      </c>
      <c r="E1237" s="17">
        <f>IF(AND(ISNUMBER($A1237),ISNUMBER(BBG_Data!E1237)),BBG_Data!E1237,NA())</f>
        <v/>
      </c>
      <c r="F1237" s="18">
        <f>IF(AND(ISNUMBER(B1237),ISNUMBER(B1236)),(B1237-B1236)*100,"")</f>
        <v/>
      </c>
      <c r="G1237" s="18">
        <f>IF(AND(ISNUMBER(C1237),ISNUMBER(C1236)),(C1237-C1236)*100,"")</f>
        <v/>
      </c>
      <c r="H1237" s="18">
        <f>IF(OR(NOT(ISNUMBER($A1237)),ROW()-2&lt;Settings!$B$11),NA(),IF(COUNT(OFFSET(F1237,1-Settings!$B$11,0,Settings!$B$11,1))&lt;Settings!$B$11,NA(),STDEV(OFFSET(F1237,1-Settings!$B$11,0,Settings!$B$11,1))*SQRT(Settings!$B$13)))</f>
        <v/>
      </c>
      <c r="I1237" s="18">
        <f>IF(OR(NOT(ISNUMBER($A1237)),ROW()-2&lt;Settings!$B$12),NA(),IF(COUNT(OFFSET(F1237,1-Settings!$B$12,0,Settings!$B$12,1))&lt;Settings!$B$12,NA(),STDEV(OFFSET(F1237,1-Settings!$B$12,0,Settings!$B$12,1))*SQRT(Settings!$B$13)))</f>
        <v/>
      </c>
      <c r="J1237" s="18">
        <f>IF(OR(NOT(ISNUMBER($A1237)),ROW()-2&lt;Settings!$B$11),NA(),IF(COUNT(OFFSET(G1237,1-Settings!$B$11,0,Settings!$B$11,1))&lt;Settings!$B$11,NA(),STDEV(OFFSET(G1237,1-Settings!$B$11,0,Settings!$B$11,1))*SQRT(Settings!$B$13)))</f>
        <v/>
      </c>
      <c r="K1237" s="18">
        <f>IF(OR(NOT(ISNUMBER($A1237)),ROW()-2&lt;Settings!$B$12),NA(),IF(COUNT(OFFSET(G1237,1-Settings!$B$12,0,Settings!$B$12,1))&lt;Settings!$B$12,NA(),STDEV(OFFSET(G1237,1-Settings!$B$12,0,Settings!$B$12,1))*SQRT(Settings!$B$13)))</f>
        <v/>
      </c>
      <c r="L1237" s="18">
        <f>IF(AND(ISNUMBER(D1237),ISNUMBER(H1237)),D1237-H1237,NA())</f>
        <v/>
      </c>
      <c r="M1237" s="18">
        <f>IF(AND(ISNUMBER(E1237),ISNUMBER(K1237)),E1237-K1237,NA())</f>
        <v/>
      </c>
      <c r="N1237" s="18">
        <f>IF(NOT(ISNUMBER($A1237)),NA(),IF(COUNT(OFFSET(G1237,1,0,Settings!$B$12,1))&lt;Settings!$B$12,NA(),STDEV(OFFSET(G1237,1,0,Settings!$B$12,1))*SQRT(Settings!$B$13)))</f>
        <v/>
      </c>
      <c r="O1237" s="18">
        <f>IF(AND(ISNUMBER(E1237),ISNUMBER(N1237)),E1237-N1237,NA())</f>
        <v/>
      </c>
      <c r="P1237" s="17">
        <f>IF(NOT(ISNUMBER($A1237)),NA(),IF(OR($A1237&lt;MIN(KW_TP!$A$2:$A$2501),$A1237&gt;MAX(KW_TP!$A$2:$A$2501)),NA(),INDEX(KW_TP!$C$2:$C$2501,MATCH($A1237,KW_TP!$A$2:$A$2501,1))))</f>
        <v/>
      </c>
    </row>
    <row r="1238">
      <c r="A1238" s="15">
        <f>IF(ISNUMBER(BBG_Data!A1238),BBG_Data!A1238,"")</f>
        <v/>
      </c>
      <c r="B1238" s="16">
        <f>IF(AND(ISNUMBER($A1238),ISNUMBER(BBG_Data!B1238)),BBG_Data!B1238,NA())</f>
        <v/>
      </c>
      <c r="C1238" s="16">
        <f>IF(AND(ISNUMBER($A1238),ISNUMBER(BBG_Data!C1238)),BBG_Data!C1238,NA())</f>
        <v/>
      </c>
      <c r="D1238" s="17">
        <f>IF(AND(ISNUMBER($A1238),ISNUMBER(BBG_Data!D1238)),BBG_Data!D1238,NA())</f>
        <v/>
      </c>
      <c r="E1238" s="17">
        <f>IF(AND(ISNUMBER($A1238),ISNUMBER(BBG_Data!E1238)),BBG_Data!E1238,NA())</f>
        <v/>
      </c>
      <c r="F1238" s="18">
        <f>IF(AND(ISNUMBER(B1238),ISNUMBER(B1237)),(B1238-B1237)*100,"")</f>
        <v/>
      </c>
      <c r="G1238" s="18">
        <f>IF(AND(ISNUMBER(C1238),ISNUMBER(C1237)),(C1238-C1237)*100,"")</f>
        <v/>
      </c>
      <c r="H1238" s="18">
        <f>IF(OR(NOT(ISNUMBER($A1238)),ROW()-2&lt;Settings!$B$11),NA(),IF(COUNT(OFFSET(F1238,1-Settings!$B$11,0,Settings!$B$11,1))&lt;Settings!$B$11,NA(),STDEV(OFFSET(F1238,1-Settings!$B$11,0,Settings!$B$11,1))*SQRT(Settings!$B$13)))</f>
        <v/>
      </c>
      <c r="I1238" s="18">
        <f>IF(OR(NOT(ISNUMBER($A1238)),ROW()-2&lt;Settings!$B$12),NA(),IF(COUNT(OFFSET(F1238,1-Settings!$B$12,0,Settings!$B$12,1))&lt;Settings!$B$12,NA(),STDEV(OFFSET(F1238,1-Settings!$B$12,0,Settings!$B$12,1))*SQRT(Settings!$B$13)))</f>
        <v/>
      </c>
      <c r="J1238" s="18">
        <f>IF(OR(NOT(ISNUMBER($A1238)),ROW()-2&lt;Settings!$B$11),NA(),IF(COUNT(OFFSET(G1238,1-Settings!$B$11,0,Settings!$B$11,1))&lt;Settings!$B$11,NA(),STDEV(OFFSET(G1238,1-Settings!$B$11,0,Settings!$B$11,1))*SQRT(Settings!$B$13)))</f>
        <v/>
      </c>
      <c r="K1238" s="18">
        <f>IF(OR(NOT(ISNUMBER($A1238)),ROW()-2&lt;Settings!$B$12),NA(),IF(COUNT(OFFSET(G1238,1-Settings!$B$12,0,Settings!$B$12,1))&lt;Settings!$B$12,NA(),STDEV(OFFSET(G1238,1-Settings!$B$12,0,Settings!$B$12,1))*SQRT(Settings!$B$13)))</f>
        <v/>
      </c>
      <c r="L1238" s="18">
        <f>IF(AND(ISNUMBER(D1238),ISNUMBER(H1238)),D1238-H1238,NA())</f>
        <v/>
      </c>
      <c r="M1238" s="18">
        <f>IF(AND(ISNUMBER(E1238),ISNUMBER(K1238)),E1238-K1238,NA())</f>
        <v/>
      </c>
      <c r="N1238" s="18">
        <f>IF(NOT(ISNUMBER($A1238)),NA(),IF(COUNT(OFFSET(G1238,1,0,Settings!$B$12,1))&lt;Settings!$B$12,NA(),STDEV(OFFSET(G1238,1,0,Settings!$B$12,1))*SQRT(Settings!$B$13)))</f>
        <v/>
      </c>
      <c r="O1238" s="18">
        <f>IF(AND(ISNUMBER(E1238),ISNUMBER(N1238)),E1238-N1238,NA())</f>
        <v/>
      </c>
      <c r="P1238" s="17">
        <f>IF(NOT(ISNUMBER($A1238)),NA(),IF(OR($A1238&lt;MIN(KW_TP!$A$2:$A$2501),$A1238&gt;MAX(KW_TP!$A$2:$A$2501)),NA(),INDEX(KW_TP!$C$2:$C$2501,MATCH($A1238,KW_TP!$A$2:$A$2501,1))))</f>
        <v/>
      </c>
    </row>
    <row r="1239">
      <c r="A1239" s="15">
        <f>IF(ISNUMBER(BBG_Data!A1239),BBG_Data!A1239,"")</f>
        <v/>
      </c>
      <c r="B1239" s="16">
        <f>IF(AND(ISNUMBER($A1239),ISNUMBER(BBG_Data!B1239)),BBG_Data!B1239,NA())</f>
        <v/>
      </c>
      <c r="C1239" s="16">
        <f>IF(AND(ISNUMBER($A1239),ISNUMBER(BBG_Data!C1239)),BBG_Data!C1239,NA())</f>
        <v/>
      </c>
      <c r="D1239" s="17">
        <f>IF(AND(ISNUMBER($A1239),ISNUMBER(BBG_Data!D1239)),BBG_Data!D1239,NA())</f>
        <v/>
      </c>
      <c r="E1239" s="17">
        <f>IF(AND(ISNUMBER($A1239),ISNUMBER(BBG_Data!E1239)),BBG_Data!E1239,NA())</f>
        <v/>
      </c>
      <c r="F1239" s="18">
        <f>IF(AND(ISNUMBER(B1239),ISNUMBER(B1238)),(B1239-B1238)*100,"")</f>
        <v/>
      </c>
      <c r="G1239" s="18">
        <f>IF(AND(ISNUMBER(C1239),ISNUMBER(C1238)),(C1239-C1238)*100,"")</f>
        <v/>
      </c>
      <c r="H1239" s="18">
        <f>IF(OR(NOT(ISNUMBER($A1239)),ROW()-2&lt;Settings!$B$11),NA(),IF(COUNT(OFFSET(F1239,1-Settings!$B$11,0,Settings!$B$11,1))&lt;Settings!$B$11,NA(),STDEV(OFFSET(F1239,1-Settings!$B$11,0,Settings!$B$11,1))*SQRT(Settings!$B$13)))</f>
        <v/>
      </c>
      <c r="I1239" s="18">
        <f>IF(OR(NOT(ISNUMBER($A1239)),ROW()-2&lt;Settings!$B$12),NA(),IF(COUNT(OFFSET(F1239,1-Settings!$B$12,0,Settings!$B$12,1))&lt;Settings!$B$12,NA(),STDEV(OFFSET(F1239,1-Settings!$B$12,0,Settings!$B$12,1))*SQRT(Settings!$B$13)))</f>
        <v/>
      </c>
      <c r="J1239" s="18">
        <f>IF(OR(NOT(ISNUMBER($A1239)),ROW()-2&lt;Settings!$B$11),NA(),IF(COUNT(OFFSET(G1239,1-Settings!$B$11,0,Settings!$B$11,1))&lt;Settings!$B$11,NA(),STDEV(OFFSET(G1239,1-Settings!$B$11,0,Settings!$B$11,1))*SQRT(Settings!$B$13)))</f>
        <v/>
      </c>
      <c r="K1239" s="18">
        <f>IF(OR(NOT(ISNUMBER($A1239)),ROW()-2&lt;Settings!$B$12),NA(),IF(COUNT(OFFSET(G1239,1-Settings!$B$12,0,Settings!$B$12,1))&lt;Settings!$B$12,NA(),STDEV(OFFSET(G1239,1-Settings!$B$12,0,Settings!$B$12,1))*SQRT(Settings!$B$13)))</f>
        <v/>
      </c>
      <c r="L1239" s="18">
        <f>IF(AND(ISNUMBER(D1239),ISNUMBER(H1239)),D1239-H1239,NA())</f>
        <v/>
      </c>
      <c r="M1239" s="18">
        <f>IF(AND(ISNUMBER(E1239),ISNUMBER(K1239)),E1239-K1239,NA())</f>
        <v/>
      </c>
      <c r="N1239" s="18">
        <f>IF(NOT(ISNUMBER($A1239)),NA(),IF(COUNT(OFFSET(G1239,1,0,Settings!$B$12,1))&lt;Settings!$B$12,NA(),STDEV(OFFSET(G1239,1,0,Settings!$B$12,1))*SQRT(Settings!$B$13)))</f>
        <v/>
      </c>
      <c r="O1239" s="18">
        <f>IF(AND(ISNUMBER(E1239),ISNUMBER(N1239)),E1239-N1239,NA())</f>
        <v/>
      </c>
      <c r="P1239" s="17">
        <f>IF(NOT(ISNUMBER($A1239)),NA(),IF(OR($A1239&lt;MIN(KW_TP!$A$2:$A$2501),$A1239&gt;MAX(KW_TP!$A$2:$A$2501)),NA(),INDEX(KW_TP!$C$2:$C$2501,MATCH($A1239,KW_TP!$A$2:$A$2501,1))))</f>
        <v/>
      </c>
    </row>
    <row r="1240">
      <c r="A1240" s="15">
        <f>IF(ISNUMBER(BBG_Data!A1240),BBG_Data!A1240,"")</f>
        <v/>
      </c>
      <c r="B1240" s="16">
        <f>IF(AND(ISNUMBER($A1240),ISNUMBER(BBG_Data!B1240)),BBG_Data!B1240,NA())</f>
        <v/>
      </c>
      <c r="C1240" s="16">
        <f>IF(AND(ISNUMBER($A1240),ISNUMBER(BBG_Data!C1240)),BBG_Data!C1240,NA())</f>
        <v/>
      </c>
      <c r="D1240" s="17">
        <f>IF(AND(ISNUMBER($A1240),ISNUMBER(BBG_Data!D1240)),BBG_Data!D1240,NA())</f>
        <v/>
      </c>
      <c r="E1240" s="17">
        <f>IF(AND(ISNUMBER($A1240),ISNUMBER(BBG_Data!E1240)),BBG_Data!E1240,NA())</f>
        <v/>
      </c>
      <c r="F1240" s="18">
        <f>IF(AND(ISNUMBER(B1240),ISNUMBER(B1239)),(B1240-B1239)*100,"")</f>
        <v/>
      </c>
      <c r="G1240" s="18">
        <f>IF(AND(ISNUMBER(C1240),ISNUMBER(C1239)),(C1240-C1239)*100,"")</f>
        <v/>
      </c>
      <c r="H1240" s="18">
        <f>IF(OR(NOT(ISNUMBER($A1240)),ROW()-2&lt;Settings!$B$11),NA(),IF(COUNT(OFFSET(F1240,1-Settings!$B$11,0,Settings!$B$11,1))&lt;Settings!$B$11,NA(),STDEV(OFFSET(F1240,1-Settings!$B$11,0,Settings!$B$11,1))*SQRT(Settings!$B$13)))</f>
        <v/>
      </c>
      <c r="I1240" s="18">
        <f>IF(OR(NOT(ISNUMBER($A1240)),ROW()-2&lt;Settings!$B$12),NA(),IF(COUNT(OFFSET(F1240,1-Settings!$B$12,0,Settings!$B$12,1))&lt;Settings!$B$12,NA(),STDEV(OFFSET(F1240,1-Settings!$B$12,0,Settings!$B$12,1))*SQRT(Settings!$B$13)))</f>
        <v/>
      </c>
      <c r="J1240" s="18">
        <f>IF(OR(NOT(ISNUMBER($A1240)),ROW()-2&lt;Settings!$B$11),NA(),IF(COUNT(OFFSET(G1240,1-Settings!$B$11,0,Settings!$B$11,1))&lt;Settings!$B$11,NA(),STDEV(OFFSET(G1240,1-Settings!$B$11,0,Settings!$B$11,1))*SQRT(Settings!$B$13)))</f>
        <v/>
      </c>
      <c r="K1240" s="18">
        <f>IF(OR(NOT(ISNUMBER($A1240)),ROW()-2&lt;Settings!$B$12),NA(),IF(COUNT(OFFSET(G1240,1-Settings!$B$12,0,Settings!$B$12,1))&lt;Settings!$B$12,NA(),STDEV(OFFSET(G1240,1-Settings!$B$12,0,Settings!$B$12,1))*SQRT(Settings!$B$13)))</f>
        <v/>
      </c>
      <c r="L1240" s="18">
        <f>IF(AND(ISNUMBER(D1240),ISNUMBER(H1240)),D1240-H1240,NA())</f>
        <v/>
      </c>
      <c r="M1240" s="18">
        <f>IF(AND(ISNUMBER(E1240),ISNUMBER(K1240)),E1240-K1240,NA())</f>
        <v/>
      </c>
      <c r="N1240" s="18">
        <f>IF(NOT(ISNUMBER($A1240)),NA(),IF(COUNT(OFFSET(G1240,1,0,Settings!$B$12,1))&lt;Settings!$B$12,NA(),STDEV(OFFSET(G1240,1,0,Settings!$B$12,1))*SQRT(Settings!$B$13)))</f>
        <v/>
      </c>
      <c r="O1240" s="18">
        <f>IF(AND(ISNUMBER(E1240),ISNUMBER(N1240)),E1240-N1240,NA())</f>
        <v/>
      </c>
      <c r="P1240" s="17">
        <f>IF(NOT(ISNUMBER($A1240)),NA(),IF(OR($A1240&lt;MIN(KW_TP!$A$2:$A$2501),$A1240&gt;MAX(KW_TP!$A$2:$A$2501)),NA(),INDEX(KW_TP!$C$2:$C$2501,MATCH($A1240,KW_TP!$A$2:$A$2501,1))))</f>
        <v/>
      </c>
    </row>
    <row r="1241">
      <c r="A1241" s="15">
        <f>IF(ISNUMBER(BBG_Data!A1241),BBG_Data!A1241,"")</f>
        <v/>
      </c>
      <c r="B1241" s="16">
        <f>IF(AND(ISNUMBER($A1241),ISNUMBER(BBG_Data!B1241)),BBG_Data!B1241,NA())</f>
        <v/>
      </c>
      <c r="C1241" s="16">
        <f>IF(AND(ISNUMBER($A1241),ISNUMBER(BBG_Data!C1241)),BBG_Data!C1241,NA())</f>
        <v/>
      </c>
      <c r="D1241" s="17">
        <f>IF(AND(ISNUMBER($A1241),ISNUMBER(BBG_Data!D1241)),BBG_Data!D1241,NA())</f>
        <v/>
      </c>
      <c r="E1241" s="17">
        <f>IF(AND(ISNUMBER($A1241),ISNUMBER(BBG_Data!E1241)),BBG_Data!E1241,NA())</f>
        <v/>
      </c>
      <c r="F1241" s="18">
        <f>IF(AND(ISNUMBER(B1241),ISNUMBER(B1240)),(B1241-B1240)*100,"")</f>
        <v/>
      </c>
      <c r="G1241" s="18">
        <f>IF(AND(ISNUMBER(C1241),ISNUMBER(C1240)),(C1241-C1240)*100,"")</f>
        <v/>
      </c>
      <c r="H1241" s="18">
        <f>IF(OR(NOT(ISNUMBER($A1241)),ROW()-2&lt;Settings!$B$11),NA(),IF(COUNT(OFFSET(F1241,1-Settings!$B$11,0,Settings!$B$11,1))&lt;Settings!$B$11,NA(),STDEV(OFFSET(F1241,1-Settings!$B$11,0,Settings!$B$11,1))*SQRT(Settings!$B$13)))</f>
        <v/>
      </c>
      <c r="I1241" s="18">
        <f>IF(OR(NOT(ISNUMBER($A1241)),ROW()-2&lt;Settings!$B$12),NA(),IF(COUNT(OFFSET(F1241,1-Settings!$B$12,0,Settings!$B$12,1))&lt;Settings!$B$12,NA(),STDEV(OFFSET(F1241,1-Settings!$B$12,0,Settings!$B$12,1))*SQRT(Settings!$B$13)))</f>
        <v/>
      </c>
      <c r="J1241" s="18">
        <f>IF(OR(NOT(ISNUMBER($A1241)),ROW()-2&lt;Settings!$B$11),NA(),IF(COUNT(OFFSET(G1241,1-Settings!$B$11,0,Settings!$B$11,1))&lt;Settings!$B$11,NA(),STDEV(OFFSET(G1241,1-Settings!$B$11,0,Settings!$B$11,1))*SQRT(Settings!$B$13)))</f>
        <v/>
      </c>
      <c r="K1241" s="18">
        <f>IF(OR(NOT(ISNUMBER($A1241)),ROW()-2&lt;Settings!$B$12),NA(),IF(COUNT(OFFSET(G1241,1-Settings!$B$12,0,Settings!$B$12,1))&lt;Settings!$B$12,NA(),STDEV(OFFSET(G1241,1-Settings!$B$12,0,Settings!$B$12,1))*SQRT(Settings!$B$13)))</f>
        <v/>
      </c>
      <c r="L1241" s="18">
        <f>IF(AND(ISNUMBER(D1241),ISNUMBER(H1241)),D1241-H1241,NA())</f>
        <v/>
      </c>
      <c r="M1241" s="18">
        <f>IF(AND(ISNUMBER(E1241),ISNUMBER(K1241)),E1241-K1241,NA())</f>
        <v/>
      </c>
      <c r="N1241" s="18">
        <f>IF(NOT(ISNUMBER($A1241)),NA(),IF(COUNT(OFFSET(G1241,1,0,Settings!$B$12,1))&lt;Settings!$B$12,NA(),STDEV(OFFSET(G1241,1,0,Settings!$B$12,1))*SQRT(Settings!$B$13)))</f>
        <v/>
      </c>
      <c r="O1241" s="18">
        <f>IF(AND(ISNUMBER(E1241),ISNUMBER(N1241)),E1241-N1241,NA())</f>
        <v/>
      </c>
      <c r="P1241" s="17">
        <f>IF(NOT(ISNUMBER($A1241)),NA(),IF(OR($A1241&lt;MIN(KW_TP!$A$2:$A$2501),$A1241&gt;MAX(KW_TP!$A$2:$A$2501)),NA(),INDEX(KW_TP!$C$2:$C$2501,MATCH($A1241,KW_TP!$A$2:$A$2501,1))))</f>
        <v/>
      </c>
    </row>
    <row r="1242">
      <c r="A1242" s="15">
        <f>IF(ISNUMBER(BBG_Data!A1242),BBG_Data!A1242,"")</f>
        <v/>
      </c>
      <c r="B1242" s="16">
        <f>IF(AND(ISNUMBER($A1242),ISNUMBER(BBG_Data!B1242)),BBG_Data!B1242,NA())</f>
        <v/>
      </c>
      <c r="C1242" s="16">
        <f>IF(AND(ISNUMBER($A1242),ISNUMBER(BBG_Data!C1242)),BBG_Data!C1242,NA())</f>
        <v/>
      </c>
      <c r="D1242" s="17">
        <f>IF(AND(ISNUMBER($A1242),ISNUMBER(BBG_Data!D1242)),BBG_Data!D1242,NA())</f>
        <v/>
      </c>
      <c r="E1242" s="17">
        <f>IF(AND(ISNUMBER($A1242),ISNUMBER(BBG_Data!E1242)),BBG_Data!E1242,NA())</f>
        <v/>
      </c>
      <c r="F1242" s="18">
        <f>IF(AND(ISNUMBER(B1242),ISNUMBER(B1241)),(B1242-B1241)*100,"")</f>
        <v/>
      </c>
      <c r="G1242" s="18">
        <f>IF(AND(ISNUMBER(C1242),ISNUMBER(C1241)),(C1242-C1241)*100,"")</f>
        <v/>
      </c>
      <c r="H1242" s="18">
        <f>IF(OR(NOT(ISNUMBER($A1242)),ROW()-2&lt;Settings!$B$11),NA(),IF(COUNT(OFFSET(F1242,1-Settings!$B$11,0,Settings!$B$11,1))&lt;Settings!$B$11,NA(),STDEV(OFFSET(F1242,1-Settings!$B$11,0,Settings!$B$11,1))*SQRT(Settings!$B$13)))</f>
        <v/>
      </c>
      <c r="I1242" s="18">
        <f>IF(OR(NOT(ISNUMBER($A1242)),ROW()-2&lt;Settings!$B$12),NA(),IF(COUNT(OFFSET(F1242,1-Settings!$B$12,0,Settings!$B$12,1))&lt;Settings!$B$12,NA(),STDEV(OFFSET(F1242,1-Settings!$B$12,0,Settings!$B$12,1))*SQRT(Settings!$B$13)))</f>
        <v/>
      </c>
      <c r="J1242" s="18">
        <f>IF(OR(NOT(ISNUMBER($A1242)),ROW()-2&lt;Settings!$B$11),NA(),IF(COUNT(OFFSET(G1242,1-Settings!$B$11,0,Settings!$B$11,1))&lt;Settings!$B$11,NA(),STDEV(OFFSET(G1242,1-Settings!$B$11,0,Settings!$B$11,1))*SQRT(Settings!$B$13)))</f>
        <v/>
      </c>
      <c r="K1242" s="18">
        <f>IF(OR(NOT(ISNUMBER($A1242)),ROW()-2&lt;Settings!$B$12),NA(),IF(COUNT(OFFSET(G1242,1-Settings!$B$12,0,Settings!$B$12,1))&lt;Settings!$B$12,NA(),STDEV(OFFSET(G1242,1-Settings!$B$12,0,Settings!$B$12,1))*SQRT(Settings!$B$13)))</f>
        <v/>
      </c>
      <c r="L1242" s="18">
        <f>IF(AND(ISNUMBER(D1242),ISNUMBER(H1242)),D1242-H1242,NA())</f>
        <v/>
      </c>
      <c r="M1242" s="18">
        <f>IF(AND(ISNUMBER(E1242),ISNUMBER(K1242)),E1242-K1242,NA())</f>
        <v/>
      </c>
      <c r="N1242" s="18">
        <f>IF(NOT(ISNUMBER($A1242)),NA(),IF(COUNT(OFFSET(G1242,1,0,Settings!$B$12,1))&lt;Settings!$B$12,NA(),STDEV(OFFSET(G1242,1,0,Settings!$B$12,1))*SQRT(Settings!$B$13)))</f>
        <v/>
      </c>
      <c r="O1242" s="18">
        <f>IF(AND(ISNUMBER(E1242),ISNUMBER(N1242)),E1242-N1242,NA())</f>
        <v/>
      </c>
      <c r="P1242" s="17">
        <f>IF(NOT(ISNUMBER($A1242)),NA(),IF(OR($A1242&lt;MIN(KW_TP!$A$2:$A$2501),$A1242&gt;MAX(KW_TP!$A$2:$A$2501)),NA(),INDEX(KW_TP!$C$2:$C$2501,MATCH($A1242,KW_TP!$A$2:$A$2501,1))))</f>
        <v/>
      </c>
    </row>
    <row r="1243">
      <c r="A1243" s="15">
        <f>IF(ISNUMBER(BBG_Data!A1243),BBG_Data!A1243,"")</f>
        <v/>
      </c>
      <c r="B1243" s="16">
        <f>IF(AND(ISNUMBER($A1243),ISNUMBER(BBG_Data!B1243)),BBG_Data!B1243,NA())</f>
        <v/>
      </c>
      <c r="C1243" s="16">
        <f>IF(AND(ISNUMBER($A1243),ISNUMBER(BBG_Data!C1243)),BBG_Data!C1243,NA())</f>
        <v/>
      </c>
      <c r="D1243" s="17">
        <f>IF(AND(ISNUMBER($A1243),ISNUMBER(BBG_Data!D1243)),BBG_Data!D1243,NA())</f>
        <v/>
      </c>
      <c r="E1243" s="17">
        <f>IF(AND(ISNUMBER($A1243),ISNUMBER(BBG_Data!E1243)),BBG_Data!E1243,NA())</f>
        <v/>
      </c>
      <c r="F1243" s="18">
        <f>IF(AND(ISNUMBER(B1243),ISNUMBER(B1242)),(B1243-B1242)*100,"")</f>
        <v/>
      </c>
      <c r="G1243" s="18">
        <f>IF(AND(ISNUMBER(C1243),ISNUMBER(C1242)),(C1243-C1242)*100,"")</f>
        <v/>
      </c>
      <c r="H1243" s="18">
        <f>IF(OR(NOT(ISNUMBER($A1243)),ROW()-2&lt;Settings!$B$11),NA(),IF(COUNT(OFFSET(F1243,1-Settings!$B$11,0,Settings!$B$11,1))&lt;Settings!$B$11,NA(),STDEV(OFFSET(F1243,1-Settings!$B$11,0,Settings!$B$11,1))*SQRT(Settings!$B$13)))</f>
        <v/>
      </c>
      <c r="I1243" s="18">
        <f>IF(OR(NOT(ISNUMBER($A1243)),ROW()-2&lt;Settings!$B$12),NA(),IF(COUNT(OFFSET(F1243,1-Settings!$B$12,0,Settings!$B$12,1))&lt;Settings!$B$12,NA(),STDEV(OFFSET(F1243,1-Settings!$B$12,0,Settings!$B$12,1))*SQRT(Settings!$B$13)))</f>
        <v/>
      </c>
      <c r="J1243" s="18">
        <f>IF(OR(NOT(ISNUMBER($A1243)),ROW()-2&lt;Settings!$B$11),NA(),IF(COUNT(OFFSET(G1243,1-Settings!$B$11,0,Settings!$B$11,1))&lt;Settings!$B$11,NA(),STDEV(OFFSET(G1243,1-Settings!$B$11,0,Settings!$B$11,1))*SQRT(Settings!$B$13)))</f>
        <v/>
      </c>
      <c r="K1243" s="18">
        <f>IF(OR(NOT(ISNUMBER($A1243)),ROW()-2&lt;Settings!$B$12),NA(),IF(COUNT(OFFSET(G1243,1-Settings!$B$12,0,Settings!$B$12,1))&lt;Settings!$B$12,NA(),STDEV(OFFSET(G1243,1-Settings!$B$12,0,Settings!$B$12,1))*SQRT(Settings!$B$13)))</f>
        <v/>
      </c>
      <c r="L1243" s="18">
        <f>IF(AND(ISNUMBER(D1243),ISNUMBER(H1243)),D1243-H1243,NA())</f>
        <v/>
      </c>
      <c r="M1243" s="18">
        <f>IF(AND(ISNUMBER(E1243),ISNUMBER(K1243)),E1243-K1243,NA())</f>
        <v/>
      </c>
      <c r="N1243" s="18">
        <f>IF(NOT(ISNUMBER($A1243)),NA(),IF(COUNT(OFFSET(G1243,1,0,Settings!$B$12,1))&lt;Settings!$B$12,NA(),STDEV(OFFSET(G1243,1,0,Settings!$B$12,1))*SQRT(Settings!$B$13)))</f>
        <v/>
      </c>
      <c r="O1243" s="18">
        <f>IF(AND(ISNUMBER(E1243),ISNUMBER(N1243)),E1243-N1243,NA())</f>
        <v/>
      </c>
      <c r="P1243" s="17">
        <f>IF(NOT(ISNUMBER($A1243)),NA(),IF(OR($A1243&lt;MIN(KW_TP!$A$2:$A$2501),$A1243&gt;MAX(KW_TP!$A$2:$A$2501)),NA(),INDEX(KW_TP!$C$2:$C$2501,MATCH($A1243,KW_TP!$A$2:$A$2501,1))))</f>
        <v/>
      </c>
    </row>
    <row r="1244">
      <c r="A1244" s="15">
        <f>IF(ISNUMBER(BBG_Data!A1244),BBG_Data!A1244,"")</f>
        <v/>
      </c>
      <c r="B1244" s="16">
        <f>IF(AND(ISNUMBER($A1244),ISNUMBER(BBG_Data!B1244)),BBG_Data!B1244,NA())</f>
        <v/>
      </c>
      <c r="C1244" s="16">
        <f>IF(AND(ISNUMBER($A1244),ISNUMBER(BBG_Data!C1244)),BBG_Data!C1244,NA())</f>
        <v/>
      </c>
      <c r="D1244" s="17">
        <f>IF(AND(ISNUMBER($A1244),ISNUMBER(BBG_Data!D1244)),BBG_Data!D1244,NA())</f>
        <v/>
      </c>
      <c r="E1244" s="17">
        <f>IF(AND(ISNUMBER($A1244),ISNUMBER(BBG_Data!E1244)),BBG_Data!E1244,NA())</f>
        <v/>
      </c>
      <c r="F1244" s="18">
        <f>IF(AND(ISNUMBER(B1244),ISNUMBER(B1243)),(B1244-B1243)*100,"")</f>
        <v/>
      </c>
      <c r="G1244" s="18">
        <f>IF(AND(ISNUMBER(C1244),ISNUMBER(C1243)),(C1244-C1243)*100,"")</f>
        <v/>
      </c>
      <c r="H1244" s="18">
        <f>IF(OR(NOT(ISNUMBER($A1244)),ROW()-2&lt;Settings!$B$11),NA(),IF(COUNT(OFFSET(F1244,1-Settings!$B$11,0,Settings!$B$11,1))&lt;Settings!$B$11,NA(),STDEV(OFFSET(F1244,1-Settings!$B$11,0,Settings!$B$11,1))*SQRT(Settings!$B$13)))</f>
        <v/>
      </c>
      <c r="I1244" s="18">
        <f>IF(OR(NOT(ISNUMBER($A1244)),ROW()-2&lt;Settings!$B$12),NA(),IF(COUNT(OFFSET(F1244,1-Settings!$B$12,0,Settings!$B$12,1))&lt;Settings!$B$12,NA(),STDEV(OFFSET(F1244,1-Settings!$B$12,0,Settings!$B$12,1))*SQRT(Settings!$B$13)))</f>
        <v/>
      </c>
      <c r="J1244" s="18">
        <f>IF(OR(NOT(ISNUMBER($A1244)),ROW()-2&lt;Settings!$B$11),NA(),IF(COUNT(OFFSET(G1244,1-Settings!$B$11,0,Settings!$B$11,1))&lt;Settings!$B$11,NA(),STDEV(OFFSET(G1244,1-Settings!$B$11,0,Settings!$B$11,1))*SQRT(Settings!$B$13)))</f>
        <v/>
      </c>
      <c r="K1244" s="18">
        <f>IF(OR(NOT(ISNUMBER($A1244)),ROW()-2&lt;Settings!$B$12),NA(),IF(COUNT(OFFSET(G1244,1-Settings!$B$12,0,Settings!$B$12,1))&lt;Settings!$B$12,NA(),STDEV(OFFSET(G1244,1-Settings!$B$12,0,Settings!$B$12,1))*SQRT(Settings!$B$13)))</f>
        <v/>
      </c>
      <c r="L1244" s="18">
        <f>IF(AND(ISNUMBER(D1244),ISNUMBER(H1244)),D1244-H1244,NA())</f>
        <v/>
      </c>
      <c r="M1244" s="18">
        <f>IF(AND(ISNUMBER(E1244),ISNUMBER(K1244)),E1244-K1244,NA())</f>
        <v/>
      </c>
      <c r="N1244" s="18">
        <f>IF(NOT(ISNUMBER($A1244)),NA(),IF(COUNT(OFFSET(G1244,1,0,Settings!$B$12,1))&lt;Settings!$B$12,NA(),STDEV(OFFSET(G1244,1,0,Settings!$B$12,1))*SQRT(Settings!$B$13)))</f>
        <v/>
      </c>
      <c r="O1244" s="18">
        <f>IF(AND(ISNUMBER(E1244),ISNUMBER(N1244)),E1244-N1244,NA())</f>
        <v/>
      </c>
      <c r="P1244" s="17">
        <f>IF(NOT(ISNUMBER($A1244)),NA(),IF(OR($A1244&lt;MIN(KW_TP!$A$2:$A$2501),$A1244&gt;MAX(KW_TP!$A$2:$A$2501)),NA(),INDEX(KW_TP!$C$2:$C$2501,MATCH($A1244,KW_TP!$A$2:$A$2501,1))))</f>
        <v/>
      </c>
    </row>
    <row r="1245">
      <c r="A1245" s="15">
        <f>IF(ISNUMBER(BBG_Data!A1245),BBG_Data!A1245,"")</f>
        <v/>
      </c>
      <c r="B1245" s="16">
        <f>IF(AND(ISNUMBER($A1245),ISNUMBER(BBG_Data!B1245)),BBG_Data!B1245,NA())</f>
        <v/>
      </c>
      <c r="C1245" s="16">
        <f>IF(AND(ISNUMBER($A1245),ISNUMBER(BBG_Data!C1245)),BBG_Data!C1245,NA())</f>
        <v/>
      </c>
      <c r="D1245" s="17">
        <f>IF(AND(ISNUMBER($A1245),ISNUMBER(BBG_Data!D1245)),BBG_Data!D1245,NA())</f>
        <v/>
      </c>
      <c r="E1245" s="17">
        <f>IF(AND(ISNUMBER($A1245),ISNUMBER(BBG_Data!E1245)),BBG_Data!E1245,NA())</f>
        <v/>
      </c>
      <c r="F1245" s="18">
        <f>IF(AND(ISNUMBER(B1245),ISNUMBER(B1244)),(B1245-B1244)*100,"")</f>
        <v/>
      </c>
      <c r="G1245" s="18">
        <f>IF(AND(ISNUMBER(C1245),ISNUMBER(C1244)),(C1245-C1244)*100,"")</f>
        <v/>
      </c>
      <c r="H1245" s="18">
        <f>IF(OR(NOT(ISNUMBER($A1245)),ROW()-2&lt;Settings!$B$11),NA(),IF(COUNT(OFFSET(F1245,1-Settings!$B$11,0,Settings!$B$11,1))&lt;Settings!$B$11,NA(),STDEV(OFFSET(F1245,1-Settings!$B$11,0,Settings!$B$11,1))*SQRT(Settings!$B$13)))</f>
        <v/>
      </c>
      <c r="I1245" s="18">
        <f>IF(OR(NOT(ISNUMBER($A1245)),ROW()-2&lt;Settings!$B$12),NA(),IF(COUNT(OFFSET(F1245,1-Settings!$B$12,0,Settings!$B$12,1))&lt;Settings!$B$12,NA(),STDEV(OFFSET(F1245,1-Settings!$B$12,0,Settings!$B$12,1))*SQRT(Settings!$B$13)))</f>
        <v/>
      </c>
      <c r="J1245" s="18">
        <f>IF(OR(NOT(ISNUMBER($A1245)),ROW()-2&lt;Settings!$B$11),NA(),IF(COUNT(OFFSET(G1245,1-Settings!$B$11,0,Settings!$B$11,1))&lt;Settings!$B$11,NA(),STDEV(OFFSET(G1245,1-Settings!$B$11,0,Settings!$B$11,1))*SQRT(Settings!$B$13)))</f>
        <v/>
      </c>
      <c r="K1245" s="18">
        <f>IF(OR(NOT(ISNUMBER($A1245)),ROW()-2&lt;Settings!$B$12),NA(),IF(COUNT(OFFSET(G1245,1-Settings!$B$12,0,Settings!$B$12,1))&lt;Settings!$B$12,NA(),STDEV(OFFSET(G1245,1-Settings!$B$12,0,Settings!$B$12,1))*SQRT(Settings!$B$13)))</f>
        <v/>
      </c>
      <c r="L1245" s="18">
        <f>IF(AND(ISNUMBER(D1245),ISNUMBER(H1245)),D1245-H1245,NA())</f>
        <v/>
      </c>
      <c r="M1245" s="18">
        <f>IF(AND(ISNUMBER(E1245),ISNUMBER(K1245)),E1245-K1245,NA())</f>
        <v/>
      </c>
      <c r="N1245" s="18">
        <f>IF(NOT(ISNUMBER($A1245)),NA(),IF(COUNT(OFFSET(G1245,1,0,Settings!$B$12,1))&lt;Settings!$B$12,NA(),STDEV(OFFSET(G1245,1,0,Settings!$B$12,1))*SQRT(Settings!$B$13)))</f>
        <v/>
      </c>
      <c r="O1245" s="18">
        <f>IF(AND(ISNUMBER(E1245),ISNUMBER(N1245)),E1245-N1245,NA())</f>
        <v/>
      </c>
      <c r="P1245" s="17">
        <f>IF(NOT(ISNUMBER($A1245)),NA(),IF(OR($A1245&lt;MIN(KW_TP!$A$2:$A$2501),$A1245&gt;MAX(KW_TP!$A$2:$A$2501)),NA(),INDEX(KW_TP!$C$2:$C$2501,MATCH($A1245,KW_TP!$A$2:$A$2501,1))))</f>
        <v/>
      </c>
    </row>
    <row r="1246">
      <c r="A1246" s="15">
        <f>IF(ISNUMBER(BBG_Data!A1246),BBG_Data!A1246,"")</f>
        <v/>
      </c>
      <c r="B1246" s="16">
        <f>IF(AND(ISNUMBER($A1246),ISNUMBER(BBG_Data!B1246)),BBG_Data!B1246,NA())</f>
        <v/>
      </c>
      <c r="C1246" s="16">
        <f>IF(AND(ISNUMBER($A1246),ISNUMBER(BBG_Data!C1246)),BBG_Data!C1246,NA())</f>
        <v/>
      </c>
      <c r="D1246" s="17">
        <f>IF(AND(ISNUMBER($A1246),ISNUMBER(BBG_Data!D1246)),BBG_Data!D1246,NA())</f>
        <v/>
      </c>
      <c r="E1246" s="17">
        <f>IF(AND(ISNUMBER($A1246),ISNUMBER(BBG_Data!E1246)),BBG_Data!E1246,NA())</f>
        <v/>
      </c>
      <c r="F1246" s="18">
        <f>IF(AND(ISNUMBER(B1246),ISNUMBER(B1245)),(B1246-B1245)*100,"")</f>
        <v/>
      </c>
      <c r="G1246" s="18">
        <f>IF(AND(ISNUMBER(C1246),ISNUMBER(C1245)),(C1246-C1245)*100,"")</f>
        <v/>
      </c>
      <c r="H1246" s="18">
        <f>IF(OR(NOT(ISNUMBER($A1246)),ROW()-2&lt;Settings!$B$11),NA(),IF(COUNT(OFFSET(F1246,1-Settings!$B$11,0,Settings!$B$11,1))&lt;Settings!$B$11,NA(),STDEV(OFFSET(F1246,1-Settings!$B$11,0,Settings!$B$11,1))*SQRT(Settings!$B$13)))</f>
        <v/>
      </c>
      <c r="I1246" s="18">
        <f>IF(OR(NOT(ISNUMBER($A1246)),ROW()-2&lt;Settings!$B$12),NA(),IF(COUNT(OFFSET(F1246,1-Settings!$B$12,0,Settings!$B$12,1))&lt;Settings!$B$12,NA(),STDEV(OFFSET(F1246,1-Settings!$B$12,0,Settings!$B$12,1))*SQRT(Settings!$B$13)))</f>
        <v/>
      </c>
      <c r="J1246" s="18">
        <f>IF(OR(NOT(ISNUMBER($A1246)),ROW()-2&lt;Settings!$B$11),NA(),IF(COUNT(OFFSET(G1246,1-Settings!$B$11,0,Settings!$B$11,1))&lt;Settings!$B$11,NA(),STDEV(OFFSET(G1246,1-Settings!$B$11,0,Settings!$B$11,1))*SQRT(Settings!$B$13)))</f>
        <v/>
      </c>
      <c r="K1246" s="18">
        <f>IF(OR(NOT(ISNUMBER($A1246)),ROW()-2&lt;Settings!$B$12),NA(),IF(COUNT(OFFSET(G1246,1-Settings!$B$12,0,Settings!$B$12,1))&lt;Settings!$B$12,NA(),STDEV(OFFSET(G1246,1-Settings!$B$12,0,Settings!$B$12,1))*SQRT(Settings!$B$13)))</f>
        <v/>
      </c>
      <c r="L1246" s="18">
        <f>IF(AND(ISNUMBER(D1246),ISNUMBER(H1246)),D1246-H1246,NA())</f>
        <v/>
      </c>
      <c r="M1246" s="18">
        <f>IF(AND(ISNUMBER(E1246),ISNUMBER(K1246)),E1246-K1246,NA())</f>
        <v/>
      </c>
      <c r="N1246" s="18">
        <f>IF(NOT(ISNUMBER($A1246)),NA(),IF(COUNT(OFFSET(G1246,1,0,Settings!$B$12,1))&lt;Settings!$B$12,NA(),STDEV(OFFSET(G1246,1,0,Settings!$B$12,1))*SQRT(Settings!$B$13)))</f>
        <v/>
      </c>
      <c r="O1246" s="18">
        <f>IF(AND(ISNUMBER(E1246),ISNUMBER(N1246)),E1246-N1246,NA())</f>
        <v/>
      </c>
      <c r="P1246" s="17">
        <f>IF(NOT(ISNUMBER($A1246)),NA(),IF(OR($A1246&lt;MIN(KW_TP!$A$2:$A$2501),$A1246&gt;MAX(KW_TP!$A$2:$A$2501)),NA(),INDEX(KW_TP!$C$2:$C$2501,MATCH($A1246,KW_TP!$A$2:$A$2501,1))))</f>
        <v/>
      </c>
    </row>
    <row r="1247">
      <c r="A1247" s="15">
        <f>IF(ISNUMBER(BBG_Data!A1247),BBG_Data!A1247,"")</f>
        <v/>
      </c>
      <c r="B1247" s="16">
        <f>IF(AND(ISNUMBER($A1247),ISNUMBER(BBG_Data!B1247)),BBG_Data!B1247,NA())</f>
        <v/>
      </c>
      <c r="C1247" s="16">
        <f>IF(AND(ISNUMBER($A1247),ISNUMBER(BBG_Data!C1247)),BBG_Data!C1247,NA())</f>
        <v/>
      </c>
      <c r="D1247" s="17">
        <f>IF(AND(ISNUMBER($A1247),ISNUMBER(BBG_Data!D1247)),BBG_Data!D1247,NA())</f>
        <v/>
      </c>
      <c r="E1247" s="17">
        <f>IF(AND(ISNUMBER($A1247),ISNUMBER(BBG_Data!E1247)),BBG_Data!E1247,NA())</f>
        <v/>
      </c>
      <c r="F1247" s="18">
        <f>IF(AND(ISNUMBER(B1247),ISNUMBER(B1246)),(B1247-B1246)*100,"")</f>
        <v/>
      </c>
      <c r="G1247" s="18">
        <f>IF(AND(ISNUMBER(C1247),ISNUMBER(C1246)),(C1247-C1246)*100,"")</f>
        <v/>
      </c>
      <c r="H1247" s="18">
        <f>IF(OR(NOT(ISNUMBER($A1247)),ROW()-2&lt;Settings!$B$11),NA(),IF(COUNT(OFFSET(F1247,1-Settings!$B$11,0,Settings!$B$11,1))&lt;Settings!$B$11,NA(),STDEV(OFFSET(F1247,1-Settings!$B$11,0,Settings!$B$11,1))*SQRT(Settings!$B$13)))</f>
        <v/>
      </c>
      <c r="I1247" s="18">
        <f>IF(OR(NOT(ISNUMBER($A1247)),ROW()-2&lt;Settings!$B$12),NA(),IF(COUNT(OFFSET(F1247,1-Settings!$B$12,0,Settings!$B$12,1))&lt;Settings!$B$12,NA(),STDEV(OFFSET(F1247,1-Settings!$B$12,0,Settings!$B$12,1))*SQRT(Settings!$B$13)))</f>
        <v/>
      </c>
      <c r="J1247" s="18">
        <f>IF(OR(NOT(ISNUMBER($A1247)),ROW()-2&lt;Settings!$B$11),NA(),IF(COUNT(OFFSET(G1247,1-Settings!$B$11,0,Settings!$B$11,1))&lt;Settings!$B$11,NA(),STDEV(OFFSET(G1247,1-Settings!$B$11,0,Settings!$B$11,1))*SQRT(Settings!$B$13)))</f>
        <v/>
      </c>
      <c r="K1247" s="18">
        <f>IF(OR(NOT(ISNUMBER($A1247)),ROW()-2&lt;Settings!$B$12),NA(),IF(COUNT(OFFSET(G1247,1-Settings!$B$12,0,Settings!$B$12,1))&lt;Settings!$B$12,NA(),STDEV(OFFSET(G1247,1-Settings!$B$12,0,Settings!$B$12,1))*SQRT(Settings!$B$13)))</f>
        <v/>
      </c>
      <c r="L1247" s="18">
        <f>IF(AND(ISNUMBER(D1247),ISNUMBER(H1247)),D1247-H1247,NA())</f>
        <v/>
      </c>
      <c r="M1247" s="18">
        <f>IF(AND(ISNUMBER(E1247),ISNUMBER(K1247)),E1247-K1247,NA())</f>
        <v/>
      </c>
      <c r="N1247" s="18">
        <f>IF(NOT(ISNUMBER($A1247)),NA(),IF(COUNT(OFFSET(G1247,1,0,Settings!$B$12,1))&lt;Settings!$B$12,NA(),STDEV(OFFSET(G1247,1,0,Settings!$B$12,1))*SQRT(Settings!$B$13)))</f>
        <v/>
      </c>
      <c r="O1247" s="18">
        <f>IF(AND(ISNUMBER(E1247),ISNUMBER(N1247)),E1247-N1247,NA())</f>
        <v/>
      </c>
      <c r="P1247" s="17">
        <f>IF(NOT(ISNUMBER($A1247)),NA(),IF(OR($A1247&lt;MIN(KW_TP!$A$2:$A$2501),$A1247&gt;MAX(KW_TP!$A$2:$A$2501)),NA(),INDEX(KW_TP!$C$2:$C$2501,MATCH($A1247,KW_TP!$A$2:$A$2501,1))))</f>
        <v/>
      </c>
    </row>
    <row r="1248">
      <c r="A1248" s="15">
        <f>IF(ISNUMBER(BBG_Data!A1248),BBG_Data!A1248,"")</f>
        <v/>
      </c>
      <c r="B1248" s="16">
        <f>IF(AND(ISNUMBER($A1248),ISNUMBER(BBG_Data!B1248)),BBG_Data!B1248,NA())</f>
        <v/>
      </c>
      <c r="C1248" s="16">
        <f>IF(AND(ISNUMBER($A1248),ISNUMBER(BBG_Data!C1248)),BBG_Data!C1248,NA())</f>
        <v/>
      </c>
      <c r="D1248" s="17">
        <f>IF(AND(ISNUMBER($A1248),ISNUMBER(BBG_Data!D1248)),BBG_Data!D1248,NA())</f>
        <v/>
      </c>
      <c r="E1248" s="17">
        <f>IF(AND(ISNUMBER($A1248),ISNUMBER(BBG_Data!E1248)),BBG_Data!E1248,NA())</f>
        <v/>
      </c>
      <c r="F1248" s="18">
        <f>IF(AND(ISNUMBER(B1248),ISNUMBER(B1247)),(B1248-B1247)*100,"")</f>
        <v/>
      </c>
      <c r="G1248" s="18">
        <f>IF(AND(ISNUMBER(C1248),ISNUMBER(C1247)),(C1248-C1247)*100,"")</f>
        <v/>
      </c>
      <c r="H1248" s="18">
        <f>IF(OR(NOT(ISNUMBER($A1248)),ROW()-2&lt;Settings!$B$11),NA(),IF(COUNT(OFFSET(F1248,1-Settings!$B$11,0,Settings!$B$11,1))&lt;Settings!$B$11,NA(),STDEV(OFFSET(F1248,1-Settings!$B$11,0,Settings!$B$11,1))*SQRT(Settings!$B$13)))</f>
        <v/>
      </c>
      <c r="I1248" s="18">
        <f>IF(OR(NOT(ISNUMBER($A1248)),ROW()-2&lt;Settings!$B$12),NA(),IF(COUNT(OFFSET(F1248,1-Settings!$B$12,0,Settings!$B$12,1))&lt;Settings!$B$12,NA(),STDEV(OFFSET(F1248,1-Settings!$B$12,0,Settings!$B$12,1))*SQRT(Settings!$B$13)))</f>
        <v/>
      </c>
      <c r="J1248" s="18">
        <f>IF(OR(NOT(ISNUMBER($A1248)),ROW()-2&lt;Settings!$B$11),NA(),IF(COUNT(OFFSET(G1248,1-Settings!$B$11,0,Settings!$B$11,1))&lt;Settings!$B$11,NA(),STDEV(OFFSET(G1248,1-Settings!$B$11,0,Settings!$B$11,1))*SQRT(Settings!$B$13)))</f>
        <v/>
      </c>
      <c r="K1248" s="18">
        <f>IF(OR(NOT(ISNUMBER($A1248)),ROW()-2&lt;Settings!$B$12),NA(),IF(COUNT(OFFSET(G1248,1-Settings!$B$12,0,Settings!$B$12,1))&lt;Settings!$B$12,NA(),STDEV(OFFSET(G1248,1-Settings!$B$12,0,Settings!$B$12,1))*SQRT(Settings!$B$13)))</f>
        <v/>
      </c>
      <c r="L1248" s="18">
        <f>IF(AND(ISNUMBER(D1248),ISNUMBER(H1248)),D1248-H1248,NA())</f>
        <v/>
      </c>
      <c r="M1248" s="18">
        <f>IF(AND(ISNUMBER(E1248),ISNUMBER(K1248)),E1248-K1248,NA())</f>
        <v/>
      </c>
      <c r="N1248" s="18">
        <f>IF(NOT(ISNUMBER($A1248)),NA(),IF(COUNT(OFFSET(G1248,1,0,Settings!$B$12,1))&lt;Settings!$B$12,NA(),STDEV(OFFSET(G1248,1,0,Settings!$B$12,1))*SQRT(Settings!$B$13)))</f>
        <v/>
      </c>
      <c r="O1248" s="18">
        <f>IF(AND(ISNUMBER(E1248),ISNUMBER(N1248)),E1248-N1248,NA())</f>
        <v/>
      </c>
      <c r="P1248" s="17">
        <f>IF(NOT(ISNUMBER($A1248)),NA(),IF(OR($A1248&lt;MIN(KW_TP!$A$2:$A$2501),$A1248&gt;MAX(KW_TP!$A$2:$A$2501)),NA(),INDEX(KW_TP!$C$2:$C$2501,MATCH($A1248,KW_TP!$A$2:$A$2501,1))))</f>
        <v/>
      </c>
    </row>
    <row r="1249">
      <c r="A1249" s="15">
        <f>IF(ISNUMBER(BBG_Data!A1249),BBG_Data!A1249,"")</f>
        <v/>
      </c>
      <c r="B1249" s="16">
        <f>IF(AND(ISNUMBER($A1249),ISNUMBER(BBG_Data!B1249)),BBG_Data!B1249,NA())</f>
        <v/>
      </c>
      <c r="C1249" s="16">
        <f>IF(AND(ISNUMBER($A1249),ISNUMBER(BBG_Data!C1249)),BBG_Data!C1249,NA())</f>
        <v/>
      </c>
      <c r="D1249" s="17">
        <f>IF(AND(ISNUMBER($A1249),ISNUMBER(BBG_Data!D1249)),BBG_Data!D1249,NA())</f>
        <v/>
      </c>
      <c r="E1249" s="17">
        <f>IF(AND(ISNUMBER($A1249),ISNUMBER(BBG_Data!E1249)),BBG_Data!E1249,NA())</f>
        <v/>
      </c>
      <c r="F1249" s="18">
        <f>IF(AND(ISNUMBER(B1249),ISNUMBER(B1248)),(B1249-B1248)*100,"")</f>
        <v/>
      </c>
      <c r="G1249" s="18">
        <f>IF(AND(ISNUMBER(C1249),ISNUMBER(C1248)),(C1249-C1248)*100,"")</f>
        <v/>
      </c>
      <c r="H1249" s="18">
        <f>IF(OR(NOT(ISNUMBER($A1249)),ROW()-2&lt;Settings!$B$11),NA(),IF(COUNT(OFFSET(F1249,1-Settings!$B$11,0,Settings!$B$11,1))&lt;Settings!$B$11,NA(),STDEV(OFFSET(F1249,1-Settings!$B$11,0,Settings!$B$11,1))*SQRT(Settings!$B$13)))</f>
        <v/>
      </c>
      <c r="I1249" s="18">
        <f>IF(OR(NOT(ISNUMBER($A1249)),ROW()-2&lt;Settings!$B$12),NA(),IF(COUNT(OFFSET(F1249,1-Settings!$B$12,0,Settings!$B$12,1))&lt;Settings!$B$12,NA(),STDEV(OFFSET(F1249,1-Settings!$B$12,0,Settings!$B$12,1))*SQRT(Settings!$B$13)))</f>
        <v/>
      </c>
      <c r="J1249" s="18">
        <f>IF(OR(NOT(ISNUMBER($A1249)),ROW()-2&lt;Settings!$B$11),NA(),IF(COUNT(OFFSET(G1249,1-Settings!$B$11,0,Settings!$B$11,1))&lt;Settings!$B$11,NA(),STDEV(OFFSET(G1249,1-Settings!$B$11,0,Settings!$B$11,1))*SQRT(Settings!$B$13)))</f>
        <v/>
      </c>
      <c r="K1249" s="18">
        <f>IF(OR(NOT(ISNUMBER($A1249)),ROW()-2&lt;Settings!$B$12),NA(),IF(COUNT(OFFSET(G1249,1-Settings!$B$12,0,Settings!$B$12,1))&lt;Settings!$B$12,NA(),STDEV(OFFSET(G1249,1-Settings!$B$12,0,Settings!$B$12,1))*SQRT(Settings!$B$13)))</f>
        <v/>
      </c>
      <c r="L1249" s="18">
        <f>IF(AND(ISNUMBER(D1249),ISNUMBER(H1249)),D1249-H1249,NA())</f>
        <v/>
      </c>
      <c r="M1249" s="18">
        <f>IF(AND(ISNUMBER(E1249),ISNUMBER(K1249)),E1249-K1249,NA())</f>
        <v/>
      </c>
      <c r="N1249" s="18">
        <f>IF(NOT(ISNUMBER($A1249)),NA(),IF(COUNT(OFFSET(G1249,1,0,Settings!$B$12,1))&lt;Settings!$B$12,NA(),STDEV(OFFSET(G1249,1,0,Settings!$B$12,1))*SQRT(Settings!$B$13)))</f>
        <v/>
      </c>
      <c r="O1249" s="18">
        <f>IF(AND(ISNUMBER(E1249),ISNUMBER(N1249)),E1249-N1249,NA())</f>
        <v/>
      </c>
      <c r="P1249" s="17">
        <f>IF(NOT(ISNUMBER($A1249)),NA(),IF(OR($A1249&lt;MIN(KW_TP!$A$2:$A$2501),$A1249&gt;MAX(KW_TP!$A$2:$A$2501)),NA(),INDEX(KW_TP!$C$2:$C$2501,MATCH($A1249,KW_TP!$A$2:$A$2501,1))))</f>
        <v/>
      </c>
    </row>
    <row r="1250">
      <c r="A1250" s="15">
        <f>IF(ISNUMBER(BBG_Data!A1250),BBG_Data!A1250,"")</f>
        <v/>
      </c>
      <c r="B1250" s="16">
        <f>IF(AND(ISNUMBER($A1250),ISNUMBER(BBG_Data!B1250)),BBG_Data!B1250,NA())</f>
        <v/>
      </c>
      <c r="C1250" s="16">
        <f>IF(AND(ISNUMBER($A1250),ISNUMBER(BBG_Data!C1250)),BBG_Data!C1250,NA())</f>
        <v/>
      </c>
      <c r="D1250" s="17">
        <f>IF(AND(ISNUMBER($A1250),ISNUMBER(BBG_Data!D1250)),BBG_Data!D1250,NA())</f>
        <v/>
      </c>
      <c r="E1250" s="17">
        <f>IF(AND(ISNUMBER($A1250),ISNUMBER(BBG_Data!E1250)),BBG_Data!E1250,NA())</f>
        <v/>
      </c>
      <c r="F1250" s="18">
        <f>IF(AND(ISNUMBER(B1250),ISNUMBER(B1249)),(B1250-B1249)*100,"")</f>
        <v/>
      </c>
      <c r="G1250" s="18">
        <f>IF(AND(ISNUMBER(C1250),ISNUMBER(C1249)),(C1250-C1249)*100,"")</f>
        <v/>
      </c>
      <c r="H1250" s="18">
        <f>IF(OR(NOT(ISNUMBER($A1250)),ROW()-2&lt;Settings!$B$11),NA(),IF(COUNT(OFFSET(F1250,1-Settings!$B$11,0,Settings!$B$11,1))&lt;Settings!$B$11,NA(),STDEV(OFFSET(F1250,1-Settings!$B$11,0,Settings!$B$11,1))*SQRT(Settings!$B$13)))</f>
        <v/>
      </c>
      <c r="I1250" s="18">
        <f>IF(OR(NOT(ISNUMBER($A1250)),ROW()-2&lt;Settings!$B$12),NA(),IF(COUNT(OFFSET(F1250,1-Settings!$B$12,0,Settings!$B$12,1))&lt;Settings!$B$12,NA(),STDEV(OFFSET(F1250,1-Settings!$B$12,0,Settings!$B$12,1))*SQRT(Settings!$B$13)))</f>
        <v/>
      </c>
      <c r="J1250" s="18">
        <f>IF(OR(NOT(ISNUMBER($A1250)),ROW()-2&lt;Settings!$B$11),NA(),IF(COUNT(OFFSET(G1250,1-Settings!$B$11,0,Settings!$B$11,1))&lt;Settings!$B$11,NA(),STDEV(OFFSET(G1250,1-Settings!$B$11,0,Settings!$B$11,1))*SQRT(Settings!$B$13)))</f>
        <v/>
      </c>
      <c r="K1250" s="18">
        <f>IF(OR(NOT(ISNUMBER($A1250)),ROW()-2&lt;Settings!$B$12),NA(),IF(COUNT(OFFSET(G1250,1-Settings!$B$12,0,Settings!$B$12,1))&lt;Settings!$B$12,NA(),STDEV(OFFSET(G1250,1-Settings!$B$12,0,Settings!$B$12,1))*SQRT(Settings!$B$13)))</f>
        <v/>
      </c>
      <c r="L1250" s="18">
        <f>IF(AND(ISNUMBER(D1250),ISNUMBER(H1250)),D1250-H1250,NA())</f>
        <v/>
      </c>
      <c r="M1250" s="18">
        <f>IF(AND(ISNUMBER(E1250),ISNUMBER(K1250)),E1250-K1250,NA())</f>
        <v/>
      </c>
      <c r="N1250" s="18">
        <f>IF(NOT(ISNUMBER($A1250)),NA(),IF(COUNT(OFFSET(G1250,1,0,Settings!$B$12,1))&lt;Settings!$B$12,NA(),STDEV(OFFSET(G1250,1,0,Settings!$B$12,1))*SQRT(Settings!$B$13)))</f>
        <v/>
      </c>
      <c r="O1250" s="18">
        <f>IF(AND(ISNUMBER(E1250),ISNUMBER(N1250)),E1250-N1250,NA())</f>
        <v/>
      </c>
      <c r="P1250" s="17">
        <f>IF(NOT(ISNUMBER($A1250)),NA(),IF(OR($A1250&lt;MIN(KW_TP!$A$2:$A$2501),$A1250&gt;MAX(KW_TP!$A$2:$A$2501)),NA(),INDEX(KW_TP!$C$2:$C$2501,MATCH($A1250,KW_TP!$A$2:$A$2501,1))))</f>
        <v/>
      </c>
    </row>
    <row r="1251">
      <c r="A1251" s="15">
        <f>IF(ISNUMBER(BBG_Data!A1251),BBG_Data!A1251,"")</f>
        <v/>
      </c>
      <c r="B1251" s="16">
        <f>IF(AND(ISNUMBER($A1251),ISNUMBER(BBG_Data!B1251)),BBG_Data!B1251,NA())</f>
        <v/>
      </c>
      <c r="C1251" s="16">
        <f>IF(AND(ISNUMBER($A1251),ISNUMBER(BBG_Data!C1251)),BBG_Data!C1251,NA())</f>
        <v/>
      </c>
      <c r="D1251" s="17">
        <f>IF(AND(ISNUMBER($A1251),ISNUMBER(BBG_Data!D1251)),BBG_Data!D1251,NA())</f>
        <v/>
      </c>
      <c r="E1251" s="17">
        <f>IF(AND(ISNUMBER($A1251),ISNUMBER(BBG_Data!E1251)),BBG_Data!E1251,NA())</f>
        <v/>
      </c>
      <c r="F1251" s="18">
        <f>IF(AND(ISNUMBER(B1251),ISNUMBER(B1250)),(B1251-B1250)*100,"")</f>
        <v/>
      </c>
      <c r="G1251" s="18">
        <f>IF(AND(ISNUMBER(C1251),ISNUMBER(C1250)),(C1251-C1250)*100,"")</f>
        <v/>
      </c>
      <c r="H1251" s="18">
        <f>IF(OR(NOT(ISNUMBER($A1251)),ROW()-2&lt;Settings!$B$11),NA(),IF(COUNT(OFFSET(F1251,1-Settings!$B$11,0,Settings!$B$11,1))&lt;Settings!$B$11,NA(),STDEV(OFFSET(F1251,1-Settings!$B$11,0,Settings!$B$11,1))*SQRT(Settings!$B$13)))</f>
        <v/>
      </c>
      <c r="I1251" s="18">
        <f>IF(OR(NOT(ISNUMBER($A1251)),ROW()-2&lt;Settings!$B$12),NA(),IF(COUNT(OFFSET(F1251,1-Settings!$B$12,0,Settings!$B$12,1))&lt;Settings!$B$12,NA(),STDEV(OFFSET(F1251,1-Settings!$B$12,0,Settings!$B$12,1))*SQRT(Settings!$B$13)))</f>
        <v/>
      </c>
      <c r="J1251" s="18">
        <f>IF(OR(NOT(ISNUMBER($A1251)),ROW()-2&lt;Settings!$B$11),NA(),IF(COUNT(OFFSET(G1251,1-Settings!$B$11,0,Settings!$B$11,1))&lt;Settings!$B$11,NA(),STDEV(OFFSET(G1251,1-Settings!$B$11,0,Settings!$B$11,1))*SQRT(Settings!$B$13)))</f>
        <v/>
      </c>
      <c r="K1251" s="18">
        <f>IF(OR(NOT(ISNUMBER($A1251)),ROW()-2&lt;Settings!$B$12),NA(),IF(COUNT(OFFSET(G1251,1-Settings!$B$12,0,Settings!$B$12,1))&lt;Settings!$B$12,NA(),STDEV(OFFSET(G1251,1-Settings!$B$12,0,Settings!$B$12,1))*SQRT(Settings!$B$13)))</f>
        <v/>
      </c>
      <c r="L1251" s="18">
        <f>IF(AND(ISNUMBER(D1251),ISNUMBER(H1251)),D1251-H1251,NA())</f>
        <v/>
      </c>
      <c r="M1251" s="18">
        <f>IF(AND(ISNUMBER(E1251),ISNUMBER(K1251)),E1251-K1251,NA())</f>
        <v/>
      </c>
      <c r="N1251" s="18">
        <f>IF(NOT(ISNUMBER($A1251)),NA(),IF(COUNT(OFFSET(G1251,1,0,Settings!$B$12,1))&lt;Settings!$B$12,NA(),STDEV(OFFSET(G1251,1,0,Settings!$B$12,1))*SQRT(Settings!$B$13)))</f>
        <v/>
      </c>
      <c r="O1251" s="18">
        <f>IF(AND(ISNUMBER(E1251),ISNUMBER(N1251)),E1251-N1251,NA())</f>
        <v/>
      </c>
      <c r="P1251" s="17">
        <f>IF(NOT(ISNUMBER($A1251)),NA(),IF(OR($A1251&lt;MIN(KW_TP!$A$2:$A$2501),$A1251&gt;MAX(KW_TP!$A$2:$A$2501)),NA(),INDEX(KW_TP!$C$2:$C$2501,MATCH($A1251,KW_TP!$A$2:$A$2501,1))))</f>
        <v/>
      </c>
    </row>
    <row r="1252">
      <c r="A1252" s="15">
        <f>IF(ISNUMBER(BBG_Data!A1252),BBG_Data!A1252,"")</f>
        <v/>
      </c>
      <c r="B1252" s="16">
        <f>IF(AND(ISNUMBER($A1252),ISNUMBER(BBG_Data!B1252)),BBG_Data!B1252,NA())</f>
        <v/>
      </c>
      <c r="C1252" s="16">
        <f>IF(AND(ISNUMBER($A1252),ISNUMBER(BBG_Data!C1252)),BBG_Data!C1252,NA())</f>
        <v/>
      </c>
      <c r="D1252" s="17">
        <f>IF(AND(ISNUMBER($A1252),ISNUMBER(BBG_Data!D1252)),BBG_Data!D1252,NA())</f>
        <v/>
      </c>
      <c r="E1252" s="17">
        <f>IF(AND(ISNUMBER($A1252),ISNUMBER(BBG_Data!E1252)),BBG_Data!E1252,NA())</f>
        <v/>
      </c>
      <c r="F1252" s="18">
        <f>IF(AND(ISNUMBER(B1252),ISNUMBER(B1251)),(B1252-B1251)*100,"")</f>
        <v/>
      </c>
      <c r="G1252" s="18">
        <f>IF(AND(ISNUMBER(C1252),ISNUMBER(C1251)),(C1252-C1251)*100,"")</f>
        <v/>
      </c>
      <c r="H1252" s="18">
        <f>IF(OR(NOT(ISNUMBER($A1252)),ROW()-2&lt;Settings!$B$11),NA(),IF(COUNT(OFFSET(F1252,1-Settings!$B$11,0,Settings!$B$11,1))&lt;Settings!$B$11,NA(),STDEV(OFFSET(F1252,1-Settings!$B$11,0,Settings!$B$11,1))*SQRT(Settings!$B$13)))</f>
        <v/>
      </c>
      <c r="I1252" s="18">
        <f>IF(OR(NOT(ISNUMBER($A1252)),ROW()-2&lt;Settings!$B$12),NA(),IF(COUNT(OFFSET(F1252,1-Settings!$B$12,0,Settings!$B$12,1))&lt;Settings!$B$12,NA(),STDEV(OFFSET(F1252,1-Settings!$B$12,0,Settings!$B$12,1))*SQRT(Settings!$B$13)))</f>
        <v/>
      </c>
      <c r="J1252" s="18">
        <f>IF(OR(NOT(ISNUMBER($A1252)),ROW()-2&lt;Settings!$B$11),NA(),IF(COUNT(OFFSET(G1252,1-Settings!$B$11,0,Settings!$B$11,1))&lt;Settings!$B$11,NA(),STDEV(OFFSET(G1252,1-Settings!$B$11,0,Settings!$B$11,1))*SQRT(Settings!$B$13)))</f>
        <v/>
      </c>
      <c r="K1252" s="18">
        <f>IF(OR(NOT(ISNUMBER($A1252)),ROW()-2&lt;Settings!$B$12),NA(),IF(COUNT(OFFSET(G1252,1-Settings!$B$12,0,Settings!$B$12,1))&lt;Settings!$B$12,NA(),STDEV(OFFSET(G1252,1-Settings!$B$12,0,Settings!$B$12,1))*SQRT(Settings!$B$13)))</f>
        <v/>
      </c>
      <c r="L1252" s="18">
        <f>IF(AND(ISNUMBER(D1252),ISNUMBER(H1252)),D1252-H1252,NA())</f>
        <v/>
      </c>
      <c r="M1252" s="18">
        <f>IF(AND(ISNUMBER(E1252),ISNUMBER(K1252)),E1252-K1252,NA())</f>
        <v/>
      </c>
      <c r="N1252" s="18">
        <f>IF(NOT(ISNUMBER($A1252)),NA(),IF(COUNT(OFFSET(G1252,1,0,Settings!$B$12,1))&lt;Settings!$B$12,NA(),STDEV(OFFSET(G1252,1,0,Settings!$B$12,1))*SQRT(Settings!$B$13)))</f>
        <v/>
      </c>
      <c r="O1252" s="18">
        <f>IF(AND(ISNUMBER(E1252),ISNUMBER(N1252)),E1252-N1252,NA())</f>
        <v/>
      </c>
      <c r="P1252" s="17">
        <f>IF(NOT(ISNUMBER($A1252)),NA(),IF(OR($A1252&lt;MIN(KW_TP!$A$2:$A$2501),$A1252&gt;MAX(KW_TP!$A$2:$A$2501)),NA(),INDEX(KW_TP!$C$2:$C$2501,MATCH($A1252,KW_TP!$A$2:$A$2501,1))))</f>
        <v/>
      </c>
    </row>
    <row r="1253">
      <c r="A1253" s="15">
        <f>IF(ISNUMBER(BBG_Data!A1253),BBG_Data!A1253,"")</f>
        <v/>
      </c>
      <c r="B1253" s="16">
        <f>IF(AND(ISNUMBER($A1253),ISNUMBER(BBG_Data!B1253)),BBG_Data!B1253,NA())</f>
        <v/>
      </c>
      <c r="C1253" s="16">
        <f>IF(AND(ISNUMBER($A1253),ISNUMBER(BBG_Data!C1253)),BBG_Data!C1253,NA())</f>
        <v/>
      </c>
      <c r="D1253" s="17">
        <f>IF(AND(ISNUMBER($A1253),ISNUMBER(BBG_Data!D1253)),BBG_Data!D1253,NA())</f>
        <v/>
      </c>
      <c r="E1253" s="17">
        <f>IF(AND(ISNUMBER($A1253),ISNUMBER(BBG_Data!E1253)),BBG_Data!E1253,NA())</f>
        <v/>
      </c>
      <c r="F1253" s="18">
        <f>IF(AND(ISNUMBER(B1253),ISNUMBER(B1252)),(B1253-B1252)*100,"")</f>
        <v/>
      </c>
      <c r="G1253" s="18">
        <f>IF(AND(ISNUMBER(C1253),ISNUMBER(C1252)),(C1253-C1252)*100,"")</f>
        <v/>
      </c>
      <c r="H1253" s="18">
        <f>IF(OR(NOT(ISNUMBER($A1253)),ROW()-2&lt;Settings!$B$11),NA(),IF(COUNT(OFFSET(F1253,1-Settings!$B$11,0,Settings!$B$11,1))&lt;Settings!$B$11,NA(),STDEV(OFFSET(F1253,1-Settings!$B$11,0,Settings!$B$11,1))*SQRT(Settings!$B$13)))</f>
        <v/>
      </c>
      <c r="I1253" s="18">
        <f>IF(OR(NOT(ISNUMBER($A1253)),ROW()-2&lt;Settings!$B$12),NA(),IF(COUNT(OFFSET(F1253,1-Settings!$B$12,0,Settings!$B$12,1))&lt;Settings!$B$12,NA(),STDEV(OFFSET(F1253,1-Settings!$B$12,0,Settings!$B$12,1))*SQRT(Settings!$B$13)))</f>
        <v/>
      </c>
      <c r="J1253" s="18">
        <f>IF(OR(NOT(ISNUMBER($A1253)),ROW()-2&lt;Settings!$B$11),NA(),IF(COUNT(OFFSET(G1253,1-Settings!$B$11,0,Settings!$B$11,1))&lt;Settings!$B$11,NA(),STDEV(OFFSET(G1253,1-Settings!$B$11,0,Settings!$B$11,1))*SQRT(Settings!$B$13)))</f>
        <v/>
      </c>
      <c r="K1253" s="18">
        <f>IF(OR(NOT(ISNUMBER($A1253)),ROW()-2&lt;Settings!$B$12),NA(),IF(COUNT(OFFSET(G1253,1-Settings!$B$12,0,Settings!$B$12,1))&lt;Settings!$B$12,NA(),STDEV(OFFSET(G1253,1-Settings!$B$12,0,Settings!$B$12,1))*SQRT(Settings!$B$13)))</f>
        <v/>
      </c>
      <c r="L1253" s="18">
        <f>IF(AND(ISNUMBER(D1253),ISNUMBER(H1253)),D1253-H1253,NA())</f>
        <v/>
      </c>
      <c r="M1253" s="18">
        <f>IF(AND(ISNUMBER(E1253),ISNUMBER(K1253)),E1253-K1253,NA())</f>
        <v/>
      </c>
      <c r="N1253" s="18">
        <f>IF(NOT(ISNUMBER($A1253)),NA(),IF(COUNT(OFFSET(G1253,1,0,Settings!$B$12,1))&lt;Settings!$B$12,NA(),STDEV(OFFSET(G1253,1,0,Settings!$B$12,1))*SQRT(Settings!$B$13)))</f>
        <v/>
      </c>
      <c r="O1253" s="18">
        <f>IF(AND(ISNUMBER(E1253),ISNUMBER(N1253)),E1253-N1253,NA())</f>
        <v/>
      </c>
      <c r="P1253" s="17">
        <f>IF(NOT(ISNUMBER($A1253)),NA(),IF(OR($A1253&lt;MIN(KW_TP!$A$2:$A$2501),$A1253&gt;MAX(KW_TP!$A$2:$A$2501)),NA(),INDEX(KW_TP!$C$2:$C$2501,MATCH($A1253,KW_TP!$A$2:$A$2501,1))))</f>
        <v/>
      </c>
    </row>
    <row r="1254">
      <c r="A1254" s="15">
        <f>IF(ISNUMBER(BBG_Data!A1254),BBG_Data!A1254,"")</f>
        <v/>
      </c>
      <c r="B1254" s="16">
        <f>IF(AND(ISNUMBER($A1254),ISNUMBER(BBG_Data!B1254)),BBG_Data!B1254,NA())</f>
        <v/>
      </c>
      <c r="C1254" s="16">
        <f>IF(AND(ISNUMBER($A1254),ISNUMBER(BBG_Data!C1254)),BBG_Data!C1254,NA())</f>
        <v/>
      </c>
      <c r="D1254" s="17">
        <f>IF(AND(ISNUMBER($A1254),ISNUMBER(BBG_Data!D1254)),BBG_Data!D1254,NA())</f>
        <v/>
      </c>
      <c r="E1254" s="17">
        <f>IF(AND(ISNUMBER($A1254),ISNUMBER(BBG_Data!E1254)),BBG_Data!E1254,NA())</f>
        <v/>
      </c>
      <c r="F1254" s="18">
        <f>IF(AND(ISNUMBER(B1254),ISNUMBER(B1253)),(B1254-B1253)*100,"")</f>
        <v/>
      </c>
      <c r="G1254" s="18">
        <f>IF(AND(ISNUMBER(C1254),ISNUMBER(C1253)),(C1254-C1253)*100,"")</f>
        <v/>
      </c>
      <c r="H1254" s="18">
        <f>IF(OR(NOT(ISNUMBER($A1254)),ROW()-2&lt;Settings!$B$11),NA(),IF(COUNT(OFFSET(F1254,1-Settings!$B$11,0,Settings!$B$11,1))&lt;Settings!$B$11,NA(),STDEV(OFFSET(F1254,1-Settings!$B$11,0,Settings!$B$11,1))*SQRT(Settings!$B$13)))</f>
        <v/>
      </c>
      <c r="I1254" s="18">
        <f>IF(OR(NOT(ISNUMBER($A1254)),ROW()-2&lt;Settings!$B$12),NA(),IF(COUNT(OFFSET(F1254,1-Settings!$B$12,0,Settings!$B$12,1))&lt;Settings!$B$12,NA(),STDEV(OFFSET(F1254,1-Settings!$B$12,0,Settings!$B$12,1))*SQRT(Settings!$B$13)))</f>
        <v/>
      </c>
      <c r="J1254" s="18">
        <f>IF(OR(NOT(ISNUMBER($A1254)),ROW()-2&lt;Settings!$B$11),NA(),IF(COUNT(OFFSET(G1254,1-Settings!$B$11,0,Settings!$B$11,1))&lt;Settings!$B$11,NA(),STDEV(OFFSET(G1254,1-Settings!$B$11,0,Settings!$B$11,1))*SQRT(Settings!$B$13)))</f>
        <v/>
      </c>
      <c r="K1254" s="18">
        <f>IF(OR(NOT(ISNUMBER($A1254)),ROW()-2&lt;Settings!$B$12),NA(),IF(COUNT(OFFSET(G1254,1-Settings!$B$12,0,Settings!$B$12,1))&lt;Settings!$B$12,NA(),STDEV(OFFSET(G1254,1-Settings!$B$12,0,Settings!$B$12,1))*SQRT(Settings!$B$13)))</f>
        <v/>
      </c>
      <c r="L1254" s="18">
        <f>IF(AND(ISNUMBER(D1254),ISNUMBER(H1254)),D1254-H1254,NA())</f>
        <v/>
      </c>
      <c r="M1254" s="18">
        <f>IF(AND(ISNUMBER(E1254),ISNUMBER(K1254)),E1254-K1254,NA())</f>
        <v/>
      </c>
      <c r="N1254" s="18">
        <f>IF(NOT(ISNUMBER($A1254)),NA(),IF(COUNT(OFFSET(G1254,1,0,Settings!$B$12,1))&lt;Settings!$B$12,NA(),STDEV(OFFSET(G1254,1,0,Settings!$B$12,1))*SQRT(Settings!$B$13)))</f>
        <v/>
      </c>
      <c r="O1254" s="18">
        <f>IF(AND(ISNUMBER(E1254),ISNUMBER(N1254)),E1254-N1254,NA())</f>
        <v/>
      </c>
      <c r="P1254" s="17">
        <f>IF(NOT(ISNUMBER($A1254)),NA(),IF(OR($A1254&lt;MIN(KW_TP!$A$2:$A$2501),$A1254&gt;MAX(KW_TP!$A$2:$A$2501)),NA(),INDEX(KW_TP!$C$2:$C$2501,MATCH($A1254,KW_TP!$A$2:$A$2501,1))))</f>
        <v/>
      </c>
    </row>
    <row r="1255">
      <c r="A1255" s="15">
        <f>IF(ISNUMBER(BBG_Data!A1255),BBG_Data!A1255,"")</f>
        <v/>
      </c>
      <c r="B1255" s="16">
        <f>IF(AND(ISNUMBER($A1255),ISNUMBER(BBG_Data!B1255)),BBG_Data!B1255,NA())</f>
        <v/>
      </c>
      <c r="C1255" s="16">
        <f>IF(AND(ISNUMBER($A1255),ISNUMBER(BBG_Data!C1255)),BBG_Data!C1255,NA())</f>
        <v/>
      </c>
      <c r="D1255" s="17">
        <f>IF(AND(ISNUMBER($A1255),ISNUMBER(BBG_Data!D1255)),BBG_Data!D1255,NA())</f>
        <v/>
      </c>
      <c r="E1255" s="17">
        <f>IF(AND(ISNUMBER($A1255),ISNUMBER(BBG_Data!E1255)),BBG_Data!E1255,NA())</f>
        <v/>
      </c>
      <c r="F1255" s="18">
        <f>IF(AND(ISNUMBER(B1255),ISNUMBER(B1254)),(B1255-B1254)*100,"")</f>
        <v/>
      </c>
      <c r="G1255" s="18">
        <f>IF(AND(ISNUMBER(C1255),ISNUMBER(C1254)),(C1255-C1254)*100,"")</f>
        <v/>
      </c>
      <c r="H1255" s="18">
        <f>IF(OR(NOT(ISNUMBER($A1255)),ROW()-2&lt;Settings!$B$11),NA(),IF(COUNT(OFFSET(F1255,1-Settings!$B$11,0,Settings!$B$11,1))&lt;Settings!$B$11,NA(),STDEV(OFFSET(F1255,1-Settings!$B$11,0,Settings!$B$11,1))*SQRT(Settings!$B$13)))</f>
        <v/>
      </c>
      <c r="I1255" s="18">
        <f>IF(OR(NOT(ISNUMBER($A1255)),ROW()-2&lt;Settings!$B$12),NA(),IF(COUNT(OFFSET(F1255,1-Settings!$B$12,0,Settings!$B$12,1))&lt;Settings!$B$12,NA(),STDEV(OFFSET(F1255,1-Settings!$B$12,0,Settings!$B$12,1))*SQRT(Settings!$B$13)))</f>
        <v/>
      </c>
      <c r="J1255" s="18">
        <f>IF(OR(NOT(ISNUMBER($A1255)),ROW()-2&lt;Settings!$B$11),NA(),IF(COUNT(OFFSET(G1255,1-Settings!$B$11,0,Settings!$B$11,1))&lt;Settings!$B$11,NA(),STDEV(OFFSET(G1255,1-Settings!$B$11,0,Settings!$B$11,1))*SQRT(Settings!$B$13)))</f>
        <v/>
      </c>
      <c r="K1255" s="18">
        <f>IF(OR(NOT(ISNUMBER($A1255)),ROW()-2&lt;Settings!$B$12),NA(),IF(COUNT(OFFSET(G1255,1-Settings!$B$12,0,Settings!$B$12,1))&lt;Settings!$B$12,NA(),STDEV(OFFSET(G1255,1-Settings!$B$12,0,Settings!$B$12,1))*SQRT(Settings!$B$13)))</f>
        <v/>
      </c>
      <c r="L1255" s="18">
        <f>IF(AND(ISNUMBER(D1255),ISNUMBER(H1255)),D1255-H1255,NA())</f>
        <v/>
      </c>
      <c r="M1255" s="18">
        <f>IF(AND(ISNUMBER(E1255),ISNUMBER(K1255)),E1255-K1255,NA())</f>
        <v/>
      </c>
      <c r="N1255" s="18">
        <f>IF(NOT(ISNUMBER($A1255)),NA(),IF(COUNT(OFFSET(G1255,1,0,Settings!$B$12,1))&lt;Settings!$B$12,NA(),STDEV(OFFSET(G1255,1,0,Settings!$B$12,1))*SQRT(Settings!$B$13)))</f>
        <v/>
      </c>
      <c r="O1255" s="18">
        <f>IF(AND(ISNUMBER(E1255),ISNUMBER(N1255)),E1255-N1255,NA())</f>
        <v/>
      </c>
      <c r="P1255" s="17">
        <f>IF(NOT(ISNUMBER($A1255)),NA(),IF(OR($A1255&lt;MIN(KW_TP!$A$2:$A$2501),$A1255&gt;MAX(KW_TP!$A$2:$A$2501)),NA(),INDEX(KW_TP!$C$2:$C$2501,MATCH($A1255,KW_TP!$A$2:$A$2501,1))))</f>
        <v/>
      </c>
    </row>
    <row r="1256">
      <c r="A1256" s="15">
        <f>IF(ISNUMBER(BBG_Data!A1256),BBG_Data!A1256,"")</f>
        <v/>
      </c>
      <c r="B1256" s="16">
        <f>IF(AND(ISNUMBER($A1256),ISNUMBER(BBG_Data!B1256)),BBG_Data!B1256,NA())</f>
        <v/>
      </c>
      <c r="C1256" s="16">
        <f>IF(AND(ISNUMBER($A1256),ISNUMBER(BBG_Data!C1256)),BBG_Data!C1256,NA())</f>
        <v/>
      </c>
      <c r="D1256" s="17">
        <f>IF(AND(ISNUMBER($A1256),ISNUMBER(BBG_Data!D1256)),BBG_Data!D1256,NA())</f>
        <v/>
      </c>
      <c r="E1256" s="17">
        <f>IF(AND(ISNUMBER($A1256),ISNUMBER(BBG_Data!E1256)),BBG_Data!E1256,NA())</f>
        <v/>
      </c>
      <c r="F1256" s="18">
        <f>IF(AND(ISNUMBER(B1256),ISNUMBER(B1255)),(B1256-B1255)*100,"")</f>
        <v/>
      </c>
      <c r="G1256" s="18">
        <f>IF(AND(ISNUMBER(C1256),ISNUMBER(C1255)),(C1256-C1255)*100,"")</f>
        <v/>
      </c>
      <c r="H1256" s="18">
        <f>IF(OR(NOT(ISNUMBER($A1256)),ROW()-2&lt;Settings!$B$11),NA(),IF(COUNT(OFFSET(F1256,1-Settings!$B$11,0,Settings!$B$11,1))&lt;Settings!$B$11,NA(),STDEV(OFFSET(F1256,1-Settings!$B$11,0,Settings!$B$11,1))*SQRT(Settings!$B$13)))</f>
        <v/>
      </c>
      <c r="I1256" s="18">
        <f>IF(OR(NOT(ISNUMBER($A1256)),ROW()-2&lt;Settings!$B$12),NA(),IF(COUNT(OFFSET(F1256,1-Settings!$B$12,0,Settings!$B$12,1))&lt;Settings!$B$12,NA(),STDEV(OFFSET(F1256,1-Settings!$B$12,0,Settings!$B$12,1))*SQRT(Settings!$B$13)))</f>
        <v/>
      </c>
      <c r="J1256" s="18">
        <f>IF(OR(NOT(ISNUMBER($A1256)),ROW()-2&lt;Settings!$B$11),NA(),IF(COUNT(OFFSET(G1256,1-Settings!$B$11,0,Settings!$B$11,1))&lt;Settings!$B$11,NA(),STDEV(OFFSET(G1256,1-Settings!$B$11,0,Settings!$B$11,1))*SQRT(Settings!$B$13)))</f>
        <v/>
      </c>
      <c r="K1256" s="18">
        <f>IF(OR(NOT(ISNUMBER($A1256)),ROW()-2&lt;Settings!$B$12),NA(),IF(COUNT(OFFSET(G1256,1-Settings!$B$12,0,Settings!$B$12,1))&lt;Settings!$B$12,NA(),STDEV(OFFSET(G1256,1-Settings!$B$12,0,Settings!$B$12,1))*SQRT(Settings!$B$13)))</f>
        <v/>
      </c>
      <c r="L1256" s="18">
        <f>IF(AND(ISNUMBER(D1256),ISNUMBER(H1256)),D1256-H1256,NA())</f>
        <v/>
      </c>
      <c r="M1256" s="18">
        <f>IF(AND(ISNUMBER(E1256),ISNUMBER(K1256)),E1256-K1256,NA())</f>
        <v/>
      </c>
      <c r="N1256" s="18">
        <f>IF(NOT(ISNUMBER($A1256)),NA(),IF(COUNT(OFFSET(G1256,1,0,Settings!$B$12,1))&lt;Settings!$B$12,NA(),STDEV(OFFSET(G1256,1,0,Settings!$B$12,1))*SQRT(Settings!$B$13)))</f>
        <v/>
      </c>
      <c r="O1256" s="18">
        <f>IF(AND(ISNUMBER(E1256),ISNUMBER(N1256)),E1256-N1256,NA())</f>
        <v/>
      </c>
      <c r="P1256" s="17">
        <f>IF(NOT(ISNUMBER($A1256)),NA(),IF(OR($A1256&lt;MIN(KW_TP!$A$2:$A$2501),$A1256&gt;MAX(KW_TP!$A$2:$A$2501)),NA(),INDEX(KW_TP!$C$2:$C$2501,MATCH($A1256,KW_TP!$A$2:$A$2501,1))))</f>
        <v/>
      </c>
    </row>
    <row r="1257">
      <c r="A1257" s="15">
        <f>IF(ISNUMBER(BBG_Data!A1257),BBG_Data!A1257,"")</f>
        <v/>
      </c>
      <c r="B1257" s="16">
        <f>IF(AND(ISNUMBER($A1257),ISNUMBER(BBG_Data!B1257)),BBG_Data!B1257,NA())</f>
        <v/>
      </c>
      <c r="C1257" s="16">
        <f>IF(AND(ISNUMBER($A1257),ISNUMBER(BBG_Data!C1257)),BBG_Data!C1257,NA())</f>
        <v/>
      </c>
      <c r="D1257" s="17">
        <f>IF(AND(ISNUMBER($A1257),ISNUMBER(BBG_Data!D1257)),BBG_Data!D1257,NA())</f>
        <v/>
      </c>
      <c r="E1257" s="17">
        <f>IF(AND(ISNUMBER($A1257),ISNUMBER(BBG_Data!E1257)),BBG_Data!E1257,NA())</f>
        <v/>
      </c>
      <c r="F1257" s="18">
        <f>IF(AND(ISNUMBER(B1257),ISNUMBER(B1256)),(B1257-B1256)*100,"")</f>
        <v/>
      </c>
      <c r="G1257" s="18">
        <f>IF(AND(ISNUMBER(C1257),ISNUMBER(C1256)),(C1257-C1256)*100,"")</f>
        <v/>
      </c>
      <c r="H1257" s="18">
        <f>IF(OR(NOT(ISNUMBER($A1257)),ROW()-2&lt;Settings!$B$11),NA(),IF(COUNT(OFFSET(F1257,1-Settings!$B$11,0,Settings!$B$11,1))&lt;Settings!$B$11,NA(),STDEV(OFFSET(F1257,1-Settings!$B$11,0,Settings!$B$11,1))*SQRT(Settings!$B$13)))</f>
        <v/>
      </c>
      <c r="I1257" s="18">
        <f>IF(OR(NOT(ISNUMBER($A1257)),ROW()-2&lt;Settings!$B$12),NA(),IF(COUNT(OFFSET(F1257,1-Settings!$B$12,0,Settings!$B$12,1))&lt;Settings!$B$12,NA(),STDEV(OFFSET(F1257,1-Settings!$B$12,0,Settings!$B$12,1))*SQRT(Settings!$B$13)))</f>
        <v/>
      </c>
      <c r="J1257" s="18">
        <f>IF(OR(NOT(ISNUMBER($A1257)),ROW()-2&lt;Settings!$B$11),NA(),IF(COUNT(OFFSET(G1257,1-Settings!$B$11,0,Settings!$B$11,1))&lt;Settings!$B$11,NA(),STDEV(OFFSET(G1257,1-Settings!$B$11,0,Settings!$B$11,1))*SQRT(Settings!$B$13)))</f>
        <v/>
      </c>
      <c r="K1257" s="18">
        <f>IF(OR(NOT(ISNUMBER($A1257)),ROW()-2&lt;Settings!$B$12),NA(),IF(COUNT(OFFSET(G1257,1-Settings!$B$12,0,Settings!$B$12,1))&lt;Settings!$B$12,NA(),STDEV(OFFSET(G1257,1-Settings!$B$12,0,Settings!$B$12,1))*SQRT(Settings!$B$13)))</f>
        <v/>
      </c>
      <c r="L1257" s="18">
        <f>IF(AND(ISNUMBER(D1257),ISNUMBER(H1257)),D1257-H1257,NA())</f>
        <v/>
      </c>
      <c r="M1257" s="18">
        <f>IF(AND(ISNUMBER(E1257),ISNUMBER(K1257)),E1257-K1257,NA())</f>
        <v/>
      </c>
      <c r="N1257" s="18">
        <f>IF(NOT(ISNUMBER($A1257)),NA(),IF(COUNT(OFFSET(G1257,1,0,Settings!$B$12,1))&lt;Settings!$B$12,NA(),STDEV(OFFSET(G1257,1,0,Settings!$B$12,1))*SQRT(Settings!$B$13)))</f>
        <v/>
      </c>
      <c r="O1257" s="18">
        <f>IF(AND(ISNUMBER(E1257),ISNUMBER(N1257)),E1257-N1257,NA())</f>
        <v/>
      </c>
      <c r="P1257" s="17">
        <f>IF(NOT(ISNUMBER($A1257)),NA(),IF(OR($A1257&lt;MIN(KW_TP!$A$2:$A$2501),$A1257&gt;MAX(KW_TP!$A$2:$A$2501)),NA(),INDEX(KW_TP!$C$2:$C$2501,MATCH($A1257,KW_TP!$A$2:$A$2501,1))))</f>
        <v/>
      </c>
    </row>
    <row r="1258">
      <c r="A1258" s="15">
        <f>IF(ISNUMBER(BBG_Data!A1258),BBG_Data!A1258,"")</f>
        <v/>
      </c>
      <c r="B1258" s="16">
        <f>IF(AND(ISNUMBER($A1258),ISNUMBER(BBG_Data!B1258)),BBG_Data!B1258,NA())</f>
        <v/>
      </c>
      <c r="C1258" s="16">
        <f>IF(AND(ISNUMBER($A1258),ISNUMBER(BBG_Data!C1258)),BBG_Data!C1258,NA())</f>
        <v/>
      </c>
      <c r="D1258" s="17">
        <f>IF(AND(ISNUMBER($A1258),ISNUMBER(BBG_Data!D1258)),BBG_Data!D1258,NA())</f>
        <v/>
      </c>
      <c r="E1258" s="17">
        <f>IF(AND(ISNUMBER($A1258),ISNUMBER(BBG_Data!E1258)),BBG_Data!E1258,NA())</f>
        <v/>
      </c>
      <c r="F1258" s="18">
        <f>IF(AND(ISNUMBER(B1258),ISNUMBER(B1257)),(B1258-B1257)*100,"")</f>
        <v/>
      </c>
      <c r="G1258" s="18">
        <f>IF(AND(ISNUMBER(C1258),ISNUMBER(C1257)),(C1258-C1257)*100,"")</f>
        <v/>
      </c>
      <c r="H1258" s="18">
        <f>IF(OR(NOT(ISNUMBER($A1258)),ROW()-2&lt;Settings!$B$11),NA(),IF(COUNT(OFFSET(F1258,1-Settings!$B$11,0,Settings!$B$11,1))&lt;Settings!$B$11,NA(),STDEV(OFFSET(F1258,1-Settings!$B$11,0,Settings!$B$11,1))*SQRT(Settings!$B$13)))</f>
        <v/>
      </c>
      <c r="I1258" s="18">
        <f>IF(OR(NOT(ISNUMBER($A1258)),ROW()-2&lt;Settings!$B$12),NA(),IF(COUNT(OFFSET(F1258,1-Settings!$B$12,0,Settings!$B$12,1))&lt;Settings!$B$12,NA(),STDEV(OFFSET(F1258,1-Settings!$B$12,0,Settings!$B$12,1))*SQRT(Settings!$B$13)))</f>
        <v/>
      </c>
      <c r="J1258" s="18">
        <f>IF(OR(NOT(ISNUMBER($A1258)),ROW()-2&lt;Settings!$B$11),NA(),IF(COUNT(OFFSET(G1258,1-Settings!$B$11,0,Settings!$B$11,1))&lt;Settings!$B$11,NA(),STDEV(OFFSET(G1258,1-Settings!$B$11,0,Settings!$B$11,1))*SQRT(Settings!$B$13)))</f>
        <v/>
      </c>
      <c r="K1258" s="18">
        <f>IF(OR(NOT(ISNUMBER($A1258)),ROW()-2&lt;Settings!$B$12),NA(),IF(COUNT(OFFSET(G1258,1-Settings!$B$12,0,Settings!$B$12,1))&lt;Settings!$B$12,NA(),STDEV(OFFSET(G1258,1-Settings!$B$12,0,Settings!$B$12,1))*SQRT(Settings!$B$13)))</f>
        <v/>
      </c>
      <c r="L1258" s="18">
        <f>IF(AND(ISNUMBER(D1258),ISNUMBER(H1258)),D1258-H1258,NA())</f>
        <v/>
      </c>
      <c r="M1258" s="18">
        <f>IF(AND(ISNUMBER(E1258),ISNUMBER(K1258)),E1258-K1258,NA())</f>
        <v/>
      </c>
      <c r="N1258" s="18">
        <f>IF(NOT(ISNUMBER($A1258)),NA(),IF(COUNT(OFFSET(G1258,1,0,Settings!$B$12,1))&lt;Settings!$B$12,NA(),STDEV(OFFSET(G1258,1,0,Settings!$B$12,1))*SQRT(Settings!$B$13)))</f>
        <v/>
      </c>
      <c r="O1258" s="18">
        <f>IF(AND(ISNUMBER(E1258),ISNUMBER(N1258)),E1258-N1258,NA())</f>
        <v/>
      </c>
      <c r="P1258" s="17">
        <f>IF(NOT(ISNUMBER($A1258)),NA(),IF(OR($A1258&lt;MIN(KW_TP!$A$2:$A$2501),$A1258&gt;MAX(KW_TP!$A$2:$A$2501)),NA(),INDEX(KW_TP!$C$2:$C$2501,MATCH($A1258,KW_TP!$A$2:$A$2501,1))))</f>
        <v/>
      </c>
    </row>
    <row r="1259">
      <c r="A1259" s="15">
        <f>IF(ISNUMBER(BBG_Data!A1259),BBG_Data!A1259,"")</f>
        <v/>
      </c>
      <c r="B1259" s="16">
        <f>IF(AND(ISNUMBER($A1259),ISNUMBER(BBG_Data!B1259)),BBG_Data!B1259,NA())</f>
        <v/>
      </c>
      <c r="C1259" s="16">
        <f>IF(AND(ISNUMBER($A1259),ISNUMBER(BBG_Data!C1259)),BBG_Data!C1259,NA())</f>
        <v/>
      </c>
      <c r="D1259" s="17">
        <f>IF(AND(ISNUMBER($A1259),ISNUMBER(BBG_Data!D1259)),BBG_Data!D1259,NA())</f>
        <v/>
      </c>
      <c r="E1259" s="17">
        <f>IF(AND(ISNUMBER($A1259),ISNUMBER(BBG_Data!E1259)),BBG_Data!E1259,NA())</f>
        <v/>
      </c>
      <c r="F1259" s="18">
        <f>IF(AND(ISNUMBER(B1259),ISNUMBER(B1258)),(B1259-B1258)*100,"")</f>
        <v/>
      </c>
      <c r="G1259" s="18">
        <f>IF(AND(ISNUMBER(C1259),ISNUMBER(C1258)),(C1259-C1258)*100,"")</f>
        <v/>
      </c>
      <c r="H1259" s="18">
        <f>IF(OR(NOT(ISNUMBER($A1259)),ROW()-2&lt;Settings!$B$11),NA(),IF(COUNT(OFFSET(F1259,1-Settings!$B$11,0,Settings!$B$11,1))&lt;Settings!$B$11,NA(),STDEV(OFFSET(F1259,1-Settings!$B$11,0,Settings!$B$11,1))*SQRT(Settings!$B$13)))</f>
        <v/>
      </c>
      <c r="I1259" s="18">
        <f>IF(OR(NOT(ISNUMBER($A1259)),ROW()-2&lt;Settings!$B$12),NA(),IF(COUNT(OFFSET(F1259,1-Settings!$B$12,0,Settings!$B$12,1))&lt;Settings!$B$12,NA(),STDEV(OFFSET(F1259,1-Settings!$B$12,0,Settings!$B$12,1))*SQRT(Settings!$B$13)))</f>
        <v/>
      </c>
      <c r="J1259" s="18">
        <f>IF(OR(NOT(ISNUMBER($A1259)),ROW()-2&lt;Settings!$B$11),NA(),IF(COUNT(OFFSET(G1259,1-Settings!$B$11,0,Settings!$B$11,1))&lt;Settings!$B$11,NA(),STDEV(OFFSET(G1259,1-Settings!$B$11,0,Settings!$B$11,1))*SQRT(Settings!$B$13)))</f>
        <v/>
      </c>
      <c r="K1259" s="18">
        <f>IF(OR(NOT(ISNUMBER($A1259)),ROW()-2&lt;Settings!$B$12),NA(),IF(COUNT(OFFSET(G1259,1-Settings!$B$12,0,Settings!$B$12,1))&lt;Settings!$B$12,NA(),STDEV(OFFSET(G1259,1-Settings!$B$12,0,Settings!$B$12,1))*SQRT(Settings!$B$13)))</f>
        <v/>
      </c>
      <c r="L1259" s="18">
        <f>IF(AND(ISNUMBER(D1259),ISNUMBER(H1259)),D1259-H1259,NA())</f>
        <v/>
      </c>
      <c r="M1259" s="18">
        <f>IF(AND(ISNUMBER(E1259),ISNUMBER(K1259)),E1259-K1259,NA())</f>
        <v/>
      </c>
      <c r="N1259" s="18">
        <f>IF(NOT(ISNUMBER($A1259)),NA(),IF(COUNT(OFFSET(G1259,1,0,Settings!$B$12,1))&lt;Settings!$B$12,NA(),STDEV(OFFSET(G1259,1,0,Settings!$B$12,1))*SQRT(Settings!$B$13)))</f>
        <v/>
      </c>
      <c r="O1259" s="18">
        <f>IF(AND(ISNUMBER(E1259),ISNUMBER(N1259)),E1259-N1259,NA())</f>
        <v/>
      </c>
      <c r="P1259" s="17">
        <f>IF(NOT(ISNUMBER($A1259)),NA(),IF(OR($A1259&lt;MIN(KW_TP!$A$2:$A$2501),$A1259&gt;MAX(KW_TP!$A$2:$A$2501)),NA(),INDEX(KW_TP!$C$2:$C$2501,MATCH($A1259,KW_TP!$A$2:$A$2501,1))))</f>
        <v/>
      </c>
    </row>
    <row r="1260">
      <c r="A1260" s="15">
        <f>IF(ISNUMBER(BBG_Data!A1260),BBG_Data!A1260,"")</f>
        <v/>
      </c>
      <c r="B1260" s="16">
        <f>IF(AND(ISNUMBER($A1260),ISNUMBER(BBG_Data!B1260)),BBG_Data!B1260,NA())</f>
        <v/>
      </c>
      <c r="C1260" s="16">
        <f>IF(AND(ISNUMBER($A1260),ISNUMBER(BBG_Data!C1260)),BBG_Data!C1260,NA())</f>
        <v/>
      </c>
      <c r="D1260" s="17">
        <f>IF(AND(ISNUMBER($A1260),ISNUMBER(BBG_Data!D1260)),BBG_Data!D1260,NA())</f>
        <v/>
      </c>
      <c r="E1260" s="17">
        <f>IF(AND(ISNUMBER($A1260),ISNUMBER(BBG_Data!E1260)),BBG_Data!E1260,NA())</f>
        <v/>
      </c>
      <c r="F1260" s="18">
        <f>IF(AND(ISNUMBER(B1260),ISNUMBER(B1259)),(B1260-B1259)*100,"")</f>
        <v/>
      </c>
      <c r="G1260" s="18">
        <f>IF(AND(ISNUMBER(C1260),ISNUMBER(C1259)),(C1260-C1259)*100,"")</f>
        <v/>
      </c>
      <c r="H1260" s="18">
        <f>IF(OR(NOT(ISNUMBER($A1260)),ROW()-2&lt;Settings!$B$11),NA(),IF(COUNT(OFFSET(F1260,1-Settings!$B$11,0,Settings!$B$11,1))&lt;Settings!$B$11,NA(),STDEV(OFFSET(F1260,1-Settings!$B$11,0,Settings!$B$11,1))*SQRT(Settings!$B$13)))</f>
        <v/>
      </c>
      <c r="I1260" s="18">
        <f>IF(OR(NOT(ISNUMBER($A1260)),ROW()-2&lt;Settings!$B$12),NA(),IF(COUNT(OFFSET(F1260,1-Settings!$B$12,0,Settings!$B$12,1))&lt;Settings!$B$12,NA(),STDEV(OFFSET(F1260,1-Settings!$B$12,0,Settings!$B$12,1))*SQRT(Settings!$B$13)))</f>
        <v/>
      </c>
      <c r="J1260" s="18">
        <f>IF(OR(NOT(ISNUMBER($A1260)),ROW()-2&lt;Settings!$B$11),NA(),IF(COUNT(OFFSET(G1260,1-Settings!$B$11,0,Settings!$B$11,1))&lt;Settings!$B$11,NA(),STDEV(OFFSET(G1260,1-Settings!$B$11,0,Settings!$B$11,1))*SQRT(Settings!$B$13)))</f>
        <v/>
      </c>
      <c r="K1260" s="18">
        <f>IF(OR(NOT(ISNUMBER($A1260)),ROW()-2&lt;Settings!$B$12),NA(),IF(COUNT(OFFSET(G1260,1-Settings!$B$12,0,Settings!$B$12,1))&lt;Settings!$B$12,NA(),STDEV(OFFSET(G1260,1-Settings!$B$12,0,Settings!$B$12,1))*SQRT(Settings!$B$13)))</f>
        <v/>
      </c>
      <c r="L1260" s="18">
        <f>IF(AND(ISNUMBER(D1260),ISNUMBER(H1260)),D1260-H1260,NA())</f>
        <v/>
      </c>
      <c r="M1260" s="18">
        <f>IF(AND(ISNUMBER(E1260),ISNUMBER(K1260)),E1260-K1260,NA())</f>
        <v/>
      </c>
      <c r="N1260" s="18">
        <f>IF(NOT(ISNUMBER($A1260)),NA(),IF(COUNT(OFFSET(G1260,1,0,Settings!$B$12,1))&lt;Settings!$B$12,NA(),STDEV(OFFSET(G1260,1,0,Settings!$B$12,1))*SQRT(Settings!$B$13)))</f>
        <v/>
      </c>
      <c r="O1260" s="18">
        <f>IF(AND(ISNUMBER(E1260),ISNUMBER(N1260)),E1260-N1260,NA())</f>
        <v/>
      </c>
      <c r="P1260" s="17">
        <f>IF(NOT(ISNUMBER($A1260)),NA(),IF(OR($A1260&lt;MIN(KW_TP!$A$2:$A$2501),$A1260&gt;MAX(KW_TP!$A$2:$A$2501)),NA(),INDEX(KW_TP!$C$2:$C$2501,MATCH($A1260,KW_TP!$A$2:$A$2501,1))))</f>
        <v/>
      </c>
    </row>
    <row r="1261">
      <c r="A1261" s="15">
        <f>IF(ISNUMBER(BBG_Data!A1261),BBG_Data!A1261,"")</f>
        <v/>
      </c>
      <c r="B1261" s="16">
        <f>IF(AND(ISNUMBER($A1261),ISNUMBER(BBG_Data!B1261)),BBG_Data!B1261,NA())</f>
        <v/>
      </c>
      <c r="C1261" s="16">
        <f>IF(AND(ISNUMBER($A1261),ISNUMBER(BBG_Data!C1261)),BBG_Data!C1261,NA())</f>
        <v/>
      </c>
      <c r="D1261" s="17">
        <f>IF(AND(ISNUMBER($A1261),ISNUMBER(BBG_Data!D1261)),BBG_Data!D1261,NA())</f>
        <v/>
      </c>
      <c r="E1261" s="17">
        <f>IF(AND(ISNUMBER($A1261),ISNUMBER(BBG_Data!E1261)),BBG_Data!E1261,NA())</f>
        <v/>
      </c>
      <c r="F1261" s="18">
        <f>IF(AND(ISNUMBER(B1261),ISNUMBER(B1260)),(B1261-B1260)*100,"")</f>
        <v/>
      </c>
      <c r="G1261" s="18">
        <f>IF(AND(ISNUMBER(C1261),ISNUMBER(C1260)),(C1261-C1260)*100,"")</f>
        <v/>
      </c>
      <c r="H1261" s="18">
        <f>IF(OR(NOT(ISNUMBER($A1261)),ROW()-2&lt;Settings!$B$11),NA(),IF(COUNT(OFFSET(F1261,1-Settings!$B$11,0,Settings!$B$11,1))&lt;Settings!$B$11,NA(),STDEV(OFFSET(F1261,1-Settings!$B$11,0,Settings!$B$11,1))*SQRT(Settings!$B$13)))</f>
        <v/>
      </c>
      <c r="I1261" s="18">
        <f>IF(OR(NOT(ISNUMBER($A1261)),ROW()-2&lt;Settings!$B$12),NA(),IF(COUNT(OFFSET(F1261,1-Settings!$B$12,0,Settings!$B$12,1))&lt;Settings!$B$12,NA(),STDEV(OFFSET(F1261,1-Settings!$B$12,0,Settings!$B$12,1))*SQRT(Settings!$B$13)))</f>
        <v/>
      </c>
      <c r="J1261" s="18">
        <f>IF(OR(NOT(ISNUMBER($A1261)),ROW()-2&lt;Settings!$B$11),NA(),IF(COUNT(OFFSET(G1261,1-Settings!$B$11,0,Settings!$B$11,1))&lt;Settings!$B$11,NA(),STDEV(OFFSET(G1261,1-Settings!$B$11,0,Settings!$B$11,1))*SQRT(Settings!$B$13)))</f>
        <v/>
      </c>
      <c r="K1261" s="18">
        <f>IF(OR(NOT(ISNUMBER($A1261)),ROW()-2&lt;Settings!$B$12),NA(),IF(COUNT(OFFSET(G1261,1-Settings!$B$12,0,Settings!$B$12,1))&lt;Settings!$B$12,NA(),STDEV(OFFSET(G1261,1-Settings!$B$12,0,Settings!$B$12,1))*SQRT(Settings!$B$13)))</f>
        <v/>
      </c>
      <c r="L1261" s="18">
        <f>IF(AND(ISNUMBER(D1261),ISNUMBER(H1261)),D1261-H1261,NA())</f>
        <v/>
      </c>
      <c r="M1261" s="18">
        <f>IF(AND(ISNUMBER(E1261),ISNUMBER(K1261)),E1261-K1261,NA())</f>
        <v/>
      </c>
      <c r="N1261" s="18">
        <f>IF(NOT(ISNUMBER($A1261)),NA(),IF(COUNT(OFFSET(G1261,1,0,Settings!$B$12,1))&lt;Settings!$B$12,NA(),STDEV(OFFSET(G1261,1,0,Settings!$B$12,1))*SQRT(Settings!$B$13)))</f>
        <v/>
      </c>
      <c r="O1261" s="18">
        <f>IF(AND(ISNUMBER(E1261),ISNUMBER(N1261)),E1261-N1261,NA())</f>
        <v/>
      </c>
      <c r="P1261" s="17">
        <f>IF(NOT(ISNUMBER($A1261)),NA(),IF(OR($A1261&lt;MIN(KW_TP!$A$2:$A$2501),$A1261&gt;MAX(KW_TP!$A$2:$A$2501)),NA(),INDEX(KW_TP!$C$2:$C$2501,MATCH($A1261,KW_TP!$A$2:$A$2501,1))))</f>
        <v/>
      </c>
    </row>
    <row r="1262">
      <c r="A1262" s="15">
        <f>IF(ISNUMBER(BBG_Data!A1262),BBG_Data!A1262,"")</f>
        <v/>
      </c>
      <c r="B1262" s="16">
        <f>IF(AND(ISNUMBER($A1262),ISNUMBER(BBG_Data!B1262)),BBG_Data!B1262,NA())</f>
        <v/>
      </c>
      <c r="C1262" s="16">
        <f>IF(AND(ISNUMBER($A1262),ISNUMBER(BBG_Data!C1262)),BBG_Data!C1262,NA())</f>
        <v/>
      </c>
      <c r="D1262" s="17">
        <f>IF(AND(ISNUMBER($A1262),ISNUMBER(BBG_Data!D1262)),BBG_Data!D1262,NA())</f>
        <v/>
      </c>
      <c r="E1262" s="17">
        <f>IF(AND(ISNUMBER($A1262),ISNUMBER(BBG_Data!E1262)),BBG_Data!E1262,NA())</f>
        <v/>
      </c>
      <c r="F1262" s="18">
        <f>IF(AND(ISNUMBER(B1262),ISNUMBER(B1261)),(B1262-B1261)*100,"")</f>
        <v/>
      </c>
      <c r="G1262" s="18">
        <f>IF(AND(ISNUMBER(C1262),ISNUMBER(C1261)),(C1262-C1261)*100,"")</f>
        <v/>
      </c>
      <c r="H1262" s="18">
        <f>IF(OR(NOT(ISNUMBER($A1262)),ROW()-2&lt;Settings!$B$11),NA(),IF(COUNT(OFFSET(F1262,1-Settings!$B$11,0,Settings!$B$11,1))&lt;Settings!$B$11,NA(),STDEV(OFFSET(F1262,1-Settings!$B$11,0,Settings!$B$11,1))*SQRT(Settings!$B$13)))</f>
        <v/>
      </c>
      <c r="I1262" s="18">
        <f>IF(OR(NOT(ISNUMBER($A1262)),ROW()-2&lt;Settings!$B$12),NA(),IF(COUNT(OFFSET(F1262,1-Settings!$B$12,0,Settings!$B$12,1))&lt;Settings!$B$12,NA(),STDEV(OFFSET(F1262,1-Settings!$B$12,0,Settings!$B$12,1))*SQRT(Settings!$B$13)))</f>
        <v/>
      </c>
      <c r="J1262" s="18">
        <f>IF(OR(NOT(ISNUMBER($A1262)),ROW()-2&lt;Settings!$B$11),NA(),IF(COUNT(OFFSET(G1262,1-Settings!$B$11,0,Settings!$B$11,1))&lt;Settings!$B$11,NA(),STDEV(OFFSET(G1262,1-Settings!$B$11,0,Settings!$B$11,1))*SQRT(Settings!$B$13)))</f>
        <v/>
      </c>
      <c r="K1262" s="18">
        <f>IF(OR(NOT(ISNUMBER($A1262)),ROW()-2&lt;Settings!$B$12),NA(),IF(COUNT(OFFSET(G1262,1-Settings!$B$12,0,Settings!$B$12,1))&lt;Settings!$B$12,NA(),STDEV(OFFSET(G1262,1-Settings!$B$12,0,Settings!$B$12,1))*SQRT(Settings!$B$13)))</f>
        <v/>
      </c>
      <c r="L1262" s="18">
        <f>IF(AND(ISNUMBER(D1262),ISNUMBER(H1262)),D1262-H1262,NA())</f>
        <v/>
      </c>
      <c r="M1262" s="18">
        <f>IF(AND(ISNUMBER(E1262),ISNUMBER(K1262)),E1262-K1262,NA())</f>
        <v/>
      </c>
      <c r="N1262" s="18">
        <f>IF(NOT(ISNUMBER($A1262)),NA(),IF(COUNT(OFFSET(G1262,1,0,Settings!$B$12,1))&lt;Settings!$B$12,NA(),STDEV(OFFSET(G1262,1,0,Settings!$B$12,1))*SQRT(Settings!$B$13)))</f>
        <v/>
      </c>
      <c r="O1262" s="18">
        <f>IF(AND(ISNUMBER(E1262),ISNUMBER(N1262)),E1262-N1262,NA())</f>
        <v/>
      </c>
      <c r="P1262" s="17">
        <f>IF(NOT(ISNUMBER($A1262)),NA(),IF(OR($A1262&lt;MIN(KW_TP!$A$2:$A$2501),$A1262&gt;MAX(KW_TP!$A$2:$A$2501)),NA(),INDEX(KW_TP!$C$2:$C$2501,MATCH($A1262,KW_TP!$A$2:$A$2501,1))))</f>
        <v/>
      </c>
    </row>
    <row r="1263">
      <c r="A1263" s="15">
        <f>IF(ISNUMBER(BBG_Data!A1263),BBG_Data!A1263,"")</f>
        <v/>
      </c>
      <c r="B1263" s="16">
        <f>IF(AND(ISNUMBER($A1263),ISNUMBER(BBG_Data!B1263)),BBG_Data!B1263,NA())</f>
        <v/>
      </c>
      <c r="C1263" s="16">
        <f>IF(AND(ISNUMBER($A1263),ISNUMBER(BBG_Data!C1263)),BBG_Data!C1263,NA())</f>
        <v/>
      </c>
      <c r="D1263" s="17">
        <f>IF(AND(ISNUMBER($A1263),ISNUMBER(BBG_Data!D1263)),BBG_Data!D1263,NA())</f>
        <v/>
      </c>
      <c r="E1263" s="17">
        <f>IF(AND(ISNUMBER($A1263),ISNUMBER(BBG_Data!E1263)),BBG_Data!E1263,NA())</f>
        <v/>
      </c>
      <c r="F1263" s="18">
        <f>IF(AND(ISNUMBER(B1263),ISNUMBER(B1262)),(B1263-B1262)*100,"")</f>
        <v/>
      </c>
      <c r="G1263" s="18">
        <f>IF(AND(ISNUMBER(C1263),ISNUMBER(C1262)),(C1263-C1262)*100,"")</f>
        <v/>
      </c>
      <c r="H1263" s="18">
        <f>IF(OR(NOT(ISNUMBER($A1263)),ROW()-2&lt;Settings!$B$11),NA(),IF(COUNT(OFFSET(F1263,1-Settings!$B$11,0,Settings!$B$11,1))&lt;Settings!$B$11,NA(),STDEV(OFFSET(F1263,1-Settings!$B$11,0,Settings!$B$11,1))*SQRT(Settings!$B$13)))</f>
        <v/>
      </c>
      <c r="I1263" s="18">
        <f>IF(OR(NOT(ISNUMBER($A1263)),ROW()-2&lt;Settings!$B$12),NA(),IF(COUNT(OFFSET(F1263,1-Settings!$B$12,0,Settings!$B$12,1))&lt;Settings!$B$12,NA(),STDEV(OFFSET(F1263,1-Settings!$B$12,0,Settings!$B$12,1))*SQRT(Settings!$B$13)))</f>
        <v/>
      </c>
      <c r="J1263" s="18">
        <f>IF(OR(NOT(ISNUMBER($A1263)),ROW()-2&lt;Settings!$B$11),NA(),IF(COUNT(OFFSET(G1263,1-Settings!$B$11,0,Settings!$B$11,1))&lt;Settings!$B$11,NA(),STDEV(OFFSET(G1263,1-Settings!$B$11,0,Settings!$B$11,1))*SQRT(Settings!$B$13)))</f>
        <v/>
      </c>
      <c r="K1263" s="18">
        <f>IF(OR(NOT(ISNUMBER($A1263)),ROW()-2&lt;Settings!$B$12),NA(),IF(COUNT(OFFSET(G1263,1-Settings!$B$12,0,Settings!$B$12,1))&lt;Settings!$B$12,NA(),STDEV(OFFSET(G1263,1-Settings!$B$12,0,Settings!$B$12,1))*SQRT(Settings!$B$13)))</f>
        <v/>
      </c>
      <c r="L1263" s="18">
        <f>IF(AND(ISNUMBER(D1263),ISNUMBER(H1263)),D1263-H1263,NA())</f>
        <v/>
      </c>
      <c r="M1263" s="18">
        <f>IF(AND(ISNUMBER(E1263),ISNUMBER(K1263)),E1263-K1263,NA())</f>
        <v/>
      </c>
      <c r="N1263" s="18">
        <f>IF(NOT(ISNUMBER($A1263)),NA(),IF(COUNT(OFFSET(G1263,1,0,Settings!$B$12,1))&lt;Settings!$B$12,NA(),STDEV(OFFSET(G1263,1,0,Settings!$B$12,1))*SQRT(Settings!$B$13)))</f>
        <v/>
      </c>
      <c r="O1263" s="18">
        <f>IF(AND(ISNUMBER(E1263),ISNUMBER(N1263)),E1263-N1263,NA())</f>
        <v/>
      </c>
      <c r="P1263" s="17">
        <f>IF(NOT(ISNUMBER($A1263)),NA(),IF(OR($A1263&lt;MIN(KW_TP!$A$2:$A$2501),$A1263&gt;MAX(KW_TP!$A$2:$A$2501)),NA(),INDEX(KW_TP!$C$2:$C$2501,MATCH($A1263,KW_TP!$A$2:$A$2501,1))))</f>
        <v/>
      </c>
    </row>
    <row r="1264">
      <c r="A1264" s="15">
        <f>IF(ISNUMBER(BBG_Data!A1264),BBG_Data!A1264,"")</f>
        <v/>
      </c>
      <c r="B1264" s="16">
        <f>IF(AND(ISNUMBER($A1264),ISNUMBER(BBG_Data!B1264)),BBG_Data!B1264,NA())</f>
        <v/>
      </c>
      <c r="C1264" s="16">
        <f>IF(AND(ISNUMBER($A1264),ISNUMBER(BBG_Data!C1264)),BBG_Data!C1264,NA())</f>
        <v/>
      </c>
      <c r="D1264" s="17">
        <f>IF(AND(ISNUMBER($A1264),ISNUMBER(BBG_Data!D1264)),BBG_Data!D1264,NA())</f>
        <v/>
      </c>
      <c r="E1264" s="17">
        <f>IF(AND(ISNUMBER($A1264),ISNUMBER(BBG_Data!E1264)),BBG_Data!E1264,NA())</f>
        <v/>
      </c>
      <c r="F1264" s="18">
        <f>IF(AND(ISNUMBER(B1264),ISNUMBER(B1263)),(B1264-B1263)*100,"")</f>
        <v/>
      </c>
      <c r="G1264" s="18">
        <f>IF(AND(ISNUMBER(C1264),ISNUMBER(C1263)),(C1264-C1263)*100,"")</f>
        <v/>
      </c>
      <c r="H1264" s="18">
        <f>IF(OR(NOT(ISNUMBER($A1264)),ROW()-2&lt;Settings!$B$11),NA(),IF(COUNT(OFFSET(F1264,1-Settings!$B$11,0,Settings!$B$11,1))&lt;Settings!$B$11,NA(),STDEV(OFFSET(F1264,1-Settings!$B$11,0,Settings!$B$11,1))*SQRT(Settings!$B$13)))</f>
        <v/>
      </c>
      <c r="I1264" s="18">
        <f>IF(OR(NOT(ISNUMBER($A1264)),ROW()-2&lt;Settings!$B$12),NA(),IF(COUNT(OFFSET(F1264,1-Settings!$B$12,0,Settings!$B$12,1))&lt;Settings!$B$12,NA(),STDEV(OFFSET(F1264,1-Settings!$B$12,0,Settings!$B$12,1))*SQRT(Settings!$B$13)))</f>
        <v/>
      </c>
      <c r="J1264" s="18">
        <f>IF(OR(NOT(ISNUMBER($A1264)),ROW()-2&lt;Settings!$B$11),NA(),IF(COUNT(OFFSET(G1264,1-Settings!$B$11,0,Settings!$B$11,1))&lt;Settings!$B$11,NA(),STDEV(OFFSET(G1264,1-Settings!$B$11,0,Settings!$B$11,1))*SQRT(Settings!$B$13)))</f>
        <v/>
      </c>
      <c r="K1264" s="18">
        <f>IF(OR(NOT(ISNUMBER($A1264)),ROW()-2&lt;Settings!$B$12),NA(),IF(COUNT(OFFSET(G1264,1-Settings!$B$12,0,Settings!$B$12,1))&lt;Settings!$B$12,NA(),STDEV(OFFSET(G1264,1-Settings!$B$12,0,Settings!$B$12,1))*SQRT(Settings!$B$13)))</f>
        <v/>
      </c>
      <c r="L1264" s="18">
        <f>IF(AND(ISNUMBER(D1264),ISNUMBER(H1264)),D1264-H1264,NA())</f>
        <v/>
      </c>
      <c r="M1264" s="18">
        <f>IF(AND(ISNUMBER(E1264),ISNUMBER(K1264)),E1264-K1264,NA())</f>
        <v/>
      </c>
      <c r="N1264" s="18">
        <f>IF(NOT(ISNUMBER($A1264)),NA(),IF(COUNT(OFFSET(G1264,1,0,Settings!$B$12,1))&lt;Settings!$B$12,NA(),STDEV(OFFSET(G1264,1,0,Settings!$B$12,1))*SQRT(Settings!$B$13)))</f>
        <v/>
      </c>
      <c r="O1264" s="18">
        <f>IF(AND(ISNUMBER(E1264),ISNUMBER(N1264)),E1264-N1264,NA())</f>
        <v/>
      </c>
      <c r="P1264" s="17">
        <f>IF(NOT(ISNUMBER($A1264)),NA(),IF(OR($A1264&lt;MIN(KW_TP!$A$2:$A$2501),$A1264&gt;MAX(KW_TP!$A$2:$A$2501)),NA(),INDEX(KW_TP!$C$2:$C$2501,MATCH($A1264,KW_TP!$A$2:$A$2501,1))))</f>
        <v/>
      </c>
    </row>
    <row r="1265">
      <c r="A1265" s="15">
        <f>IF(ISNUMBER(BBG_Data!A1265),BBG_Data!A1265,"")</f>
        <v/>
      </c>
      <c r="B1265" s="16">
        <f>IF(AND(ISNUMBER($A1265),ISNUMBER(BBG_Data!B1265)),BBG_Data!B1265,NA())</f>
        <v/>
      </c>
      <c r="C1265" s="16">
        <f>IF(AND(ISNUMBER($A1265),ISNUMBER(BBG_Data!C1265)),BBG_Data!C1265,NA())</f>
        <v/>
      </c>
      <c r="D1265" s="17">
        <f>IF(AND(ISNUMBER($A1265),ISNUMBER(BBG_Data!D1265)),BBG_Data!D1265,NA())</f>
        <v/>
      </c>
      <c r="E1265" s="17">
        <f>IF(AND(ISNUMBER($A1265),ISNUMBER(BBG_Data!E1265)),BBG_Data!E1265,NA())</f>
        <v/>
      </c>
      <c r="F1265" s="18">
        <f>IF(AND(ISNUMBER(B1265),ISNUMBER(B1264)),(B1265-B1264)*100,"")</f>
        <v/>
      </c>
      <c r="G1265" s="18">
        <f>IF(AND(ISNUMBER(C1265),ISNUMBER(C1264)),(C1265-C1264)*100,"")</f>
        <v/>
      </c>
      <c r="H1265" s="18">
        <f>IF(OR(NOT(ISNUMBER($A1265)),ROW()-2&lt;Settings!$B$11),NA(),IF(COUNT(OFFSET(F1265,1-Settings!$B$11,0,Settings!$B$11,1))&lt;Settings!$B$11,NA(),STDEV(OFFSET(F1265,1-Settings!$B$11,0,Settings!$B$11,1))*SQRT(Settings!$B$13)))</f>
        <v/>
      </c>
      <c r="I1265" s="18">
        <f>IF(OR(NOT(ISNUMBER($A1265)),ROW()-2&lt;Settings!$B$12),NA(),IF(COUNT(OFFSET(F1265,1-Settings!$B$12,0,Settings!$B$12,1))&lt;Settings!$B$12,NA(),STDEV(OFFSET(F1265,1-Settings!$B$12,0,Settings!$B$12,1))*SQRT(Settings!$B$13)))</f>
        <v/>
      </c>
      <c r="J1265" s="18">
        <f>IF(OR(NOT(ISNUMBER($A1265)),ROW()-2&lt;Settings!$B$11),NA(),IF(COUNT(OFFSET(G1265,1-Settings!$B$11,0,Settings!$B$11,1))&lt;Settings!$B$11,NA(),STDEV(OFFSET(G1265,1-Settings!$B$11,0,Settings!$B$11,1))*SQRT(Settings!$B$13)))</f>
        <v/>
      </c>
      <c r="K1265" s="18">
        <f>IF(OR(NOT(ISNUMBER($A1265)),ROW()-2&lt;Settings!$B$12),NA(),IF(COUNT(OFFSET(G1265,1-Settings!$B$12,0,Settings!$B$12,1))&lt;Settings!$B$12,NA(),STDEV(OFFSET(G1265,1-Settings!$B$12,0,Settings!$B$12,1))*SQRT(Settings!$B$13)))</f>
        <v/>
      </c>
      <c r="L1265" s="18">
        <f>IF(AND(ISNUMBER(D1265),ISNUMBER(H1265)),D1265-H1265,NA())</f>
        <v/>
      </c>
      <c r="M1265" s="18">
        <f>IF(AND(ISNUMBER(E1265),ISNUMBER(K1265)),E1265-K1265,NA())</f>
        <v/>
      </c>
      <c r="N1265" s="18">
        <f>IF(NOT(ISNUMBER($A1265)),NA(),IF(COUNT(OFFSET(G1265,1,0,Settings!$B$12,1))&lt;Settings!$B$12,NA(),STDEV(OFFSET(G1265,1,0,Settings!$B$12,1))*SQRT(Settings!$B$13)))</f>
        <v/>
      </c>
      <c r="O1265" s="18">
        <f>IF(AND(ISNUMBER(E1265),ISNUMBER(N1265)),E1265-N1265,NA())</f>
        <v/>
      </c>
      <c r="P1265" s="17">
        <f>IF(NOT(ISNUMBER($A1265)),NA(),IF(OR($A1265&lt;MIN(KW_TP!$A$2:$A$2501),$A1265&gt;MAX(KW_TP!$A$2:$A$2501)),NA(),INDEX(KW_TP!$C$2:$C$2501,MATCH($A1265,KW_TP!$A$2:$A$2501,1))))</f>
        <v/>
      </c>
    </row>
    <row r="1266">
      <c r="A1266" s="15">
        <f>IF(ISNUMBER(BBG_Data!A1266),BBG_Data!A1266,"")</f>
        <v/>
      </c>
      <c r="B1266" s="16">
        <f>IF(AND(ISNUMBER($A1266),ISNUMBER(BBG_Data!B1266)),BBG_Data!B1266,NA())</f>
        <v/>
      </c>
      <c r="C1266" s="16">
        <f>IF(AND(ISNUMBER($A1266),ISNUMBER(BBG_Data!C1266)),BBG_Data!C1266,NA())</f>
        <v/>
      </c>
      <c r="D1266" s="17">
        <f>IF(AND(ISNUMBER($A1266),ISNUMBER(BBG_Data!D1266)),BBG_Data!D1266,NA())</f>
        <v/>
      </c>
      <c r="E1266" s="17">
        <f>IF(AND(ISNUMBER($A1266),ISNUMBER(BBG_Data!E1266)),BBG_Data!E1266,NA())</f>
        <v/>
      </c>
      <c r="F1266" s="18">
        <f>IF(AND(ISNUMBER(B1266),ISNUMBER(B1265)),(B1266-B1265)*100,"")</f>
        <v/>
      </c>
      <c r="G1266" s="18">
        <f>IF(AND(ISNUMBER(C1266),ISNUMBER(C1265)),(C1266-C1265)*100,"")</f>
        <v/>
      </c>
      <c r="H1266" s="18">
        <f>IF(OR(NOT(ISNUMBER($A1266)),ROW()-2&lt;Settings!$B$11),NA(),IF(COUNT(OFFSET(F1266,1-Settings!$B$11,0,Settings!$B$11,1))&lt;Settings!$B$11,NA(),STDEV(OFFSET(F1266,1-Settings!$B$11,0,Settings!$B$11,1))*SQRT(Settings!$B$13)))</f>
        <v/>
      </c>
      <c r="I1266" s="18">
        <f>IF(OR(NOT(ISNUMBER($A1266)),ROW()-2&lt;Settings!$B$12),NA(),IF(COUNT(OFFSET(F1266,1-Settings!$B$12,0,Settings!$B$12,1))&lt;Settings!$B$12,NA(),STDEV(OFFSET(F1266,1-Settings!$B$12,0,Settings!$B$12,1))*SQRT(Settings!$B$13)))</f>
        <v/>
      </c>
      <c r="J1266" s="18">
        <f>IF(OR(NOT(ISNUMBER($A1266)),ROW()-2&lt;Settings!$B$11),NA(),IF(COUNT(OFFSET(G1266,1-Settings!$B$11,0,Settings!$B$11,1))&lt;Settings!$B$11,NA(),STDEV(OFFSET(G1266,1-Settings!$B$11,0,Settings!$B$11,1))*SQRT(Settings!$B$13)))</f>
        <v/>
      </c>
      <c r="K1266" s="18">
        <f>IF(OR(NOT(ISNUMBER($A1266)),ROW()-2&lt;Settings!$B$12),NA(),IF(COUNT(OFFSET(G1266,1-Settings!$B$12,0,Settings!$B$12,1))&lt;Settings!$B$12,NA(),STDEV(OFFSET(G1266,1-Settings!$B$12,0,Settings!$B$12,1))*SQRT(Settings!$B$13)))</f>
        <v/>
      </c>
      <c r="L1266" s="18">
        <f>IF(AND(ISNUMBER(D1266),ISNUMBER(H1266)),D1266-H1266,NA())</f>
        <v/>
      </c>
      <c r="M1266" s="18">
        <f>IF(AND(ISNUMBER(E1266),ISNUMBER(K1266)),E1266-K1266,NA())</f>
        <v/>
      </c>
      <c r="N1266" s="18">
        <f>IF(NOT(ISNUMBER($A1266)),NA(),IF(COUNT(OFFSET(G1266,1,0,Settings!$B$12,1))&lt;Settings!$B$12,NA(),STDEV(OFFSET(G1266,1,0,Settings!$B$12,1))*SQRT(Settings!$B$13)))</f>
        <v/>
      </c>
      <c r="O1266" s="18">
        <f>IF(AND(ISNUMBER(E1266),ISNUMBER(N1266)),E1266-N1266,NA())</f>
        <v/>
      </c>
      <c r="P1266" s="17">
        <f>IF(NOT(ISNUMBER($A1266)),NA(),IF(OR($A1266&lt;MIN(KW_TP!$A$2:$A$2501),$A1266&gt;MAX(KW_TP!$A$2:$A$2501)),NA(),INDEX(KW_TP!$C$2:$C$2501,MATCH($A1266,KW_TP!$A$2:$A$2501,1))))</f>
        <v/>
      </c>
    </row>
    <row r="1267">
      <c r="A1267" s="15">
        <f>IF(ISNUMBER(BBG_Data!A1267),BBG_Data!A1267,"")</f>
        <v/>
      </c>
      <c r="B1267" s="16">
        <f>IF(AND(ISNUMBER($A1267),ISNUMBER(BBG_Data!B1267)),BBG_Data!B1267,NA())</f>
        <v/>
      </c>
      <c r="C1267" s="16">
        <f>IF(AND(ISNUMBER($A1267),ISNUMBER(BBG_Data!C1267)),BBG_Data!C1267,NA())</f>
        <v/>
      </c>
      <c r="D1267" s="17">
        <f>IF(AND(ISNUMBER($A1267),ISNUMBER(BBG_Data!D1267)),BBG_Data!D1267,NA())</f>
        <v/>
      </c>
      <c r="E1267" s="17">
        <f>IF(AND(ISNUMBER($A1267),ISNUMBER(BBG_Data!E1267)),BBG_Data!E1267,NA())</f>
        <v/>
      </c>
      <c r="F1267" s="18">
        <f>IF(AND(ISNUMBER(B1267),ISNUMBER(B1266)),(B1267-B1266)*100,"")</f>
        <v/>
      </c>
      <c r="G1267" s="18">
        <f>IF(AND(ISNUMBER(C1267),ISNUMBER(C1266)),(C1267-C1266)*100,"")</f>
        <v/>
      </c>
      <c r="H1267" s="18">
        <f>IF(OR(NOT(ISNUMBER($A1267)),ROW()-2&lt;Settings!$B$11),NA(),IF(COUNT(OFFSET(F1267,1-Settings!$B$11,0,Settings!$B$11,1))&lt;Settings!$B$11,NA(),STDEV(OFFSET(F1267,1-Settings!$B$11,0,Settings!$B$11,1))*SQRT(Settings!$B$13)))</f>
        <v/>
      </c>
      <c r="I1267" s="18">
        <f>IF(OR(NOT(ISNUMBER($A1267)),ROW()-2&lt;Settings!$B$12),NA(),IF(COUNT(OFFSET(F1267,1-Settings!$B$12,0,Settings!$B$12,1))&lt;Settings!$B$12,NA(),STDEV(OFFSET(F1267,1-Settings!$B$12,0,Settings!$B$12,1))*SQRT(Settings!$B$13)))</f>
        <v/>
      </c>
      <c r="J1267" s="18">
        <f>IF(OR(NOT(ISNUMBER($A1267)),ROW()-2&lt;Settings!$B$11),NA(),IF(COUNT(OFFSET(G1267,1-Settings!$B$11,0,Settings!$B$11,1))&lt;Settings!$B$11,NA(),STDEV(OFFSET(G1267,1-Settings!$B$11,0,Settings!$B$11,1))*SQRT(Settings!$B$13)))</f>
        <v/>
      </c>
      <c r="K1267" s="18">
        <f>IF(OR(NOT(ISNUMBER($A1267)),ROW()-2&lt;Settings!$B$12),NA(),IF(COUNT(OFFSET(G1267,1-Settings!$B$12,0,Settings!$B$12,1))&lt;Settings!$B$12,NA(),STDEV(OFFSET(G1267,1-Settings!$B$12,0,Settings!$B$12,1))*SQRT(Settings!$B$13)))</f>
        <v/>
      </c>
      <c r="L1267" s="18">
        <f>IF(AND(ISNUMBER(D1267),ISNUMBER(H1267)),D1267-H1267,NA())</f>
        <v/>
      </c>
      <c r="M1267" s="18">
        <f>IF(AND(ISNUMBER(E1267),ISNUMBER(K1267)),E1267-K1267,NA())</f>
        <v/>
      </c>
      <c r="N1267" s="18">
        <f>IF(NOT(ISNUMBER($A1267)),NA(),IF(COUNT(OFFSET(G1267,1,0,Settings!$B$12,1))&lt;Settings!$B$12,NA(),STDEV(OFFSET(G1267,1,0,Settings!$B$12,1))*SQRT(Settings!$B$13)))</f>
        <v/>
      </c>
      <c r="O1267" s="18">
        <f>IF(AND(ISNUMBER(E1267),ISNUMBER(N1267)),E1267-N1267,NA())</f>
        <v/>
      </c>
      <c r="P1267" s="17">
        <f>IF(NOT(ISNUMBER($A1267)),NA(),IF(OR($A1267&lt;MIN(KW_TP!$A$2:$A$2501),$A1267&gt;MAX(KW_TP!$A$2:$A$2501)),NA(),INDEX(KW_TP!$C$2:$C$2501,MATCH($A1267,KW_TP!$A$2:$A$2501,1))))</f>
        <v/>
      </c>
    </row>
    <row r="1268">
      <c r="A1268" s="15">
        <f>IF(ISNUMBER(BBG_Data!A1268),BBG_Data!A1268,"")</f>
        <v/>
      </c>
      <c r="B1268" s="16">
        <f>IF(AND(ISNUMBER($A1268),ISNUMBER(BBG_Data!B1268)),BBG_Data!B1268,NA())</f>
        <v/>
      </c>
      <c r="C1268" s="16">
        <f>IF(AND(ISNUMBER($A1268),ISNUMBER(BBG_Data!C1268)),BBG_Data!C1268,NA())</f>
        <v/>
      </c>
      <c r="D1268" s="17">
        <f>IF(AND(ISNUMBER($A1268),ISNUMBER(BBG_Data!D1268)),BBG_Data!D1268,NA())</f>
        <v/>
      </c>
      <c r="E1268" s="17">
        <f>IF(AND(ISNUMBER($A1268),ISNUMBER(BBG_Data!E1268)),BBG_Data!E1268,NA())</f>
        <v/>
      </c>
      <c r="F1268" s="18">
        <f>IF(AND(ISNUMBER(B1268),ISNUMBER(B1267)),(B1268-B1267)*100,"")</f>
        <v/>
      </c>
      <c r="G1268" s="18">
        <f>IF(AND(ISNUMBER(C1268),ISNUMBER(C1267)),(C1268-C1267)*100,"")</f>
        <v/>
      </c>
      <c r="H1268" s="18">
        <f>IF(OR(NOT(ISNUMBER($A1268)),ROW()-2&lt;Settings!$B$11),NA(),IF(COUNT(OFFSET(F1268,1-Settings!$B$11,0,Settings!$B$11,1))&lt;Settings!$B$11,NA(),STDEV(OFFSET(F1268,1-Settings!$B$11,0,Settings!$B$11,1))*SQRT(Settings!$B$13)))</f>
        <v/>
      </c>
      <c r="I1268" s="18">
        <f>IF(OR(NOT(ISNUMBER($A1268)),ROW()-2&lt;Settings!$B$12),NA(),IF(COUNT(OFFSET(F1268,1-Settings!$B$12,0,Settings!$B$12,1))&lt;Settings!$B$12,NA(),STDEV(OFFSET(F1268,1-Settings!$B$12,0,Settings!$B$12,1))*SQRT(Settings!$B$13)))</f>
        <v/>
      </c>
      <c r="J1268" s="18">
        <f>IF(OR(NOT(ISNUMBER($A1268)),ROW()-2&lt;Settings!$B$11),NA(),IF(COUNT(OFFSET(G1268,1-Settings!$B$11,0,Settings!$B$11,1))&lt;Settings!$B$11,NA(),STDEV(OFFSET(G1268,1-Settings!$B$11,0,Settings!$B$11,1))*SQRT(Settings!$B$13)))</f>
        <v/>
      </c>
      <c r="K1268" s="18">
        <f>IF(OR(NOT(ISNUMBER($A1268)),ROW()-2&lt;Settings!$B$12),NA(),IF(COUNT(OFFSET(G1268,1-Settings!$B$12,0,Settings!$B$12,1))&lt;Settings!$B$12,NA(),STDEV(OFFSET(G1268,1-Settings!$B$12,0,Settings!$B$12,1))*SQRT(Settings!$B$13)))</f>
        <v/>
      </c>
      <c r="L1268" s="18">
        <f>IF(AND(ISNUMBER(D1268),ISNUMBER(H1268)),D1268-H1268,NA())</f>
        <v/>
      </c>
      <c r="M1268" s="18">
        <f>IF(AND(ISNUMBER(E1268),ISNUMBER(K1268)),E1268-K1268,NA())</f>
        <v/>
      </c>
      <c r="N1268" s="18">
        <f>IF(NOT(ISNUMBER($A1268)),NA(),IF(COUNT(OFFSET(G1268,1,0,Settings!$B$12,1))&lt;Settings!$B$12,NA(),STDEV(OFFSET(G1268,1,0,Settings!$B$12,1))*SQRT(Settings!$B$13)))</f>
        <v/>
      </c>
      <c r="O1268" s="18">
        <f>IF(AND(ISNUMBER(E1268),ISNUMBER(N1268)),E1268-N1268,NA())</f>
        <v/>
      </c>
      <c r="P1268" s="17">
        <f>IF(NOT(ISNUMBER($A1268)),NA(),IF(OR($A1268&lt;MIN(KW_TP!$A$2:$A$2501),$A1268&gt;MAX(KW_TP!$A$2:$A$2501)),NA(),INDEX(KW_TP!$C$2:$C$2501,MATCH($A1268,KW_TP!$A$2:$A$2501,1))))</f>
        <v/>
      </c>
    </row>
    <row r="1269">
      <c r="A1269" s="15">
        <f>IF(ISNUMBER(BBG_Data!A1269),BBG_Data!A1269,"")</f>
        <v/>
      </c>
      <c r="B1269" s="16">
        <f>IF(AND(ISNUMBER($A1269),ISNUMBER(BBG_Data!B1269)),BBG_Data!B1269,NA())</f>
        <v/>
      </c>
      <c r="C1269" s="16">
        <f>IF(AND(ISNUMBER($A1269),ISNUMBER(BBG_Data!C1269)),BBG_Data!C1269,NA())</f>
        <v/>
      </c>
      <c r="D1269" s="17">
        <f>IF(AND(ISNUMBER($A1269),ISNUMBER(BBG_Data!D1269)),BBG_Data!D1269,NA())</f>
        <v/>
      </c>
      <c r="E1269" s="17">
        <f>IF(AND(ISNUMBER($A1269),ISNUMBER(BBG_Data!E1269)),BBG_Data!E1269,NA())</f>
        <v/>
      </c>
      <c r="F1269" s="18">
        <f>IF(AND(ISNUMBER(B1269),ISNUMBER(B1268)),(B1269-B1268)*100,"")</f>
        <v/>
      </c>
      <c r="G1269" s="18">
        <f>IF(AND(ISNUMBER(C1269),ISNUMBER(C1268)),(C1269-C1268)*100,"")</f>
        <v/>
      </c>
      <c r="H1269" s="18">
        <f>IF(OR(NOT(ISNUMBER($A1269)),ROW()-2&lt;Settings!$B$11),NA(),IF(COUNT(OFFSET(F1269,1-Settings!$B$11,0,Settings!$B$11,1))&lt;Settings!$B$11,NA(),STDEV(OFFSET(F1269,1-Settings!$B$11,0,Settings!$B$11,1))*SQRT(Settings!$B$13)))</f>
        <v/>
      </c>
      <c r="I1269" s="18">
        <f>IF(OR(NOT(ISNUMBER($A1269)),ROW()-2&lt;Settings!$B$12),NA(),IF(COUNT(OFFSET(F1269,1-Settings!$B$12,0,Settings!$B$12,1))&lt;Settings!$B$12,NA(),STDEV(OFFSET(F1269,1-Settings!$B$12,0,Settings!$B$12,1))*SQRT(Settings!$B$13)))</f>
        <v/>
      </c>
      <c r="J1269" s="18">
        <f>IF(OR(NOT(ISNUMBER($A1269)),ROW()-2&lt;Settings!$B$11),NA(),IF(COUNT(OFFSET(G1269,1-Settings!$B$11,0,Settings!$B$11,1))&lt;Settings!$B$11,NA(),STDEV(OFFSET(G1269,1-Settings!$B$11,0,Settings!$B$11,1))*SQRT(Settings!$B$13)))</f>
        <v/>
      </c>
      <c r="K1269" s="18">
        <f>IF(OR(NOT(ISNUMBER($A1269)),ROW()-2&lt;Settings!$B$12),NA(),IF(COUNT(OFFSET(G1269,1-Settings!$B$12,0,Settings!$B$12,1))&lt;Settings!$B$12,NA(),STDEV(OFFSET(G1269,1-Settings!$B$12,0,Settings!$B$12,1))*SQRT(Settings!$B$13)))</f>
        <v/>
      </c>
      <c r="L1269" s="18">
        <f>IF(AND(ISNUMBER(D1269),ISNUMBER(H1269)),D1269-H1269,NA())</f>
        <v/>
      </c>
      <c r="M1269" s="18">
        <f>IF(AND(ISNUMBER(E1269),ISNUMBER(K1269)),E1269-K1269,NA())</f>
        <v/>
      </c>
      <c r="N1269" s="18">
        <f>IF(NOT(ISNUMBER($A1269)),NA(),IF(COUNT(OFFSET(G1269,1,0,Settings!$B$12,1))&lt;Settings!$B$12,NA(),STDEV(OFFSET(G1269,1,0,Settings!$B$12,1))*SQRT(Settings!$B$13)))</f>
        <v/>
      </c>
      <c r="O1269" s="18">
        <f>IF(AND(ISNUMBER(E1269),ISNUMBER(N1269)),E1269-N1269,NA())</f>
        <v/>
      </c>
      <c r="P1269" s="17">
        <f>IF(NOT(ISNUMBER($A1269)),NA(),IF(OR($A1269&lt;MIN(KW_TP!$A$2:$A$2501),$A1269&gt;MAX(KW_TP!$A$2:$A$2501)),NA(),INDEX(KW_TP!$C$2:$C$2501,MATCH($A1269,KW_TP!$A$2:$A$2501,1))))</f>
        <v/>
      </c>
    </row>
    <row r="1270">
      <c r="A1270" s="15">
        <f>IF(ISNUMBER(BBG_Data!A1270),BBG_Data!A1270,"")</f>
        <v/>
      </c>
      <c r="B1270" s="16">
        <f>IF(AND(ISNUMBER($A1270),ISNUMBER(BBG_Data!B1270)),BBG_Data!B1270,NA())</f>
        <v/>
      </c>
      <c r="C1270" s="16">
        <f>IF(AND(ISNUMBER($A1270),ISNUMBER(BBG_Data!C1270)),BBG_Data!C1270,NA())</f>
        <v/>
      </c>
      <c r="D1270" s="17">
        <f>IF(AND(ISNUMBER($A1270),ISNUMBER(BBG_Data!D1270)),BBG_Data!D1270,NA())</f>
        <v/>
      </c>
      <c r="E1270" s="17">
        <f>IF(AND(ISNUMBER($A1270),ISNUMBER(BBG_Data!E1270)),BBG_Data!E1270,NA())</f>
        <v/>
      </c>
      <c r="F1270" s="18">
        <f>IF(AND(ISNUMBER(B1270),ISNUMBER(B1269)),(B1270-B1269)*100,"")</f>
        <v/>
      </c>
      <c r="G1270" s="18">
        <f>IF(AND(ISNUMBER(C1270),ISNUMBER(C1269)),(C1270-C1269)*100,"")</f>
        <v/>
      </c>
      <c r="H1270" s="18">
        <f>IF(OR(NOT(ISNUMBER($A1270)),ROW()-2&lt;Settings!$B$11),NA(),IF(COUNT(OFFSET(F1270,1-Settings!$B$11,0,Settings!$B$11,1))&lt;Settings!$B$11,NA(),STDEV(OFFSET(F1270,1-Settings!$B$11,0,Settings!$B$11,1))*SQRT(Settings!$B$13)))</f>
        <v/>
      </c>
      <c r="I1270" s="18">
        <f>IF(OR(NOT(ISNUMBER($A1270)),ROW()-2&lt;Settings!$B$12),NA(),IF(COUNT(OFFSET(F1270,1-Settings!$B$12,0,Settings!$B$12,1))&lt;Settings!$B$12,NA(),STDEV(OFFSET(F1270,1-Settings!$B$12,0,Settings!$B$12,1))*SQRT(Settings!$B$13)))</f>
        <v/>
      </c>
      <c r="J1270" s="18">
        <f>IF(OR(NOT(ISNUMBER($A1270)),ROW()-2&lt;Settings!$B$11),NA(),IF(COUNT(OFFSET(G1270,1-Settings!$B$11,0,Settings!$B$11,1))&lt;Settings!$B$11,NA(),STDEV(OFFSET(G1270,1-Settings!$B$11,0,Settings!$B$11,1))*SQRT(Settings!$B$13)))</f>
        <v/>
      </c>
      <c r="K1270" s="18">
        <f>IF(OR(NOT(ISNUMBER($A1270)),ROW()-2&lt;Settings!$B$12),NA(),IF(COUNT(OFFSET(G1270,1-Settings!$B$12,0,Settings!$B$12,1))&lt;Settings!$B$12,NA(),STDEV(OFFSET(G1270,1-Settings!$B$12,0,Settings!$B$12,1))*SQRT(Settings!$B$13)))</f>
        <v/>
      </c>
      <c r="L1270" s="18">
        <f>IF(AND(ISNUMBER(D1270),ISNUMBER(H1270)),D1270-H1270,NA())</f>
        <v/>
      </c>
      <c r="M1270" s="18">
        <f>IF(AND(ISNUMBER(E1270),ISNUMBER(K1270)),E1270-K1270,NA())</f>
        <v/>
      </c>
      <c r="N1270" s="18">
        <f>IF(NOT(ISNUMBER($A1270)),NA(),IF(COUNT(OFFSET(G1270,1,0,Settings!$B$12,1))&lt;Settings!$B$12,NA(),STDEV(OFFSET(G1270,1,0,Settings!$B$12,1))*SQRT(Settings!$B$13)))</f>
        <v/>
      </c>
      <c r="O1270" s="18">
        <f>IF(AND(ISNUMBER(E1270),ISNUMBER(N1270)),E1270-N1270,NA())</f>
        <v/>
      </c>
      <c r="P1270" s="17">
        <f>IF(NOT(ISNUMBER($A1270)),NA(),IF(OR($A1270&lt;MIN(KW_TP!$A$2:$A$2501),$A1270&gt;MAX(KW_TP!$A$2:$A$2501)),NA(),INDEX(KW_TP!$C$2:$C$2501,MATCH($A1270,KW_TP!$A$2:$A$2501,1))))</f>
        <v/>
      </c>
    </row>
    <row r="1271">
      <c r="A1271" s="15">
        <f>IF(ISNUMBER(BBG_Data!A1271),BBG_Data!A1271,"")</f>
        <v/>
      </c>
      <c r="B1271" s="16">
        <f>IF(AND(ISNUMBER($A1271),ISNUMBER(BBG_Data!B1271)),BBG_Data!B1271,NA())</f>
        <v/>
      </c>
      <c r="C1271" s="16">
        <f>IF(AND(ISNUMBER($A1271),ISNUMBER(BBG_Data!C1271)),BBG_Data!C1271,NA())</f>
        <v/>
      </c>
      <c r="D1271" s="17">
        <f>IF(AND(ISNUMBER($A1271),ISNUMBER(BBG_Data!D1271)),BBG_Data!D1271,NA())</f>
        <v/>
      </c>
      <c r="E1271" s="17">
        <f>IF(AND(ISNUMBER($A1271),ISNUMBER(BBG_Data!E1271)),BBG_Data!E1271,NA())</f>
        <v/>
      </c>
      <c r="F1271" s="18">
        <f>IF(AND(ISNUMBER(B1271),ISNUMBER(B1270)),(B1271-B1270)*100,"")</f>
        <v/>
      </c>
      <c r="G1271" s="18">
        <f>IF(AND(ISNUMBER(C1271),ISNUMBER(C1270)),(C1271-C1270)*100,"")</f>
        <v/>
      </c>
      <c r="H1271" s="18">
        <f>IF(OR(NOT(ISNUMBER($A1271)),ROW()-2&lt;Settings!$B$11),NA(),IF(COUNT(OFFSET(F1271,1-Settings!$B$11,0,Settings!$B$11,1))&lt;Settings!$B$11,NA(),STDEV(OFFSET(F1271,1-Settings!$B$11,0,Settings!$B$11,1))*SQRT(Settings!$B$13)))</f>
        <v/>
      </c>
      <c r="I1271" s="18">
        <f>IF(OR(NOT(ISNUMBER($A1271)),ROW()-2&lt;Settings!$B$12),NA(),IF(COUNT(OFFSET(F1271,1-Settings!$B$12,0,Settings!$B$12,1))&lt;Settings!$B$12,NA(),STDEV(OFFSET(F1271,1-Settings!$B$12,0,Settings!$B$12,1))*SQRT(Settings!$B$13)))</f>
        <v/>
      </c>
      <c r="J1271" s="18">
        <f>IF(OR(NOT(ISNUMBER($A1271)),ROW()-2&lt;Settings!$B$11),NA(),IF(COUNT(OFFSET(G1271,1-Settings!$B$11,0,Settings!$B$11,1))&lt;Settings!$B$11,NA(),STDEV(OFFSET(G1271,1-Settings!$B$11,0,Settings!$B$11,1))*SQRT(Settings!$B$13)))</f>
        <v/>
      </c>
      <c r="K1271" s="18">
        <f>IF(OR(NOT(ISNUMBER($A1271)),ROW()-2&lt;Settings!$B$12),NA(),IF(COUNT(OFFSET(G1271,1-Settings!$B$12,0,Settings!$B$12,1))&lt;Settings!$B$12,NA(),STDEV(OFFSET(G1271,1-Settings!$B$12,0,Settings!$B$12,1))*SQRT(Settings!$B$13)))</f>
        <v/>
      </c>
      <c r="L1271" s="18">
        <f>IF(AND(ISNUMBER(D1271),ISNUMBER(H1271)),D1271-H1271,NA())</f>
        <v/>
      </c>
      <c r="M1271" s="18">
        <f>IF(AND(ISNUMBER(E1271),ISNUMBER(K1271)),E1271-K1271,NA())</f>
        <v/>
      </c>
      <c r="N1271" s="18">
        <f>IF(NOT(ISNUMBER($A1271)),NA(),IF(COUNT(OFFSET(G1271,1,0,Settings!$B$12,1))&lt;Settings!$B$12,NA(),STDEV(OFFSET(G1271,1,0,Settings!$B$12,1))*SQRT(Settings!$B$13)))</f>
        <v/>
      </c>
      <c r="O1271" s="18">
        <f>IF(AND(ISNUMBER(E1271),ISNUMBER(N1271)),E1271-N1271,NA())</f>
        <v/>
      </c>
      <c r="P1271" s="17">
        <f>IF(NOT(ISNUMBER($A1271)),NA(),IF(OR($A1271&lt;MIN(KW_TP!$A$2:$A$2501),$A1271&gt;MAX(KW_TP!$A$2:$A$2501)),NA(),INDEX(KW_TP!$C$2:$C$2501,MATCH($A1271,KW_TP!$A$2:$A$2501,1))))</f>
        <v/>
      </c>
    </row>
    <row r="1272">
      <c r="A1272" s="15">
        <f>IF(ISNUMBER(BBG_Data!A1272),BBG_Data!A1272,"")</f>
        <v/>
      </c>
      <c r="B1272" s="16">
        <f>IF(AND(ISNUMBER($A1272),ISNUMBER(BBG_Data!B1272)),BBG_Data!B1272,NA())</f>
        <v/>
      </c>
      <c r="C1272" s="16">
        <f>IF(AND(ISNUMBER($A1272),ISNUMBER(BBG_Data!C1272)),BBG_Data!C1272,NA())</f>
        <v/>
      </c>
      <c r="D1272" s="17">
        <f>IF(AND(ISNUMBER($A1272),ISNUMBER(BBG_Data!D1272)),BBG_Data!D1272,NA())</f>
        <v/>
      </c>
      <c r="E1272" s="17">
        <f>IF(AND(ISNUMBER($A1272),ISNUMBER(BBG_Data!E1272)),BBG_Data!E1272,NA())</f>
        <v/>
      </c>
      <c r="F1272" s="18">
        <f>IF(AND(ISNUMBER(B1272),ISNUMBER(B1271)),(B1272-B1271)*100,"")</f>
        <v/>
      </c>
      <c r="G1272" s="18">
        <f>IF(AND(ISNUMBER(C1272),ISNUMBER(C1271)),(C1272-C1271)*100,"")</f>
        <v/>
      </c>
      <c r="H1272" s="18">
        <f>IF(OR(NOT(ISNUMBER($A1272)),ROW()-2&lt;Settings!$B$11),NA(),IF(COUNT(OFFSET(F1272,1-Settings!$B$11,0,Settings!$B$11,1))&lt;Settings!$B$11,NA(),STDEV(OFFSET(F1272,1-Settings!$B$11,0,Settings!$B$11,1))*SQRT(Settings!$B$13)))</f>
        <v/>
      </c>
      <c r="I1272" s="18">
        <f>IF(OR(NOT(ISNUMBER($A1272)),ROW()-2&lt;Settings!$B$12),NA(),IF(COUNT(OFFSET(F1272,1-Settings!$B$12,0,Settings!$B$12,1))&lt;Settings!$B$12,NA(),STDEV(OFFSET(F1272,1-Settings!$B$12,0,Settings!$B$12,1))*SQRT(Settings!$B$13)))</f>
        <v/>
      </c>
      <c r="J1272" s="18">
        <f>IF(OR(NOT(ISNUMBER($A1272)),ROW()-2&lt;Settings!$B$11),NA(),IF(COUNT(OFFSET(G1272,1-Settings!$B$11,0,Settings!$B$11,1))&lt;Settings!$B$11,NA(),STDEV(OFFSET(G1272,1-Settings!$B$11,0,Settings!$B$11,1))*SQRT(Settings!$B$13)))</f>
        <v/>
      </c>
      <c r="K1272" s="18">
        <f>IF(OR(NOT(ISNUMBER($A1272)),ROW()-2&lt;Settings!$B$12),NA(),IF(COUNT(OFFSET(G1272,1-Settings!$B$12,0,Settings!$B$12,1))&lt;Settings!$B$12,NA(),STDEV(OFFSET(G1272,1-Settings!$B$12,0,Settings!$B$12,1))*SQRT(Settings!$B$13)))</f>
        <v/>
      </c>
      <c r="L1272" s="18">
        <f>IF(AND(ISNUMBER(D1272),ISNUMBER(H1272)),D1272-H1272,NA())</f>
        <v/>
      </c>
      <c r="M1272" s="18">
        <f>IF(AND(ISNUMBER(E1272),ISNUMBER(K1272)),E1272-K1272,NA())</f>
        <v/>
      </c>
      <c r="N1272" s="18">
        <f>IF(NOT(ISNUMBER($A1272)),NA(),IF(COUNT(OFFSET(G1272,1,0,Settings!$B$12,1))&lt;Settings!$B$12,NA(),STDEV(OFFSET(G1272,1,0,Settings!$B$12,1))*SQRT(Settings!$B$13)))</f>
        <v/>
      </c>
      <c r="O1272" s="18">
        <f>IF(AND(ISNUMBER(E1272),ISNUMBER(N1272)),E1272-N1272,NA())</f>
        <v/>
      </c>
      <c r="P1272" s="17">
        <f>IF(NOT(ISNUMBER($A1272)),NA(),IF(OR($A1272&lt;MIN(KW_TP!$A$2:$A$2501),$A1272&gt;MAX(KW_TP!$A$2:$A$2501)),NA(),INDEX(KW_TP!$C$2:$C$2501,MATCH($A1272,KW_TP!$A$2:$A$2501,1))))</f>
        <v/>
      </c>
    </row>
    <row r="1273">
      <c r="A1273" s="15">
        <f>IF(ISNUMBER(BBG_Data!A1273),BBG_Data!A1273,"")</f>
        <v/>
      </c>
      <c r="B1273" s="16">
        <f>IF(AND(ISNUMBER($A1273),ISNUMBER(BBG_Data!B1273)),BBG_Data!B1273,NA())</f>
        <v/>
      </c>
      <c r="C1273" s="16">
        <f>IF(AND(ISNUMBER($A1273),ISNUMBER(BBG_Data!C1273)),BBG_Data!C1273,NA())</f>
        <v/>
      </c>
      <c r="D1273" s="17">
        <f>IF(AND(ISNUMBER($A1273),ISNUMBER(BBG_Data!D1273)),BBG_Data!D1273,NA())</f>
        <v/>
      </c>
      <c r="E1273" s="17">
        <f>IF(AND(ISNUMBER($A1273),ISNUMBER(BBG_Data!E1273)),BBG_Data!E1273,NA())</f>
        <v/>
      </c>
      <c r="F1273" s="18">
        <f>IF(AND(ISNUMBER(B1273),ISNUMBER(B1272)),(B1273-B1272)*100,"")</f>
        <v/>
      </c>
      <c r="G1273" s="18">
        <f>IF(AND(ISNUMBER(C1273),ISNUMBER(C1272)),(C1273-C1272)*100,"")</f>
        <v/>
      </c>
      <c r="H1273" s="18">
        <f>IF(OR(NOT(ISNUMBER($A1273)),ROW()-2&lt;Settings!$B$11),NA(),IF(COUNT(OFFSET(F1273,1-Settings!$B$11,0,Settings!$B$11,1))&lt;Settings!$B$11,NA(),STDEV(OFFSET(F1273,1-Settings!$B$11,0,Settings!$B$11,1))*SQRT(Settings!$B$13)))</f>
        <v/>
      </c>
      <c r="I1273" s="18">
        <f>IF(OR(NOT(ISNUMBER($A1273)),ROW()-2&lt;Settings!$B$12),NA(),IF(COUNT(OFFSET(F1273,1-Settings!$B$12,0,Settings!$B$12,1))&lt;Settings!$B$12,NA(),STDEV(OFFSET(F1273,1-Settings!$B$12,0,Settings!$B$12,1))*SQRT(Settings!$B$13)))</f>
        <v/>
      </c>
      <c r="J1273" s="18">
        <f>IF(OR(NOT(ISNUMBER($A1273)),ROW()-2&lt;Settings!$B$11),NA(),IF(COUNT(OFFSET(G1273,1-Settings!$B$11,0,Settings!$B$11,1))&lt;Settings!$B$11,NA(),STDEV(OFFSET(G1273,1-Settings!$B$11,0,Settings!$B$11,1))*SQRT(Settings!$B$13)))</f>
        <v/>
      </c>
      <c r="K1273" s="18">
        <f>IF(OR(NOT(ISNUMBER($A1273)),ROW()-2&lt;Settings!$B$12),NA(),IF(COUNT(OFFSET(G1273,1-Settings!$B$12,0,Settings!$B$12,1))&lt;Settings!$B$12,NA(),STDEV(OFFSET(G1273,1-Settings!$B$12,0,Settings!$B$12,1))*SQRT(Settings!$B$13)))</f>
        <v/>
      </c>
      <c r="L1273" s="18">
        <f>IF(AND(ISNUMBER(D1273),ISNUMBER(H1273)),D1273-H1273,NA())</f>
        <v/>
      </c>
      <c r="M1273" s="18">
        <f>IF(AND(ISNUMBER(E1273),ISNUMBER(K1273)),E1273-K1273,NA())</f>
        <v/>
      </c>
      <c r="N1273" s="18">
        <f>IF(NOT(ISNUMBER($A1273)),NA(),IF(COUNT(OFFSET(G1273,1,0,Settings!$B$12,1))&lt;Settings!$B$12,NA(),STDEV(OFFSET(G1273,1,0,Settings!$B$12,1))*SQRT(Settings!$B$13)))</f>
        <v/>
      </c>
      <c r="O1273" s="18">
        <f>IF(AND(ISNUMBER(E1273),ISNUMBER(N1273)),E1273-N1273,NA())</f>
        <v/>
      </c>
      <c r="P1273" s="17">
        <f>IF(NOT(ISNUMBER($A1273)),NA(),IF(OR($A1273&lt;MIN(KW_TP!$A$2:$A$2501),$A1273&gt;MAX(KW_TP!$A$2:$A$2501)),NA(),INDEX(KW_TP!$C$2:$C$2501,MATCH($A1273,KW_TP!$A$2:$A$2501,1))))</f>
        <v/>
      </c>
    </row>
    <row r="1274">
      <c r="A1274" s="15">
        <f>IF(ISNUMBER(BBG_Data!A1274),BBG_Data!A1274,"")</f>
        <v/>
      </c>
      <c r="B1274" s="16">
        <f>IF(AND(ISNUMBER($A1274),ISNUMBER(BBG_Data!B1274)),BBG_Data!B1274,NA())</f>
        <v/>
      </c>
      <c r="C1274" s="16">
        <f>IF(AND(ISNUMBER($A1274),ISNUMBER(BBG_Data!C1274)),BBG_Data!C1274,NA())</f>
        <v/>
      </c>
      <c r="D1274" s="17">
        <f>IF(AND(ISNUMBER($A1274),ISNUMBER(BBG_Data!D1274)),BBG_Data!D1274,NA())</f>
        <v/>
      </c>
      <c r="E1274" s="17">
        <f>IF(AND(ISNUMBER($A1274),ISNUMBER(BBG_Data!E1274)),BBG_Data!E1274,NA())</f>
        <v/>
      </c>
      <c r="F1274" s="18">
        <f>IF(AND(ISNUMBER(B1274),ISNUMBER(B1273)),(B1274-B1273)*100,"")</f>
        <v/>
      </c>
      <c r="G1274" s="18">
        <f>IF(AND(ISNUMBER(C1274),ISNUMBER(C1273)),(C1274-C1273)*100,"")</f>
        <v/>
      </c>
      <c r="H1274" s="18">
        <f>IF(OR(NOT(ISNUMBER($A1274)),ROW()-2&lt;Settings!$B$11),NA(),IF(COUNT(OFFSET(F1274,1-Settings!$B$11,0,Settings!$B$11,1))&lt;Settings!$B$11,NA(),STDEV(OFFSET(F1274,1-Settings!$B$11,0,Settings!$B$11,1))*SQRT(Settings!$B$13)))</f>
        <v/>
      </c>
      <c r="I1274" s="18">
        <f>IF(OR(NOT(ISNUMBER($A1274)),ROW()-2&lt;Settings!$B$12),NA(),IF(COUNT(OFFSET(F1274,1-Settings!$B$12,0,Settings!$B$12,1))&lt;Settings!$B$12,NA(),STDEV(OFFSET(F1274,1-Settings!$B$12,0,Settings!$B$12,1))*SQRT(Settings!$B$13)))</f>
        <v/>
      </c>
      <c r="J1274" s="18">
        <f>IF(OR(NOT(ISNUMBER($A1274)),ROW()-2&lt;Settings!$B$11),NA(),IF(COUNT(OFFSET(G1274,1-Settings!$B$11,0,Settings!$B$11,1))&lt;Settings!$B$11,NA(),STDEV(OFFSET(G1274,1-Settings!$B$11,0,Settings!$B$11,1))*SQRT(Settings!$B$13)))</f>
        <v/>
      </c>
      <c r="K1274" s="18">
        <f>IF(OR(NOT(ISNUMBER($A1274)),ROW()-2&lt;Settings!$B$12),NA(),IF(COUNT(OFFSET(G1274,1-Settings!$B$12,0,Settings!$B$12,1))&lt;Settings!$B$12,NA(),STDEV(OFFSET(G1274,1-Settings!$B$12,0,Settings!$B$12,1))*SQRT(Settings!$B$13)))</f>
        <v/>
      </c>
      <c r="L1274" s="18">
        <f>IF(AND(ISNUMBER(D1274),ISNUMBER(H1274)),D1274-H1274,NA())</f>
        <v/>
      </c>
      <c r="M1274" s="18">
        <f>IF(AND(ISNUMBER(E1274),ISNUMBER(K1274)),E1274-K1274,NA())</f>
        <v/>
      </c>
      <c r="N1274" s="18">
        <f>IF(NOT(ISNUMBER($A1274)),NA(),IF(COUNT(OFFSET(G1274,1,0,Settings!$B$12,1))&lt;Settings!$B$12,NA(),STDEV(OFFSET(G1274,1,0,Settings!$B$12,1))*SQRT(Settings!$B$13)))</f>
        <v/>
      </c>
      <c r="O1274" s="18">
        <f>IF(AND(ISNUMBER(E1274),ISNUMBER(N1274)),E1274-N1274,NA())</f>
        <v/>
      </c>
      <c r="P1274" s="17">
        <f>IF(NOT(ISNUMBER($A1274)),NA(),IF(OR($A1274&lt;MIN(KW_TP!$A$2:$A$2501),$A1274&gt;MAX(KW_TP!$A$2:$A$2501)),NA(),INDEX(KW_TP!$C$2:$C$2501,MATCH($A1274,KW_TP!$A$2:$A$2501,1))))</f>
        <v/>
      </c>
    </row>
    <row r="1275">
      <c r="A1275" s="15">
        <f>IF(ISNUMBER(BBG_Data!A1275),BBG_Data!A1275,"")</f>
        <v/>
      </c>
      <c r="B1275" s="16">
        <f>IF(AND(ISNUMBER($A1275),ISNUMBER(BBG_Data!B1275)),BBG_Data!B1275,NA())</f>
        <v/>
      </c>
      <c r="C1275" s="16">
        <f>IF(AND(ISNUMBER($A1275),ISNUMBER(BBG_Data!C1275)),BBG_Data!C1275,NA())</f>
        <v/>
      </c>
      <c r="D1275" s="17">
        <f>IF(AND(ISNUMBER($A1275),ISNUMBER(BBG_Data!D1275)),BBG_Data!D1275,NA())</f>
        <v/>
      </c>
      <c r="E1275" s="17">
        <f>IF(AND(ISNUMBER($A1275),ISNUMBER(BBG_Data!E1275)),BBG_Data!E1275,NA())</f>
        <v/>
      </c>
      <c r="F1275" s="18">
        <f>IF(AND(ISNUMBER(B1275),ISNUMBER(B1274)),(B1275-B1274)*100,"")</f>
        <v/>
      </c>
      <c r="G1275" s="18">
        <f>IF(AND(ISNUMBER(C1275),ISNUMBER(C1274)),(C1275-C1274)*100,"")</f>
        <v/>
      </c>
      <c r="H1275" s="18">
        <f>IF(OR(NOT(ISNUMBER($A1275)),ROW()-2&lt;Settings!$B$11),NA(),IF(COUNT(OFFSET(F1275,1-Settings!$B$11,0,Settings!$B$11,1))&lt;Settings!$B$11,NA(),STDEV(OFFSET(F1275,1-Settings!$B$11,0,Settings!$B$11,1))*SQRT(Settings!$B$13)))</f>
        <v/>
      </c>
      <c r="I1275" s="18">
        <f>IF(OR(NOT(ISNUMBER($A1275)),ROW()-2&lt;Settings!$B$12),NA(),IF(COUNT(OFFSET(F1275,1-Settings!$B$12,0,Settings!$B$12,1))&lt;Settings!$B$12,NA(),STDEV(OFFSET(F1275,1-Settings!$B$12,0,Settings!$B$12,1))*SQRT(Settings!$B$13)))</f>
        <v/>
      </c>
      <c r="J1275" s="18">
        <f>IF(OR(NOT(ISNUMBER($A1275)),ROW()-2&lt;Settings!$B$11),NA(),IF(COUNT(OFFSET(G1275,1-Settings!$B$11,0,Settings!$B$11,1))&lt;Settings!$B$11,NA(),STDEV(OFFSET(G1275,1-Settings!$B$11,0,Settings!$B$11,1))*SQRT(Settings!$B$13)))</f>
        <v/>
      </c>
      <c r="K1275" s="18">
        <f>IF(OR(NOT(ISNUMBER($A1275)),ROW()-2&lt;Settings!$B$12),NA(),IF(COUNT(OFFSET(G1275,1-Settings!$B$12,0,Settings!$B$12,1))&lt;Settings!$B$12,NA(),STDEV(OFFSET(G1275,1-Settings!$B$12,0,Settings!$B$12,1))*SQRT(Settings!$B$13)))</f>
        <v/>
      </c>
      <c r="L1275" s="18">
        <f>IF(AND(ISNUMBER(D1275),ISNUMBER(H1275)),D1275-H1275,NA())</f>
        <v/>
      </c>
      <c r="M1275" s="18">
        <f>IF(AND(ISNUMBER(E1275),ISNUMBER(K1275)),E1275-K1275,NA())</f>
        <v/>
      </c>
      <c r="N1275" s="18">
        <f>IF(NOT(ISNUMBER($A1275)),NA(),IF(COUNT(OFFSET(G1275,1,0,Settings!$B$12,1))&lt;Settings!$B$12,NA(),STDEV(OFFSET(G1275,1,0,Settings!$B$12,1))*SQRT(Settings!$B$13)))</f>
        <v/>
      </c>
      <c r="O1275" s="18">
        <f>IF(AND(ISNUMBER(E1275),ISNUMBER(N1275)),E1275-N1275,NA())</f>
        <v/>
      </c>
      <c r="P1275" s="17">
        <f>IF(NOT(ISNUMBER($A1275)),NA(),IF(OR($A1275&lt;MIN(KW_TP!$A$2:$A$2501),$A1275&gt;MAX(KW_TP!$A$2:$A$2501)),NA(),INDEX(KW_TP!$C$2:$C$2501,MATCH($A1275,KW_TP!$A$2:$A$2501,1))))</f>
        <v/>
      </c>
    </row>
    <row r="1276">
      <c r="A1276" s="15">
        <f>IF(ISNUMBER(BBG_Data!A1276),BBG_Data!A1276,"")</f>
        <v/>
      </c>
      <c r="B1276" s="16">
        <f>IF(AND(ISNUMBER($A1276),ISNUMBER(BBG_Data!B1276)),BBG_Data!B1276,NA())</f>
        <v/>
      </c>
      <c r="C1276" s="16">
        <f>IF(AND(ISNUMBER($A1276),ISNUMBER(BBG_Data!C1276)),BBG_Data!C1276,NA())</f>
        <v/>
      </c>
      <c r="D1276" s="17">
        <f>IF(AND(ISNUMBER($A1276),ISNUMBER(BBG_Data!D1276)),BBG_Data!D1276,NA())</f>
        <v/>
      </c>
      <c r="E1276" s="17">
        <f>IF(AND(ISNUMBER($A1276),ISNUMBER(BBG_Data!E1276)),BBG_Data!E1276,NA())</f>
        <v/>
      </c>
      <c r="F1276" s="18">
        <f>IF(AND(ISNUMBER(B1276),ISNUMBER(B1275)),(B1276-B1275)*100,"")</f>
        <v/>
      </c>
      <c r="G1276" s="18">
        <f>IF(AND(ISNUMBER(C1276),ISNUMBER(C1275)),(C1276-C1275)*100,"")</f>
        <v/>
      </c>
      <c r="H1276" s="18">
        <f>IF(OR(NOT(ISNUMBER($A1276)),ROW()-2&lt;Settings!$B$11),NA(),IF(COUNT(OFFSET(F1276,1-Settings!$B$11,0,Settings!$B$11,1))&lt;Settings!$B$11,NA(),STDEV(OFFSET(F1276,1-Settings!$B$11,0,Settings!$B$11,1))*SQRT(Settings!$B$13)))</f>
        <v/>
      </c>
      <c r="I1276" s="18">
        <f>IF(OR(NOT(ISNUMBER($A1276)),ROW()-2&lt;Settings!$B$12),NA(),IF(COUNT(OFFSET(F1276,1-Settings!$B$12,0,Settings!$B$12,1))&lt;Settings!$B$12,NA(),STDEV(OFFSET(F1276,1-Settings!$B$12,0,Settings!$B$12,1))*SQRT(Settings!$B$13)))</f>
        <v/>
      </c>
      <c r="J1276" s="18">
        <f>IF(OR(NOT(ISNUMBER($A1276)),ROW()-2&lt;Settings!$B$11),NA(),IF(COUNT(OFFSET(G1276,1-Settings!$B$11,0,Settings!$B$11,1))&lt;Settings!$B$11,NA(),STDEV(OFFSET(G1276,1-Settings!$B$11,0,Settings!$B$11,1))*SQRT(Settings!$B$13)))</f>
        <v/>
      </c>
      <c r="K1276" s="18">
        <f>IF(OR(NOT(ISNUMBER($A1276)),ROW()-2&lt;Settings!$B$12),NA(),IF(COUNT(OFFSET(G1276,1-Settings!$B$12,0,Settings!$B$12,1))&lt;Settings!$B$12,NA(),STDEV(OFFSET(G1276,1-Settings!$B$12,0,Settings!$B$12,1))*SQRT(Settings!$B$13)))</f>
        <v/>
      </c>
      <c r="L1276" s="18">
        <f>IF(AND(ISNUMBER(D1276),ISNUMBER(H1276)),D1276-H1276,NA())</f>
        <v/>
      </c>
      <c r="M1276" s="18">
        <f>IF(AND(ISNUMBER(E1276),ISNUMBER(K1276)),E1276-K1276,NA())</f>
        <v/>
      </c>
      <c r="N1276" s="18">
        <f>IF(NOT(ISNUMBER($A1276)),NA(),IF(COUNT(OFFSET(G1276,1,0,Settings!$B$12,1))&lt;Settings!$B$12,NA(),STDEV(OFFSET(G1276,1,0,Settings!$B$12,1))*SQRT(Settings!$B$13)))</f>
        <v/>
      </c>
      <c r="O1276" s="18">
        <f>IF(AND(ISNUMBER(E1276),ISNUMBER(N1276)),E1276-N1276,NA())</f>
        <v/>
      </c>
      <c r="P1276" s="17">
        <f>IF(NOT(ISNUMBER($A1276)),NA(),IF(OR($A1276&lt;MIN(KW_TP!$A$2:$A$2501),$A1276&gt;MAX(KW_TP!$A$2:$A$2501)),NA(),INDEX(KW_TP!$C$2:$C$2501,MATCH($A1276,KW_TP!$A$2:$A$2501,1))))</f>
        <v/>
      </c>
    </row>
    <row r="1277">
      <c r="A1277" s="15">
        <f>IF(ISNUMBER(BBG_Data!A1277),BBG_Data!A1277,"")</f>
        <v/>
      </c>
      <c r="B1277" s="16">
        <f>IF(AND(ISNUMBER($A1277),ISNUMBER(BBG_Data!B1277)),BBG_Data!B1277,NA())</f>
        <v/>
      </c>
      <c r="C1277" s="16">
        <f>IF(AND(ISNUMBER($A1277),ISNUMBER(BBG_Data!C1277)),BBG_Data!C1277,NA())</f>
        <v/>
      </c>
      <c r="D1277" s="17">
        <f>IF(AND(ISNUMBER($A1277),ISNUMBER(BBG_Data!D1277)),BBG_Data!D1277,NA())</f>
        <v/>
      </c>
      <c r="E1277" s="17">
        <f>IF(AND(ISNUMBER($A1277),ISNUMBER(BBG_Data!E1277)),BBG_Data!E1277,NA())</f>
        <v/>
      </c>
      <c r="F1277" s="18">
        <f>IF(AND(ISNUMBER(B1277),ISNUMBER(B1276)),(B1277-B1276)*100,"")</f>
        <v/>
      </c>
      <c r="G1277" s="18">
        <f>IF(AND(ISNUMBER(C1277),ISNUMBER(C1276)),(C1277-C1276)*100,"")</f>
        <v/>
      </c>
      <c r="H1277" s="18">
        <f>IF(OR(NOT(ISNUMBER($A1277)),ROW()-2&lt;Settings!$B$11),NA(),IF(COUNT(OFFSET(F1277,1-Settings!$B$11,0,Settings!$B$11,1))&lt;Settings!$B$11,NA(),STDEV(OFFSET(F1277,1-Settings!$B$11,0,Settings!$B$11,1))*SQRT(Settings!$B$13)))</f>
        <v/>
      </c>
      <c r="I1277" s="18">
        <f>IF(OR(NOT(ISNUMBER($A1277)),ROW()-2&lt;Settings!$B$12),NA(),IF(COUNT(OFFSET(F1277,1-Settings!$B$12,0,Settings!$B$12,1))&lt;Settings!$B$12,NA(),STDEV(OFFSET(F1277,1-Settings!$B$12,0,Settings!$B$12,1))*SQRT(Settings!$B$13)))</f>
        <v/>
      </c>
      <c r="J1277" s="18">
        <f>IF(OR(NOT(ISNUMBER($A1277)),ROW()-2&lt;Settings!$B$11),NA(),IF(COUNT(OFFSET(G1277,1-Settings!$B$11,0,Settings!$B$11,1))&lt;Settings!$B$11,NA(),STDEV(OFFSET(G1277,1-Settings!$B$11,0,Settings!$B$11,1))*SQRT(Settings!$B$13)))</f>
        <v/>
      </c>
      <c r="K1277" s="18">
        <f>IF(OR(NOT(ISNUMBER($A1277)),ROW()-2&lt;Settings!$B$12),NA(),IF(COUNT(OFFSET(G1277,1-Settings!$B$12,0,Settings!$B$12,1))&lt;Settings!$B$12,NA(),STDEV(OFFSET(G1277,1-Settings!$B$12,0,Settings!$B$12,1))*SQRT(Settings!$B$13)))</f>
        <v/>
      </c>
      <c r="L1277" s="18">
        <f>IF(AND(ISNUMBER(D1277),ISNUMBER(H1277)),D1277-H1277,NA())</f>
        <v/>
      </c>
      <c r="M1277" s="18">
        <f>IF(AND(ISNUMBER(E1277),ISNUMBER(K1277)),E1277-K1277,NA())</f>
        <v/>
      </c>
      <c r="N1277" s="18">
        <f>IF(NOT(ISNUMBER($A1277)),NA(),IF(COUNT(OFFSET(G1277,1,0,Settings!$B$12,1))&lt;Settings!$B$12,NA(),STDEV(OFFSET(G1277,1,0,Settings!$B$12,1))*SQRT(Settings!$B$13)))</f>
        <v/>
      </c>
      <c r="O1277" s="18">
        <f>IF(AND(ISNUMBER(E1277),ISNUMBER(N1277)),E1277-N1277,NA())</f>
        <v/>
      </c>
      <c r="P1277" s="17">
        <f>IF(NOT(ISNUMBER($A1277)),NA(),IF(OR($A1277&lt;MIN(KW_TP!$A$2:$A$2501),$A1277&gt;MAX(KW_TP!$A$2:$A$2501)),NA(),INDEX(KW_TP!$C$2:$C$2501,MATCH($A1277,KW_TP!$A$2:$A$2501,1))))</f>
        <v/>
      </c>
    </row>
    <row r="1278">
      <c r="A1278" s="15">
        <f>IF(ISNUMBER(BBG_Data!A1278),BBG_Data!A1278,"")</f>
        <v/>
      </c>
      <c r="B1278" s="16">
        <f>IF(AND(ISNUMBER($A1278),ISNUMBER(BBG_Data!B1278)),BBG_Data!B1278,NA())</f>
        <v/>
      </c>
      <c r="C1278" s="16">
        <f>IF(AND(ISNUMBER($A1278),ISNUMBER(BBG_Data!C1278)),BBG_Data!C1278,NA())</f>
        <v/>
      </c>
      <c r="D1278" s="17">
        <f>IF(AND(ISNUMBER($A1278),ISNUMBER(BBG_Data!D1278)),BBG_Data!D1278,NA())</f>
        <v/>
      </c>
      <c r="E1278" s="17">
        <f>IF(AND(ISNUMBER($A1278),ISNUMBER(BBG_Data!E1278)),BBG_Data!E1278,NA())</f>
        <v/>
      </c>
      <c r="F1278" s="18">
        <f>IF(AND(ISNUMBER(B1278),ISNUMBER(B1277)),(B1278-B1277)*100,"")</f>
        <v/>
      </c>
      <c r="G1278" s="18">
        <f>IF(AND(ISNUMBER(C1278),ISNUMBER(C1277)),(C1278-C1277)*100,"")</f>
        <v/>
      </c>
      <c r="H1278" s="18">
        <f>IF(OR(NOT(ISNUMBER($A1278)),ROW()-2&lt;Settings!$B$11),NA(),IF(COUNT(OFFSET(F1278,1-Settings!$B$11,0,Settings!$B$11,1))&lt;Settings!$B$11,NA(),STDEV(OFFSET(F1278,1-Settings!$B$11,0,Settings!$B$11,1))*SQRT(Settings!$B$13)))</f>
        <v/>
      </c>
      <c r="I1278" s="18">
        <f>IF(OR(NOT(ISNUMBER($A1278)),ROW()-2&lt;Settings!$B$12),NA(),IF(COUNT(OFFSET(F1278,1-Settings!$B$12,0,Settings!$B$12,1))&lt;Settings!$B$12,NA(),STDEV(OFFSET(F1278,1-Settings!$B$12,0,Settings!$B$12,1))*SQRT(Settings!$B$13)))</f>
        <v/>
      </c>
      <c r="J1278" s="18">
        <f>IF(OR(NOT(ISNUMBER($A1278)),ROW()-2&lt;Settings!$B$11),NA(),IF(COUNT(OFFSET(G1278,1-Settings!$B$11,0,Settings!$B$11,1))&lt;Settings!$B$11,NA(),STDEV(OFFSET(G1278,1-Settings!$B$11,0,Settings!$B$11,1))*SQRT(Settings!$B$13)))</f>
        <v/>
      </c>
      <c r="K1278" s="18">
        <f>IF(OR(NOT(ISNUMBER($A1278)),ROW()-2&lt;Settings!$B$12),NA(),IF(COUNT(OFFSET(G1278,1-Settings!$B$12,0,Settings!$B$12,1))&lt;Settings!$B$12,NA(),STDEV(OFFSET(G1278,1-Settings!$B$12,0,Settings!$B$12,1))*SQRT(Settings!$B$13)))</f>
        <v/>
      </c>
      <c r="L1278" s="18">
        <f>IF(AND(ISNUMBER(D1278),ISNUMBER(H1278)),D1278-H1278,NA())</f>
        <v/>
      </c>
      <c r="M1278" s="18">
        <f>IF(AND(ISNUMBER(E1278),ISNUMBER(K1278)),E1278-K1278,NA())</f>
        <v/>
      </c>
      <c r="N1278" s="18">
        <f>IF(NOT(ISNUMBER($A1278)),NA(),IF(COUNT(OFFSET(G1278,1,0,Settings!$B$12,1))&lt;Settings!$B$12,NA(),STDEV(OFFSET(G1278,1,0,Settings!$B$12,1))*SQRT(Settings!$B$13)))</f>
        <v/>
      </c>
      <c r="O1278" s="18">
        <f>IF(AND(ISNUMBER(E1278),ISNUMBER(N1278)),E1278-N1278,NA())</f>
        <v/>
      </c>
      <c r="P1278" s="17">
        <f>IF(NOT(ISNUMBER($A1278)),NA(),IF(OR($A1278&lt;MIN(KW_TP!$A$2:$A$2501),$A1278&gt;MAX(KW_TP!$A$2:$A$2501)),NA(),INDEX(KW_TP!$C$2:$C$2501,MATCH($A1278,KW_TP!$A$2:$A$2501,1))))</f>
        <v/>
      </c>
    </row>
    <row r="1279">
      <c r="A1279" s="15">
        <f>IF(ISNUMBER(BBG_Data!A1279),BBG_Data!A1279,"")</f>
        <v/>
      </c>
      <c r="B1279" s="16">
        <f>IF(AND(ISNUMBER($A1279),ISNUMBER(BBG_Data!B1279)),BBG_Data!B1279,NA())</f>
        <v/>
      </c>
      <c r="C1279" s="16">
        <f>IF(AND(ISNUMBER($A1279),ISNUMBER(BBG_Data!C1279)),BBG_Data!C1279,NA())</f>
        <v/>
      </c>
      <c r="D1279" s="17">
        <f>IF(AND(ISNUMBER($A1279),ISNUMBER(BBG_Data!D1279)),BBG_Data!D1279,NA())</f>
        <v/>
      </c>
      <c r="E1279" s="17">
        <f>IF(AND(ISNUMBER($A1279),ISNUMBER(BBG_Data!E1279)),BBG_Data!E1279,NA())</f>
        <v/>
      </c>
      <c r="F1279" s="18">
        <f>IF(AND(ISNUMBER(B1279),ISNUMBER(B1278)),(B1279-B1278)*100,"")</f>
        <v/>
      </c>
      <c r="G1279" s="18">
        <f>IF(AND(ISNUMBER(C1279),ISNUMBER(C1278)),(C1279-C1278)*100,"")</f>
        <v/>
      </c>
      <c r="H1279" s="18">
        <f>IF(OR(NOT(ISNUMBER($A1279)),ROW()-2&lt;Settings!$B$11),NA(),IF(COUNT(OFFSET(F1279,1-Settings!$B$11,0,Settings!$B$11,1))&lt;Settings!$B$11,NA(),STDEV(OFFSET(F1279,1-Settings!$B$11,0,Settings!$B$11,1))*SQRT(Settings!$B$13)))</f>
        <v/>
      </c>
      <c r="I1279" s="18">
        <f>IF(OR(NOT(ISNUMBER($A1279)),ROW()-2&lt;Settings!$B$12),NA(),IF(COUNT(OFFSET(F1279,1-Settings!$B$12,0,Settings!$B$12,1))&lt;Settings!$B$12,NA(),STDEV(OFFSET(F1279,1-Settings!$B$12,0,Settings!$B$12,1))*SQRT(Settings!$B$13)))</f>
        <v/>
      </c>
      <c r="J1279" s="18">
        <f>IF(OR(NOT(ISNUMBER($A1279)),ROW()-2&lt;Settings!$B$11),NA(),IF(COUNT(OFFSET(G1279,1-Settings!$B$11,0,Settings!$B$11,1))&lt;Settings!$B$11,NA(),STDEV(OFFSET(G1279,1-Settings!$B$11,0,Settings!$B$11,1))*SQRT(Settings!$B$13)))</f>
        <v/>
      </c>
      <c r="K1279" s="18">
        <f>IF(OR(NOT(ISNUMBER($A1279)),ROW()-2&lt;Settings!$B$12),NA(),IF(COUNT(OFFSET(G1279,1-Settings!$B$12,0,Settings!$B$12,1))&lt;Settings!$B$12,NA(),STDEV(OFFSET(G1279,1-Settings!$B$12,0,Settings!$B$12,1))*SQRT(Settings!$B$13)))</f>
        <v/>
      </c>
      <c r="L1279" s="18">
        <f>IF(AND(ISNUMBER(D1279),ISNUMBER(H1279)),D1279-H1279,NA())</f>
        <v/>
      </c>
      <c r="M1279" s="18">
        <f>IF(AND(ISNUMBER(E1279),ISNUMBER(K1279)),E1279-K1279,NA())</f>
        <v/>
      </c>
      <c r="N1279" s="18">
        <f>IF(NOT(ISNUMBER($A1279)),NA(),IF(COUNT(OFFSET(G1279,1,0,Settings!$B$12,1))&lt;Settings!$B$12,NA(),STDEV(OFFSET(G1279,1,0,Settings!$B$12,1))*SQRT(Settings!$B$13)))</f>
        <v/>
      </c>
      <c r="O1279" s="18">
        <f>IF(AND(ISNUMBER(E1279),ISNUMBER(N1279)),E1279-N1279,NA())</f>
        <v/>
      </c>
      <c r="P1279" s="17">
        <f>IF(NOT(ISNUMBER($A1279)),NA(),IF(OR($A1279&lt;MIN(KW_TP!$A$2:$A$2501),$A1279&gt;MAX(KW_TP!$A$2:$A$2501)),NA(),INDEX(KW_TP!$C$2:$C$2501,MATCH($A1279,KW_TP!$A$2:$A$2501,1))))</f>
        <v/>
      </c>
    </row>
    <row r="1280">
      <c r="A1280" s="15">
        <f>IF(ISNUMBER(BBG_Data!A1280),BBG_Data!A1280,"")</f>
        <v/>
      </c>
      <c r="B1280" s="16">
        <f>IF(AND(ISNUMBER($A1280),ISNUMBER(BBG_Data!B1280)),BBG_Data!B1280,NA())</f>
        <v/>
      </c>
      <c r="C1280" s="16">
        <f>IF(AND(ISNUMBER($A1280),ISNUMBER(BBG_Data!C1280)),BBG_Data!C1280,NA())</f>
        <v/>
      </c>
      <c r="D1280" s="17">
        <f>IF(AND(ISNUMBER($A1280),ISNUMBER(BBG_Data!D1280)),BBG_Data!D1280,NA())</f>
        <v/>
      </c>
      <c r="E1280" s="17">
        <f>IF(AND(ISNUMBER($A1280),ISNUMBER(BBG_Data!E1280)),BBG_Data!E1280,NA())</f>
        <v/>
      </c>
      <c r="F1280" s="18">
        <f>IF(AND(ISNUMBER(B1280),ISNUMBER(B1279)),(B1280-B1279)*100,"")</f>
        <v/>
      </c>
      <c r="G1280" s="18">
        <f>IF(AND(ISNUMBER(C1280),ISNUMBER(C1279)),(C1280-C1279)*100,"")</f>
        <v/>
      </c>
      <c r="H1280" s="18">
        <f>IF(OR(NOT(ISNUMBER($A1280)),ROW()-2&lt;Settings!$B$11),NA(),IF(COUNT(OFFSET(F1280,1-Settings!$B$11,0,Settings!$B$11,1))&lt;Settings!$B$11,NA(),STDEV(OFFSET(F1280,1-Settings!$B$11,0,Settings!$B$11,1))*SQRT(Settings!$B$13)))</f>
        <v/>
      </c>
      <c r="I1280" s="18">
        <f>IF(OR(NOT(ISNUMBER($A1280)),ROW()-2&lt;Settings!$B$12),NA(),IF(COUNT(OFFSET(F1280,1-Settings!$B$12,0,Settings!$B$12,1))&lt;Settings!$B$12,NA(),STDEV(OFFSET(F1280,1-Settings!$B$12,0,Settings!$B$12,1))*SQRT(Settings!$B$13)))</f>
        <v/>
      </c>
      <c r="J1280" s="18">
        <f>IF(OR(NOT(ISNUMBER($A1280)),ROW()-2&lt;Settings!$B$11),NA(),IF(COUNT(OFFSET(G1280,1-Settings!$B$11,0,Settings!$B$11,1))&lt;Settings!$B$11,NA(),STDEV(OFFSET(G1280,1-Settings!$B$11,0,Settings!$B$11,1))*SQRT(Settings!$B$13)))</f>
        <v/>
      </c>
      <c r="K1280" s="18">
        <f>IF(OR(NOT(ISNUMBER($A1280)),ROW()-2&lt;Settings!$B$12),NA(),IF(COUNT(OFFSET(G1280,1-Settings!$B$12,0,Settings!$B$12,1))&lt;Settings!$B$12,NA(),STDEV(OFFSET(G1280,1-Settings!$B$12,0,Settings!$B$12,1))*SQRT(Settings!$B$13)))</f>
        <v/>
      </c>
      <c r="L1280" s="18">
        <f>IF(AND(ISNUMBER(D1280),ISNUMBER(H1280)),D1280-H1280,NA())</f>
        <v/>
      </c>
      <c r="M1280" s="18">
        <f>IF(AND(ISNUMBER(E1280),ISNUMBER(K1280)),E1280-K1280,NA())</f>
        <v/>
      </c>
      <c r="N1280" s="18">
        <f>IF(NOT(ISNUMBER($A1280)),NA(),IF(COUNT(OFFSET(G1280,1,0,Settings!$B$12,1))&lt;Settings!$B$12,NA(),STDEV(OFFSET(G1280,1,0,Settings!$B$12,1))*SQRT(Settings!$B$13)))</f>
        <v/>
      </c>
      <c r="O1280" s="18">
        <f>IF(AND(ISNUMBER(E1280),ISNUMBER(N1280)),E1280-N1280,NA())</f>
        <v/>
      </c>
      <c r="P1280" s="17">
        <f>IF(NOT(ISNUMBER($A1280)),NA(),IF(OR($A1280&lt;MIN(KW_TP!$A$2:$A$2501),$A1280&gt;MAX(KW_TP!$A$2:$A$2501)),NA(),INDEX(KW_TP!$C$2:$C$2501,MATCH($A1280,KW_TP!$A$2:$A$2501,1))))</f>
        <v/>
      </c>
    </row>
    <row r="1281">
      <c r="A1281" s="15">
        <f>IF(ISNUMBER(BBG_Data!A1281),BBG_Data!A1281,"")</f>
        <v/>
      </c>
      <c r="B1281" s="16">
        <f>IF(AND(ISNUMBER($A1281),ISNUMBER(BBG_Data!B1281)),BBG_Data!B1281,NA())</f>
        <v/>
      </c>
      <c r="C1281" s="16">
        <f>IF(AND(ISNUMBER($A1281),ISNUMBER(BBG_Data!C1281)),BBG_Data!C1281,NA())</f>
        <v/>
      </c>
      <c r="D1281" s="17">
        <f>IF(AND(ISNUMBER($A1281),ISNUMBER(BBG_Data!D1281)),BBG_Data!D1281,NA())</f>
        <v/>
      </c>
      <c r="E1281" s="17">
        <f>IF(AND(ISNUMBER($A1281),ISNUMBER(BBG_Data!E1281)),BBG_Data!E1281,NA())</f>
        <v/>
      </c>
      <c r="F1281" s="18">
        <f>IF(AND(ISNUMBER(B1281),ISNUMBER(B1280)),(B1281-B1280)*100,"")</f>
        <v/>
      </c>
      <c r="G1281" s="18">
        <f>IF(AND(ISNUMBER(C1281),ISNUMBER(C1280)),(C1281-C1280)*100,"")</f>
        <v/>
      </c>
      <c r="H1281" s="18">
        <f>IF(OR(NOT(ISNUMBER($A1281)),ROW()-2&lt;Settings!$B$11),NA(),IF(COUNT(OFFSET(F1281,1-Settings!$B$11,0,Settings!$B$11,1))&lt;Settings!$B$11,NA(),STDEV(OFFSET(F1281,1-Settings!$B$11,0,Settings!$B$11,1))*SQRT(Settings!$B$13)))</f>
        <v/>
      </c>
      <c r="I1281" s="18">
        <f>IF(OR(NOT(ISNUMBER($A1281)),ROW()-2&lt;Settings!$B$12),NA(),IF(COUNT(OFFSET(F1281,1-Settings!$B$12,0,Settings!$B$12,1))&lt;Settings!$B$12,NA(),STDEV(OFFSET(F1281,1-Settings!$B$12,0,Settings!$B$12,1))*SQRT(Settings!$B$13)))</f>
        <v/>
      </c>
      <c r="J1281" s="18">
        <f>IF(OR(NOT(ISNUMBER($A1281)),ROW()-2&lt;Settings!$B$11),NA(),IF(COUNT(OFFSET(G1281,1-Settings!$B$11,0,Settings!$B$11,1))&lt;Settings!$B$11,NA(),STDEV(OFFSET(G1281,1-Settings!$B$11,0,Settings!$B$11,1))*SQRT(Settings!$B$13)))</f>
        <v/>
      </c>
      <c r="K1281" s="18">
        <f>IF(OR(NOT(ISNUMBER($A1281)),ROW()-2&lt;Settings!$B$12),NA(),IF(COUNT(OFFSET(G1281,1-Settings!$B$12,0,Settings!$B$12,1))&lt;Settings!$B$12,NA(),STDEV(OFFSET(G1281,1-Settings!$B$12,0,Settings!$B$12,1))*SQRT(Settings!$B$13)))</f>
        <v/>
      </c>
      <c r="L1281" s="18">
        <f>IF(AND(ISNUMBER(D1281),ISNUMBER(H1281)),D1281-H1281,NA())</f>
        <v/>
      </c>
      <c r="M1281" s="18">
        <f>IF(AND(ISNUMBER(E1281),ISNUMBER(K1281)),E1281-K1281,NA())</f>
        <v/>
      </c>
      <c r="N1281" s="18">
        <f>IF(NOT(ISNUMBER($A1281)),NA(),IF(COUNT(OFFSET(G1281,1,0,Settings!$B$12,1))&lt;Settings!$B$12,NA(),STDEV(OFFSET(G1281,1,0,Settings!$B$12,1))*SQRT(Settings!$B$13)))</f>
        <v/>
      </c>
      <c r="O1281" s="18">
        <f>IF(AND(ISNUMBER(E1281),ISNUMBER(N1281)),E1281-N1281,NA())</f>
        <v/>
      </c>
      <c r="P1281" s="17">
        <f>IF(NOT(ISNUMBER($A1281)),NA(),IF(OR($A1281&lt;MIN(KW_TP!$A$2:$A$2501),$A1281&gt;MAX(KW_TP!$A$2:$A$2501)),NA(),INDEX(KW_TP!$C$2:$C$2501,MATCH($A1281,KW_TP!$A$2:$A$2501,1))))</f>
        <v/>
      </c>
    </row>
    <row r="1282">
      <c r="A1282" s="15">
        <f>IF(ISNUMBER(BBG_Data!A1282),BBG_Data!A1282,"")</f>
        <v/>
      </c>
      <c r="B1282" s="16">
        <f>IF(AND(ISNUMBER($A1282),ISNUMBER(BBG_Data!B1282)),BBG_Data!B1282,NA())</f>
        <v/>
      </c>
      <c r="C1282" s="16">
        <f>IF(AND(ISNUMBER($A1282),ISNUMBER(BBG_Data!C1282)),BBG_Data!C1282,NA())</f>
        <v/>
      </c>
      <c r="D1282" s="17">
        <f>IF(AND(ISNUMBER($A1282),ISNUMBER(BBG_Data!D1282)),BBG_Data!D1282,NA())</f>
        <v/>
      </c>
      <c r="E1282" s="17">
        <f>IF(AND(ISNUMBER($A1282),ISNUMBER(BBG_Data!E1282)),BBG_Data!E1282,NA())</f>
        <v/>
      </c>
      <c r="F1282" s="18">
        <f>IF(AND(ISNUMBER(B1282),ISNUMBER(B1281)),(B1282-B1281)*100,"")</f>
        <v/>
      </c>
      <c r="G1282" s="18">
        <f>IF(AND(ISNUMBER(C1282),ISNUMBER(C1281)),(C1282-C1281)*100,"")</f>
        <v/>
      </c>
      <c r="H1282" s="18">
        <f>IF(OR(NOT(ISNUMBER($A1282)),ROW()-2&lt;Settings!$B$11),NA(),IF(COUNT(OFFSET(F1282,1-Settings!$B$11,0,Settings!$B$11,1))&lt;Settings!$B$11,NA(),STDEV(OFFSET(F1282,1-Settings!$B$11,0,Settings!$B$11,1))*SQRT(Settings!$B$13)))</f>
        <v/>
      </c>
      <c r="I1282" s="18">
        <f>IF(OR(NOT(ISNUMBER($A1282)),ROW()-2&lt;Settings!$B$12),NA(),IF(COUNT(OFFSET(F1282,1-Settings!$B$12,0,Settings!$B$12,1))&lt;Settings!$B$12,NA(),STDEV(OFFSET(F1282,1-Settings!$B$12,0,Settings!$B$12,1))*SQRT(Settings!$B$13)))</f>
        <v/>
      </c>
      <c r="J1282" s="18">
        <f>IF(OR(NOT(ISNUMBER($A1282)),ROW()-2&lt;Settings!$B$11),NA(),IF(COUNT(OFFSET(G1282,1-Settings!$B$11,0,Settings!$B$11,1))&lt;Settings!$B$11,NA(),STDEV(OFFSET(G1282,1-Settings!$B$11,0,Settings!$B$11,1))*SQRT(Settings!$B$13)))</f>
        <v/>
      </c>
      <c r="K1282" s="18">
        <f>IF(OR(NOT(ISNUMBER($A1282)),ROW()-2&lt;Settings!$B$12),NA(),IF(COUNT(OFFSET(G1282,1-Settings!$B$12,0,Settings!$B$12,1))&lt;Settings!$B$12,NA(),STDEV(OFFSET(G1282,1-Settings!$B$12,0,Settings!$B$12,1))*SQRT(Settings!$B$13)))</f>
        <v/>
      </c>
      <c r="L1282" s="18">
        <f>IF(AND(ISNUMBER(D1282),ISNUMBER(H1282)),D1282-H1282,NA())</f>
        <v/>
      </c>
      <c r="M1282" s="18">
        <f>IF(AND(ISNUMBER(E1282),ISNUMBER(K1282)),E1282-K1282,NA())</f>
        <v/>
      </c>
      <c r="N1282" s="18">
        <f>IF(NOT(ISNUMBER($A1282)),NA(),IF(COUNT(OFFSET(G1282,1,0,Settings!$B$12,1))&lt;Settings!$B$12,NA(),STDEV(OFFSET(G1282,1,0,Settings!$B$12,1))*SQRT(Settings!$B$13)))</f>
        <v/>
      </c>
      <c r="O1282" s="18">
        <f>IF(AND(ISNUMBER(E1282),ISNUMBER(N1282)),E1282-N1282,NA())</f>
        <v/>
      </c>
      <c r="P1282" s="17">
        <f>IF(NOT(ISNUMBER($A1282)),NA(),IF(OR($A1282&lt;MIN(KW_TP!$A$2:$A$2501),$A1282&gt;MAX(KW_TP!$A$2:$A$2501)),NA(),INDEX(KW_TP!$C$2:$C$2501,MATCH($A1282,KW_TP!$A$2:$A$2501,1))))</f>
        <v/>
      </c>
    </row>
    <row r="1283">
      <c r="A1283" s="15">
        <f>IF(ISNUMBER(BBG_Data!A1283),BBG_Data!A1283,"")</f>
        <v/>
      </c>
      <c r="B1283" s="16">
        <f>IF(AND(ISNUMBER($A1283),ISNUMBER(BBG_Data!B1283)),BBG_Data!B1283,NA())</f>
        <v/>
      </c>
      <c r="C1283" s="16">
        <f>IF(AND(ISNUMBER($A1283),ISNUMBER(BBG_Data!C1283)),BBG_Data!C1283,NA())</f>
        <v/>
      </c>
      <c r="D1283" s="17">
        <f>IF(AND(ISNUMBER($A1283),ISNUMBER(BBG_Data!D1283)),BBG_Data!D1283,NA())</f>
        <v/>
      </c>
      <c r="E1283" s="17">
        <f>IF(AND(ISNUMBER($A1283),ISNUMBER(BBG_Data!E1283)),BBG_Data!E1283,NA())</f>
        <v/>
      </c>
      <c r="F1283" s="18">
        <f>IF(AND(ISNUMBER(B1283),ISNUMBER(B1282)),(B1283-B1282)*100,"")</f>
        <v/>
      </c>
      <c r="G1283" s="18">
        <f>IF(AND(ISNUMBER(C1283),ISNUMBER(C1282)),(C1283-C1282)*100,"")</f>
        <v/>
      </c>
      <c r="H1283" s="18">
        <f>IF(OR(NOT(ISNUMBER($A1283)),ROW()-2&lt;Settings!$B$11),NA(),IF(COUNT(OFFSET(F1283,1-Settings!$B$11,0,Settings!$B$11,1))&lt;Settings!$B$11,NA(),STDEV(OFFSET(F1283,1-Settings!$B$11,0,Settings!$B$11,1))*SQRT(Settings!$B$13)))</f>
        <v/>
      </c>
      <c r="I1283" s="18">
        <f>IF(OR(NOT(ISNUMBER($A1283)),ROW()-2&lt;Settings!$B$12),NA(),IF(COUNT(OFFSET(F1283,1-Settings!$B$12,0,Settings!$B$12,1))&lt;Settings!$B$12,NA(),STDEV(OFFSET(F1283,1-Settings!$B$12,0,Settings!$B$12,1))*SQRT(Settings!$B$13)))</f>
        <v/>
      </c>
      <c r="J1283" s="18">
        <f>IF(OR(NOT(ISNUMBER($A1283)),ROW()-2&lt;Settings!$B$11),NA(),IF(COUNT(OFFSET(G1283,1-Settings!$B$11,0,Settings!$B$11,1))&lt;Settings!$B$11,NA(),STDEV(OFFSET(G1283,1-Settings!$B$11,0,Settings!$B$11,1))*SQRT(Settings!$B$13)))</f>
        <v/>
      </c>
      <c r="K1283" s="18">
        <f>IF(OR(NOT(ISNUMBER($A1283)),ROW()-2&lt;Settings!$B$12),NA(),IF(COUNT(OFFSET(G1283,1-Settings!$B$12,0,Settings!$B$12,1))&lt;Settings!$B$12,NA(),STDEV(OFFSET(G1283,1-Settings!$B$12,0,Settings!$B$12,1))*SQRT(Settings!$B$13)))</f>
        <v/>
      </c>
      <c r="L1283" s="18">
        <f>IF(AND(ISNUMBER(D1283),ISNUMBER(H1283)),D1283-H1283,NA())</f>
        <v/>
      </c>
      <c r="M1283" s="18">
        <f>IF(AND(ISNUMBER(E1283),ISNUMBER(K1283)),E1283-K1283,NA())</f>
        <v/>
      </c>
      <c r="N1283" s="18">
        <f>IF(NOT(ISNUMBER($A1283)),NA(),IF(COUNT(OFFSET(G1283,1,0,Settings!$B$12,1))&lt;Settings!$B$12,NA(),STDEV(OFFSET(G1283,1,0,Settings!$B$12,1))*SQRT(Settings!$B$13)))</f>
        <v/>
      </c>
      <c r="O1283" s="18">
        <f>IF(AND(ISNUMBER(E1283),ISNUMBER(N1283)),E1283-N1283,NA())</f>
        <v/>
      </c>
      <c r="P1283" s="17">
        <f>IF(NOT(ISNUMBER($A1283)),NA(),IF(OR($A1283&lt;MIN(KW_TP!$A$2:$A$2501),$A1283&gt;MAX(KW_TP!$A$2:$A$2501)),NA(),INDEX(KW_TP!$C$2:$C$2501,MATCH($A1283,KW_TP!$A$2:$A$2501,1))))</f>
        <v/>
      </c>
    </row>
    <row r="1284">
      <c r="A1284" s="15">
        <f>IF(ISNUMBER(BBG_Data!A1284),BBG_Data!A1284,"")</f>
        <v/>
      </c>
      <c r="B1284" s="16">
        <f>IF(AND(ISNUMBER($A1284),ISNUMBER(BBG_Data!B1284)),BBG_Data!B1284,NA())</f>
        <v/>
      </c>
      <c r="C1284" s="16">
        <f>IF(AND(ISNUMBER($A1284),ISNUMBER(BBG_Data!C1284)),BBG_Data!C1284,NA())</f>
        <v/>
      </c>
      <c r="D1284" s="17">
        <f>IF(AND(ISNUMBER($A1284),ISNUMBER(BBG_Data!D1284)),BBG_Data!D1284,NA())</f>
        <v/>
      </c>
      <c r="E1284" s="17">
        <f>IF(AND(ISNUMBER($A1284),ISNUMBER(BBG_Data!E1284)),BBG_Data!E1284,NA())</f>
        <v/>
      </c>
      <c r="F1284" s="18">
        <f>IF(AND(ISNUMBER(B1284),ISNUMBER(B1283)),(B1284-B1283)*100,"")</f>
        <v/>
      </c>
      <c r="G1284" s="18">
        <f>IF(AND(ISNUMBER(C1284),ISNUMBER(C1283)),(C1284-C1283)*100,"")</f>
        <v/>
      </c>
      <c r="H1284" s="18">
        <f>IF(OR(NOT(ISNUMBER($A1284)),ROW()-2&lt;Settings!$B$11),NA(),IF(COUNT(OFFSET(F1284,1-Settings!$B$11,0,Settings!$B$11,1))&lt;Settings!$B$11,NA(),STDEV(OFFSET(F1284,1-Settings!$B$11,0,Settings!$B$11,1))*SQRT(Settings!$B$13)))</f>
        <v/>
      </c>
      <c r="I1284" s="18">
        <f>IF(OR(NOT(ISNUMBER($A1284)),ROW()-2&lt;Settings!$B$12),NA(),IF(COUNT(OFFSET(F1284,1-Settings!$B$12,0,Settings!$B$12,1))&lt;Settings!$B$12,NA(),STDEV(OFFSET(F1284,1-Settings!$B$12,0,Settings!$B$12,1))*SQRT(Settings!$B$13)))</f>
        <v/>
      </c>
      <c r="J1284" s="18">
        <f>IF(OR(NOT(ISNUMBER($A1284)),ROW()-2&lt;Settings!$B$11),NA(),IF(COUNT(OFFSET(G1284,1-Settings!$B$11,0,Settings!$B$11,1))&lt;Settings!$B$11,NA(),STDEV(OFFSET(G1284,1-Settings!$B$11,0,Settings!$B$11,1))*SQRT(Settings!$B$13)))</f>
        <v/>
      </c>
      <c r="K1284" s="18">
        <f>IF(OR(NOT(ISNUMBER($A1284)),ROW()-2&lt;Settings!$B$12),NA(),IF(COUNT(OFFSET(G1284,1-Settings!$B$12,0,Settings!$B$12,1))&lt;Settings!$B$12,NA(),STDEV(OFFSET(G1284,1-Settings!$B$12,0,Settings!$B$12,1))*SQRT(Settings!$B$13)))</f>
        <v/>
      </c>
      <c r="L1284" s="18">
        <f>IF(AND(ISNUMBER(D1284),ISNUMBER(H1284)),D1284-H1284,NA())</f>
        <v/>
      </c>
      <c r="M1284" s="18">
        <f>IF(AND(ISNUMBER(E1284),ISNUMBER(K1284)),E1284-K1284,NA())</f>
        <v/>
      </c>
      <c r="N1284" s="18">
        <f>IF(NOT(ISNUMBER($A1284)),NA(),IF(COUNT(OFFSET(G1284,1,0,Settings!$B$12,1))&lt;Settings!$B$12,NA(),STDEV(OFFSET(G1284,1,0,Settings!$B$12,1))*SQRT(Settings!$B$13)))</f>
        <v/>
      </c>
      <c r="O1284" s="18">
        <f>IF(AND(ISNUMBER(E1284),ISNUMBER(N1284)),E1284-N1284,NA())</f>
        <v/>
      </c>
      <c r="P1284" s="17">
        <f>IF(NOT(ISNUMBER($A1284)),NA(),IF(OR($A1284&lt;MIN(KW_TP!$A$2:$A$2501),$A1284&gt;MAX(KW_TP!$A$2:$A$2501)),NA(),INDEX(KW_TP!$C$2:$C$2501,MATCH($A1284,KW_TP!$A$2:$A$2501,1))))</f>
        <v/>
      </c>
    </row>
    <row r="1285">
      <c r="A1285" s="15">
        <f>IF(ISNUMBER(BBG_Data!A1285),BBG_Data!A1285,"")</f>
        <v/>
      </c>
      <c r="B1285" s="16">
        <f>IF(AND(ISNUMBER($A1285),ISNUMBER(BBG_Data!B1285)),BBG_Data!B1285,NA())</f>
        <v/>
      </c>
      <c r="C1285" s="16">
        <f>IF(AND(ISNUMBER($A1285),ISNUMBER(BBG_Data!C1285)),BBG_Data!C1285,NA())</f>
        <v/>
      </c>
      <c r="D1285" s="17">
        <f>IF(AND(ISNUMBER($A1285),ISNUMBER(BBG_Data!D1285)),BBG_Data!D1285,NA())</f>
        <v/>
      </c>
      <c r="E1285" s="17">
        <f>IF(AND(ISNUMBER($A1285),ISNUMBER(BBG_Data!E1285)),BBG_Data!E1285,NA())</f>
        <v/>
      </c>
      <c r="F1285" s="18">
        <f>IF(AND(ISNUMBER(B1285),ISNUMBER(B1284)),(B1285-B1284)*100,"")</f>
        <v/>
      </c>
      <c r="G1285" s="18">
        <f>IF(AND(ISNUMBER(C1285),ISNUMBER(C1284)),(C1285-C1284)*100,"")</f>
        <v/>
      </c>
      <c r="H1285" s="18">
        <f>IF(OR(NOT(ISNUMBER($A1285)),ROW()-2&lt;Settings!$B$11),NA(),IF(COUNT(OFFSET(F1285,1-Settings!$B$11,0,Settings!$B$11,1))&lt;Settings!$B$11,NA(),STDEV(OFFSET(F1285,1-Settings!$B$11,0,Settings!$B$11,1))*SQRT(Settings!$B$13)))</f>
        <v/>
      </c>
      <c r="I1285" s="18">
        <f>IF(OR(NOT(ISNUMBER($A1285)),ROW()-2&lt;Settings!$B$12),NA(),IF(COUNT(OFFSET(F1285,1-Settings!$B$12,0,Settings!$B$12,1))&lt;Settings!$B$12,NA(),STDEV(OFFSET(F1285,1-Settings!$B$12,0,Settings!$B$12,1))*SQRT(Settings!$B$13)))</f>
        <v/>
      </c>
      <c r="J1285" s="18">
        <f>IF(OR(NOT(ISNUMBER($A1285)),ROW()-2&lt;Settings!$B$11),NA(),IF(COUNT(OFFSET(G1285,1-Settings!$B$11,0,Settings!$B$11,1))&lt;Settings!$B$11,NA(),STDEV(OFFSET(G1285,1-Settings!$B$11,0,Settings!$B$11,1))*SQRT(Settings!$B$13)))</f>
        <v/>
      </c>
      <c r="K1285" s="18">
        <f>IF(OR(NOT(ISNUMBER($A1285)),ROW()-2&lt;Settings!$B$12),NA(),IF(COUNT(OFFSET(G1285,1-Settings!$B$12,0,Settings!$B$12,1))&lt;Settings!$B$12,NA(),STDEV(OFFSET(G1285,1-Settings!$B$12,0,Settings!$B$12,1))*SQRT(Settings!$B$13)))</f>
        <v/>
      </c>
      <c r="L1285" s="18">
        <f>IF(AND(ISNUMBER(D1285),ISNUMBER(H1285)),D1285-H1285,NA())</f>
        <v/>
      </c>
      <c r="M1285" s="18">
        <f>IF(AND(ISNUMBER(E1285),ISNUMBER(K1285)),E1285-K1285,NA())</f>
        <v/>
      </c>
      <c r="N1285" s="18">
        <f>IF(NOT(ISNUMBER($A1285)),NA(),IF(COUNT(OFFSET(G1285,1,0,Settings!$B$12,1))&lt;Settings!$B$12,NA(),STDEV(OFFSET(G1285,1,0,Settings!$B$12,1))*SQRT(Settings!$B$13)))</f>
        <v/>
      </c>
      <c r="O1285" s="18">
        <f>IF(AND(ISNUMBER(E1285),ISNUMBER(N1285)),E1285-N1285,NA())</f>
        <v/>
      </c>
      <c r="P1285" s="17">
        <f>IF(NOT(ISNUMBER($A1285)),NA(),IF(OR($A1285&lt;MIN(KW_TP!$A$2:$A$2501),$A1285&gt;MAX(KW_TP!$A$2:$A$2501)),NA(),INDEX(KW_TP!$C$2:$C$2501,MATCH($A1285,KW_TP!$A$2:$A$2501,1))))</f>
        <v/>
      </c>
    </row>
    <row r="1286">
      <c r="A1286" s="15">
        <f>IF(ISNUMBER(BBG_Data!A1286),BBG_Data!A1286,"")</f>
        <v/>
      </c>
      <c r="B1286" s="16">
        <f>IF(AND(ISNUMBER($A1286),ISNUMBER(BBG_Data!B1286)),BBG_Data!B1286,NA())</f>
        <v/>
      </c>
      <c r="C1286" s="16">
        <f>IF(AND(ISNUMBER($A1286),ISNUMBER(BBG_Data!C1286)),BBG_Data!C1286,NA())</f>
        <v/>
      </c>
      <c r="D1286" s="17">
        <f>IF(AND(ISNUMBER($A1286),ISNUMBER(BBG_Data!D1286)),BBG_Data!D1286,NA())</f>
        <v/>
      </c>
      <c r="E1286" s="17">
        <f>IF(AND(ISNUMBER($A1286),ISNUMBER(BBG_Data!E1286)),BBG_Data!E1286,NA())</f>
        <v/>
      </c>
      <c r="F1286" s="18">
        <f>IF(AND(ISNUMBER(B1286),ISNUMBER(B1285)),(B1286-B1285)*100,"")</f>
        <v/>
      </c>
      <c r="G1286" s="18">
        <f>IF(AND(ISNUMBER(C1286),ISNUMBER(C1285)),(C1286-C1285)*100,"")</f>
        <v/>
      </c>
      <c r="H1286" s="18">
        <f>IF(OR(NOT(ISNUMBER($A1286)),ROW()-2&lt;Settings!$B$11),NA(),IF(COUNT(OFFSET(F1286,1-Settings!$B$11,0,Settings!$B$11,1))&lt;Settings!$B$11,NA(),STDEV(OFFSET(F1286,1-Settings!$B$11,0,Settings!$B$11,1))*SQRT(Settings!$B$13)))</f>
        <v/>
      </c>
      <c r="I1286" s="18">
        <f>IF(OR(NOT(ISNUMBER($A1286)),ROW()-2&lt;Settings!$B$12),NA(),IF(COUNT(OFFSET(F1286,1-Settings!$B$12,0,Settings!$B$12,1))&lt;Settings!$B$12,NA(),STDEV(OFFSET(F1286,1-Settings!$B$12,0,Settings!$B$12,1))*SQRT(Settings!$B$13)))</f>
        <v/>
      </c>
      <c r="J1286" s="18">
        <f>IF(OR(NOT(ISNUMBER($A1286)),ROW()-2&lt;Settings!$B$11),NA(),IF(COUNT(OFFSET(G1286,1-Settings!$B$11,0,Settings!$B$11,1))&lt;Settings!$B$11,NA(),STDEV(OFFSET(G1286,1-Settings!$B$11,0,Settings!$B$11,1))*SQRT(Settings!$B$13)))</f>
        <v/>
      </c>
      <c r="K1286" s="18">
        <f>IF(OR(NOT(ISNUMBER($A1286)),ROW()-2&lt;Settings!$B$12),NA(),IF(COUNT(OFFSET(G1286,1-Settings!$B$12,0,Settings!$B$12,1))&lt;Settings!$B$12,NA(),STDEV(OFFSET(G1286,1-Settings!$B$12,0,Settings!$B$12,1))*SQRT(Settings!$B$13)))</f>
        <v/>
      </c>
      <c r="L1286" s="18">
        <f>IF(AND(ISNUMBER(D1286),ISNUMBER(H1286)),D1286-H1286,NA())</f>
        <v/>
      </c>
      <c r="M1286" s="18">
        <f>IF(AND(ISNUMBER(E1286),ISNUMBER(K1286)),E1286-K1286,NA())</f>
        <v/>
      </c>
      <c r="N1286" s="18">
        <f>IF(NOT(ISNUMBER($A1286)),NA(),IF(COUNT(OFFSET(G1286,1,0,Settings!$B$12,1))&lt;Settings!$B$12,NA(),STDEV(OFFSET(G1286,1,0,Settings!$B$12,1))*SQRT(Settings!$B$13)))</f>
        <v/>
      </c>
      <c r="O1286" s="18">
        <f>IF(AND(ISNUMBER(E1286),ISNUMBER(N1286)),E1286-N1286,NA())</f>
        <v/>
      </c>
      <c r="P1286" s="17">
        <f>IF(NOT(ISNUMBER($A1286)),NA(),IF(OR($A1286&lt;MIN(KW_TP!$A$2:$A$2501),$A1286&gt;MAX(KW_TP!$A$2:$A$2501)),NA(),INDEX(KW_TP!$C$2:$C$2501,MATCH($A1286,KW_TP!$A$2:$A$2501,1))))</f>
        <v/>
      </c>
    </row>
    <row r="1287">
      <c r="A1287" s="15">
        <f>IF(ISNUMBER(BBG_Data!A1287),BBG_Data!A1287,"")</f>
        <v/>
      </c>
      <c r="B1287" s="16">
        <f>IF(AND(ISNUMBER($A1287),ISNUMBER(BBG_Data!B1287)),BBG_Data!B1287,NA())</f>
        <v/>
      </c>
      <c r="C1287" s="16">
        <f>IF(AND(ISNUMBER($A1287),ISNUMBER(BBG_Data!C1287)),BBG_Data!C1287,NA())</f>
        <v/>
      </c>
      <c r="D1287" s="17">
        <f>IF(AND(ISNUMBER($A1287),ISNUMBER(BBG_Data!D1287)),BBG_Data!D1287,NA())</f>
        <v/>
      </c>
      <c r="E1287" s="17">
        <f>IF(AND(ISNUMBER($A1287),ISNUMBER(BBG_Data!E1287)),BBG_Data!E1287,NA())</f>
        <v/>
      </c>
      <c r="F1287" s="18">
        <f>IF(AND(ISNUMBER(B1287),ISNUMBER(B1286)),(B1287-B1286)*100,"")</f>
        <v/>
      </c>
      <c r="G1287" s="18">
        <f>IF(AND(ISNUMBER(C1287),ISNUMBER(C1286)),(C1287-C1286)*100,"")</f>
        <v/>
      </c>
      <c r="H1287" s="18">
        <f>IF(OR(NOT(ISNUMBER($A1287)),ROW()-2&lt;Settings!$B$11),NA(),IF(COUNT(OFFSET(F1287,1-Settings!$B$11,0,Settings!$B$11,1))&lt;Settings!$B$11,NA(),STDEV(OFFSET(F1287,1-Settings!$B$11,0,Settings!$B$11,1))*SQRT(Settings!$B$13)))</f>
        <v/>
      </c>
      <c r="I1287" s="18">
        <f>IF(OR(NOT(ISNUMBER($A1287)),ROW()-2&lt;Settings!$B$12),NA(),IF(COUNT(OFFSET(F1287,1-Settings!$B$12,0,Settings!$B$12,1))&lt;Settings!$B$12,NA(),STDEV(OFFSET(F1287,1-Settings!$B$12,0,Settings!$B$12,1))*SQRT(Settings!$B$13)))</f>
        <v/>
      </c>
      <c r="J1287" s="18">
        <f>IF(OR(NOT(ISNUMBER($A1287)),ROW()-2&lt;Settings!$B$11),NA(),IF(COUNT(OFFSET(G1287,1-Settings!$B$11,0,Settings!$B$11,1))&lt;Settings!$B$11,NA(),STDEV(OFFSET(G1287,1-Settings!$B$11,0,Settings!$B$11,1))*SQRT(Settings!$B$13)))</f>
        <v/>
      </c>
      <c r="K1287" s="18">
        <f>IF(OR(NOT(ISNUMBER($A1287)),ROW()-2&lt;Settings!$B$12),NA(),IF(COUNT(OFFSET(G1287,1-Settings!$B$12,0,Settings!$B$12,1))&lt;Settings!$B$12,NA(),STDEV(OFFSET(G1287,1-Settings!$B$12,0,Settings!$B$12,1))*SQRT(Settings!$B$13)))</f>
        <v/>
      </c>
      <c r="L1287" s="18">
        <f>IF(AND(ISNUMBER(D1287),ISNUMBER(H1287)),D1287-H1287,NA())</f>
        <v/>
      </c>
      <c r="M1287" s="18">
        <f>IF(AND(ISNUMBER(E1287),ISNUMBER(K1287)),E1287-K1287,NA())</f>
        <v/>
      </c>
      <c r="N1287" s="18">
        <f>IF(NOT(ISNUMBER($A1287)),NA(),IF(COUNT(OFFSET(G1287,1,0,Settings!$B$12,1))&lt;Settings!$B$12,NA(),STDEV(OFFSET(G1287,1,0,Settings!$B$12,1))*SQRT(Settings!$B$13)))</f>
        <v/>
      </c>
      <c r="O1287" s="18">
        <f>IF(AND(ISNUMBER(E1287),ISNUMBER(N1287)),E1287-N1287,NA())</f>
        <v/>
      </c>
      <c r="P1287" s="17">
        <f>IF(NOT(ISNUMBER($A1287)),NA(),IF(OR($A1287&lt;MIN(KW_TP!$A$2:$A$2501),$A1287&gt;MAX(KW_TP!$A$2:$A$2501)),NA(),INDEX(KW_TP!$C$2:$C$2501,MATCH($A1287,KW_TP!$A$2:$A$2501,1))))</f>
        <v/>
      </c>
    </row>
    <row r="1288">
      <c r="A1288" s="15">
        <f>IF(ISNUMBER(BBG_Data!A1288),BBG_Data!A1288,"")</f>
        <v/>
      </c>
      <c r="B1288" s="16">
        <f>IF(AND(ISNUMBER($A1288),ISNUMBER(BBG_Data!B1288)),BBG_Data!B1288,NA())</f>
        <v/>
      </c>
      <c r="C1288" s="16">
        <f>IF(AND(ISNUMBER($A1288),ISNUMBER(BBG_Data!C1288)),BBG_Data!C1288,NA())</f>
        <v/>
      </c>
      <c r="D1288" s="17">
        <f>IF(AND(ISNUMBER($A1288),ISNUMBER(BBG_Data!D1288)),BBG_Data!D1288,NA())</f>
        <v/>
      </c>
      <c r="E1288" s="17">
        <f>IF(AND(ISNUMBER($A1288),ISNUMBER(BBG_Data!E1288)),BBG_Data!E1288,NA())</f>
        <v/>
      </c>
      <c r="F1288" s="18">
        <f>IF(AND(ISNUMBER(B1288),ISNUMBER(B1287)),(B1288-B1287)*100,"")</f>
        <v/>
      </c>
      <c r="G1288" s="18">
        <f>IF(AND(ISNUMBER(C1288),ISNUMBER(C1287)),(C1288-C1287)*100,"")</f>
        <v/>
      </c>
      <c r="H1288" s="18">
        <f>IF(OR(NOT(ISNUMBER($A1288)),ROW()-2&lt;Settings!$B$11),NA(),IF(COUNT(OFFSET(F1288,1-Settings!$B$11,0,Settings!$B$11,1))&lt;Settings!$B$11,NA(),STDEV(OFFSET(F1288,1-Settings!$B$11,0,Settings!$B$11,1))*SQRT(Settings!$B$13)))</f>
        <v/>
      </c>
      <c r="I1288" s="18">
        <f>IF(OR(NOT(ISNUMBER($A1288)),ROW()-2&lt;Settings!$B$12),NA(),IF(COUNT(OFFSET(F1288,1-Settings!$B$12,0,Settings!$B$12,1))&lt;Settings!$B$12,NA(),STDEV(OFFSET(F1288,1-Settings!$B$12,0,Settings!$B$12,1))*SQRT(Settings!$B$13)))</f>
        <v/>
      </c>
      <c r="J1288" s="18">
        <f>IF(OR(NOT(ISNUMBER($A1288)),ROW()-2&lt;Settings!$B$11),NA(),IF(COUNT(OFFSET(G1288,1-Settings!$B$11,0,Settings!$B$11,1))&lt;Settings!$B$11,NA(),STDEV(OFFSET(G1288,1-Settings!$B$11,0,Settings!$B$11,1))*SQRT(Settings!$B$13)))</f>
        <v/>
      </c>
      <c r="K1288" s="18">
        <f>IF(OR(NOT(ISNUMBER($A1288)),ROW()-2&lt;Settings!$B$12),NA(),IF(COUNT(OFFSET(G1288,1-Settings!$B$12,0,Settings!$B$12,1))&lt;Settings!$B$12,NA(),STDEV(OFFSET(G1288,1-Settings!$B$12,0,Settings!$B$12,1))*SQRT(Settings!$B$13)))</f>
        <v/>
      </c>
      <c r="L1288" s="18">
        <f>IF(AND(ISNUMBER(D1288),ISNUMBER(H1288)),D1288-H1288,NA())</f>
        <v/>
      </c>
      <c r="M1288" s="18">
        <f>IF(AND(ISNUMBER(E1288),ISNUMBER(K1288)),E1288-K1288,NA())</f>
        <v/>
      </c>
      <c r="N1288" s="18">
        <f>IF(NOT(ISNUMBER($A1288)),NA(),IF(COUNT(OFFSET(G1288,1,0,Settings!$B$12,1))&lt;Settings!$B$12,NA(),STDEV(OFFSET(G1288,1,0,Settings!$B$12,1))*SQRT(Settings!$B$13)))</f>
        <v/>
      </c>
      <c r="O1288" s="18">
        <f>IF(AND(ISNUMBER(E1288),ISNUMBER(N1288)),E1288-N1288,NA())</f>
        <v/>
      </c>
      <c r="P1288" s="17">
        <f>IF(NOT(ISNUMBER($A1288)),NA(),IF(OR($A1288&lt;MIN(KW_TP!$A$2:$A$2501),$A1288&gt;MAX(KW_TP!$A$2:$A$2501)),NA(),INDEX(KW_TP!$C$2:$C$2501,MATCH($A1288,KW_TP!$A$2:$A$2501,1))))</f>
        <v/>
      </c>
    </row>
    <row r="1289">
      <c r="A1289" s="15">
        <f>IF(ISNUMBER(BBG_Data!A1289),BBG_Data!A1289,"")</f>
        <v/>
      </c>
      <c r="B1289" s="16">
        <f>IF(AND(ISNUMBER($A1289),ISNUMBER(BBG_Data!B1289)),BBG_Data!B1289,NA())</f>
        <v/>
      </c>
      <c r="C1289" s="16">
        <f>IF(AND(ISNUMBER($A1289),ISNUMBER(BBG_Data!C1289)),BBG_Data!C1289,NA())</f>
        <v/>
      </c>
      <c r="D1289" s="17">
        <f>IF(AND(ISNUMBER($A1289),ISNUMBER(BBG_Data!D1289)),BBG_Data!D1289,NA())</f>
        <v/>
      </c>
      <c r="E1289" s="17">
        <f>IF(AND(ISNUMBER($A1289),ISNUMBER(BBG_Data!E1289)),BBG_Data!E1289,NA())</f>
        <v/>
      </c>
      <c r="F1289" s="18">
        <f>IF(AND(ISNUMBER(B1289),ISNUMBER(B1288)),(B1289-B1288)*100,"")</f>
        <v/>
      </c>
      <c r="G1289" s="18">
        <f>IF(AND(ISNUMBER(C1289),ISNUMBER(C1288)),(C1289-C1288)*100,"")</f>
        <v/>
      </c>
      <c r="H1289" s="18">
        <f>IF(OR(NOT(ISNUMBER($A1289)),ROW()-2&lt;Settings!$B$11),NA(),IF(COUNT(OFFSET(F1289,1-Settings!$B$11,0,Settings!$B$11,1))&lt;Settings!$B$11,NA(),STDEV(OFFSET(F1289,1-Settings!$B$11,0,Settings!$B$11,1))*SQRT(Settings!$B$13)))</f>
        <v/>
      </c>
      <c r="I1289" s="18">
        <f>IF(OR(NOT(ISNUMBER($A1289)),ROW()-2&lt;Settings!$B$12),NA(),IF(COUNT(OFFSET(F1289,1-Settings!$B$12,0,Settings!$B$12,1))&lt;Settings!$B$12,NA(),STDEV(OFFSET(F1289,1-Settings!$B$12,0,Settings!$B$12,1))*SQRT(Settings!$B$13)))</f>
        <v/>
      </c>
      <c r="J1289" s="18">
        <f>IF(OR(NOT(ISNUMBER($A1289)),ROW()-2&lt;Settings!$B$11),NA(),IF(COUNT(OFFSET(G1289,1-Settings!$B$11,0,Settings!$B$11,1))&lt;Settings!$B$11,NA(),STDEV(OFFSET(G1289,1-Settings!$B$11,0,Settings!$B$11,1))*SQRT(Settings!$B$13)))</f>
        <v/>
      </c>
      <c r="K1289" s="18">
        <f>IF(OR(NOT(ISNUMBER($A1289)),ROW()-2&lt;Settings!$B$12),NA(),IF(COUNT(OFFSET(G1289,1-Settings!$B$12,0,Settings!$B$12,1))&lt;Settings!$B$12,NA(),STDEV(OFFSET(G1289,1-Settings!$B$12,0,Settings!$B$12,1))*SQRT(Settings!$B$13)))</f>
        <v/>
      </c>
      <c r="L1289" s="18">
        <f>IF(AND(ISNUMBER(D1289),ISNUMBER(H1289)),D1289-H1289,NA())</f>
        <v/>
      </c>
      <c r="M1289" s="18">
        <f>IF(AND(ISNUMBER(E1289),ISNUMBER(K1289)),E1289-K1289,NA())</f>
        <v/>
      </c>
      <c r="N1289" s="18">
        <f>IF(NOT(ISNUMBER($A1289)),NA(),IF(COUNT(OFFSET(G1289,1,0,Settings!$B$12,1))&lt;Settings!$B$12,NA(),STDEV(OFFSET(G1289,1,0,Settings!$B$12,1))*SQRT(Settings!$B$13)))</f>
        <v/>
      </c>
      <c r="O1289" s="18">
        <f>IF(AND(ISNUMBER(E1289),ISNUMBER(N1289)),E1289-N1289,NA())</f>
        <v/>
      </c>
      <c r="P1289" s="17">
        <f>IF(NOT(ISNUMBER($A1289)),NA(),IF(OR($A1289&lt;MIN(KW_TP!$A$2:$A$2501),$A1289&gt;MAX(KW_TP!$A$2:$A$2501)),NA(),INDEX(KW_TP!$C$2:$C$2501,MATCH($A1289,KW_TP!$A$2:$A$2501,1))))</f>
        <v/>
      </c>
    </row>
    <row r="1290">
      <c r="A1290" s="15">
        <f>IF(ISNUMBER(BBG_Data!A1290),BBG_Data!A1290,"")</f>
        <v/>
      </c>
      <c r="B1290" s="16">
        <f>IF(AND(ISNUMBER($A1290),ISNUMBER(BBG_Data!B1290)),BBG_Data!B1290,NA())</f>
        <v/>
      </c>
      <c r="C1290" s="16">
        <f>IF(AND(ISNUMBER($A1290),ISNUMBER(BBG_Data!C1290)),BBG_Data!C1290,NA())</f>
        <v/>
      </c>
      <c r="D1290" s="17">
        <f>IF(AND(ISNUMBER($A1290),ISNUMBER(BBG_Data!D1290)),BBG_Data!D1290,NA())</f>
        <v/>
      </c>
      <c r="E1290" s="17">
        <f>IF(AND(ISNUMBER($A1290),ISNUMBER(BBG_Data!E1290)),BBG_Data!E1290,NA())</f>
        <v/>
      </c>
      <c r="F1290" s="18">
        <f>IF(AND(ISNUMBER(B1290),ISNUMBER(B1289)),(B1290-B1289)*100,"")</f>
        <v/>
      </c>
      <c r="G1290" s="18">
        <f>IF(AND(ISNUMBER(C1290),ISNUMBER(C1289)),(C1290-C1289)*100,"")</f>
        <v/>
      </c>
      <c r="H1290" s="18">
        <f>IF(OR(NOT(ISNUMBER($A1290)),ROW()-2&lt;Settings!$B$11),NA(),IF(COUNT(OFFSET(F1290,1-Settings!$B$11,0,Settings!$B$11,1))&lt;Settings!$B$11,NA(),STDEV(OFFSET(F1290,1-Settings!$B$11,0,Settings!$B$11,1))*SQRT(Settings!$B$13)))</f>
        <v/>
      </c>
      <c r="I1290" s="18">
        <f>IF(OR(NOT(ISNUMBER($A1290)),ROW()-2&lt;Settings!$B$12),NA(),IF(COUNT(OFFSET(F1290,1-Settings!$B$12,0,Settings!$B$12,1))&lt;Settings!$B$12,NA(),STDEV(OFFSET(F1290,1-Settings!$B$12,0,Settings!$B$12,1))*SQRT(Settings!$B$13)))</f>
        <v/>
      </c>
      <c r="J1290" s="18">
        <f>IF(OR(NOT(ISNUMBER($A1290)),ROW()-2&lt;Settings!$B$11),NA(),IF(COUNT(OFFSET(G1290,1-Settings!$B$11,0,Settings!$B$11,1))&lt;Settings!$B$11,NA(),STDEV(OFFSET(G1290,1-Settings!$B$11,0,Settings!$B$11,1))*SQRT(Settings!$B$13)))</f>
        <v/>
      </c>
      <c r="K1290" s="18">
        <f>IF(OR(NOT(ISNUMBER($A1290)),ROW()-2&lt;Settings!$B$12),NA(),IF(COUNT(OFFSET(G1290,1-Settings!$B$12,0,Settings!$B$12,1))&lt;Settings!$B$12,NA(),STDEV(OFFSET(G1290,1-Settings!$B$12,0,Settings!$B$12,1))*SQRT(Settings!$B$13)))</f>
        <v/>
      </c>
      <c r="L1290" s="18">
        <f>IF(AND(ISNUMBER(D1290),ISNUMBER(H1290)),D1290-H1290,NA())</f>
        <v/>
      </c>
      <c r="M1290" s="18">
        <f>IF(AND(ISNUMBER(E1290),ISNUMBER(K1290)),E1290-K1290,NA())</f>
        <v/>
      </c>
      <c r="N1290" s="18">
        <f>IF(NOT(ISNUMBER($A1290)),NA(),IF(COUNT(OFFSET(G1290,1,0,Settings!$B$12,1))&lt;Settings!$B$12,NA(),STDEV(OFFSET(G1290,1,0,Settings!$B$12,1))*SQRT(Settings!$B$13)))</f>
        <v/>
      </c>
      <c r="O1290" s="18">
        <f>IF(AND(ISNUMBER(E1290),ISNUMBER(N1290)),E1290-N1290,NA())</f>
        <v/>
      </c>
      <c r="P1290" s="17">
        <f>IF(NOT(ISNUMBER($A1290)),NA(),IF(OR($A1290&lt;MIN(KW_TP!$A$2:$A$2501),$A1290&gt;MAX(KW_TP!$A$2:$A$2501)),NA(),INDEX(KW_TP!$C$2:$C$2501,MATCH($A1290,KW_TP!$A$2:$A$2501,1))))</f>
        <v/>
      </c>
    </row>
    <row r="1291">
      <c r="A1291" s="15">
        <f>IF(ISNUMBER(BBG_Data!A1291),BBG_Data!A1291,"")</f>
        <v/>
      </c>
      <c r="B1291" s="16">
        <f>IF(AND(ISNUMBER($A1291),ISNUMBER(BBG_Data!B1291)),BBG_Data!B1291,NA())</f>
        <v/>
      </c>
      <c r="C1291" s="16">
        <f>IF(AND(ISNUMBER($A1291),ISNUMBER(BBG_Data!C1291)),BBG_Data!C1291,NA())</f>
        <v/>
      </c>
      <c r="D1291" s="17">
        <f>IF(AND(ISNUMBER($A1291),ISNUMBER(BBG_Data!D1291)),BBG_Data!D1291,NA())</f>
        <v/>
      </c>
      <c r="E1291" s="17">
        <f>IF(AND(ISNUMBER($A1291),ISNUMBER(BBG_Data!E1291)),BBG_Data!E1291,NA())</f>
        <v/>
      </c>
      <c r="F1291" s="18">
        <f>IF(AND(ISNUMBER(B1291),ISNUMBER(B1290)),(B1291-B1290)*100,"")</f>
        <v/>
      </c>
      <c r="G1291" s="18">
        <f>IF(AND(ISNUMBER(C1291),ISNUMBER(C1290)),(C1291-C1290)*100,"")</f>
        <v/>
      </c>
      <c r="H1291" s="18">
        <f>IF(OR(NOT(ISNUMBER($A1291)),ROW()-2&lt;Settings!$B$11),NA(),IF(COUNT(OFFSET(F1291,1-Settings!$B$11,0,Settings!$B$11,1))&lt;Settings!$B$11,NA(),STDEV(OFFSET(F1291,1-Settings!$B$11,0,Settings!$B$11,1))*SQRT(Settings!$B$13)))</f>
        <v/>
      </c>
      <c r="I1291" s="18">
        <f>IF(OR(NOT(ISNUMBER($A1291)),ROW()-2&lt;Settings!$B$12),NA(),IF(COUNT(OFFSET(F1291,1-Settings!$B$12,0,Settings!$B$12,1))&lt;Settings!$B$12,NA(),STDEV(OFFSET(F1291,1-Settings!$B$12,0,Settings!$B$12,1))*SQRT(Settings!$B$13)))</f>
        <v/>
      </c>
      <c r="J1291" s="18">
        <f>IF(OR(NOT(ISNUMBER($A1291)),ROW()-2&lt;Settings!$B$11),NA(),IF(COUNT(OFFSET(G1291,1-Settings!$B$11,0,Settings!$B$11,1))&lt;Settings!$B$11,NA(),STDEV(OFFSET(G1291,1-Settings!$B$11,0,Settings!$B$11,1))*SQRT(Settings!$B$13)))</f>
        <v/>
      </c>
      <c r="K1291" s="18">
        <f>IF(OR(NOT(ISNUMBER($A1291)),ROW()-2&lt;Settings!$B$12),NA(),IF(COUNT(OFFSET(G1291,1-Settings!$B$12,0,Settings!$B$12,1))&lt;Settings!$B$12,NA(),STDEV(OFFSET(G1291,1-Settings!$B$12,0,Settings!$B$12,1))*SQRT(Settings!$B$13)))</f>
        <v/>
      </c>
      <c r="L1291" s="18">
        <f>IF(AND(ISNUMBER(D1291),ISNUMBER(H1291)),D1291-H1291,NA())</f>
        <v/>
      </c>
      <c r="M1291" s="18">
        <f>IF(AND(ISNUMBER(E1291),ISNUMBER(K1291)),E1291-K1291,NA())</f>
        <v/>
      </c>
      <c r="N1291" s="18">
        <f>IF(NOT(ISNUMBER($A1291)),NA(),IF(COUNT(OFFSET(G1291,1,0,Settings!$B$12,1))&lt;Settings!$B$12,NA(),STDEV(OFFSET(G1291,1,0,Settings!$B$12,1))*SQRT(Settings!$B$13)))</f>
        <v/>
      </c>
      <c r="O1291" s="18">
        <f>IF(AND(ISNUMBER(E1291),ISNUMBER(N1291)),E1291-N1291,NA())</f>
        <v/>
      </c>
      <c r="P1291" s="17">
        <f>IF(NOT(ISNUMBER($A1291)),NA(),IF(OR($A1291&lt;MIN(KW_TP!$A$2:$A$2501),$A1291&gt;MAX(KW_TP!$A$2:$A$2501)),NA(),INDEX(KW_TP!$C$2:$C$2501,MATCH($A1291,KW_TP!$A$2:$A$2501,1))))</f>
        <v/>
      </c>
    </row>
    <row r="1292">
      <c r="A1292" s="15">
        <f>IF(ISNUMBER(BBG_Data!A1292),BBG_Data!A1292,"")</f>
        <v/>
      </c>
      <c r="B1292" s="16">
        <f>IF(AND(ISNUMBER($A1292),ISNUMBER(BBG_Data!B1292)),BBG_Data!B1292,NA())</f>
        <v/>
      </c>
      <c r="C1292" s="16">
        <f>IF(AND(ISNUMBER($A1292),ISNUMBER(BBG_Data!C1292)),BBG_Data!C1292,NA())</f>
        <v/>
      </c>
      <c r="D1292" s="17">
        <f>IF(AND(ISNUMBER($A1292),ISNUMBER(BBG_Data!D1292)),BBG_Data!D1292,NA())</f>
        <v/>
      </c>
      <c r="E1292" s="17">
        <f>IF(AND(ISNUMBER($A1292),ISNUMBER(BBG_Data!E1292)),BBG_Data!E1292,NA())</f>
        <v/>
      </c>
      <c r="F1292" s="18">
        <f>IF(AND(ISNUMBER(B1292),ISNUMBER(B1291)),(B1292-B1291)*100,"")</f>
        <v/>
      </c>
      <c r="G1292" s="18">
        <f>IF(AND(ISNUMBER(C1292),ISNUMBER(C1291)),(C1292-C1291)*100,"")</f>
        <v/>
      </c>
      <c r="H1292" s="18">
        <f>IF(OR(NOT(ISNUMBER($A1292)),ROW()-2&lt;Settings!$B$11),NA(),IF(COUNT(OFFSET(F1292,1-Settings!$B$11,0,Settings!$B$11,1))&lt;Settings!$B$11,NA(),STDEV(OFFSET(F1292,1-Settings!$B$11,0,Settings!$B$11,1))*SQRT(Settings!$B$13)))</f>
        <v/>
      </c>
      <c r="I1292" s="18">
        <f>IF(OR(NOT(ISNUMBER($A1292)),ROW()-2&lt;Settings!$B$12),NA(),IF(COUNT(OFFSET(F1292,1-Settings!$B$12,0,Settings!$B$12,1))&lt;Settings!$B$12,NA(),STDEV(OFFSET(F1292,1-Settings!$B$12,0,Settings!$B$12,1))*SQRT(Settings!$B$13)))</f>
        <v/>
      </c>
      <c r="J1292" s="18">
        <f>IF(OR(NOT(ISNUMBER($A1292)),ROW()-2&lt;Settings!$B$11),NA(),IF(COUNT(OFFSET(G1292,1-Settings!$B$11,0,Settings!$B$11,1))&lt;Settings!$B$11,NA(),STDEV(OFFSET(G1292,1-Settings!$B$11,0,Settings!$B$11,1))*SQRT(Settings!$B$13)))</f>
        <v/>
      </c>
      <c r="K1292" s="18">
        <f>IF(OR(NOT(ISNUMBER($A1292)),ROW()-2&lt;Settings!$B$12),NA(),IF(COUNT(OFFSET(G1292,1-Settings!$B$12,0,Settings!$B$12,1))&lt;Settings!$B$12,NA(),STDEV(OFFSET(G1292,1-Settings!$B$12,0,Settings!$B$12,1))*SQRT(Settings!$B$13)))</f>
        <v/>
      </c>
      <c r="L1292" s="18">
        <f>IF(AND(ISNUMBER(D1292),ISNUMBER(H1292)),D1292-H1292,NA())</f>
        <v/>
      </c>
      <c r="M1292" s="18">
        <f>IF(AND(ISNUMBER(E1292),ISNUMBER(K1292)),E1292-K1292,NA())</f>
        <v/>
      </c>
      <c r="N1292" s="18">
        <f>IF(NOT(ISNUMBER($A1292)),NA(),IF(COUNT(OFFSET(G1292,1,0,Settings!$B$12,1))&lt;Settings!$B$12,NA(),STDEV(OFFSET(G1292,1,0,Settings!$B$12,1))*SQRT(Settings!$B$13)))</f>
        <v/>
      </c>
      <c r="O1292" s="18">
        <f>IF(AND(ISNUMBER(E1292),ISNUMBER(N1292)),E1292-N1292,NA())</f>
        <v/>
      </c>
      <c r="P1292" s="17">
        <f>IF(NOT(ISNUMBER($A1292)),NA(),IF(OR($A1292&lt;MIN(KW_TP!$A$2:$A$2501),$A1292&gt;MAX(KW_TP!$A$2:$A$2501)),NA(),INDEX(KW_TP!$C$2:$C$2501,MATCH($A1292,KW_TP!$A$2:$A$2501,1))))</f>
        <v/>
      </c>
    </row>
    <row r="1293">
      <c r="A1293" s="15">
        <f>IF(ISNUMBER(BBG_Data!A1293),BBG_Data!A1293,"")</f>
        <v/>
      </c>
      <c r="B1293" s="16">
        <f>IF(AND(ISNUMBER($A1293),ISNUMBER(BBG_Data!B1293)),BBG_Data!B1293,NA())</f>
        <v/>
      </c>
      <c r="C1293" s="16">
        <f>IF(AND(ISNUMBER($A1293),ISNUMBER(BBG_Data!C1293)),BBG_Data!C1293,NA())</f>
        <v/>
      </c>
      <c r="D1293" s="17">
        <f>IF(AND(ISNUMBER($A1293),ISNUMBER(BBG_Data!D1293)),BBG_Data!D1293,NA())</f>
        <v/>
      </c>
      <c r="E1293" s="17">
        <f>IF(AND(ISNUMBER($A1293),ISNUMBER(BBG_Data!E1293)),BBG_Data!E1293,NA())</f>
        <v/>
      </c>
      <c r="F1293" s="18">
        <f>IF(AND(ISNUMBER(B1293),ISNUMBER(B1292)),(B1293-B1292)*100,"")</f>
        <v/>
      </c>
      <c r="G1293" s="18">
        <f>IF(AND(ISNUMBER(C1293),ISNUMBER(C1292)),(C1293-C1292)*100,"")</f>
        <v/>
      </c>
      <c r="H1293" s="18">
        <f>IF(OR(NOT(ISNUMBER($A1293)),ROW()-2&lt;Settings!$B$11),NA(),IF(COUNT(OFFSET(F1293,1-Settings!$B$11,0,Settings!$B$11,1))&lt;Settings!$B$11,NA(),STDEV(OFFSET(F1293,1-Settings!$B$11,0,Settings!$B$11,1))*SQRT(Settings!$B$13)))</f>
        <v/>
      </c>
      <c r="I1293" s="18">
        <f>IF(OR(NOT(ISNUMBER($A1293)),ROW()-2&lt;Settings!$B$12),NA(),IF(COUNT(OFFSET(F1293,1-Settings!$B$12,0,Settings!$B$12,1))&lt;Settings!$B$12,NA(),STDEV(OFFSET(F1293,1-Settings!$B$12,0,Settings!$B$12,1))*SQRT(Settings!$B$13)))</f>
        <v/>
      </c>
      <c r="J1293" s="18">
        <f>IF(OR(NOT(ISNUMBER($A1293)),ROW()-2&lt;Settings!$B$11),NA(),IF(COUNT(OFFSET(G1293,1-Settings!$B$11,0,Settings!$B$11,1))&lt;Settings!$B$11,NA(),STDEV(OFFSET(G1293,1-Settings!$B$11,0,Settings!$B$11,1))*SQRT(Settings!$B$13)))</f>
        <v/>
      </c>
      <c r="K1293" s="18">
        <f>IF(OR(NOT(ISNUMBER($A1293)),ROW()-2&lt;Settings!$B$12),NA(),IF(COUNT(OFFSET(G1293,1-Settings!$B$12,0,Settings!$B$12,1))&lt;Settings!$B$12,NA(),STDEV(OFFSET(G1293,1-Settings!$B$12,0,Settings!$B$12,1))*SQRT(Settings!$B$13)))</f>
        <v/>
      </c>
      <c r="L1293" s="18">
        <f>IF(AND(ISNUMBER(D1293),ISNUMBER(H1293)),D1293-H1293,NA())</f>
        <v/>
      </c>
      <c r="M1293" s="18">
        <f>IF(AND(ISNUMBER(E1293),ISNUMBER(K1293)),E1293-K1293,NA())</f>
        <v/>
      </c>
      <c r="N1293" s="18">
        <f>IF(NOT(ISNUMBER($A1293)),NA(),IF(COUNT(OFFSET(G1293,1,0,Settings!$B$12,1))&lt;Settings!$B$12,NA(),STDEV(OFFSET(G1293,1,0,Settings!$B$12,1))*SQRT(Settings!$B$13)))</f>
        <v/>
      </c>
      <c r="O1293" s="18">
        <f>IF(AND(ISNUMBER(E1293),ISNUMBER(N1293)),E1293-N1293,NA())</f>
        <v/>
      </c>
      <c r="P1293" s="17">
        <f>IF(NOT(ISNUMBER($A1293)),NA(),IF(OR($A1293&lt;MIN(KW_TP!$A$2:$A$2501),$A1293&gt;MAX(KW_TP!$A$2:$A$2501)),NA(),INDEX(KW_TP!$C$2:$C$2501,MATCH($A1293,KW_TP!$A$2:$A$2501,1))))</f>
        <v/>
      </c>
    </row>
    <row r="1294">
      <c r="A1294" s="15">
        <f>IF(ISNUMBER(BBG_Data!A1294),BBG_Data!A1294,"")</f>
        <v/>
      </c>
      <c r="B1294" s="16">
        <f>IF(AND(ISNUMBER($A1294),ISNUMBER(BBG_Data!B1294)),BBG_Data!B1294,NA())</f>
        <v/>
      </c>
      <c r="C1294" s="16">
        <f>IF(AND(ISNUMBER($A1294),ISNUMBER(BBG_Data!C1294)),BBG_Data!C1294,NA())</f>
        <v/>
      </c>
      <c r="D1294" s="17">
        <f>IF(AND(ISNUMBER($A1294),ISNUMBER(BBG_Data!D1294)),BBG_Data!D1294,NA())</f>
        <v/>
      </c>
      <c r="E1294" s="17">
        <f>IF(AND(ISNUMBER($A1294),ISNUMBER(BBG_Data!E1294)),BBG_Data!E1294,NA())</f>
        <v/>
      </c>
      <c r="F1294" s="18">
        <f>IF(AND(ISNUMBER(B1294),ISNUMBER(B1293)),(B1294-B1293)*100,"")</f>
        <v/>
      </c>
      <c r="G1294" s="18">
        <f>IF(AND(ISNUMBER(C1294),ISNUMBER(C1293)),(C1294-C1293)*100,"")</f>
        <v/>
      </c>
      <c r="H1294" s="18">
        <f>IF(OR(NOT(ISNUMBER($A1294)),ROW()-2&lt;Settings!$B$11),NA(),IF(COUNT(OFFSET(F1294,1-Settings!$B$11,0,Settings!$B$11,1))&lt;Settings!$B$11,NA(),STDEV(OFFSET(F1294,1-Settings!$B$11,0,Settings!$B$11,1))*SQRT(Settings!$B$13)))</f>
        <v/>
      </c>
      <c r="I1294" s="18">
        <f>IF(OR(NOT(ISNUMBER($A1294)),ROW()-2&lt;Settings!$B$12),NA(),IF(COUNT(OFFSET(F1294,1-Settings!$B$12,0,Settings!$B$12,1))&lt;Settings!$B$12,NA(),STDEV(OFFSET(F1294,1-Settings!$B$12,0,Settings!$B$12,1))*SQRT(Settings!$B$13)))</f>
        <v/>
      </c>
      <c r="J1294" s="18">
        <f>IF(OR(NOT(ISNUMBER($A1294)),ROW()-2&lt;Settings!$B$11),NA(),IF(COUNT(OFFSET(G1294,1-Settings!$B$11,0,Settings!$B$11,1))&lt;Settings!$B$11,NA(),STDEV(OFFSET(G1294,1-Settings!$B$11,0,Settings!$B$11,1))*SQRT(Settings!$B$13)))</f>
        <v/>
      </c>
      <c r="K1294" s="18">
        <f>IF(OR(NOT(ISNUMBER($A1294)),ROW()-2&lt;Settings!$B$12),NA(),IF(COUNT(OFFSET(G1294,1-Settings!$B$12,0,Settings!$B$12,1))&lt;Settings!$B$12,NA(),STDEV(OFFSET(G1294,1-Settings!$B$12,0,Settings!$B$12,1))*SQRT(Settings!$B$13)))</f>
        <v/>
      </c>
      <c r="L1294" s="18">
        <f>IF(AND(ISNUMBER(D1294),ISNUMBER(H1294)),D1294-H1294,NA())</f>
        <v/>
      </c>
      <c r="M1294" s="18">
        <f>IF(AND(ISNUMBER(E1294),ISNUMBER(K1294)),E1294-K1294,NA())</f>
        <v/>
      </c>
      <c r="N1294" s="18">
        <f>IF(NOT(ISNUMBER($A1294)),NA(),IF(COUNT(OFFSET(G1294,1,0,Settings!$B$12,1))&lt;Settings!$B$12,NA(),STDEV(OFFSET(G1294,1,0,Settings!$B$12,1))*SQRT(Settings!$B$13)))</f>
        <v/>
      </c>
      <c r="O1294" s="18">
        <f>IF(AND(ISNUMBER(E1294),ISNUMBER(N1294)),E1294-N1294,NA())</f>
        <v/>
      </c>
      <c r="P1294" s="17">
        <f>IF(NOT(ISNUMBER($A1294)),NA(),IF(OR($A1294&lt;MIN(KW_TP!$A$2:$A$2501),$A1294&gt;MAX(KW_TP!$A$2:$A$2501)),NA(),INDEX(KW_TP!$C$2:$C$2501,MATCH($A1294,KW_TP!$A$2:$A$2501,1))))</f>
        <v/>
      </c>
    </row>
    <row r="1295">
      <c r="A1295" s="15">
        <f>IF(ISNUMBER(BBG_Data!A1295),BBG_Data!A1295,"")</f>
        <v/>
      </c>
      <c r="B1295" s="16">
        <f>IF(AND(ISNUMBER($A1295),ISNUMBER(BBG_Data!B1295)),BBG_Data!B1295,NA())</f>
        <v/>
      </c>
      <c r="C1295" s="16">
        <f>IF(AND(ISNUMBER($A1295),ISNUMBER(BBG_Data!C1295)),BBG_Data!C1295,NA())</f>
        <v/>
      </c>
      <c r="D1295" s="17">
        <f>IF(AND(ISNUMBER($A1295),ISNUMBER(BBG_Data!D1295)),BBG_Data!D1295,NA())</f>
        <v/>
      </c>
      <c r="E1295" s="17">
        <f>IF(AND(ISNUMBER($A1295),ISNUMBER(BBG_Data!E1295)),BBG_Data!E1295,NA())</f>
        <v/>
      </c>
      <c r="F1295" s="18">
        <f>IF(AND(ISNUMBER(B1295),ISNUMBER(B1294)),(B1295-B1294)*100,"")</f>
        <v/>
      </c>
      <c r="G1295" s="18">
        <f>IF(AND(ISNUMBER(C1295),ISNUMBER(C1294)),(C1295-C1294)*100,"")</f>
        <v/>
      </c>
      <c r="H1295" s="18">
        <f>IF(OR(NOT(ISNUMBER($A1295)),ROW()-2&lt;Settings!$B$11),NA(),IF(COUNT(OFFSET(F1295,1-Settings!$B$11,0,Settings!$B$11,1))&lt;Settings!$B$11,NA(),STDEV(OFFSET(F1295,1-Settings!$B$11,0,Settings!$B$11,1))*SQRT(Settings!$B$13)))</f>
        <v/>
      </c>
      <c r="I1295" s="18">
        <f>IF(OR(NOT(ISNUMBER($A1295)),ROW()-2&lt;Settings!$B$12),NA(),IF(COUNT(OFFSET(F1295,1-Settings!$B$12,0,Settings!$B$12,1))&lt;Settings!$B$12,NA(),STDEV(OFFSET(F1295,1-Settings!$B$12,0,Settings!$B$12,1))*SQRT(Settings!$B$13)))</f>
        <v/>
      </c>
      <c r="J1295" s="18">
        <f>IF(OR(NOT(ISNUMBER($A1295)),ROW()-2&lt;Settings!$B$11),NA(),IF(COUNT(OFFSET(G1295,1-Settings!$B$11,0,Settings!$B$11,1))&lt;Settings!$B$11,NA(),STDEV(OFFSET(G1295,1-Settings!$B$11,0,Settings!$B$11,1))*SQRT(Settings!$B$13)))</f>
        <v/>
      </c>
      <c r="K1295" s="18">
        <f>IF(OR(NOT(ISNUMBER($A1295)),ROW()-2&lt;Settings!$B$12),NA(),IF(COUNT(OFFSET(G1295,1-Settings!$B$12,0,Settings!$B$12,1))&lt;Settings!$B$12,NA(),STDEV(OFFSET(G1295,1-Settings!$B$12,0,Settings!$B$12,1))*SQRT(Settings!$B$13)))</f>
        <v/>
      </c>
      <c r="L1295" s="18">
        <f>IF(AND(ISNUMBER(D1295),ISNUMBER(H1295)),D1295-H1295,NA())</f>
        <v/>
      </c>
      <c r="M1295" s="18">
        <f>IF(AND(ISNUMBER(E1295),ISNUMBER(K1295)),E1295-K1295,NA())</f>
        <v/>
      </c>
      <c r="N1295" s="18">
        <f>IF(NOT(ISNUMBER($A1295)),NA(),IF(COUNT(OFFSET(G1295,1,0,Settings!$B$12,1))&lt;Settings!$B$12,NA(),STDEV(OFFSET(G1295,1,0,Settings!$B$12,1))*SQRT(Settings!$B$13)))</f>
        <v/>
      </c>
      <c r="O1295" s="18">
        <f>IF(AND(ISNUMBER(E1295),ISNUMBER(N1295)),E1295-N1295,NA())</f>
        <v/>
      </c>
      <c r="P1295" s="17">
        <f>IF(NOT(ISNUMBER($A1295)),NA(),IF(OR($A1295&lt;MIN(KW_TP!$A$2:$A$2501),$A1295&gt;MAX(KW_TP!$A$2:$A$2501)),NA(),INDEX(KW_TP!$C$2:$C$2501,MATCH($A1295,KW_TP!$A$2:$A$2501,1))))</f>
        <v/>
      </c>
    </row>
    <row r="1296">
      <c r="A1296" s="15">
        <f>IF(ISNUMBER(BBG_Data!A1296),BBG_Data!A1296,"")</f>
        <v/>
      </c>
      <c r="B1296" s="16">
        <f>IF(AND(ISNUMBER($A1296),ISNUMBER(BBG_Data!B1296)),BBG_Data!B1296,NA())</f>
        <v/>
      </c>
      <c r="C1296" s="16">
        <f>IF(AND(ISNUMBER($A1296),ISNUMBER(BBG_Data!C1296)),BBG_Data!C1296,NA())</f>
        <v/>
      </c>
      <c r="D1296" s="17">
        <f>IF(AND(ISNUMBER($A1296),ISNUMBER(BBG_Data!D1296)),BBG_Data!D1296,NA())</f>
        <v/>
      </c>
      <c r="E1296" s="17">
        <f>IF(AND(ISNUMBER($A1296),ISNUMBER(BBG_Data!E1296)),BBG_Data!E1296,NA())</f>
        <v/>
      </c>
      <c r="F1296" s="18">
        <f>IF(AND(ISNUMBER(B1296),ISNUMBER(B1295)),(B1296-B1295)*100,"")</f>
        <v/>
      </c>
      <c r="G1296" s="18">
        <f>IF(AND(ISNUMBER(C1296),ISNUMBER(C1295)),(C1296-C1295)*100,"")</f>
        <v/>
      </c>
      <c r="H1296" s="18">
        <f>IF(OR(NOT(ISNUMBER($A1296)),ROW()-2&lt;Settings!$B$11),NA(),IF(COUNT(OFFSET(F1296,1-Settings!$B$11,0,Settings!$B$11,1))&lt;Settings!$B$11,NA(),STDEV(OFFSET(F1296,1-Settings!$B$11,0,Settings!$B$11,1))*SQRT(Settings!$B$13)))</f>
        <v/>
      </c>
      <c r="I1296" s="18">
        <f>IF(OR(NOT(ISNUMBER($A1296)),ROW()-2&lt;Settings!$B$12),NA(),IF(COUNT(OFFSET(F1296,1-Settings!$B$12,0,Settings!$B$12,1))&lt;Settings!$B$12,NA(),STDEV(OFFSET(F1296,1-Settings!$B$12,0,Settings!$B$12,1))*SQRT(Settings!$B$13)))</f>
        <v/>
      </c>
      <c r="J1296" s="18">
        <f>IF(OR(NOT(ISNUMBER($A1296)),ROW()-2&lt;Settings!$B$11),NA(),IF(COUNT(OFFSET(G1296,1-Settings!$B$11,0,Settings!$B$11,1))&lt;Settings!$B$11,NA(),STDEV(OFFSET(G1296,1-Settings!$B$11,0,Settings!$B$11,1))*SQRT(Settings!$B$13)))</f>
        <v/>
      </c>
      <c r="K1296" s="18">
        <f>IF(OR(NOT(ISNUMBER($A1296)),ROW()-2&lt;Settings!$B$12),NA(),IF(COUNT(OFFSET(G1296,1-Settings!$B$12,0,Settings!$B$12,1))&lt;Settings!$B$12,NA(),STDEV(OFFSET(G1296,1-Settings!$B$12,0,Settings!$B$12,1))*SQRT(Settings!$B$13)))</f>
        <v/>
      </c>
      <c r="L1296" s="18">
        <f>IF(AND(ISNUMBER(D1296),ISNUMBER(H1296)),D1296-H1296,NA())</f>
        <v/>
      </c>
      <c r="M1296" s="18">
        <f>IF(AND(ISNUMBER(E1296),ISNUMBER(K1296)),E1296-K1296,NA())</f>
        <v/>
      </c>
      <c r="N1296" s="18">
        <f>IF(NOT(ISNUMBER($A1296)),NA(),IF(COUNT(OFFSET(G1296,1,0,Settings!$B$12,1))&lt;Settings!$B$12,NA(),STDEV(OFFSET(G1296,1,0,Settings!$B$12,1))*SQRT(Settings!$B$13)))</f>
        <v/>
      </c>
      <c r="O1296" s="18">
        <f>IF(AND(ISNUMBER(E1296),ISNUMBER(N1296)),E1296-N1296,NA())</f>
        <v/>
      </c>
      <c r="P1296" s="17">
        <f>IF(NOT(ISNUMBER($A1296)),NA(),IF(OR($A1296&lt;MIN(KW_TP!$A$2:$A$2501),$A1296&gt;MAX(KW_TP!$A$2:$A$2501)),NA(),INDEX(KW_TP!$C$2:$C$2501,MATCH($A1296,KW_TP!$A$2:$A$2501,1))))</f>
        <v/>
      </c>
    </row>
    <row r="1297">
      <c r="A1297" s="15">
        <f>IF(ISNUMBER(BBG_Data!A1297),BBG_Data!A1297,"")</f>
        <v/>
      </c>
      <c r="B1297" s="16">
        <f>IF(AND(ISNUMBER($A1297),ISNUMBER(BBG_Data!B1297)),BBG_Data!B1297,NA())</f>
        <v/>
      </c>
      <c r="C1297" s="16">
        <f>IF(AND(ISNUMBER($A1297),ISNUMBER(BBG_Data!C1297)),BBG_Data!C1297,NA())</f>
        <v/>
      </c>
      <c r="D1297" s="17">
        <f>IF(AND(ISNUMBER($A1297),ISNUMBER(BBG_Data!D1297)),BBG_Data!D1297,NA())</f>
        <v/>
      </c>
      <c r="E1297" s="17">
        <f>IF(AND(ISNUMBER($A1297),ISNUMBER(BBG_Data!E1297)),BBG_Data!E1297,NA())</f>
        <v/>
      </c>
      <c r="F1297" s="18">
        <f>IF(AND(ISNUMBER(B1297),ISNUMBER(B1296)),(B1297-B1296)*100,"")</f>
        <v/>
      </c>
      <c r="G1297" s="18">
        <f>IF(AND(ISNUMBER(C1297),ISNUMBER(C1296)),(C1297-C1296)*100,"")</f>
        <v/>
      </c>
      <c r="H1297" s="18">
        <f>IF(OR(NOT(ISNUMBER($A1297)),ROW()-2&lt;Settings!$B$11),NA(),IF(COUNT(OFFSET(F1297,1-Settings!$B$11,0,Settings!$B$11,1))&lt;Settings!$B$11,NA(),STDEV(OFFSET(F1297,1-Settings!$B$11,0,Settings!$B$11,1))*SQRT(Settings!$B$13)))</f>
        <v/>
      </c>
      <c r="I1297" s="18">
        <f>IF(OR(NOT(ISNUMBER($A1297)),ROW()-2&lt;Settings!$B$12),NA(),IF(COUNT(OFFSET(F1297,1-Settings!$B$12,0,Settings!$B$12,1))&lt;Settings!$B$12,NA(),STDEV(OFFSET(F1297,1-Settings!$B$12,0,Settings!$B$12,1))*SQRT(Settings!$B$13)))</f>
        <v/>
      </c>
      <c r="J1297" s="18">
        <f>IF(OR(NOT(ISNUMBER($A1297)),ROW()-2&lt;Settings!$B$11),NA(),IF(COUNT(OFFSET(G1297,1-Settings!$B$11,0,Settings!$B$11,1))&lt;Settings!$B$11,NA(),STDEV(OFFSET(G1297,1-Settings!$B$11,0,Settings!$B$11,1))*SQRT(Settings!$B$13)))</f>
        <v/>
      </c>
      <c r="K1297" s="18">
        <f>IF(OR(NOT(ISNUMBER($A1297)),ROW()-2&lt;Settings!$B$12),NA(),IF(COUNT(OFFSET(G1297,1-Settings!$B$12,0,Settings!$B$12,1))&lt;Settings!$B$12,NA(),STDEV(OFFSET(G1297,1-Settings!$B$12,0,Settings!$B$12,1))*SQRT(Settings!$B$13)))</f>
        <v/>
      </c>
      <c r="L1297" s="18">
        <f>IF(AND(ISNUMBER(D1297),ISNUMBER(H1297)),D1297-H1297,NA())</f>
        <v/>
      </c>
      <c r="M1297" s="18">
        <f>IF(AND(ISNUMBER(E1297),ISNUMBER(K1297)),E1297-K1297,NA())</f>
        <v/>
      </c>
      <c r="N1297" s="18">
        <f>IF(NOT(ISNUMBER($A1297)),NA(),IF(COUNT(OFFSET(G1297,1,0,Settings!$B$12,1))&lt;Settings!$B$12,NA(),STDEV(OFFSET(G1297,1,0,Settings!$B$12,1))*SQRT(Settings!$B$13)))</f>
        <v/>
      </c>
      <c r="O1297" s="18">
        <f>IF(AND(ISNUMBER(E1297),ISNUMBER(N1297)),E1297-N1297,NA())</f>
        <v/>
      </c>
      <c r="P1297" s="17">
        <f>IF(NOT(ISNUMBER($A1297)),NA(),IF(OR($A1297&lt;MIN(KW_TP!$A$2:$A$2501),$A1297&gt;MAX(KW_TP!$A$2:$A$2501)),NA(),INDEX(KW_TP!$C$2:$C$2501,MATCH($A1297,KW_TP!$A$2:$A$2501,1))))</f>
        <v/>
      </c>
    </row>
    <row r="1298">
      <c r="A1298" s="15">
        <f>IF(ISNUMBER(BBG_Data!A1298),BBG_Data!A1298,"")</f>
        <v/>
      </c>
      <c r="B1298" s="16">
        <f>IF(AND(ISNUMBER($A1298),ISNUMBER(BBG_Data!B1298)),BBG_Data!B1298,NA())</f>
        <v/>
      </c>
      <c r="C1298" s="16">
        <f>IF(AND(ISNUMBER($A1298),ISNUMBER(BBG_Data!C1298)),BBG_Data!C1298,NA())</f>
        <v/>
      </c>
      <c r="D1298" s="17">
        <f>IF(AND(ISNUMBER($A1298),ISNUMBER(BBG_Data!D1298)),BBG_Data!D1298,NA())</f>
        <v/>
      </c>
      <c r="E1298" s="17">
        <f>IF(AND(ISNUMBER($A1298),ISNUMBER(BBG_Data!E1298)),BBG_Data!E1298,NA())</f>
        <v/>
      </c>
      <c r="F1298" s="18">
        <f>IF(AND(ISNUMBER(B1298),ISNUMBER(B1297)),(B1298-B1297)*100,"")</f>
        <v/>
      </c>
      <c r="G1298" s="18">
        <f>IF(AND(ISNUMBER(C1298),ISNUMBER(C1297)),(C1298-C1297)*100,"")</f>
        <v/>
      </c>
      <c r="H1298" s="18">
        <f>IF(OR(NOT(ISNUMBER($A1298)),ROW()-2&lt;Settings!$B$11),NA(),IF(COUNT(OFFSET(F1298,1-Settings!$B$11,0,Settings!$B$11,1))&lt;Settings!$B$11,NA(),STDEV(OFFSET(F1298,1-Settings!$B$11,0,Settings!$B$11,1))*SQRT(Settings!$B$13)))</f>
        <v/>
      </c>
      <c r="I1298" s="18">
        <f>IF(OR(NOT(ISNUMBER($A1298)),ROW()-2&lt;Settings!$B$12),NA(),IF(COUNT(OFFSET(F1298,1-Settings!$B$12,0,Settings!$B$12,1))&lt;Settings!$B$12,NA(),STDEV(OFFSET(F1298,1-Settings!$B$12,0,Settings!$B$12,1))*SQRT(Settings!$B$13)))</f>
        <v/>
      </c>
      <c r="J1298" s="18">
        <f>IF(OR(NOT(ISNUMBER($A1298)),ROW()-2&lt;Settings!$B$11),NA(),IF(COUNT(OFFSET(G1298,1-Settings!$B$11,0,Settings!$B$11,1))&lt;Settings!$B$11,NA(),STDEV(OFFSET(G1298,1-Settings!$B$11,0,Settings!$B$11,1))*SQRT(Settings!$B$13)))</f>
        <v/>
      </c>
      <c r="K1298" s="18">
        <f>IF(OR(NOT(ISNUMBER($A1298)),ROW()-2&lt;Settings!$B$12),NA(),IF(COUNT(OFFSET(G1298,1-Settings!$B$12,0,Settings!$B$12,1))&lt;Settings!$B$12,NA(),STDEV(OFFSET(G1298,1-Settings!$B$12,0,Settings!$B$12,1))*SQRT(Settings!$B$13)))</f>
        <v/>
      </c>
      <c r="L1298" s="18">
        <f>IF(AND(ISNUMBER(D1298),ISNUMBER(H1298)),D1298-H1298,NA())</f>
        <v/>
      </c>
      <c r="M1298" s="18">
        <f>IF(AND(ISNUMBER(E1298),ISNUMBER(K1298)),E1298-K1298,NA())</f>
        <v/>
      </c>
      <c r="N1298" s="18">
        <f>IF(NOT(ISNUMBER($A1298)),NA(),IF(COUNT(OFFSET(G1298,1,0,Settings!$B$12,1))&lt;Settings!$B$12,NA(),STDEV(OFFSET(G1298,1,0,Settings!$B$12,1))*SQRT(Settings!$B$13)))</f>
        <v/>
      </c>
      <c r="O1298" s="18">
        <f>IF(AND(ISNUMBER(E1298),ISNUMBER(N1298)),E1298-N1298,NA())</f>
        <v/>
      </c>
      <c r="P1298" s="17">
        <f>IF(NOT(ISNUMBER($A1298)),NA(),IF(OR($A1298&lt;MIN(KW_TP!$A$2:$A$2501),$A1298&gt;MAX(KW_TP!$A$2:$A$2501)),NA(),INDEX(KW_TP!$C$2:$C$2501,MATCH($A1298,KW_TP!$A$2:$A$2501,1))))</f>
        <v/>
      </c>
    </row>
    <row r="1299">
      <c r="A1299" s="15">
        <f>IF(ISNUMBER(BBG_Data!A1299),BBG_Data!A1299,"")</f>
        <v/>
      </c>
      <c r="B1299" s="16">
        <f>IF(AND(ISNUMBER($A1299),ISNUMBER(BBG_Data!B1299)),BBG_Data!B1299,NA())</f>
        <v/>
      </c>
      <c r="C1299" s="16">
        <f>IF(AND(ISNUMBER($A1299),ISNUMBER(BBG_Data!C1299)),BBG_Data!C1299,NA())</f>
        <v/>
      </c>
      <c r="D1299" s="17">
        <f>IF(AND(ISNUMBER($A1299),ISNUMBER(BBG_Data!D1299)),BBG_Data!D1299,NA())</f>
        <v/>
      </c>
      <c r="E1299" s="17">
        <f>IF(AND(ISNUMBER($A1299),ISNUMBER(BBG_Data!E1299)),BBG_Data!E1299,NA())</f>
        <v/>
      </c>
      <c r="F1299" s="18">
        <f>IF(AND(ISNUMBER(B1299),ISNUMBER(B1298)),(B1299-B1298)*100,"")</f>
        <v/>
      </c>
      <c r="G1299" s="18">
        <f>IF(AND(ISNUMBER(C1299),ISNUMBER(C1298)),(C1299-C1298)*100,"")</f>
        <v/>
      </c>
      <c r="H1299" s="18">
        <f>IF(OR(NOT(ISNUMBER($A1299)),ROW()-2&lt;Settings!$B$11),NA(),IF(COUNT(OFFSET(F1299,1-Settings!$B$11,0,Settings!$B$11,1))&lt;Settings!$B$11,NA(),STDEV(OFFSET(F1299,1-Settings!$B$11,0,Settings!$B$11,1))*SQRT(Settings!$B$13)))</f>
        <v/>
      </c>
      <c r="I1299" s="18">
        <f>IF(OR(NOT(ISNUMBER($A1299)),ROW()-2&lt;Settings!$B$12),NA(),IF(COUNT(OFFSET(F1299,1-Settings!$B$12,0,Settings!$B$12,1))&lt;Settings!$B$12,NA(),STDEV(OFFSET(F1299,1-Settings!$B$12,0,Settings!$B$12,1))*SQRT(Settings!$B$13)))</f>
        <v/>
      </c>
      <c r="J1299" s="18">
        <f>IF(OR(NOT(ISNUMBER($A1299)),ROW()-2&lt;Settings!$B$11),NA(),IF(COUNT(OFFSET(G1299,1-Settings!$B$11,0,Settings!$B$11,1))&lt;Settings!$B$11,NA(),STDEV(OFFSET(G1299,1-Settings!$B$11,0,Settings!$B$11,1))*SQRT(Settings!$B$13)))</f>
        <v/>
      </c>
      <c r="K1299" s="18">
        <f>IF(OR(NOT(ISNUMBER($A1299)),ROW()-2&lt;Settings!$B$12),NA(),IF(COUNT(OFFSET(G1299,1-Settings!$B$12,0,Settings!$B$12,1))&lt;Settings!$B$12,NA(),STDEV(OFFSET(G1299,1-Settings!$B$12,0,Settings!$B$12,1))*SQRT(Settings!$B$13)))</f>
        <v/>
      </c>
      <c r="L1299" s="18">
        <f>IF(AND(ISNUMBER(D1299),ISNUMBER(H1299)),D1299-H1299,NA())</f>
        <v/>
      </c>
      <c r="M1299" s="18">
        <f>IF(AND(ISNUMBER(E1299),ISNUMBER(K1299)),E1299-K1299,NA())</f>
        <v/>
      </c>
      <c r="N1299" s="18">
        <f>IF(NOT(ISNUMBER($A1299)),NA(),IF(COUNT(OFFSET(G1299,1,0,Settings!$B$12,1))&lt;Settings!$B$12,NA(),STDEV(OFFSET(G1299,1,0,Settings!$B$12,1))*SQRT(Settings!$B$13)))</f>
        <v/>
      </c>
      <c r="O1299" s="18">
        <f>IF(AND(ISNUMBER(E1299),ISNUMBER(N1299)),E1299-N1299,NA())</f>
        <v/>
      </c>
      <c r="P1299" s="17">
        <f>IF(NOT(ISNUMBER($A1299)),NA(),IF(OR($A1299&lt;MIN(KW_TP!$A$2:$A$2501),$A1299&gt;MAX(KW_TP!$A$2:$A$2501)),NA(),INDEX(KW_TP!$C$2:$C$2501,MATCH($A1299,KW_TP!$A$2:$A$2501,1))))</f>
        <v/>
      </c>
    </row>
    <row r="1300">
      <c r="A1300" s="15">
        <f>IF(ISNUMBER(BBG_Data!A1300),BBG_Data!A1300,"")</f>
        <v/>
      </c>
      <c r="B1300" s="16">
        <f>IF(AND(ISNUMBER($A1300),ISNUMBER(BBG_Data!B1300)),BBG_Data!B1300,NA())</f>
        <v/>
      </c>
      <c r="C1300" s="16">
        <f>IF(AND(ISNUMBER($A1300),ISNUMBER(BBG_Data!C1300)),BBG_Data!C1300,NA())</f>
        <v/>
      </c>
      <c r="D1300" s="17">
        <f>IF(AND(ISNUMBER($A1300),ISNUMBER(BBG_Data!D1300)),BBG_Data!D1300,NA())</f>
        <v/>
      </c>
      <c r="E1300" s="17">
        <f>IF(AND(ISNUMBER($A1300),ISNUMBER(BBG_Data!E1300)),BBG_Data!E1300,NA())</f>
        <v/>
      </c>
      <c r="F1300" s="18">
        <f>IF(AND(ISNUMBER(B1300),ISNUMBER(B1299)),(B1300-B1299)*100,"")</f>
        <v/>
      </c>
      <c r="G1300" s="18">
        <f>IF(AND(ISNUMBER(C1300),ISNUMBER(C1299)),(C1300-C1299)*100,"")</f>
        <v/>
      </c>
      <c r="H1300" s="18">
        <f>IF(OR(NOT(ISNUMBER($A1300)),ROW()-2&lt;Settings!$B$11),NA(),IF(COUNT(OFFSET(F1300,1-Settings!$B$11,0,Settings!$B$11,1))&lt;Settings!$B$11,NA(),STDEV(OFFSET(F1300,1-Settings!$B$11,0,Settings!$B$11,1))*SQRT(Settings!$B$13)))</f>
        <v/>
      </c>
      <c r="I1300" s="18">
        <f>IF(OR(NOT(ISNUMBER($A1300)),ROW()-2&lt;Settings!$B$12),NA(),IF(COUNT(OFFSET(F1300,1-Settings!$B$12,0,Settings!$B$12,1))&lt;Settings!$B$12,NA(),STDEV(OFFSET(F1300,1-Settings!$B$12,0,Settings!$B$12,1))*SQRT(Settings!$B$13)))</f>
        <v/>
      </c>
      <c r="J1300" s="18">
        <f>IF(OR(NOT(ISNUMBER($A1300)),ROW()-2&lt;Settings!$B$11),NA(),IF(COUNT(OFFSET(G1300,1-Settings!$B$11,0,Settings!$B$11,1))&lt;Settings!$B$11,NA(),STDEV(OFFSET(G1300,1-Settings!$B$11,0,Settings!$B$11,1))*SQRT(Settings!$B$13)))</f>
        <v/>
      </c>
      <c r="K1300" s="18">
        <f>IF(OR(NOT(ISNUMBER($A1300)),ROW()-2&lt;Settings!$B$12),NA(),IF(COUNT(OFFSET(G1300,1-Settings!$B$12,0,Settings!$B$12,1))&lt;Settings!$B$12,NA(),STDEV(OFFSET(G1300,1-Settings!$B$12,0,Settings!$B$12,1))*SQRT(Settings!$B$13)))</f>
        <v/>
      </c>
      <c r="L1300" s="18">
        <f>IF(AND(ISNUMBER(D1300),ISNUMBER(H1300)),D1300-H1300,NA())</f>
        <v/>
      </c>
      <c r="M1300" s="18">
        <f>IF(AND(ISNUMBER(E1300),ISNUMBER(K1300)),E1300-K1300,NA())</f>
        <v/>
      </c>
      <c r="N1300" s="18">
        <f>IF(NOT(ISNUMBER($A1300)),NA(),IF(COUNT(OFFSET(G1300,1,0,Settings!$B$12,1))&lt;Settings!$B$12,NA(),STDEV(OFFSET(G1300,1,0,Settings!$B$12,1))*SQRT(Settings!$B$13)))</f>
        <v/>
      </c>
      <c r="O1300" s="18">
        <f>IF(AND(ISNUMBER(E1300),ISNUMBER(N1300)),E1300-N1300,NA())</f>
        <v/>
      </c>
      <c r="P1300" s="17">
        <f>IF(NOT(ISNUMBER($A1300)),NA(),IF(OR($A1300&lt;MIN(KW_TP!$A$2:$A$2501),$A1300&gt;MAX(KW_TP!$A$2:$A$2501)),NA(),INDEX(KW_TP!$C$2:$C$2501,MATCH($A1300,KW_TP!$A$2:$A$2501,1))))</f>
        <v/>
      </c>
    </row>
    <row r="1301">
      <c r="A1301" s="15">
        <f>IF(ISNUMBER(BBG_Data!A1301),BBG_Data!A1301,"")</f>
        <v/>
      </c>
      <c r="B1301" s="16">
        <f>IF(AND(ISNUMBER($A1301),ISNUMBER(BBG_Data!B1301)),BBG_Data!B1301,NA())</f>
        <v/>
      </c>
      <c r="C1301" s="16">
        <f>IF(AND(ISNUMBER($A1301),ISNUMBER(BBG_Data!C1301)),BBG_Data!C1301,NA())</f>
        <v/>
      </c>
      <c r="D1301" s="17">
        <f>IF(AND(ISNUMBER($A1301),ISNUMBER(BBG_Data!D1301)),BBG_Data!D1301,NA())</f>
        <v/>
      </c>
      <c r="E1301" s="17">
        <f>IF(AND(ISNUMBER($A1301),ISNUMBER(BBG_Data!E1301)),BBG_Data!E1301,NA())</f>
        <v/>
      </c>
      <c r="F1301" s="18">
        <f>IF(AND(ISNUMBER(B1301),ISNUMBER(B1300)),(B1301-B1300)*100,"")</f>
        <v/>
      </c>
      <c r="G1301" s="18">
        <f>IF(AND(ISNUMBER(C1301),ISNUMBER(C1300)),(C1301-C1300)*100,"")</f>
        <v/>
      </c>
      <c r="H1301" s="18">
        <f>IF(OR(NOT(ISNUMBER($A1301)),ROW()-2&lt;Settings!$B$11),NA(),IF(COUNT(OFFSET(F1301,1-Settings!$B$11,0,Settings!$B$11,1))&lt;Settings!$B$11,NA(),STDEV(OFFSET(F1301,1-Settings!$B$11,0,Settings!$B$11,1))*SQRT(Settings!$B$13)))</f>
        <v/>
      </c>
      <c r="I1301" s="18">
        <f>IF(OR(NOT(ISNUMBER($A1301)),ROW()-2&lt;Settings!$B$12),NA(),IF(COUNT(OFFSET(F1301,1-Settings!$B$12,0,Settings!$B$12,1))&lt;Settings!$B$12,NA(),STDEV(OFFSET(F1301,1-Settings!$B$12,0,Settings!$B$12,1))*SQRT(Settings!$B$13)))</f>
        <v/>
      </c>
      <c r="J1301" s="18">
        <f>IF(OR(NOT(ISNUMBER($A1301)),ROW()-2&lt;Settings!$B$11),NA(),IF(COUNT(OFFSET(G1301,1-Settings!$B$11,0,Settings!$B$11,1))&lt;Settings!$B$11,NA(),STDEV(OFFSET(G1301,1-Settings!$B$11,0,Settings!$B$11,1))*SQRT(Settings!$B$13)))</f>
        <v/>
      </c>
      <c r="K1301" s="18">
        <f>IF(OR(NOT(ISNUMBER($A1301)),ROW()-2&lt;Settings!$B$12),NA(),IF(COUNT(OFFSET(G1301,1-Settings!$B$12,0,Settings!$B$12,1))&lt;Settings!$B$12,NA(),STDEV(OFFSET(G1301,1-Settings!$B$12,0,Settings!$B$12,1))*SQRT(Settings!$B$13)))</f>
        <v/>
      </c>
      <c r="L1301" s="18">
        <f>IF(AND(ISNUMBER(D1301),ISNUMBER(H1301)),D1301-H1301,NA())</f>
        <v/>
      </c>
      <c r="M1301" s="18">
        <f>IF(AND(ISNUMBER(E1301),ISNUMBER(K1301)),E1301-K1301,NA())</f>
        <v/>
      </c>
      <c r="N1301" s="18">
        <f>IF(NOT(ISNUMBER($A1301)),NA(),IF(COUNT(OFFSET(G1301,1,0,Settings!$B$12,1))&lt;Settings!$B$12,NA(),STDEV(OFFSET(G1301,1,0,Settings!$B$12,1))*SQRT(Settings!$B$13)))</f>
        <v/>
      </c>
      <c r="O1301" s="18">
        <f>IF(AND(ISNUMBER(E1301),ISNUMBER(N1301)),E1301-N1301,NA())</f>
        <v/>
      </c>
      <c r="P1301" s="17">
        <f>IF(NOT(ISNUMBER($A1301)),NA(),IF(OR($A1301&lt;MIN(KW_TP!$A$2:$A$2501),$A1301&gt;MAX(KW_TP!$A$2:$A$2501)),NA(),INDEX(KW_TP!$C$2:$C$2501,MATCH($A1301,KW_TP!$A$2:$A$2501,1))))</f>
        <v/>
      </c>
    </row>
    <row r="1302">
      <c r="A1302" s="15">
        <f>IF(ISNUMBER(BBG_Data!A1302),BBG_Data!A1302,"")</f>
        <v/>
      </c>
      <c r="B1302" s="16">
        <f>IF(AND(ISNUMBER($A1302),ISNUMBER(BBG_Data!B1302)),BBG_Data!B1302,NA())</f>
        <v/>
      </c>
      <c r="C1302" s="16">
        <f>IF(AND(ISNUMBER($A1302),ISNUMBER(BBG_Data!C1302)),BBG_Data!C1302,NA())</f>
        <v/>
      </c>
      <c r="D1302" s="17">
        <f>IF(AND(ISNUMBER($A1302),ISNUMBER(BBG_Data!D1302)),BBG_Data!D1302,NA())</f>
        <v/>
      </c>
      <c r="E1302" s="17">
        <f>IF(AND(ISNUMBER($A1302),ISNUMBER(BBG_Data!E1302)),BBG_Data!E1302,NA())</f>
        <v/>
      </c>
      <c r="F1302" s="18">
        <f>IF(AND(ISNUMBER(B1302),ISNUMBER(B1301)),(B1302-B1301)*100,"")</f>
        <v/>
      </c>
      <c r="G1302" s="18">
        <f>IF(AND(ISNUMBER(C1302),ISNUMBER(C1301)),(C1302-C1301)*100,"")</f>
        <v/>
      </c>
      <c r="H1302" s="18">
        <f>IF(OR(NOT(ISNUMBER($A1302)),ROW()-2&lt;Settings!$B$11),NA(),IF(COUNT(OFFSET(F1302,1-Settings!$B$11,0,Settings!$B$11,1))&lt;Settings!$B$11,NA(),STDEV(OFFSET(F1302,1-Settings!$B$11,0,Settings!$B$11,1))*SQRT(Settings!$B$13)))</f>
        <v/>
      </c>
      <c r="I1302" s="18">
        <f>IF(OR(NOT(ISNUMBER($A1302)),ROW()-2&lt;Settings!$B$12),NA(),IF(COUNT(OFFSET(F1302,1-Settings!$B$12,0,Settings!$B$12,1))&lt;Settings!$B$12,NA(),STDEV(OFFSET(F1302,1-Settings!$B$12,0,Settings!$B$12,1))*SQRT(Settings!$B$13)))</f>
        <v/>
      </c>
      <c r="J1302" s="18">
        <f>IF(OR(NOT(ISNUMBER($A1302)),ROW()-2&lt;Settings!$B$11),NA(),IF(COUNT(OFFSET(G1302,1-Settings!$B$11,0,Settings!$B$11,1))&lt;Settings!$B$11,NA(),STDEV(OFFSET(G1302,1-Settings!$B$11,0,Settings!$B$11,1))*SQRT(Settings!$B$13)))</f>
        <v/>
      </c>
      <c r="K1302" s="18">
        <f>IF(OR(NOT(ISNUMBER($A1302)),ROW()-2&lt;Settings!$B$12),NA(),IF(COUNT(OFFSET(G1302,1-Settings!$B$12,0,Settings!$B$12,1))&lt;Settings!$B$12,NA(),STDEV(OFFSET(G1302,1-Settings!$B$12,0,Settings!$B$12,1))*SQRT(Settings!$B$13)))</f>
        <v/>
      </c>
      <c r="L1302" s="18">
        <f>IF(AND(ISNUMBER(D1302),ISNUMBER(H1302)),D1302-H1302,NA())</f>
        <v/>
      </c>
      <c r="M1302" s="18">
        <f>IF(AND(ISNUMBER(E1302),ISNUMBER(K1302)),E1302-K1302,NA())</f>
        <v/>
      </c>
      <c r="N1302" s="18">
        <f>IF(NOT(ISNUMBER($A1302)),NA(),IF(COUNT(OFFSET(G1302,1,0,Settings!$B$12,1))&lt;Settings!$B$12,NA(),STDEV(OFFSET(G1302,1,0,Settings!$B$12,1))*SQRT(Settings!$B$13)))</f>
        <v/>
      </c>
      <c r="O1302" s="18">
        <f>IF(AND(ISNUMBER(E1302),ISNUMBER(N1302)),E1302-N1302,NA())</f>
        <v/>
      </c>
      <c r="P1302" s="17">
        <f>IF(NOT(ISNUMBER($A1302)),NA(),IF(OR($A1302&lt;MIN(KW_TP!$A$2:$A$2501),$A1302&gt;MAX(KW_TP!$A$2:$A$2501)),NA(),INDEX(KW_TP!$C$2:$C$2501,MATCH($A1302,KW_TP!$A$2:$A$2501,1))))</f>
        <v/>
      </c>
    </row>
    <row r="1303">
      <c r="A1303" s="15">
        <f>IF(ISNUMBER(BBG_Data!A1303),BBG_Data!A1303,"")</f>
        <v/>
      </c>
      <c r="B1303" s="16">
        <f>IF(AND(ISNUMBER($A1303),ISNUMBER(BBG_Data!B1303)),BBG_Data!B1303,NA())</f>
        <v/>
      </c>
      <c r="C1303" s="16">
        <f>IF(AND(ISNUMBER($A1303),ISNUMBER(BBG_Data!C1303)),BBG_Data!C1303,NA())</f>
        <v/>
      </c>
      <c r="D1303" s="17">
        <f>IF(AND(ISNUMBER($A1303),ISNUMBER(BBG_Data!D1303)),BBG_Data!D1303,NA())</f>
        <v/>
      </c>
      <c r="E1303" s="17">
        <f>IF(AND(ISNUMBER($A1303),ISNUMBER(BBG_Data!E1303)),BBG_Data!E1303,NA())</f>
        <v/>
      </c>
      <c r="F1303" s="18">
        <f>IF(AND(ISNUMBER(B1303),ISNUMBER(B1302)),(B1303-B1302)*100,"")</f>
        <v/>
      </c>
      <c r="G1303" s="18">
        <f>IF(AND(ISNUMBER(C1303),ISNUMBER(C1302)),(C1303-C1302)*100,"")</f>
        <v/>
      </c>
      <c r="H1303" s="18">
        <f>IF(OR(NOT(ISNUMBER($A1303)),ROW()-2&lt;Settings!$B$11),NA(),IF(COUNT(OFFSET(F1303,1-Settings!$B$11,0,Settings!$B$11,1))&lt;Settings!$B$11,NA(),STDEV(OFFSET(F1303,1-Settings!$B$11,0,Settings!$B$11,1))*SQRT(Settings!$B$13)))</f>
        <v/>
      </c>
      <c r="I1303" s="18">
        <f>IF(OR(NOT(ISNUMBER($A1303)),ROW()-2&lt;Settings!$B$12),NA(),IF(COUNT(OFFSET(F1303,1-Settings!$B$12,0,Settings!$B$12,1))&lt;Settings!$B$12,NA(),STDEV(OFFSET(F1303,1-Settings!$B$12,0,Settings!$B$12,1))*SQRT(Settings!$B$13)))</f>
        <v/>
      </c>
      <c r="J1303" s="18">
        <f>IF(OR(NOT(ISNUMBER($A1303)),ROW()-2&lt;Settings!$B$11),NA(),IF(COUNT(OFFSET(G1303,1-Settings!$B$11,0,Settings!$B$11,1))&lt;Settings!$B$11,NA(),STDEV(OFFSET(G1303,1-Settings!$B$11,0,Settings!$B$11,1))*SQRT(Settings!$B$13)))</f>
        <v/>
      </c>
      <c r="K1303" s="18">
        <f>IF(OR(NOT(ISNUMBER($A1303)),ROW()-2&lt;Settings!$B$12),NA(),IF(COUNT(OFFSET(G1303,1-Settings!$B$12,0,Settings!$B$12,1))&lt;Settings!$B$12,NA(),STDEV(OFFSET(G1303,1-Settings!$B$12,0,Settings!$B$12,1))*SQRT(Settings!$B$13)))</f>
        <v/>
      </c>
      <c r="L1303" s="18">
        <f>IF(AND(ISNUMBER(D1303),ISNUMBER(H1303)),D1303-H1303,NA())</f>
        <v/>
      </c>
      <c r="M1303" s="18">
        <f>IF(AND(ISNUMBER(E1303),ISNUMBER(K1303)),E1303-K1303,NA())</f>
        <v/>
      </c>
      <c r="N1303" s="18">
        <f>IF(NOT(ISNUMBER($A1303)),NA(),IF(COUNT(OFFSET(G1303,1,0,Settings!$B$12,1))&lt;Settings!$B$12,NA(),STDEV(OFFSET(G1303,1,0,Settings!$B$12,1))*SQRT(Settings!$B$13)))</f>
        <v/>
      </c>
      <c r="O1303" s="18">
        <f>IF(AND(ISNUMBER(E1303),ISNUMBER(N1303)),E1303-N1303,NA())</f>
        <v/>
      </c>
      <c r="P1303" s="17">
        <f>IF(NOT(ISNUMBER($A1303)),NA(),IF(OR($A1303&lt;MIN(KW_TP!$A$2:$A$2501),$A1303&gt;MAX(KW_TP!$A$2:$A$2501)),NA(),INDEX(KW_TP!$C$2:$C$2501,MATCH($A1303,KW_TP!$A$2:$A$2501,1))))</f>
        <v/>
      </c>
    </row>
    <row r="1304">
      <c r="A1304" s="15">
        <f>IF(ISNUMBER(BBG_Data!A1304),BBG_Data!A1304,"")</f>
        <v/>
      </c>
      <c r="B1304" s="16">
        <f>IF(AND(ISNUMBER($A1304),ISNUMBER(BBG_Data!B1304)),BBG_Data!B1304,NA())</f>
        <v/>
      </c>
      <c r="C1304" s="16">
        <f>IF(AND(ISNUMBER($A1304),ISNUMBER(BBG_Data!C1304)),BBG_Data!C1304,NA())</f>
        <v/>
      </c>
      <c r="D1304" s="17">
        <f>IF(AND(ISNUMBER($A1304),ISNUMBER(BBG_Data!D1304)),BBG_Data!D1304,NA())</f>
        <v/>
      </c>
      <c r="E1304" s="17">
        <f>IF(AND(ISNUMBER($A1304),ISNUMBER(BBG_Data!E1304)),BBG_Data!E1304,NA())</f>
        <v/>
      </c>
      <c r="F1304" s="18">
        <f>IF(AND(ISNUMBER(B1304),ISNUMBER(B1303)),(B1304-B1303)*100,"")</f>
        <v/>
      </c>
      <c r="G1304" s="18">
        <f>IF(AND(ISNUMBER(C1304),ISNUMBER(C1303)),(C1304-C1303)*100,"")</f>
        <v/>
      </c>
      <c r="H1304" s="18">
        <f>IF(OR(NOT(ISNUMBER($A1304)),ROW()-2&lt;Settings!$B$11),NA(),IF(COUNT(OFFSET(F1304,1-Settings!$B$11,0,Settings!$B$11,1))&lt;Settings!$B$11,NA(),STDEV(OFFSET(F1304,1-Settings!$B$11,0,Settings!$B$11,1))*SQRT(Settings!$B$13)))</f>
        <v/>
      </c>
      <c r="I1304" s="18">
        <f>IF(OR(NOT(ISNUMBER($A1304)),ROW()-2&lt;Settings!$B$12),NA(),IF(COUNT(OFFSET(F1304,1-Settings!$B$12,0,Settings!$B$12,1))&lt;Settings!$B$12,NA(),STDEV(OFFSET(F1304,1-Settings!$B$12,0,Settings!$B$12,1))*SQRT(Settings!$B$13)))</f>
        <v/>
      </c>
      <c r="J1304" s="18">
        <f>IF(OR(NOT(ISNUMBER($A1304)),ROW()-2&lt;Settings!$B$11),NA(),IF(COUNT(OFFSET(G1304,1-Settings!$B$11,0,Settings!$B$11,1))&lt;Settings!$B$11,NA(),STDEV(OFFSET(G1304,1-Settings!$B$11,0,Settings!$B$11,1))*SQRT(Settings!$B$13)))</f>
        <v/>
      </c>
      <c r="K1304" s="18">
        <f>IF(OR(NOT(ISNUMBER($A1304)),ROW()-2&lt;Settings!$B$12),NA(),IF(COUNT(OFFSET(G1304,1-Settings!$B$12,0,Settings!$B$12,1))&lt;Settings!$B$12,NA(),STDEV(OFFSET(G1304,1-Settings!$B$12,0,Settings!$B$12,1))*SQRT(Settings!$B$13)))</f>
        <v/>
      </c>
      <c r="L1304" s="18">
        <f>IF(AND(ISNUMBER(D1304),ISNUMBER(H1304)),D1304-H1304,NA())</f>
        <v/>
      </c>
      <c r="M1304" s="18">
        <f>IF(AND(ISNUMBER(E1304),ISNUMBER(K1304)),E1304-K1304,NA())</f>
        <v/>
      </c>
      <c r="N1304" s="18">
        <f>IF(NOT(ISNUMBER($A1304)),NA(),IF(COUNT(OFFSET(G1304,1,0,Settings!$B$12,1))&lt;Settings!$B$12,NA(),STDEV(OFFSET(G1304,1,0,Settings!$B$12,1))*SQRT(Settings!$B$13)))</f>
        <v/>
      </c>
      <c r="O1304" s="18">
        <f>IF(AND(ISNUMBER(E1304),ISNUMBER(N1304)),E1304-N1304,NA())</f>
        <v/>
      </c>
      <c r="P1304" s="17">
        <f>IF(NOT(ISNUMBER($A1304)),NA(),IF(OR($A1304&lt;MIN(KW_TP!$A$2:$A$2501),$A1304&gt;MAX(KW_TP!$A$2:$A$2501)),NA(),INDEX(KW_TP!$C$2:$C$2501,MATCH($A1304,KW_TP!$A$2:$A$2501,1))))</f>
        <v/>
      </c>
    </row>
    <row r="1305">
      <c r="A1305" s="15">
        <f>IF(ISNUMBER(BBG_Data!A1305),BBG_Data!A1305,"")</f>
        <v/>
      </c>
      <c r="B1305" s="16">
        <f>IF(AND(ISNUMBER($A1305),ISNUMBER(BBG_Data!B1305)),BBG_Data!B1305,NA())</f>
        <v/>
      </c>
      <c r="C1305" s="16">
        <f>IF(AND(ISNUMBER($A1305),ISNUMBER(BBG_Data!C1305)),BBG_Data!C1305,NA())</f>
        <v/>
      </c>
      <c r="D1305" s="17">
        <f>IF(AND(ISNUMBER($A1305),ISNUMBER(BBG_Data!D1305)),BBG_Data!D1305,NA())</f>
        <v/>
      </c>
      <c r="E1305" s="17">
        <f>IF(AND(ISNUMBER($A1305),ISNUMBER(BBG_Data!E1305)),BBG_Data!E1305,NA())</f>
        <v/>
      </c>
      <c r="F1305" s="18">
        <f>IF(AND(ISNUMBER(B1305),ISNUMBER(B1304)),(B1305-B1304)*100,"")</f>
        <v/>
      </c>
      <c r="G1305" s="18">
        <f>IF(AND(ISNUMBER(C1305),ISNUMBER(C1304)),(C1305-C1304)*100,"")</f>
        <v/>
      </c>
      <c r="H1305" s="18">
        <f>IF(OR(NOT(ISNUMBER($A1305)),ROW()-2&lt;Settings!$B$11),NA(),IF(COUNT(OFFSET(F1305,1-Settings!$B$11,0,Settings!$B$11,1))&lt;Settings!$B$11,NA(),STDEV(OFFSET(F1305,1-Settings!$B$11,0,Settings!$B$11,1))*SQRT(Settings!$B$13)))</f>
        <v/>
      </c>
      <c r="I1305" s="18">
        <f>IF(OR(NOT(ISNUMBER($A1305)),ROW()-2&lt;Settings!$B$12),NA(),IF(COUNT(OFFSET(F1305,1-Settings!$B$12,0,Settings!$B$12,1))&lt;Settings!$B$12,NA(),STDEV(OFFSET(F1305,1-Settings!$B$12,0,Settings!$B$12,1))*SQRT(Settings!$B$13)))</f>
        <v/>
      </c>
      <c r="J1305" s="18">
        <f>IF(OR(NOT(ISNUMBER($A1305)),ROW()-2&lt;Settings!$B$11),NA(),IF(COUNT(OFFSET(G1305,1-Settings!$B$11,0,Settings!$B$11,1))&lt;Settings!$B$11,NA(),STDEV(OFFSET(G1305,1-Settings!$B$11,0,Settings!$B$11,1))*SQRT(Settings!$B$13)))</f>
        <v/>
      </c>
      <c r="K1305" s="18">
        <f>IF(OR(NOT(ISNUMBER($A1305)),ROW()-2&lt;Settings!$B$12),NA(),IF(COUNT(OFFSET(G1305,1-Settings!$B$12,0,Settings!$B$12,1))&lt;Settings!$B$12,NA(),STDEV(OFFSET(G1305,1-Settings!$B$12,0,Settings!$B$12,1))*SQRT(Settings!$B$13)))</f>
        <v/>
      </c>
      <c r="L1305" s="18">
        <f>IF(AND(ISNUMBER(D1305),ISNUMBER(H1305)),D1305-H1305,NA())</f>
        <v/>
      </c>
      <c r="M1305" s="18">
        <f>IF(AND(ISNUMBER(E1305),ISNUMBER(K1305)),E1305-K1305,NA())</f>
        <v/>
      </c>
      <c r="N1305" s="18">
        <f>IF(NOT(ISNUMBER($A1305)),NA(),IF(COUNT(OFFSET(G1305,1,0,Settings!$B$12,1))&lt;Settings!$B$12,NA(),STDEV(OFFSET(G1305,1,0,Settings!$B$12,1))*SQRT(Settings!$B$13)))</f>
        <v/>
      </c>
      <c r="O1305" s="18">
        <f>IF(AND(ISNUMBER(E1305),ISNUMBER(N1305)),E1305-N1305,NA())</f>
        <v/>
      </c>
      <c r="P1305" s="17">
        <f>IF(NOT(ISNUMBER($A1305)),NA(),IF(OR($A1305&lt;MIN(KW_TP!$A$2:$A$2501),$A1305&gt;MAX(KW_TP!$A$2:$A$2501)),NA(),INDEX(KW_TP!$C$2:$C$2501,MATCH($A1305,KW_TP!$A$2:$A$2501,1))))</f>
        <v/>
      </c>
    </row>
    <row r="1306">
      <c r="A1306" s="15">
        <f>IF(ISNUMBER(BBG_Data!A1306),BBG_Data!A1306,"")</f>
        <v/>
      </c>
      <c r="B1306" s="16">
        <f>IF(AND(ISNUMBER($A1306),ISNUMBER(BBG_Data!B1306)),BBG_Data!B1306,NA())</f>
        <v/>
      </c>
      <c r="C1306" s="16">
        <f>IF(AND(ISNUMBER($A1306),ISNUMBER(BBG_Data!C1306)),BBG_Data!C1306,NA())</f>
        <v/>
      </c>
      <c r="D1306" s="17">
        <f>IF(AND(ISNUMBER($A1306),ISNUMBER(BBG_Data!D1306)),BBG_Data!D1306,NA())</f>
        <v/>
      </c>
      <c r="E1306" s="17">
        <f>IF(AND(ISNUMBER($A1306),ISNUMBER(BBG_Data!E1306)),BBG_Data!E1306,NA())</f>
        <v/>
      </c>
      <c r="F1306" s="18">
        <f>IF(AND(ISNUMBER(B1306),ISNUMBER(B1305)),(B1306-B1305)*100,"")</f>
        <v/>
      </c>
      <c r="G1306" s="18">
        <f>IF(AND(ISNUMBER(C1306),ISNUMBER(C1305)),(C1306-C1305)*100,"")</f>
        <v/>
      </c>
      <c r="H1306" s="18">
        <f>IF(OR(NOT(ISNUMBER($A1306)),ROW()-2&lt;Settings!$B$11),NA(),IF(COUNT(OFFSET(F1306,1-Settings!$B$11,0,Settings!$B$11,1))&lt;Settings!$B$11,NA(),STDEV(OFFSET(F1306,1-Settings!$B$11,0,Settings!$B$11,1))*SQRT(Settings!$B$13)))</f>
        <v/>
      </c>
      <c r="I1306" s="18">
        <f>IF(OR(NOT(ISNUMBER($A1306)),ROW()-2&lt;Settings!$B$12),NA(),IF(COUNT(OFFSET(F1306,1-Settings!$B$12,0,Settings!$B$12,1))&lt;Settings!$B$12,NA(),STDEV(OFFSET(F1306,1-Settings!$B$12,0,Settings!$B$12,1))*SQRT(Settings!$B$13)))</f>
        <v/>
      </c>
      <c r="J1306" s="18">
        <f>IF(OR(NOT(ISNUMBER($A1306)),ROW()-2&lt;Settings!$B$11),NA(),IF(COUNT(OFFSET(G1306,1-Settings!$B$11,0,Settings!$B$11,1))&lt;Settings!$B$11,NA(),STDEV(OFFSET(G1306,1-Settings!$B$11,0,Settings!$B$11,1))*SQRT(Settings!$B$13)))</f>
        <v/>
      </c>
      <c r="K1306" s="18">
        <f>IF(OR(NOT(ISNUMBER($A1306)),ROW()-2&lt;Settings!$B$12),NA(),IF(COUNT(OFFSET(G1306,1-Settings!$B$12,0,Settings!$B$12,1))&lt;Settings!$B$12,NA(),STDEV(OFFSET(G1306,1-Settings!$B$12,0,Settings!$B$12,1))*SQRT(Settings!$B$13)))</f>
        <v/>
      </c>
      <c r="L1306" s="18">
        <f>IF(AND(ISNUMBER(D1306),ISNUMBER(H1306)),D1306-H1306,NA())</f>
        <v/>
      </c>
      <c r="M1306" s="18">
        <f>IF(AND(ISNUMBER(E1306),ISNUMBER(K1306)),E1306-K1306,NA())</f>
        <v/>
      </c>
      <c r="N1306" s="18">
        <f>IF(NOT(ISNUMBER($A1306)),NA(),IF(COUNT(OFFSET(G1306,1,0,Settings!$B$12,1))&lt;Settings!$B$12,NA(),STDEV(OFFSET(G1306,1,0,Settings!$B$12,1))*SQRT(Settings!$B$13)))</f>
        <v/>
      </c>
      <c r="O1306" s="18">
        <f>IF(AND(ISNUMBER(E1306),ISNUMBER(N1306)),E1306-N1306,NA())</f>
        <v/>
      </c>
      <c r="P1306" s="17">
        <f>IF(NOT(ISNUMBER($A1306)),NA(),IF(OR($A1306&lt;MIN(KW_TP!$A$2:$A$2501),$A1306&gt;MAX(KW_TP!$A$2:$A$2501)),NA(),INDEX(KW_TP!$C$2:$C$2501,MATCH($A1306,KW_TP!$A$2:$A$2501,1))))</f>
        <v/>
      </c>
    </row>
    <row r="1307">
      <c r="A1307" s="15">
        <f>IF(ISNUMBER(BBG_Data!A1307),BBG_Data!A1307,"")</f>
        <v/>
      </c>
      <c r="B1307" s="16">
        <f>IF(AND(ISNUMBER($A1307),ISNUMBER(BBG_Data!B1307)),BBG_Data!B1307,NA())</f>
        <v/>
      </c>
      <c r="C1307" s="16">
        <f>IF(AND(ISNUMBER($A1307),ISNUMBER(BBG_Data!C1307)),BBG_Data!C1307,NA())</f>
        <v/>
      </c>
      <c r="D1307" s="17">
        <f>IF(AND(ISNUMBER($A1307),ISNUMBER(BBG_Data!D1307)),BBG_Data!D1307,NA())</f>
        <v/>
      </c>
      <c r="E1307" s="17">
        <f>IF(AND(ISNUMBER($A1307),ISNUMBER(BBG_Data!E1307)),BBG_Data!E1307,NA())</f>
        <v/>
      </c>
      <c r="F1307" s="18">
        <f>IF(AND(ISNUMBER(B1307),ISNUMBER(B1306)),(B1307-B1306)*100,"")</f>
        <v/>
      </c>
      <c r="G1307" s="18">
        <f>IF(AND(ISNUMBER(C1307),ISNUMBER(C1306)),(C1307-C1306)*100,"")</f>
        <v/>
      </c>
      <c r="H1307" s="18">
        <f>IF(OR(NOT(ISNUMBER($A1307)),ROW()-2&lt;Settings!$B$11),NA(),IF(COUNT(OFFSET(F1307,1-Settings!$B$11,0,Settings!$B$11,1))&lt;Settings!$B$11,NA(),STDEV(OFFSET(F1307,1-Settings!$B$11,0,Settings!$B$11,1))*SQRT(Settings!$B$13)))</f>
        <v/>
      </c>
      <c r="I1307" s="18">
        <f>IF(OR(NOT(ISNUMBER($A1307)),ROW()-2&lt;Settings!$B$12),NA(),IF(COUNT(OFFSET(F1307,1-Settings!$B$12,0,Settings!$B$12,1))&lt;Settings!$B$12,NA(),STDEV(OFFSET(F1307,1-Settings!$B$12,0,Settings!$B$12,1))*SQRT(Settings!$B$13)))</f>
        <v/>
      </c>
      <c r="J1307" s="18">
        <f>IF(OR(NOT(ISNUMBER($A1307)),ROW()-2&lt;Settings!$B$11),NA(),IF(COUNT(OFFSET(G1307,1-Settings!$B$11,0,Settings!$B$11,1))&lt;Settings!$B$11,NA(),STDEV(OFFSET(G1307,1-Settings!$B$11,0,Settings!$B$11,1))*SQRT(Settings!$B$13)))</f>
        <v/>
      </c>
      <c r="K1307" s="18">
        <f>IF(OR(NOT(ISNUMBER($A1307)),ROW()-2&lt;Settings!$B$12),NA(),IF(COUNT(OFFSET(G1307,1-Settings!$B$12,0,Settings!$B$12,1))&lt;Settings!$B$12,NA(),STDEV(OFFSET(G1307,1-Settings!$B$12,0,Settings!$B$12,1))*SQRT(Settings!$B$13)))</f>
        <v/>
      </c>
      <c r="L1307" s="18">
        <f>IF(AND(ISNUMBER(D1307),ISNUMBER(H1307)),D1307-H1307,NA())</f>
        <v/>
      </c>
      <c r="M1307" s="18">
        <f>IF(AND(ISNUMBER(E1307),ISNUMBER(K1307)),E1307-K1307,NA())</f>
        <v/>
      </c>
      <c r="N1307" s="18">
        <f>IF(NOT(ISNUMBER($A1307)),NA(),IF(COUNT(OFFSET(G1307,1,0,Settings!$B$12,1))&lt;Settings!$B$12,NA(),STDEV(OFFSET(G1307,1,0,Settings!$B$12,1))*SQRT(Settings!$B$13)))</f>
        <v/>
      </c>
      <c r="O1307" s="18">
        <f>IF(AND(ISNUMBER(E1307),ISNUMBER(N1307)),E1307-N1307,NA())</f>
        <v/>
      </c>
      <c r="P1307" s="17">
        <f>IF(NOT(ISNUMBER($A1307)),NA(),IF(OR($A1307&lt;MIN(KW_TP!$A$2:$A$2501),$A1307&gt;MAX(KW_TP!$A$2:$A$2501)),NA(),INDEX(KW_TP!$C$2:$C$2501,MATCH($A1307,KW_TP!$A$2:$A$2501,1))))</f>
        <v/>
      </c>
    </row>
    <row r="1308">
      <c r="A1308" s="15">
        <f>IF(ISNUMBER(BBG_Data!A1308),BBG_Data!A1308,"")</f>
        <v/>
      </c>
      <c r="B1308" s="16">
        <f>IF(AND(ISNUMBER($A1308),ISNUMBER(BBG_Data!B1308)),BBG_Data!B1308,NA())</f>
        <v/>
      </c>
      <c r="C1308" s="16">
        <f>IF(AND(ISNUMBER($A1308),ISNUMBER(BBG_Data!C1308)),BBG_Data!C1308,NA())</f>
        <v/>
      </c>
      <c r="D1308" s="17">
        <f>IF(AND(ISNUMBER($A1308),ISNUMBER(BBG_Data!D1308)),BBG_Data!D1308,NA())</f>
        <v/>
      </c>
      <c r="E1308" s="17">
        <f>IF(AND(ISNUMBER($A1308),ISNUMBER(BBG_Data!E1308)),BBG_Data!E1308,NA())</f>
        <v/>
      </c>
      <c r="F1308" s="18">
        <f>IF(AND(ISNUMBER(B1308),ISNUMBER(B1307)),(B1308-B1307)*100,"")</f>
        <v/>
      </c>
      <c r="G1308" s="18">
        <f>IF(AND(ISNUMBER(C1308),ISNUMBER(C1307)),(C1308-C1307)*100,"")</f>
        <v/>
      </c>
      <c r="H1308" s="18">
        <f>IF(OR(NOT(ISNUMBER($A1308)),ROW()-2&lt;Settings!$B$11),NA(),IF(COUNT(OFFSET(F1308,1-Settings!$B$11,0,Settings!$B$11,1))&lt;Settings!$B$11,NA(),STDEV(OFFSET(F1308,1-Settings!$B$11,0,Settings!$B$11,1))*SQRT(Settings!$B$13)))</f>
        <v/>
      </c>
      <c r="I1308" s="18">
        <f>IF(OR(NOT(ISNUMBER($A1308)),ROW()-2&lt;Settings!$B$12),NA(),IF(COUNT(OFFSET(F1308,1-Settings!$B$12,0,Settings!$B$12,1))&lt;Settings!$B$12,NA(),STDEV(OFFSET(F1308,1-Settings!$B$12,0,Settings!$B$12,1))*SQRT(Settings!$B$13)))</f>
        <v/>
      </c>
      <c r="J1308" s="18">
        <f>IF(OR(NOT(ISNUMBER($A1308)),ROW()-2&lt;Settings!$B$11),NA(),IF(COUNT(OFFSET(G1308,1-Settings!$B$11,0,Settings!$B$11,1))&lt;Settings!$B$11,NA(),STDEV(OFFSET(G1308,1-Settings!$B$11,0,Settings!$B$11,1))*SQRT(Settings!$B$13)))</f>
        <v/>
      </c>
      <c r="K1308" s="18">
        <f>IF(OR(NOT(ISNUMBER($A1308)),ROW()-2&lt;Settings!$B$12),NA(),IF(COUNT(OFFSET(G1308,1-Settings!$B$12,0,Settings!$B$12,1))&lt;Settings!$B$12,NA(),STDEV(OFFSET(G1308,1-Settings!$B$12,0,Settings!$B$12,1))*SQRT(Settings!$B$13)))</f>
        <v/>
      </c>
      <c r="L1308" s="18">
        <f>IF(AND(ISNUMBER(D1308),ISNUMBER(H1308)),D1308-H1308,NA())</f>
        <v/>
      </c>
      <c r="M1308" s="18">
        <f>IF(AND(ISNUMBER(E1308),ISNUMBER(K1308)),E1308-K1308,NA())</f>
        <v/>
      </c>
      <c r="N1308" s="18">
        <f>IF(NOT(ISNUMBER($A1308)),NA(),IF(COUNT(OFFSET(G1308,1,0,Settings!$B$12,1))&lt;Settings!$B$12,NA(),STDEV(OFFSET(G1308,1,0,Settings!$B$12,1))*SQRT(Settings!$B$13)))</f>
        <v/>
      </c>
      <c r="O1308" s="18">
        <f>IF(AND(ISNUMBER(E1308),ISNUMBER(N1308)),E1308-N1308,NA())</f>
        <v/>
      </c>
      <c r="P1308" s="17">
        <f>IF(NOT(ISNUMBER($A1308)),NA(),IF(OR($A1308&lt;MIN(KW_TP!$A$2:$A$2501),$A1308&gt;MAX(KW_TP!$A$2:$A$2501)),NA(),INDEX(KW_TP!$C$2:$C$2501,MATCH($A1308,KW_TP!$A$2:$A$2501,1))))</f>
        <v/>
      </c>
    </row>
    <row r="1309">
      <c r="A1309" s="15">
        <f>IF(ISNUMBER(BBG_Data!A1309),BBG_Data!A1309,"")</f>
        <v/>
      </c>
      <c r="B1309" s="16">
        <f>IF(AND(ISNUMBER($A1309),ISNUMBER(BBG_Data!B1309)),BBG_Data!B1309,NA())</f>
        <v/>
      </c>
      <c r="C1309" s="16">
        <f>IF(AND(ISNUMBER($A1309),ISNUMBER(BBG_Data!C1309)),BBG_Data!C1309,NA())</f>
        <v/>
      </c>
      <c r="D1309" s="17">
        <f>IF(AND(ISNUMBER($A1309),ISNUMBER(BBG_Data!D1309)),BBG_Data!D1309,NA())</f>
        <v/>
      </c>
      <c r="E1309" s="17">
        <f>IF(AND(ISNUMBER($A1309),ISNUMBER(BBG_Data!E1309)),BBG_Data!E1309,NA())</f>
        <v/>
      </c>
      <c r="F1309" s="18">
        <f>IF(AND(ISNUMBER(B1309),ISNUMBER(B1308)),(B1309-B1308)*100,"")</f>
        <v/>
      </c>
      <c r="G1309" s="18">
        <f>IF(AND(ISNUMBER(C1309),ISNUMBER(C1308)),(C1309-C1308)*100,"")</f>
        <v/>
      </c>
      <c r="H1309" s="18">
        <f>IF(OR(NOT(ISNUMBER($A1309)),ROW()-2&lt;Settings!$B$11),NA(),IF(COUNT(OFFSET(F1309,1-Settings!$B$11,0,Settings!$B$11,1))&lt;Settings!$B$11,NA(),STDEV(OFFSET(F1309,1-Settings!$B$11,0,Settings!$B$11,1))*SQRT(Settings!$B$13)))</f>
        <v/>
      </c>
      <c r="I1309" s="18">
        <f>IF(OR(NOT(ISNUMBER($A1309)),ROW()-2&lt;Settings!$B$12),NA(),IF(COUNT(OFFSET(F1309,1-Settings!$B$12,0,Settings!$B$12,1))&lt;Settings!$B$12,NA(),STDEV(OFFSET(F1309,1-Settings!$B$12,0,Settings!$B$12,1))*SQRT(Settings!$B$13)))</f>
        <v/>
      </c>
      <c r="J1309" s="18">
        <f>IF(OR(NOT(ISNUMBER($A1309)),ROW()-2&lt;Settings!$B$11),NA(),IF(COUNT(OFFSET(G1309,1-Settings!$B$11,0,Settings!$B$11,1))&lt;Settings!$B$11,NA(),STDEV(OFFSET(G1309,1-Settings!$B$11,0,Settings!$B$11,1))*SQRT(Settings!$B$13)))</f>
        <v/>
      </c>
      <c r="K1309" s="18">
        <f>IF(OR(NOT(ISNUMBER($A1309)),ROW()-2&lt;Settings!$B$12),NA(),IF(COUNT(OFFSET(G1309,1-Settings!$B$12,0,Settings!$B$12,1))&lt;Settings!$B$12,NA(),STDEV(OFFSET(G1309,1-Settings!$B$12,0,Settings!$B$12,1))*SQRT(Settings!$B$13)))</f>
        <v/>
      </c>
      <c r="L1309" s="18">
        <f>IF(AND(ISNUMBER(D1309),ISNUMBER(H1309)),D1309-H1309,NA())</f>
        <v/>
      </c>
      <c r="M1309" s="18">
        <f>IF(AND(ISNUMBER(E1309),ISNUMBER(K1309)),E1309-K1309,NA())</f>
        <v/>
      </c>
      <c r="N1309" s="18">
        <f>IF(NOT(ISNUMBER($A1309)),NA(),IF(COUNT(OFFSET(G1309,1,0,Settings!$B$12,1))&lt;Settings!$B$12,NA(),STDEV(OFFSET(G1309,1,0,Settings!$B$12,1))*SQRT(Settings!$B$13)))</f>
        <v/>
      </c>
      <c r="O1309" s="18">
        <f>IF(AND(ISNUMBER(E1309),ISNUMBER(N1309)),E1309-N1309,NA())</f>
        <v/>
      </c>
      <c r="P1309" s="17">
        <f>IF(NOT(ISNUMBER($A1309)),NA(),IF(OR($A1309&lt;MIN(KW_TP!$A$2:$A$2501),$A1309&gt;MAX(KW_TP!$A$2:$A$2501)),NA(),INDEX(KW_TP!$C$2:$C$2501,MATCH($A1309,KW_TP!$A$2:$A$2501,1))))</f>
        <v/>
      </c>
    </row>
    <row r="1310">
      <c r="A1310" s="15">
        <f>IF(ISNUMBER(BBG_Data!A1310),BBG_Data!A1310,"")</f>
        <v/>
      </c>
      <c r="B1310" s="16">
        <f>IF(AND(ISNUMBER($A1310),ISNUMBER(BBG_Data!B1310)),BBG_Data!B1310,NA())</f>
        <v/>
      </c>
      <c r="C1310" s="16">
        <f>IF(AND(ISNUMBER($A1310),ISNUMBER(BBG_Data!C1310)),BBG_Data!C1310,NA())</f>
        <v/>
      </c>
      <c r="D1310" s="17">
        <f>IF(AND(ISNUMBER($A1310),ISNUMBER(BBG_Data!D1310)),BBG_Data!D1310,NA())</f>
        <v/>
      </c>
      <c r="E1310" s="17">
        <f>IF(AND(ISNUMBER($A1310),ISNUMBER(BBG_Data!E1310)),BBG_Data!E1310,NA())</f>
        <v/>
      </c>
      <c r="F1310" s="18">
        <f>IF(AND(ISNUMBER(B1310),ISNUMBER(B1309)),(B1310-B1309)*100,"")</f>
        <v/>
      </c>
      <c r="G1310" s="18">
        <f>IF(AND(ISNUMBER(C1310),ISNUMBER(C1309)),(C1310-C1309)*100,"")</f>
        <v/>
      </c>
      <c r="H1310" s="18">
        <f>IF(OR(NOT(ISNUMBER($A1310)),ROW()-2&lt;Settings!$B$11),NA(),IF(COUNT(OFFSET(F1310,1-Settings!$B$11,0,Settings!$B$11,1))&lt;Settings!$B$11,NA(),STDEV(OFFSET(F1310,1-Settings!$B$11,0,Settings!$B$11,1))*SQRT(Settings!$B$13)))</f>
        <v/>
      </c>
      <c r="I1310" s="18">
        <f>IF(OR(NOT(ISNUMBER($A1310)),ROW()-2&lt;Settings!$B$12),NA(),IF(COUNT(OFFSET(F1310,1-Settings!$B$12,0,Settings!$B$12,1))&lt;Settings!$B$12,NA(),STDEV(OFFSET(F1310,1-Settings!$B$12,0,Settings!$B$12,1))*SQRT(Settings!$B$13)))</f>
        <v/>
      </c>
      <c r="J1310" s="18">
        <f>IF(OR(NOT(ISNUMBER($A1310)),ROW()-2&lt;Settings!$B$11),NA(),IF(COUNT(OFFSET(G1310,1-Settings!$B$11,0,Settings!$B$11,1))&lt;Settings!$B$11,NA(),STDEV(OFFSET(G1310,1-Settings!$B$11,0,Settings!$B$11,1))*SQRT(Settings!$B$13)))</f>
        <v/>
      </c>
      <c r="K1310" s="18">
        <f>IF(OR(NOT(ISNUMBER($A1310)),ROW()-2&lt;Settings!$B$12),NA(),IF(COUNT(OFFSET(G1310,1-Settings!$B$12,0,Settings!$B$12,1))&lt;Settings!$B$12,NA(),STDEV(OFFSET(G1310,1-Settings!$B$12,0,Settings!$B$12,1))*SQRT(Settings!$B$13)))</f>
        <v/>
      </c>
      <c r="L1310" s="18">
        <f>IF(AND(ISNUMBER(D1310),ISNUMBER(H1310)),D1310-H1310,NA())</f>
        <v/>
      </c>
      <c r="M1310" s="18">
        <f>IF(AND(ISNUMBER(E1310),ISNUMBER(K1310)),E1310-K1310,NA())</f>
        <v/>
      </c>
      <c r="N1310" s="18">
        <f>IF(NOT(ISNUMBER($A1310)),NA(),IF(COUNT(OFFSET(G1310,1,0,Settings!$B$12,1))&lt;Settings!$B$12,NA(),STDEV(OFFSET(G1310,1,0,Settings!$B$12,1))*SQRT(Settings!$B$13)))</f>
        <v/>
      </c>
      <c r="O1310" s="18">
        <f>IF(AND(ISNUMBER(E1310),ISNUMBER(N1310)),E1310-N1310,NA())</f>
        <v/>
      </c>
      <c r="P1310" s="17">
        <f>IF(NOT(ISNUMBER($A1310)),NA(),IF(OR($A1310&lt;MIN(KW_TP!$A$2:$A$2501),$A1310&gt;MAX(KW_TP!$A$2:$A$2501)),NA(),INDEX(KW_TP!$C$2:$C$2501,MATCH($A1310,KW_TP!$A$2:$A$2501,1))))</f>
        <v/>
      </c>
    </row>
    <row r="1311">
      <c r="A1311" s="15">
        <f>IF(ISNUMBER(BBG_Data!A1311),BBG_Data!A1311,"")</f>
        <v/>
      </c>
      <c r="B1311" s="16">
        <f>IF(AND(ISNUMBER($A1311),ISNUMBER(BBG_Data!B1311)),BBG_Data!B1311,NA())</f>
        <v/>
      </c>
      <c r="C1311" s="16">
        <f>IF(AND(ISNUMBER($A1311),ISNUMBER(BBG_Data!C1311)),BBG_Data!C1311,NA())</f>
        <v/>
      </c>
      <c r="D1311" s="17">
        <f>IF(AND(ISNUMBER($A1311),ISNUMBER(BBG_Data!D1311)),BBG_Data!D1311,NA())</f>
        <v/>
      </c>
      <c r="E1311" s="17">
        <f>IF(AND(ISNUMBER($A1311),ISNUMBER(BBG_Data!E1311)),BBG_Data!E1311,NA())</f>
        <v/>
      </c>
      <c r="F1311" s="18">
        <f>IF(AND(ISNUMBER(B1311),ISNUMBER(B1310)),(B1311-B1310)*100,"")</f>
        <v/>
      </c>
      <c r="G1311" s="18">
        <f>IF(AND(ISNUMBER(C1311),ISNUMBER(C1310)),(C1311-C1310)*100,"")</f>
        <v/>
      </c>
      <c r="H1311" s="18">
        <f>IF(OR(NOT(ISNUMBER($A1311)),ROW()-2&lt;Settings!$B$11),NA(),IF(COUNT(OFFSET(F1311,1-Settings!$B$11,0,Settings!$B$11,1))&lt;Settings!$B$11,NA(),STDEV(OFFSET(F1311,1-Settings!$B$11,0,Settings!$B$11,1))*SQRT(Settings!$B$13)))</f>
        <v/>
      </c>
      <c r="I1311" s="18">
        <f>IF(OR(NOT(ISNUMBER($A1311)),ROW()-2&lt;Settings!$B$12),NA(),IF(COUNT(OFFSET(F1311,1-Settings!$B$12,0,Settings!$B$12,1))&lt;Settings!$B$12,NA(),STDEV(OFFSET(F1311,1-Settings!$B$12,0,Settings!$B$12,1))*SQRT(Settings!$B$13)))</f>
        <v/>
      </c>
      <c r="J1311" s="18">
        <f>IF(OR(NOT(ISNUMBER($A1311)),ROW()-2&lt;Settings!$B$11),NA(),IF(COUNT(OFFSET(G1311,1-Settings!$B$11,0,Settings!$B$11,1))&lt;Settings!$B$11,NA(),STDEV(OFFSET(G1311,1-Settings!$B$11,0,Settings!$B$11,1))*SQRT(Settings!$B$13)))</f>
        <v/>
      </c>
      <c r="K1311" s="18">
        <f>IF(OR(NOT(ISNUMBER($A1311)),ROW()-2&lt;Settings!$B$12),NA(),IF(COUNT(OFFSET(G1311,1-Settings!$B$12,0,Settings!$B$12,1))&lt;Settings!$B$12,NA(),STDEV(OFFSET(G1311,1-Settings!$B$12,0,Settings!$B$12,1))*SQRT(Settings!$B$13)))</f>
        <v/>
      </c>
      <c r="L1311" s="18">
        <f>IF(AND(ISNUMBER(D1311),ISNUMBER(H1311)),D1311-H1311,NA())</f>
        <v/>
      </c>
      <c r="M1311" s="18">
        <f>IF(AND(ISNUMBER(E1311),ISNUMBER(K1311)),E1311-K1311,NA())</f>
        <v/>
      </c>
      <c r="N1311" s="18">
        <f>IF(NOT(ISNUMBER($A1311)),NA(),IF(COUNT(OFFSET(G1311,1,0,Settings!$B$12,1))&lt;Settings!$B$12,NA(),STDEV(OFFSET(G1311,1,0,Settings!$B$12,1))*SQRT(Settings!$B$13)))</f>
        <v/>
      </c>
      <c r="O1311" s="18">
        <f>IF(AND(ISNUMBER(E1311),ISNUMBER(N1311)),E1311-N1311,NA())</f>
        <v/>
      </c>
      <c r="P1311" s="17">
        <f>IF(NOT(ISNUMBER($A1311)),NA(),IF(OR($A1311&lt;MIN(KW_TP!$A$2:$A$2501),$A1311&gt;MAX(KW_TP!$A$2:$A$2501)),NA(),INDEX(KW_TP!$C$2:$C$2501,MATCH($A1311,KW_TP!$A$2:$A$2501,1))))</f>
        <v/>
      </c>
    </row>
    <row r="1312">
      <c r="A1312" s="15">
        <f>IF(ISNUMBER(BBG_Data!A1312),BBG_Data!A1312,"")</f>
        <v/>
      </c>
      <c r="B1312" s="16">
        <f>IF(AND(ISNUMBER($A1312),ISNUMBER(BBG_Data!B1312)),BBG_Data!B1312,NA())</f>
        <v/>
      </c>
      <c r="C1312" s="16">
        <f>IF(AND(ISNUMBER($A1312),ISNUMBER(BBG_Data!C1312)),BBG_Data!C1312,NA())</f>
        <v/>
      </c>
      <c r="D1312" s="17">
        <f>IF(AND(ISNUMBER($A1312),ISNUMBER(BBG_Data!D1312)),BBG_Data!D1312,NA())</f>
        <v/>
      </c>
      <c r="E1312" s="17">
        <f>IF(AND(ISNUMBER($A1312),ISNUMBER(BBG_Data!E1312)),BBG_Data!E1312,NA())</f>
        <v/>
      </c>
      <c r="F1312" s="18">
        <f>IF(AND(ISNUMBER(B1312),ISNUMBER(B1311)),(B1312-B1311)*100,"")</f>
        <v/>
      </c>
      <c r="G1312" s="18">
        <f>IF(AND(ISNUMBER(C1312),ISNUMBER(C1311)),(C1312-C1311)*100,"")</f>
        <v/>
      </c>
      <c r="H1312" s="18">
        <f>IF(OR(NOT(ISNUMBER($A1312)),ROW()-2&lt;Settings!$B$11),NA(),IF(COUNT(OFFSET(F1312,1-Settings!$B$11,0,Settings!$B$11,1))&lt;Settings!$B$11,NA(),STDEV(OFFSET(F1312,1-Settings!$B$11,0,Settings!$B$11,1))*SQRT(Settings!$B$13)))</f>
        <v/>
      </c>
      <c r="I1312" s="18">
        <f>IF(OR(NOT(ISNUMBER($A1312)),ROW()-2&lt;Settings!$B$12),NA(),IF(COUNT(OFFSET(F1312,1-Settings!$B$12,0,Settings!$B$12,1))&lt;Settings!$B$12,NA(),STDEV(OFFSET(F1312,1-Settings!$B$12,0,Settings!$B$12,1))*SQRT(Settings!$B$13)))</f>
        <v/>
      </c>
      <c r="J1312" s="18">
        <f>IF(OR(NOT(ISNUMBER($A1312)),ROW()-2&lt;Settings!$B$11),NA(),IF(COUNT(OFFSET(G1312,1-Settings!$B$11,0,Settings!$B$11,1))&lt;Settings!$B$11,NA(),STDEV(OFFSET(G1312,1-Settings!$B$11,0,Settings!$B$11,1))*SQRT(Settings!$B$13)))</f>
        <v/>
      </c>
      <c r="K1312" s="18">
        <f>IF(OR(NOT(ISNUMBER($A1312)),ROW()-2&lt;Settings!$B$12),NA(),IF(COUNT(OFFSET(G1312,1-Settings!$B$12,0,Settings!$B$12,1))&lt;Settings!$B$12,NA(),STDEV(OFFSET(G1312,1-Settings!$B$12,0,Settings!$B$12,1))*SQRT(Settings!$B$13)))</f>
        <v/>
      </c>
      <c r="L1312" s="18">
        <f>IF(AND(ISNUMBER(D1312),ISNUMBER(H1312)),D1312-H1312,NA())</f>
        <v/>
      </c>
      <c r="M1312" s="18">
        <f>IF(AND(ISNUMBER(E1312),ISNUMBER(K1312)),E1312-K1312,NA())</f>
        <v/>
      </c>
      <c r="N1312" s="18">
        <f>IF(NOT(ISNUMBER($A1312)),NA(),IF(COUNT(OFFSET(G1312,1,0,Settings!$B$12,1))&lt;Settings!$B$12,NA(),STDEV(OFFSET(G1312,1,0,Settings!$B$12,1))*SQRT(Settings!$B$13)))</f>
        <v/>
      </c>
      <c r="O1312" s="18">
        <f>IF(AND(ISNUMBER(E1312),ISNUMBER(N1312)),E1312-N1312,NA())</f>
        <v/>
      </c>
      <c r="P1312" s="17">
        <f>IF(NOT(ISNUMBER($A1312)),NA(),IF(OR($A1312&lt;MIN(KW_TP!$A$2:$A$2501),$A1312&gt;MAX(KW_TP!$A$2:$A$2501)),NA(),INDEX(KW_TP!$C$2:$C$2501,MATCH($A1312,KW_TP!$A$2:$A$2501,1))))</f>
        <v/>
      </c>
    </row>
    <row r="1313">
      <c r="A1313" s="15">
        <f>IF(ISNUMBER(BBG_Data!A1313),BBG_Data!A1313,"")</f>
        <v/>
      </c>
      <c r="B1313" s="16">
        <f>IF(AND(ISNUMBER($A1313),ISNUMBER(BBG_Data!B1313)),BBG_Data!B1313,NA())</f>
        <v/>
      </c>
      <c r="C1313" s="16">
        <f>IF(AND(ISNUMBER($A1313),ISNUMBER(BBG_Data!C1313)),BBG_Data!C1313,NA())</f>
        <v/>
      </c>
      <c r="D1313" s="17">
        <f>IF(AND(ISNUMBER($A1313),ISNUMBER(BBG_Data!D1313)),BBG_Data!D1313,NA())</f>
        <v/>
      </c>
      <c r="E1313" s="17">
        <f>IF(AND(ISNUMBER($A1313),ISNUMBER(BBG_Data!E1313)),BBG_Data!E1313,NA())</f>
        <v/>
      </c>
      <c r="F1313" s="18">
        <f>IF(AND(ISNUMBER(B1313),ISNUMBER(B1312)),(B1313-B1312)*100,"")</f>
        <v/>
      </c>
      <c r="G1313" s="18">
        <f>IF(AND(ISNUMBER(C1313),ISNUMBER(C1312)),(C1313-C1312)*100,"")</f>
        <v/>
      </c>
      <c r="H1313" s="18">
        <f>IF(OR(NOT(ISNUMBER($A1313)),ROW()-2&lt;Settings!$B$11),NA(),IF(COUNT(OFFSET(F1313,1-Settings!$B$11,0,Settings!$B$11,1))&lt;Settings!$B$11,NA(),STDEV(OFFSET(F1313,1-Settings!$B$11,0,Settings!$B$11,1))*SQRT(Settings!$B$13)))</f>
        <v/>
      </c>
      <c r="I1313" s="18">
        <f>IF(OR(NOT(ISNUMBER($A1313)),ROW()-2&lt;Settings!$B$12),NA(),IF(COUNT(OFFSET(F1313,1-Settings!$B$12,0,Settings!$B$12,1))&lt;Settings!$B$12,NA(),STDEV(OFFSET(F1313,1-Settings!$B$12,0,Settings!$B$12,1))*SQRT(Settings!$B$13)))</f>
        <v/>
      </c>
      <c r="J1313" s="18">
        <f>IF(OR(NOT(ISNUMBER($A1313)),ROW()-2&lt;Settings!$B$11),NA(),IF(COUNT(OFFSET(G1313,1-Settings!$B$11,0,Settings!$B$11,1))&lt;Settings!$B$11,NA(),STDEV(OFFSET(G1313,1-Settings!$B$11,0,Settings!$B$11,1))*SQRT(Settings!$B$13)))</f>
        <v/>
      </c>
      <c r="K1313" s="18">
        <f>IF(OR(NOT(ISNUMBER($A1313)),ROW()-2&lt;Settings!$B$12),NA(),IF(COUNT(OFFSET(G1313,1-Settings!$B$12,0,Settings!$B$12,1))&lt;Settings!$B$12,NA(),STDEV(OFFSET(G1313,1-Settings!$B$12,0,Settings!$B$12,1))*SQRT(Settings!$B$13)))</f>
        <v/>
      </c>
      <c r="L1313" s="18">
        <f>IF(AND(ISNUMBER(D1313),ISNUMBER(H1313)),D1313-H1313,NA())</f>
        <v/>
      </c>
      <c r="M1313" s="18">
        <f>IF(AND(ISNUMBER(E1313),ISNUMBER(K1313)),E1313-K1313,NA())</f>
        <v/>
      </c>
      <c r="N1313" s="18">
        <f>IF(NOT(ISNUMBER($A1313)),NA(),IF(COUNT(OFFSET(G1313,1,0,Settings!$B$12,1))&lt;Settings!$B$12,NA(),STDEV(OFFSET(G1313,1,0,Settings!$B$12,1))*SQRT(Settings!$B$13)))</f>
        <v/>
      </c>
      <c r="O1313" s="18">
        <f>IF(AND(ISNUMBER(E1313),ISNUMBER(N1313)),E1313-N1313,NA())</f>
        <v/>
      </c>
      <c r="P1313" s="17">
        <f>IF(NOT(ISNUMBER($A1313)),NA(),IF(OR($A1313&lt;MIN(KW_TP!$A$2:$A$2501),$A1313&gt;MAX(KW_TP!$A$2:$A$2501)),NA(),INDEX(KW_TP!$C$2:$C$2501,MATCH($A1313,KW_TP!$A$2:$A$2501,1))))</f>
        <v/>
      </c>
    </row>
    <row r="1314">
      <c r="A1314" s="15">
        <f>IF(ISNUMBER(BBG_Data!A1314),BBG_Data!A1314,"")</f>
        <v/>
      </c>
      <c r="B1314" s="16">
        <f>IF(AND(ISNUMBER($A1314),ISNUMBER(BBG_Data!B1314)),BBG_Data!B1314,NA())</f>
        <v/>
      </c>
      <c r="C1314" s="16">
        <f>IF(AND(ISNUMBER($A1314),ISNUMBER(BBG_Data!C1314)),BBG_Data!C1314,NA())</f>
        <v/>
      </c>
      <c r="D1314" s="17">
        <f>IF(AND(ISNUMBER($A1314),ISNUMBER(BBG_Data!D1314)),BBG_Data!D1314,NA())</f>
        <v/>
      </c>
      <c r="E1314" s="17">
        <f>IF(AND(ISNUMBER($A1314),ISNUMBER(BBG_Data!E1314)),BBG_Data!E1314,NA())</f>
        <v/>
      </c>
      <c r="F1314" s="18">
        <f>IF(AND(ISNUMBER(B1314),ISNUMBER(B1313)),(B1314-B1313)*100,"")</f>
        <v/>
      </c>
      <c r="G1314" s="18">
        <f>IF(AND(ISNUMBER(C1314),ISNUMBER(C1313)),(C1314-C1313)*100,"")</f>
        <v/>
      </c>
      <c r="H1314" s="18">
        <f>IF(OR(NOT(ISNUMBER($A1314)),ROW()-2&lt;Settings!$B$11),NA(),IF(COUNT(OFFSET(F1314,1-Settings!$B$11,0,Settings!$B$11,1))&lt;Settings!$B$11,NA(),STDEV(OFFSET(F1314,1-Settings!$B$11,0,Settings!$B$11,1))*SQRT(Settings!$B$13)))</f>
        <v/>
      </c>
      <c r="I1314" s="18">
        <f>IF(OR(NOT(ISNUMBER($A1314)),ROW()-2&lt;Settings!$B$12),NA(),IF(COUNT(OFFSET(F1314,1-Settings!$B$12,0,Settings!$B$12,1))&lt;Settings!$B$12,NA(),STDEV(OFFSET(F1314,1-Settings!$B$12,0,Settings!$B$12,1))*SQRT(Settings!$B$13)))</f>
        <v/>
      </c>
      <c r="J1314" s="18">
        <f>IF(OR(NOT(ISNUMBER($A1314)),ROW()-2&lt;Settings!$B$11),NA(),IF(COUNT(OFFSET(G1314,1-Settings!$B$11,0,Settings!$B$11,1))&lt;Settings!$B$11,NA(),STDEV(OFFSET(G1314,1-Settings!$B$11,0,Settings!$B$11,1))*SQRT(Settings!$B$13)))</f>
        <v/>
      </c>
      <c r="K1314" s="18">
        <f>IF(OR(NOT(ISNUMBER($A1314)),ROW()-2&lt;Settings!$B$12),NA(),IF(COUNT(OFFSET(G1314,1-Settings!$B$12,0,Settings!$B$12,1))&lt;Settings!$B$12,NA(),STDEV(OFFSET(G1314,1-Settings!$B$12,0,Settings!$B$12,1))*SQRT(Settings!$B$13)))</f>
        <v/>
      </c>
      <c r="L1314" s="18">
        <f>IF(AND(ISNUMBER(D1314),ISNUMBER(H1314)),D1314-H1314,NA())</f>
        <v/>
      </c>
      <c r="M1314" s="18">
        <f>IF(AND(ISNUMBER(E1314),ISNUMBER(K1314)),E1314-K1314,NA())</f>
        <v/>
      </c>
      <c r="N1314" s="18">
        <f>IF(NOT(ISNUMBER($A1314)),NA(),IF(COUNT(OFFSET(G1314,1,0,Settings!$B$12,1))&lt;Settings!$B$12,NA(),STDEV(OFFSET(G1314,1,0,Settings!$B$12,1))*SQRT(Settings!$B$13)))</f>
        <v/>
      </c>
      <c r="O1314" s="18">
        <f>IF(AND(ISNUMBER(E1314),ISNUMBER(N1314)),E1314-N1314,NA())</f>
        <v/>
      </c>
      <c r="P1314" s="17">
        <f>IF(NOT(ISNUMBER($A1314)),NA(),IF(OR($A1314&lt;MIN(KW_TP!$A$2:$A$2501),$A1314&gt;MAX(KW_TP!$A$2:$A$2501)),NA(),INDEX(KW_TP!$C$2:$C$2501,MATCH($A1314,KW_TP!$A$2:$A$2501,1))))</f>
        <v/>
      </c>
    </row>
    <row r="1315">
      <c r="A1315" s="15">
        <f>IF(ISNUMBER(BBG_Data!A1315),BBG_Data!A1315,"")</f>
        <v/>
      </c>
      <c r="B1315" s="16">
        <f>IF(AND(ISNUMBER($A1315),ISNUMBER(BBG_Data!B1315)),BBG_Data!B1315,NA())</f>
        <v/>
      </c>
      <c r="C1315" s="16">
        <f>IF(AND(ISNUMBER($A1315),ISNUMBER(BBG_Data!C1315)),BBG_Data!C1315,NA())</f>
        <v/>
      </c>
      <c r="D1315" s="17">
        <f>IF(AND(ISNUMBER($A1315),ISNUMBER(BBG_Data!D1315)),BBG_Data!D1315,NA())</f>
        <v/>
      </c>
      <c r="E1315" s="17">
        <f>IF(AND(ISNUMBER($A1315),ISNUMBER(BBG_Data!E1315)),BBG_Data!E1315,NA())</f>
        <v/>
      </c>
      <c r="F1315" s="18">
        <f>IF(AND(ISNUMBER(B1315),ISNUMBER(B1314)),(B1315-B1314)*100,"")</f>
        <v/>
      </c>
      <c r="G1315" s="18">
        <f>IF(AND(ISNUMBER(C1315),ISNUMBER(C1314)),(C1315-C1314)*100,"")</f>
        <v/>
      </c>
      <c r="H1315" s="18">
        <f>IF(OR(NOT(ISNUMBER($A1315)),ROW()-2&lt;Settings!$B$11),NA(),IF(COUNT(OFFSET(F1315,1-Settings!$B$11,0,Settings!$B$11,1))&lt;Settings!$B$11,NA(),STDEV(OFFSET(F1315,1-Settings!$B$11,0,Settings!$B$11,1))*SQRT(Settings!$B$13)))</f>
        <v/>
      </c>
      <c r="I1315" s="18">
        <f>IF(OR(NOT(ISNUMBER($A1315)),ROW()-2&lt;Settings!$B$12),NA(),IF(COUNT(OFFSET(F1315,1-Settings!$B$12,0,Settings!$B$12,1))&lt;Settings!$B$12,NA(),STDEV(OFFSET(F1315,1-Settings!$B$12,0,Settings!$B$12,1))*SQRT(Settings!$B$13)))</f>
        <v/>
      </c>
      <c r="J1315" s="18">
        <f>IF(OR(NOT(ISNUMBER($A1315)),ROW()-2&lt;Settings!$B$11),NA(),IF(COUNT(OFFSET(G1315,1-Settings!$B$11,0,Settings!$B$11,1))&lt;Settings!$B$11,NA(),STDEV(OFFSET(G1315,1-Settings!$B$11,0,Settings!$B$11,1))*SQRT(Settings!$B$13)))</f>
        <v/>
      </c>
      <c r="K1315" s="18">
        <f>IF(OR(NOT(ISNUMBER($A1315)),ROW()-2&lt;Settings!$B$12),NA(),IF(COUNT(OFFSET(G1315,1-Settings!$B$12,0,Settings!$B$12,1))&lt;Settings!$B$12,NA(),STDEV(OFFSET(G1315,1-Settings!$B$12,0,Settings!$B$12,1))*SQRT(Settings!$B$13)))</f>
        <v/>
      </c>
      <c r="L1315" s="18">
        <f>IF(AND(ISNUMBER(D1315),ISNUMBER(H1315)),D1315-H1315,NA())</f>
        <v/>
      </c>
      <c r="M1315" s="18">
        <f>IF(AND(ISNUMBER(E1315),ISNUMBER(K1315)),E1315-K1315,NA())</f>
        <v/>
      </c>
      <c r="N1315" s="18">
        <f>IF(NOT(ISNUMBER($A1315)),NA(),IF(COUNT(OFFSET(G1315,1,0,Settings!$B$12,1))&lt;Settings!$B$12,NA(),STDEV(OFFSET(G1315,1,0,Settings!$B$12,1))*SQRT(Settings!$B$13)))</f>
        <v/>
      </c>
      <c r="O1315" s="18">
        <f>IF(AND(ISNUMBER(E1315),ISNUMBER(N1315)),E1315-N1315,NA())</f>
        <v/>
      </c>
      <c r="P1315" s="17">
        <f>IF(NOT(ISNUMBER($A1315)),NA(),IF(OR($A1315&lt;MIN(KW_TP!$A$2:$A$2501),$A1315&gt;MAX(KW_TP!$A$2:$A$2501)),NA(),INDEX(KW_TP!$C$2:$C$2501,MATCH($A1315,KW_TP!$A$2:$A$2501,1))))</f>
        <v/>
      </c>
    </row>
    <row r="1316">
      <c r="A1316" s="15">
        <f>IF(ISNUMBER(BBG_Data!A1316),BBG_Data!A1316,"")</f>
        <v/>
      </c>
      <c r="B1316" s="16">
        <f>IF(AND(ISNUMBER($A1316),ISNUMBER(BBG_Data!B1316)),BBG_Data!B1316,NA())</f>
        <v/>
      </c>
      <c r="C1316" s="16">
        <f>IF(AND(ISNUMBER($A1316),ISNUMBER(BBG_Data!C1316)),BBG_Data!C1316,NA())</f>
        <v/>
      </c>
      <c r="D1316" s="17">
        <f>IF(AND(ISNUMBER($A1316),ISNUMBER(BBG_Data!D1316)),BBG_Data!D1316,NA())</f>
        <v/>
      </c>
      <c r="E1316" s="17">
        <f>IF(AND(ISNUMBER($A1316),ISNUMBER(BBG_Data!E1316)),BBG_Data!E1316,NA())</f>
        <v/>
      </c>
      <c r="F1316" s="18">
        <f>IF(AND(ISNUMBER(B1316),ISNUMBER(B1315)),(B1316-B1315)*100,"")</f>
        <v/>
      </c>
      <c r="G1316" s="18">
        <f>IF(AND(ISNUMBER(C1316),ISNUMBER(C1315)),(C1316-C1315)*100,"")</f>
        <v/>
      </c>
      <c r="H1316" s="18">
        <f>IF(OR(NOT(ISNUMBER($A1316)),ROW()-2&lt;Settings!$B$11),NA(),IF(COUNT(OFFSET(F1316,1-Settings!$B$11,0,Settings!$B$11,1))&lt;Settings!$B$11,NA(),STDEV(OFFSET(F1316,1-Settings!$B$11,0,Settings!$B$11,1))*SQRT(Settings!$B$13)))</f>
        <v/>
      </c>
      <c r="I1316" s="18">
        <f>IF(OR(NOT(ISNUMBER($A1316)),ROW()-2&lt;Settings!$B$12),NA(),IF(COUNT(OFFSET(F1316,1-Settings!$B$12,0,Settings!$B$12,1))&lt;Settings!$B$12,NA(),STDEV(OFFSET(F1316,1-Settings!$B$12,0,Settings!$B$12,1))*SQRT(Settings!$B$13)))</f>
        <v/>
      </c>
      <c r="J1316" s="18">
        <f>IF(OR(NOT(ISNUMBER($A1316)),ROW()-2&lt;Settings!$B$11),NA(),IF(COUNT(OFFSET(G1316,1-Settings!$B$11,0,Settings!$B$11,1))&lt;Settings!$B$11,NA(),STDEV(OFFSET(G1316,1-Settings!$B$11,0,Settings!$B$11,1))*SQRT(Settings!$B$13)))</f>
        <v/>
      </c>
      <c r="K1316" s="18">
        <f>IF(OR(NOT(ISNUMBER($A1316)),ROW()-2&lt;Settings!$B$12),NA(),IF(COUNT(OFFSET(G1316,1-Settings!$B$12,0,Settings!$B$12,1))&lt;Settings!$B$12,NA(),STDEV(OFFSET(G1316,1-Settings!$B$12,0,Settings!$B$12,1))*SQRT(Settings!$B$13)))</f>
        <v/>
      </c>
      <c r="L1316" s="18">
        <f>IF(AND(ISNUMBER(D1316),ISNUMBER(H1316)),D1316-H1316,NA())</f>
        <v/>
      </c>
      <c r="M1316" s="18">
        <f>IF(AND(ISNUMBER(E1316),ISNUMBER(K1316)),E1316-K1316,NA())</f>
        <v/>
      </c>
      <c r="N1316" s="18">
        <f>IF(NOT(ISNUMBER($A1316)),NA(),IF(COUNT(OFFSET(G1316,1,0,Settings!$B$12,1))&lt;Settings!$B$12,NA(),STDEV(OFFSET(G1316,1,0,Settings!$B$12,1))*SQRT(Settings!$B$13)))</f>
        <v/>
      </c>
      <c r="O1316" s="18">
        <f>IF(AND(ISNUMBER(E1316),ISNUMBER(N1316)),E1316-N1316,NA())</f>
        <v/>
      </c>
      <c r="P1316" s="17">
        <f>IF(NOT(ISNUMBER($A1316)),NA(),IF(OR($A1316&lt;MIN(KW_TP!$A$2:$A$2501),$A1316&gt;MAX(KW_TP!$A$2:$A$2501)),NA(),INDEX(KW_TP!$C$2:$C$2501,MATCH($A1316,KW_TP!$A$2:$A$2501,1))))</f>
        <v/>
      </c>
    </row>
    <row r="1317">
      <c r="A1317" s="15">
        <f>IF(ISNUMBER(BBG_Data!A1317),BBG_Data!A1317,"")</f>
        <v/>
      </c>
      <c r="B1317" s="16">
        <f>IF(AND(ISNUMBER($A1317),ISNUMBER(BBG_Data!B1317)),BBG_Data!B1317,NA())</f>
        <v/>
      </c>
      <c r="C1317" s="16">
        <f>IF(AND(ISNUMBER($A1317),ISNUMBER(BBG_Data!C1317)),BBG_Data!C1317,NA())</f>
        <v/>
      </c>
      <c r="D1317" s="17">
        <f>IF(AND(ISNUMBER($A1317),ISNUMBER(BBG_Data!D1317)),BBG_Data!D1317,NA())</f>
        <v/>
      </c>
      <c r="E1317" s="17">
        <f>IF(AND(ISNUMBER($A1317),ISNUMBER(BBG_Data!E1317)),BBG_Data!E1317,NA())</f>
        <v/>
      </c>
      <c r="F1317" s="18">
        <f>IF(AND(ISNUMBER(B1317),ISNUMBER(B1316)),(B1317-B1316)*100,"")</f>
        <v/>
      </c>
      <c r="G1317" s="18">
        <f>IF(AND(ISNUMBER(C1317),ISNUMBER(C1316)),(C1317-C1316)*100,"")</f>
        <v/>
      </c>
      <c r="H1317" s="18">
        <f>IF(OR(NOT(ISNUMBER($A1317)),ROW()-2&lt;Settings!$B$11),NA(),IF(COUNT(OFFSET(F1317,1-Settings!$B$11,0,Settings!$B$11,1))&lt;Settings!$B$11,NA(),STDEV(OFFSET(F1317,1-Settings!$B$11,0,Settings!$B$11,1))*SQRT(Settings!$B$13)))</f>
        <v/>
      </c>
      <c r="I1317" s="18">
        <f>IF(OR(NOT(ISNUMBER($A1317)),ROW()-2&lt;Settings!$B$12),NA(),IF(COUNT(OFFSET(F1317,1-Settings!$B$12,0,Settings!$B$12,1))&lt;Settings!$B$12,NA(),STDEV(OFFSET(F1317,1-Settings!$B$12,0,Settings!$B$12,1))*SQRT(Settings!$B$13)))</f>
        <v/>
      </c>
      <c r="J1317" s="18">
        <f>IF(OR(NOT(ISNUMBER($A1317)),ROW()-2&lt;Settings!$B$11),NA(),IF(COUNT(OFFSET(G1317,1-Settings!$B$11,0,Settings!$B$11,1))&lt;Settings!$B$11,NA(),STDEV(OFFSET(G1317,1-Settings!$B$11,0,Settings!$B$11,1))*SQRT(Settings!$B$13)))</f>
        <v/>
      </c>
      <c r="K1317" s="18">
        <f>IF(OR(NOT(ISNUMBER($A1317)),ROW()-2&lt;Settings!$B$12),NA(),IF(COUNT(OFFSET(G1317,1-Settings!$B$12,0,Settings!$B$12,1))&lt;Settings!$B$12,NA(),STDEV(OFFSET(G1317,1-Settings!$B$12,0,Settings!$B$12,1))*SQRT(Settings!$B$13)))</f>
        <v/>
      </c>
      <c r="L1317" s="18">
        <f>IF(AND(ISNUMBER(D1317),ISNUMBER(H1317)),D1317-H1317,NA())</f>
        <v/>
      </c>
      <c r="M1317" s="18">
        <f>IF(AND(ISNUMBER(E1317),ISNUMBER(K1317)),E1317-K1317,NA())</f>
        <v/>
      </c>
      <c r="N1317" s="18">
        <f>IF(NOT(ISNUMBER($A1317)),NA(),IF(COUNT(OFFSET(G1317,1,0,Settings!$B$12,1))&lt;Settings!$B$12,NA(),STDEV(OFFSET(G1317,1,0,Settings!$B$12,1))*SQRT(Settings!$B$13)))</f>
        <v/>
      </c>
      <c r="O1317" s="18">
        <f>IF(AND(ISNUMBER(E1317),ISNUMBER(N1317)),E1317-N1317,NA())</f>
        <v/>
      </c>
      <c r="P1317" s="17">
        <f>IF(NOT(ISNUMBER($A1317)),NA(),IF(OR($A1317&lt;MIN(KW_TP!$A$2:$A$2501),$A1317&gt;MAX(KW_TP!$A$2:$A$2501)),NA(),INDEX(KW_TP!$C$2:$C$2501,MATCH($A1317,KW_TP!$A$2:$A$2501,1))))</f>
        <v/>
      </c>
    </row>
    <row r="1318">
      <c r="A1318" s="15">
        <f>IF(ISNUMBER(BBG_Data!A1318),BBG_Data!A1318,"")</f>
        <v/>
      </c>
      <c r="B1318" s="16">
        <f>IF(AND(ISNUMBER($A1318),ISNUMBER(BBG_Data!B1318)),BBG_Data!B1318,NA())</f>
        <v/>
      </c>
      <c r="C1318" s="16">
        <f>IF(AND(ISNUMBER($A1318),ISNUMBER(BBG_Data!C1318)),BBG_Data!C1318,NA())</f>
        <v/>
      </c>
      <c r="D1318" s="17">
        <f>IF(AND(ISNUMBER($A1318),ISNUMBER(BBG_Data!D1318)),BBG_Data!D1318,NA())</f>
        <v/>
      </c>
      <c r="E1318" s="17">
        <f>IF(AND(ISNUMBER($A1318),ISNUMBER(BBG_Data!E1318)),BBG_Data!E1318,NA())</f>
        <v/>
      </c>
      <c r="F1318" s="18">
        <f>IF(AND(ISNUMBER(B1318),ISNUMBER(B1317)),(B1318-B1317)*100,"")</f>
        <v/>
      </c>
      <c r="G1318" s="18">
        <f>IF(AND(ISNUMBER(C1318),ISNUMBER(C1317)),(C1318-C1317)*100,"")</f>
        <v/>
      </c>
      <c r="H1318" s="18">
        <f>IF(OR(NOT(ISNUMBER($A1318)),ROW()-2&lt;Settings!$B$11),NA(),IF(COUNT(OFFSET(F1318,1-Settings!$B$11,0,Settings!$B$11,1))&lt;Settings!$B$11,NA(),STDEV(OFFSET(F1318,1-Settings!$B$11,0,Settings!$B$11,1))*SQRT(Settings!$B$13)))</f>
        <v/>
      </c>
      <c r="I1318" s="18">
        <f>IF(OR(NOT(ISNUMBER($A1318)),ROW()-2&lt;Settings!$B$12),NA(),IF(COUNT(OFFSET(F1318,1-Settings!$B$12,0,Settings!$B$12,1))&lt;Settings!$B$12,NA(),STDEV(OFFSET(F1318,1-Settings!$B$12,0,Settings!$B$12,1))*SQRT(Settings!$B$13)))</f>
        <v/>
      </c>
      <c r="J1318" s="18">
        <f>IF(OR(NOT(ISNUMBER($A1318)),ROW()-2&lt;Settings!$B$11),NA(),IF(COUNT(OFFSET(G1318,1-Settings!$B$11,0,Settings!$B$11,1))&lt;Settings!$B$11,NA(),STDEV(OFFSET(G1318,1-Settings!$B$11,0,Settings!$B$11,1))*SQRT(Settings!$B$13)))</f>
        <v/>
      </c>
      <c r="K1318" s="18">
        <f>IF(OR(NOT(ISNUMBER($A1318)),ROW()-2&lt;Settings!$B$12),NA(),IF(COUNT(OFFSET(G1318,1-Settings!$B$12,0,Settings!$B$12,1))&lt;Settings!$B$12,NA(),STDEV(OFFSET(G1318,1-Settings!$B$12,0,Settings!$B$12,1))*SQRT(Settings!$B$13)))</f>
        <v/>
      </c>
      <c r="L1318" s="18">
        <f>IF(AND(ISNUMBER(D1318),ISNUMBER(H1318)),D1318-H1318,NA())</f>
        <v/>
      </c>
      <c r="M1318" s="18">
        <f>IF(AND(ISNUMBER(E1318),ISNUMBER(K1318)),E1318-K1318,NA())</f>
        <v/>
      </c>
      <c r="N1318" s="18">
        <f>IF(NOT(ISNUMBER($A1318)),NA(),IF(COUNT(OFFSET(G1318,1,0,Settings!$B$12,1))&lt;Settings!$B$12,NA(),STDEV(OFFSET(G1318,1,0,Settings!$B$12,1))*SQRT(Settings!$B$13)))</f>
        <v/>
      </c>
      <c r="O1318" s="18">
        <f>IF(AND(ISNUMBER(E1318),ISNUMBER(N1318)),E1318-N1318,NA())</f>
        <v/>
      </c>
      <c r="P1318" s="17">
        <f>IF(NOT(ISNUMBER($A1318)),NA(),IF(OR($A1318&lt;MIN(KW_TP!$A$2:$A$2501),$A1318&gt;MAX(KW_TP!$A$2:$A$2501)),NA(),INDEX(KW_TP!$C$2:$C$2501,MATCH($A1318,KW_TP!$A$2:$A$2501,1))))</f>
        <v/>
      </c>
    </row>
    <row r="1319">
      <c r="A1319" s="15">
        <f>IF(ISNUMBER(BBG_Data!A1319),BBG_Data!A1319,"")</f>
        <v/>
      </c>
      <c r="B1319" s="16">
        <f>IF(AND(ISNUMBER($A1319),ISNUMBER(BBG_Data!B1319)),BBG_Data!B1319,NA())</f>
        <v/>
      </c>
      <c r="C1319" s="16">
        <f>IF(AND(ISNUMBER($A1319),ISNUMBER(BBG_Data!C1319)),BBG_Data!C1319,NA())</f>
        <v/>
      </c>
      <c r="D1319" s="17">
        <f>IF(AND(ISNUMBER($A1319),ISNUMBER(BBG_Data!D1319)),BBG_Data!D1319,NA())</f>
        <v/>
      </c>
      <c r="E1319" s="17">
        <f>IF(AND(ISNUMBER($A1319),ISNUMBER(BBG_Data!E1319)),BBG_Data!E1319,NA())</f>
        <v/>
      </c>
      <c r="F1319" s="18">
        <f>IF(AND(ISNUMBER(B1319),ISNUMBER(B1318)),(B1319-B1318)*100,"")</f>
        <v/>
      </c>
      <c r="G1319" s="18">
        <f>IF(AND(ISNUMBER(C1319),ISNUMBER(C1318)),(C1319-C1318)*100,"")</f>
        <v/>
      </c>
      <c r="H1319" s="18">
        <f>IF(OR(NOT(ISNUMBER($A1319)),ROW()-2&lt;Settings!$B$11),NA(),IF(COUNT(OFFSET(F1319,1-Settings!$B$11,0,Settings!$B$11,1))&lt;Settings!$B$11,NA(),STDEV(OFFSET(F1319,1-Settings!$B$11,0,Settings!$B$11,1))*SQRT(Settings!$B$13)))</f>
        <v/>
      </c>
      <c r="I1319" s="18">
        <f>IF(OR(NOT(ISNUMBER($A1319)),ROW()-2&lt;Settings!$B$12),NA(),IF(COUNT(OFFSET(F1319,1-Settings!$B$12,0,Settings!$B$12,1))&lt;Settings!$B$12,NA(),STDEV(OFFSET(F1319,1-Settings!$B$12,0,Settings!$B$12,1))*SQRT(Settings!$B$13)))</f>
        <v/>
      </c>
      <c r="J1319" s="18">
        <f>IF(OR(NOT(ISNUMBER($A1319)),ROW()-2&lt;Settings!$B$11),NA(),IF(COUNT(OFFSET(G1319,1-Settings!$B$11,0,Settings!$B$11,1))&lt;Settings!$B$11,NA(),STDEV(OFFSET(G1319,1-Settings!$B$11,0,Settings!$B$11,1))*SQRT(Settings!$B$13)))</f>
        <v/>
      </c>
      <c r="K1319" s="18">
        <f>IF(OR(NOT(ISNUMBER($A1319)),ROW()-2&lt;Settings!$B$12),NA(),IF(COUNT(OFFSET(G1319,1-Settings!$B$12,0,Settings!$B$12,1))&lt;Settings!$B$12,NA(),STDEV(OFFSET(G1319,1-Settings!$B$12,0,Settings!$B$12,1))*SQRT(Settings!$B$13)))</f>
        <v/>
      </c>
      <c r="L1319" s="18">
        <f>IF(AND(ISNUMBER(D1319),ISNUMBER(H1319)),D1319-H1319,NA())</f>
        <v/>
      </c>
      <c r="M1319" s="18">
        <f>IF(AND(ISNUMBER(E1319),ISNUMBER(K1319)),E1319-K1319,NA())</f>
        <v/>
      </c>
      <c r="N1319" s="18">
        <f>IF(NOT(ISNUMBER($A1319)),NA(),IF(COUNT(OFFSET(G1319,1,0,Settings!$B$12,1))&lt;Settings!$B$12,NA(),STDEV(OFFSET(G1319,1,0,Settings!$B$12,1))*SQRT(Settings!$B$13)))</f>
        <v/>
      </c>
      <c r="O1319" s="18">
        <f>IF(AND(ISNUMBER(E1319),ISNUMBER(N1319)),E1319-N1319,NA())</f>
        <v/>
      </c>
      <c r="P1319" s="17">
        <f>IF(NOT(ISNUMBER($A1319)),NA(),IF(OR($A1319&lt;MIN(KW_TP!$A$2:$A$2501),$A1319&gt;MAX(KW_TP!$A$2:$A$2501)),NA(),INDEX(KW_TP!$C$2:$C$2501,MATCH($A1319,KW_TP!$A$2:$A$2501,1))))</f>
        <v/>
      </c>
    </row>
    <row r="1320">
      <c r="A1320" s="15">
        <f>IF(ISNUMBER(BBG_Data!A1320),BBG_Data!A1320,"")</f>
        <v/>
      </c>
      <c r="B1320" s="16">
        <f>IF(AND(ISNUMBER($A1320),ISNUMBER(BBG_Data!B1320)),BBG_Data!B1320,NA())</f>
        <v/>
      </c>
      <c r="C1320" s="16">
        <f>IF(AND(ISNUMBER($A1320),ISNUMBER(BBG_Data!C1320)),BBG_Data!C1320,NA())</f>
        <v/>
      </c>
      <c r="D1320" s="17">
        <f>IF(AND(ISNUMBER($A1320),ISNUMBER(BBG_Data!D1320)),BBG_Data!D1320,NA())</f>
        <v/>
      </c>
      <c r="E1320" s="17">
        <f>IF(AND(ISNUMBER($A1320),ISNUMBER(BBG_Data!E1320)),BBG_Data!E1320,NA())</f>
        <v/>
      </c>
      <c r="F1320" s="18">
        <f>IF(AND(ISNUMBER(B1320),ISNUMBER(B1319)),(B1320-B1319)*100,"")</f>
        <v/>
      </c>
      <c r="G1320" s="18">
        <f>IF(AND(ISNUMBER(C1320),ISNUMBER(C1319)),(C1320-C1319)*100,"")</f>
        <v/>
      </c>
      <c r="H1320" s="18">
        <f>IF(OR(NOT(ISNUMBER($A1320)),ROW()-2&lt;Settings!$B$11),NA(),IF(COUNT(OFFSET(F1320,1-Settings!$B$11,0,Settings!$B$11,1))&lt;Settings!$B$11,NA(),STDEV(OFFSET(F1320,1-Settings!$B$11,0,Settings!$B$11,1))*SQRT(Settings!$B$13)))</f>
        <v/>
      </c>
      <c r="I1320" s="18">
        <f>IF(OR(NOT(ISNUMBER($A1320)),ROW()-2&lt;Settings!$B$12),NA(),IF(COUNT(OFFSET(F1320,1-Settings!$B$12,0,Settings!$B$12,1))&lt;Settings!$B$12,NA(),STDEV(OFFSET(F1320,1-Settings!$B$12,0,Settings!$B$12,1))*SQRT(Settings!$B$13)))</f>
        <v/>
      </c>
      <c r="J1320" s="18">
        <f>IF(OR(NOT(ISNUMBER($A1320)),ROW()-2&lt;Settings!$B$11),NA(),IF(COUNT(OFFSET(G1320,1-Settings!$B$11,0,Settings!$B$11,1))&lt;Settings!$B$11,NA(),STDEV(OFFSET(G1320,1-Settings!$B$11,0,Settings!$B$11,1))*SQRT(Settings!$B$13)))</f>
        <v/>
      </c>
      <c r="K1320" s="18">
        <f>IF(OR(NOT(ISNUMBER($A1320)),ROW()-2&lt;Settings!$B$12),NA(),IF(COUNT(OFFSET(G1320,1-Settings!$B$12,0,Settings!$B$12,1))&lt;Settings!$B$12,NA(),STDEV(OFFSET(G1320,1-Settings!$B$12,0,Settings!$B$12,1))*SQRT(Settings!$B$13)))</f>
        <v/>
      </c>
      <c r="L1320" s="18">
        <f>IF(AND(ISNUMBER(D1320),ISNUMBER(H1320)),D1320-H1320,NA())</f>
        <v/>
      </c>
      <c r="M1320" s="18">
        <f>IF(AND(ISNUMBER(E1320),ISNUMBER(K1320)),E1320-K1320,NA())</f>
        <v/>
      </c>
      <c r="N1320" s="18">
        <f>IF(NOT(ISNUMBER($A1320)),NA(),IF(COUNT(OFFSET(G1320,1,0,Settings!$B$12,1))&lt;Settings!$B$12,NA(),STDEV(OFFSET(G1320,1,0,Settings!$B$12,1))*SQRT(Settings!$B$13)))</f>
        <v/>
      </c>
      <c r="O1320" s="18">
        <f>IF(AND(ISNUMBER(E1320),ISNUMBER(N1320)),E1320-N1320,NA())</f>
        <v/>
      </c>
      <c r="P1320" s="17">
        <f>IF(NOT(ISNUMBER($A1320)),NA(),IF(OR($A1320&lt;MIN(KW_TP!$A$2:$A$2501),$A1320&gt;MAX(KW_TP!$A$2:$A$2501)),NA(),INDEX(KW_TP!$C$2:$C$2501,MATCH($A1320,KW_TP!$A$2:$A$2501,1))))</f>
        <v/>
      </c>
    </row>
    <row r="1321">
      <c r="A1321" s="15">
        <f>IF(ISNUMBER(BBG_Data!A1321),BBG_Data!A1321,"")</f>
        <v/>
      </c>
      <c r="B1321" s="16">
        <f>IF(AND(ISNUMBER($A1321),ISNUMBER(BBG_Data!B1321)),BBG_Data!B1321,NA())</f>
        <v/>
      </c>
      <c r="C1321" s="16">
        <f>IF(AND(ISNUMBER($A1321),ISNUMBER(BBG_Data!C1321)),BBG_Data!C1321,NA())</f>
        <v/>
      </c>
      <c r="D1321" s="17">
        <f>IF(AND(ISNUMBER($A1321),ISNUMBER(BBG_Data!D1321)),BBG_Data!D1321,NA())</f>
        <v/>
      </c>
      <c r="E1321" s="17">
        <f>IF(AND(ISNUMBER($A1321),ISNUMBER(BBG_Data!E1321)),BBG_Data!E1321,NA())</f>
        <v/>
      </c>
      <c r="F1321" s="18">
        <f>IF(AND(ISNUMBER(B1321),ISNUMBER(B1320)),(B1321-B1320)*100,"")</f>
        <v/>
      </c>
      <c r="G1321" s="18">
        <f>IF(AND(ISNUMBER(C1321),ISNUMBER(C1320)),(C1321-C1320)*100,"")</f>
        <v/>
      </c>
      <c r="H1321" s="18">
        <f>IF(OR(NOT(ISNUMBER($A1321)),ROW()-2&lt;Settings!$B$11),NA(),IF(COUNT(OFFSET(F1321,1-Settings!$B$11,0,Settings!$B$11,1))&lt;Settings!$B$11,NA(),STDEV(OFFSET(F1321,1-Settings!$B$11,0,Settings!$B$11,1))*SQRT(Settings!$B$13)))</f>
        <v/>
      </c>
      <c r="I1321" s="18">
        <f>IF(OR(NOT(ISNUMBER($A1321)),ROW()-2&lt;Settings!$B$12),NA(),IF(COUNT(OFFSET(F1321,1-Settings!$B$12,0,Settings!$B$12,1))&lt;Settings!$B$12,NA(),STDEV(OFFSET(F1321,1-Settings!$B$12,0,Settings!$B$12,1))*SQRT(Settings!$B$13)))</f>
        <v/>
      </c>
      <c r="J1321" s="18">
        <f>IF(OR(NOT(ISNUMBER($A1321)),ROW()-2&lt;Settings!$B$11),NA(),IF(COUNT(OFFSET(G1321,1-Settings!$B$11,0,Settings!$B$11,1))&lt;Settings!$B$11,NA(),STDEV(OFFSET(G1321,1-Settings!$B$11,0,Settings!$B$11,1))*SQRT(Settings!$B$13)))</f>
        <v/>
      </c>
      <c r="K1321" s="18">
        <f>IF(OR(NOT(ISNUMBER($A1321)),ROW()-2&lt;Settings!$B$12),NA(),IF(COUNT(OFFSET(G1321,1-Settings!$B$12,0,Settings!$B$12,1))&lt;Settings!$B$12,NA(),STDEV(OFFSET(G1321,1-Settings!$B$12,0,Settings!$B$12,1))*SQRT(Settings!$B$13)))</f>
        <v/>
      </c>
      <c r="L1321" s="18">
        <f>IF(AND(ISNUMBER(D1321),ISNUMBER(H1321)),D1321-H1321,NA())</f>
        <v/>
      </c>
      <c r="M1321" s="18">
        <f>IF(AND(ISNUMBER(E1321),ISNUMBER(K1321)),E1321-K1321,NA())</f>
        <v/>
      </c>
      <c r="N1321" s="18">
        <f>IF(NOT(ISNUMBER($A1321)),NA(),IF(COUNT(OFFSET(G1321,1,0,Settings!$B$12,1))&lt;Settings!$B$12,NA(),STDEV(OFFSET(G1321,1,0,Settings!$B$12,1))*SQRT(Settings!$B$13)))</f>
        <v/>
      </c>
      <c r="O1321" s="18">
        <f>IF(AND(ISNUMBER(E1321),ISNUMBER(N1321)),E1321-N1321,NA())</f>
        <v/>
      </c>
      <c r="P1321" s="17">
        <f>IF(NOT(ISNUMBER($A1321)),NA(),IF(OR($A1321&lt;MIN(KW_TP!$A$2:$A$2501),$A1321&gt;MAX(KW_TP!$A$2:$A$2501)),NA(),INDEX(KW_TP!$C$2:$C$2501,MATCH($A1321,KW_TP!$A$2:$A$2501,1))))</f>
        <v/>
      </c>
    </row>
    <row r="1322">
      <c r="A1322" s="15">
        <f>IF(ISNUMBER(BBG_Data!A1322),BBG_Data!A1322,"")</f>
        <v/>
      </c>
      <c r="B1322" s="16">
        <f>IF(AND(ISNUMBER($A1322),ISNUMBER(BBG_Data!B1322)),BBG_Data!B1322,NA())</f>
        <v/>
      </c>
      <c r="C1322" s="16">
        <f>IF(AND(ISNUMBER($A1322),ISNUMBER(BBG_Data!C1322)),BBG_Data!C1322,NA())</f>
        <v/>
      </c>
      <c r="D1322" s="17">
        <f>IF(AND(ISNUMBER($A1322),ISNUMBER(BBG_Data!D1322)),BBG_Data!D1322,NA())</f>
        <v/>
      </c>
      <c r="E1322" s="17">
        <f>IF(AND(ISNUMBER($A1322),ISNUMBER(BBG_Data!E1322)),BBG_Data!E1322,NA())</f>
        <v/>
      </c>
      <c r="F1322" s="18">
        <f>IF(AND(ISNUMBER(B1322),ISNUMBER(B1321)),(B1322-B1321)*100,"")</f>
        <v/>
      </c>
      <c r="G1322" s="18">
        <f>IF(AND(ISNUMBER(C1322),ISNUMBER(C1321)),(C1322-C1321)*100,"")</f>
        <v/>
      </c>
      <c r="H1322" s="18">
        <f>IF(OR(NOT(ISNUMBER($A1322)),ROW()-2&lt;Settings!$B$11),NA(),IF(COUNT(OFFSET(F1322,1-Settings!$B$11,0,Settings!$B$11,1))&lt;Settings!$B$11,NA(),STDEV(OFFSET(F1322,1-Settings!$B$11,0,Settings!$B$11,1))*SQRT(Settings!$B$13)))</f>
        <v/>
      </c>
      <c r="I1322" s="18">
        <f>IF(OR(NOT(ISNUMBER($A1322)),ROW()-2&lt;Settings!$B$12),NA(),IF(COUNT(OFFSET(F1322,1-Settings!$B$12,0,Settings!$B$12,1))&lt;Settings!$B$12,NA(),STDEV(OFFSET(F1322,1-Settings!$B$12,0,Settings!$B$12,1))*SQRT(Settings!$B$13)))</f>
        <v/>
      </c>
      <c r="J1322" s="18">
        <f>IF(OR(NOT(ISNUMBER($A1322)),ROW()-2&lt;Settings!$B$11),NA(),IF(COUNT(OFFSET(G1322,1-Settings!$B$11,0,Settings!$B$11,1))&lt;Settings!$B$11,NA(),STDEV(OFFSET(G1322,1-Settings!$B$11,0,Settings!$B$11,1))*SQRT(Settings!$B$13)))</f>
        <v/>
      </c>
      <c r="K1322" s="18">
        <f>IF(OR(NOT(ISNUMBER($A1322)),ROW()-2&lt;Settings!$B$12),NA(),IF(COUNT(OFFSET(G1322,1-Settings!$B$12,0,Settings!$B$12,1))&lt;Settings!$B$12,NA(),STDEV(OFFSET(G1322,1-Settings!$B$12,0,Settings!$B$12,1))*SQRT(Settings!$B$13)))</f>
        <v/>
      </c>
      <c r="L1322" s="18">
        <f>IF(AND(ISNUMBER(D1322),ISNUMBER(H1322)),D1322-H1322,NA())</f>
        <v/>
      </c>
      <c r="M1322" s="18">
        <f>IF(AND(ISNUMBER(E1322),ISNUMBER(K1322)),E1322-K1322,NA())</f>
        <v/>
      </c>
      <c r="N1322" s="18">
        <f>IF(NOT(ISNUMBER($A1322)),NA(),IF(COUNT(OFFSET(G1322,1,0,Settings!$B$12,1))&lt;Settings!$B$12,NA(),STDEV(OFFSET(G1322,1,0,Settings!$B$12,1))*SQRT(Settings!$B$13)))</f>
        <v/>
      </c>
      <c r="O1322" s="18">
        <f>IF(AND(ISNUMBER(E1322),ISNUMBER(N1322)),E1322-N1322,NA())</f>
        <v/>
      </c>
      <c r="P1322" s="17">
        <f>IF(NOT(ISNUMBER($A1322)),NA(),IF(OR($A1322&lt;MIN(KW_TP!$A$2:$A$2501),$A1322&gt;MAX(KW_TP!$A$2:$A$2501)),NA(),INDEX(KW_TP!$C$2:$C$2501,MATCH($A1322,KW_TP!$A$2:$A$2501,1))))</f>
        <v/>
      </c>
    </row>
    <row r="1323">
      <c r="A1323" s="15">
        <f>IF(ISNUMBER(BBG_Data!A1323),BBG_Data!A1323,"")</f>
        <v/>
      </c>
      <c r="B1323" s="16">
        <f>IF(AND(ISNUMBER($A1323),ISNUMBER(BBG_Data!B1323)),BBG_Data!B1323,NA())</f>
        <v/>
      </c>
      <c r="C1323" s="16">
        <f>IF(AND(ISNUMBER($A1323),ISNUMBER(BBG_Data!C1323)),BBG_Data!C1323,NA())</f>
        <v/>
      </c>
      <c r="D1323" s="17">
        <f>IF(AND(ISNUMBER($A1323),ISNUMBER(BBG_Data!D1323)),BBG_Data!D1323,NA())</f>
        <v/>
      </c>
      <c r="E1323" s="17">
        <f>IF(AND(ISNUMBER($A1323),ISNUMBER(BBG_Data!E1323)),BBG_Data!E1323,NA())</f>
        <v/>
      </c>
      <c r="F1323" s="18">
        <f>IF(AND(ISNUMBER(B1323),ISNUMBER(B1322)),(B1323-B1322)*100,"")</f>
        <v/>
      </c>
      <c r="G1323" s="18">
        <f>IF(AND(ISNUMBER(C1323),ISNUMBER(C1322)),(C1323-C1322)*100,"")</f>
        <v/>
      </c>
      <c r="H1323" s="18">
        <f>IF(OR(NOT(ISNUMBER($A1323)),ROW()-2&lt;Settings!$B$11),NA(),IF(COUNT(OFFSET(F1323,1-Settings!$B$11,0,Settings!$B$11,1))&lt;Settings!$B$11,NA(),STDEV(OFFSET(F1323,1-Settings!$B$11,0,Settings!$B$11,1))*SQRT(Settings!$B$13)))</f>
        <v/>
      </c>
      <c r="I1323" s="18">
        <f>IF(OR(NOT(ISNUMBER($A1323)),ROW()-2&lt;Settings!$B$12),NA(),IF(COUNT(OFFSET(F1323,1-Settings!$B$12,0,Settings!$B$12,1))&lt;Settings!$B$12,NA(),STDEV(OFFSET(F1323,1-Settings!$B$12,0,Settings!$B$12,1))*SQRT(Settings!$B$13)))</f>
        <v/>
      </c>
      <c r="J1323" s="18">
        <f>IF(OR(NOT(ISNUMBER($A1323)),ROW()-2&lt;Settings!$B$11),NA(),IF(COUNT(OFFSET(G1323,1-Settings!$B$11,0,Settings!$B$11,1))&lt;Settings!$B$11,NA(),STDEV(OFFSET(G1323,1-Settings!$B$11,0,Settings!$B$11,1))*SQRT(Settings!$B$13)))</f>
        <v/>
      </c>
      <c r="K1323" s="18">
        <f>IF(OR(NOT(ISNUMBER($A1323)),ROW()-2&lt;Settings!$B$12),NA(),IF(COUNT(OFFSET(G1323,1-Settings!$B$12,0,Settings!$B$12,1))&lt;Settings!$B$12,NA(),STDEV(OFFSET(G1323,1-Settings!$B$12,0,Settings!$B$12,1))*SQRT(Settings!$B$13)))</f>
        <v/>
      </c>
      <c r="L1323" s="18">
        <f>IF(AND(ISNUMBER(D1323),ISNUMBER(H1323)),D1323-H1323,NA())</f>
        <v/>
      </c>
      <c r="M1323" s="18">
        <f>IF(AND(ISNUMBER(E1323),ISNUMBER(K1323)),E1323-K1323,NA())</f>
        <v/>
      </c>
      <c r="N1323" s="18">
        <f>IF(NOT(ISNUMBER($A1323)),NA(),IF(COUNT(OFFSET(G1323,1,0,Settings!$B$12,1))&lt;Settings!$B$12,NA(),STDEV(OFFSET(G1323,1,0,Settings!$B$12,1))*SQRT(Settings!$B$13)))</f>
        <v/>
      </c>
      <c r="O1323" s="18">
        <f>IF(AND(ISNUMBER(E1323),ISNUMBER(N1323)),E1323-N1323,NA())</f>
        <v/>
      </c>
      <c r="P1323" s="17">
        <f>IF(NOT(ISNUMBER($A1323)),NA(),IF(OR($A1323&lt;MIN(KW_TP!$A$2:$A$2501),$A1323&gt;MAX(KW_TP!$A$2:$A$2501)),NA(),INDEX(KW_TP!$C$2:$C$2501,MATCH($A1323,KW_TP!$A$2:$A$2501,1))))</f>
        <v/>
      </c>
    </row>
    <row r="1324">
      <c r="A1324" s="15">
        <f>IF(ISNUMBER(BBG_Data!A1324),BBG_Data!A1324,"")</f>
        <v/>
      </c>
      <c r="B1324" s="16">
        <f>IF(AND(ISNUMBER($A1324),ISNUMBER(BBG_Data!B1324)),BBG_Data!B1324,NA())</f>
        <v/>
      </c>
      <c r="C1324" s="16">
        <f>IF(AND(ISNUMBER($A1324),ISNUMBER(BBG_Data!C1324)),BBG_Data!C1324,NA())</f>
        <v/>
      </c>
      <c r="D1324" s="17">
        <f>IF(AND(ISNUMBER($A1324),ISNUMBER(BBG_Data!D1324)),BBG_Data!D1324,NA())</f>
        <v/>
      </c>
      <c r="E1324" s="17">
        <f>IF(AND(ISNUMBER($A1324),ISNUMBER(BBG_Data!E1324)),BBG_Data!E1324,NA())</f>
        <v/>
      </c>
      <c r="F1324" s="18">
        <f>IF(AND(ISNUMBER(B1324),ISNUMBER(B1323)),(B1324-B1323)*100,"")</f>
        <v/>
      </c>
      <c r="G1324" s="18">
        <f>IF(AND(ISNUMBER(C1324),ISNUMBER(C1323)),(C1324-C1323)*100,"")</f>
        <v/>
      </c>
      <c r="H1324" s="18">
        <f>IF(OR(NOT(ISNUMBER($A1324)),ROW()-2&lt;Settings!$B$11),NA(),IF(COUNT(OFFSET(F1324,1-Settings!$B$11,0,Settings!$B$11,1))&lt;Settings!$B$11,NA(),STDEV(OFFSET(F1324,1-Settings!$B$11,0,Settings!$B$11,1))*SQRT(Settings!$B$13)))</f>
        <v/>
      </c>
      <c r="I1324" s="18">
        <f>IF(OR(NOT(ISNUMBER($A1324)),ROW()-2&lt;Settings!$B$12),NA(),IF(COUNT(OFFSET(F1324,1-Settings!$B$12,0,Settings!$B$12,1))&lt;Settings!$B$12,NA(),STDEV(OFFSET(F1324,1-Settings!$B$12,0,Settings!$B$12,1))*SQRT(Settings!$B$13)))</f>
        <v/>
      </c>
      <c r="J1324" s="18">
        <f>IF(OR(NOT(ISNUMBER($A1324)),ROW()-2&lt;Settings!$B$11),NA(),IF(COUNT(OFFSET(G1324,1-Settings!$B$11,0,Settings!$B$11,1))&lt;Settings!$B$11,NA(),STDEV(OFFSET(G1324,1-Settings!$B$11,0,Settings!$B$11,1))*SQRT(Settings!$B$13)))</f>
        <v/>
      </c>
      <c r="K1324" s="18">
        <f>IF(OR(NOT(ISNUMBER($A1324)),ROW()-2&lt;Settings!$B$12),NA(),IF(COUNT(OFFSET(G1324,1-Settings!$B$12,0,Settings!$B$12,1))&lt;Settings!$B$12,NA(),STDEV(OFFSET(G1324,1-Settings!$B$12,0,Settings!$B$12,1))*SQRT(Settings!$B$13)))</f>
        <v/>
      </c>
      <c r="L1324" s="18">
        <f>IF(AND(ISNUMBER(D1324),ISNUMBER(H1324)),D1324-H1324,NA())</f>
        <v/>
      </c>
      <c r="M1324" s="18">
        <f>IF(AND(ISNUMBER(E1324),ISNUMBER(K1324)),E1324-K1324,NA())</f>
        <v/>
      </c>
      <c r="N1324" s="18">
        <f>IF(NOT(ISNUMBER($A1324)),NA(),IF(COUNT(OFFSET(G1324,1,0,Settings!$B$12,1))&lt;Settings!$B$12,NA(),STDEV(OFFSET(G1324,1,0,Settings!$B$12,1))*SQRT(Settings!$B$13)))</f>
        <v/>
      </c>
      <c r="O1324" s="18">
        <f>IF(AND(ISNUMBER(E1324),ISNUMBER(N1324)),E1324-N1324,NA())</f>
        <v/>
      </c>
      <c r="P1324" s="17">
        <f>IF(NOT(ISNUMBER($A1324)),NA(),IF(OR($A1324&lt;MIN(KW_TP!$A$2:$A$2501),$A1324&gt;MAX(KW_TP!$A$2:$A$2501)),NA(),INDEX(KW_TP!$C$2:$C$2501,MATCH($A1324,KW_TP!$A$2:$A$2501,1))))</f>
        <v/>
      </c>
    </row>
    <row r="1325">
      <c r="A1325" s="15">
        <f>IF(ISNUMBER(BBG_Data!A1325),BBG_Data!A1325,"")</f>
        <v/>
      </c>
      <c r="B1325" s="16">
        <f>IF(AND(ISNUMBER($A1325),ISNUMBER(BBG_Data!B1325)),BBG_Data!B1325,NA())</f>
        <v/>
      </c>
      <c r="C1325" s="16">
        <f>IF(AND(ISNUMBER($A1325),ISNUMBER(BBG_Data!C1325)),BBG_Data!C1325,NA())</f>
        <v/>
      </c>
      <c r="D1325" s="17">
        <f>IF(AND(ISNUMBER($A1325),ISNUMBER(BBG_Data!D1325)),BBG_Data!D1325,NA())</f>
        <v/>
      </c>
      <c r="E1325" s="17">
        <f>IF(AND(ISNUMBER($A1325),ISNUMBER(BBG_Data!E1325)),BBG_Data!E1325,NA())</f>
        <v/>
      </c>
      <c r="F1325" s="18">
        <f>IF(AND(ISNUMBER(B1325),ISNUMBER(B1324)),(B1325-B1324)*100,"")</f>
        <v/>
      </c>
      <c r="G1325" s="18">
        <f>IF(AND(ISNUMBER(C1325),ISNUMBER(C1324)),(C1325-C1324)*100,"")</f>
        <v/>
      </c>
      <c r="H1325" s="18">
        <f>IF(OR(NOT(ISNUMBER($A1325)),ROW()-2&lt;Settings!$B$11),NA(),IF(COUNT(OFFSET(F1325,1-Settings!$B$11,0,Settings!$B$11,1))&lt;Settings!$B$11,NA(),STDEV(OFFSET(F1325,1-Settings!$B$11,0,Settings!$B$11,1))*SQRT(Settings!$B$13)))</f>
        <v/>
      </c>
      <c r="I1325" s="18">
        <f>IF(OR(NOT(ISNUMBER($A1325)),ROW()-2&lt;Settings!$B$12),NA(),IF(COUNT(OFFSET(F1325,1-Settings!$B$12,0,Settings!$B$12,1))&lt;Settings!$B$12,NA(),STDEV(OFFSET(F1325,1-Settings!$B$12,0,Settings!$B$12,1))*SQRT(Settings!$B$13)))</f>
        <v/>
      </c>
      <c r="J1325" s="18">
        <f>IF(OR(NOT(ISNUMBER($A1325)),ROW()-2&lt;Settings!$B$11),NA(),IF(COUNT(OFFSET(G1325,1-Settings!$B$11,0,Settings!$B$11,1))&lt;Settings!$B$11,NA(),STDEV(OFFSET(G1325,1-Settings!$B$11,0,Settings!$B$11,1))*SQRT(Settings!$B$13)))</f>
        <v/>
      </c>
      <c r="K1325" s="18">
        <f>IF(OR(NOT(ISNUMBER($A1325)),ROW()-2&lt;Settings!$B$12),NA(),IF(COUNT(OFFSET(G1325,1-Settings!$B$12,0,Settings!$B$12,1))&lt;Settings!$B$12,NA(),STDEV(OFFSET(G1325,1-Settings!$B$12,0,Settings!$B$12,1))*SQRT(Settings!$B$13)))</f>
        <v/>
      </c>
      <c r="L1325" s="18">
        <f>IF(AND(ISNUMBER(D1325),ISNUMBER(H1325)),D1325-H1325,NA())</f>
        <v/>
      </c>
      <c r="M1325" s="18">
        <f>IF(AND(ISNUMBER(E1325),ISNUMBER(K1325)),E1325-K1325,NA())</f>
        <v/>
      </c>
      <c r="N1325" s="18">
        <f>IF(NOT(ISNUMBER($A1325)),NA(),IF(COUNT(OFFSET(G1325,1,0,Settings!$B$12,1))&lt;Settings!$B$12,NA(),STDEV(OFFSET(G1325,1,0,Settings!$B$12,1))*SQRT(Settings!$B$13)))</f>
        <v/>
      </c>
      <c r="O1325" s="18">
        <f>IF(AND(ISNUMBER(E1325),ISNUMBER(N1325)),E1325-N1325,NA())</f>
        <v/>
      </c>
      <c r="P1325" s="17">
        <f>IF(NOT(ISNUMBER($A1325)),NA(),IF(OR($A1325&lt;MIN(KW_TP!$A$2:$A$2501),$A1325&gt;MAX(KW_TP!$A$2:$A$2501)),NA(),INDEX(KW_TP!$C$2:$C$2501,MATCH($A1325,KW_TP!$A$2:$A$2501,1))))</f>
        <v/>
      </c>
    </row>
    <row r="1326">
      <c r="A1326" s="15">
        <f>IF(ISNUMBER(BBG_Data!A1326),BBG_Data!A1326,"")</f>
        <v/>
      </c>
      <c r="B1326" s="16">
        <f>IF(AND(ISNUMBER($A1326),ISNUMBER(BBG_Data!B1326)),BBG_Data!B1326,NA())</f>
        <v/>
      </c>
      <c r="C1326" s="16">
        <f>IF(AND(ISNUMBER($A1326),ISNUMBER(BBG_Data!C1326)),BBG_Data!C1326,NA())</f>
        <v/>
      </c>
      <c r="D1326" s="17">
        <f>IF(AND(ISNUMBER($A1326),ISNUMBER(BBG_Data!D1326)),BBG_Data!D1326,NA())</f>
        <v/>
      </c>
      <c r="E1326" s="17">
        <f>IF(AND(ISNUMBER($A1326),ISNUMBER(BBG_Data!E1326)),BBG_Data!E1326,NA())</f>
        <v/>
      </c>
      <c r="F1326" s="18">
        <f>IF(AND(ISNUMBER(B1326),ISNUMBER(B1325)),(B1326-B1325)*100,"")</f>
        <v/>
      </c>
      <c r="G1326" s="18">
        <f>IF(AND(ISNUMBER(C1326),ISNUMBER(C1325)),(C1326-C1325)*100,"")</f>
        <v/>
      </c>
      <c r="H1326" s="18">
        <f>IF(OR(NOT(ISNUMBER($A1326)),ROW()-2&lt;Settings!$B$11),NA(),IF(COUNT(OFFSET(F1326,1-Settings!$B$11,0,Settings!$B$11,1))&lt;Settings!$B$11,NA(),STDEV(OFFSET(F1326,1-Settings!$B$11,0,Settings!$B$11,1))*SQRT(Settings!$B$13)))</f>
        <v/>
      </c>
      <c r="I1326" s="18">
        <f>IF(OR(NOT(ISNUMBER($A1326)),ROW()-2&lt;Settings!$B$12),NA(),IF(COUNT(OFFSET(F1326,1-Settings!$B$12,0,Settings!$B$12,1))&lt;Settings!$B$12,NA(),STDEV(OFFSET(F1326,1-Settings!$B$12,0,Settings!$B$12,1))*SQRT(Settings!$B$13)))</f>
        <v/>
      </c>
      <c r="J1326" s="18">
        <f>IF(OR(NOT(ISNUMBER($A1326)),ROW()-2&lt;Settings!$B$11),NA(),IF(COUNT(OFFSET(G1326,1-Settings!$B$11,0,Settings!$B$11,1))&lt;Settings!$B$11,NA(),STDEV(OFFSET(G1326,1-Settings!$B$11,0,Settings!$B$11,1))*SQRT(Settings!$B$13)))</f>
        <v/>
      </c>
      <c r="K1326" s="18">
        <f>IF(OR(NOT(ISNUMBER($A1326)),ROW()-2&lt;Settings!$B$12),NA(),IF(COUNT(OFFSET(G1326,1-Settings!$B$12,0,Settings!$B$12,1))&lt;Settings!$B$12,NA(),STDEV(OFFSET(G1326,1-Settings!$B$12,0,Settings!$B$12,1))*SQRT(Settings!$B$13)))</f>
        <v/>
      </c>
      <c r="L1326" s="18">
        <f>IF(AND(ISNUMBER(D1326),ISNUMBER(H1326)),D1326-H1326,NA())</f>
        <v/>
      </c>
      <c r="M1326" s="18">
        <f>IF(AND(ISNUMBER(E1326),ISNUMBER(K1326)),E1326-K1326,NA())</f>
        <v/>
      </c>
      <c r="N1326" s="18">
        <f>IF(NOT(ISNUMBER($A1326)),NA(),IF(COUNT(OFFSET(G1326,1,0,Settings!$B$12,1))&lt;Settings!$B$12,NA(),STDEV(OFFSET(G1326,1,0,Settings!$B$12,1))*SQRT(Settings!$B$13)))</f>
        <v/>
      </c>
      <c r="O1326" s="18">
        <f>IF(AND(ISNUMBER(E1326),ISNUMBER(N1326)),E1326-N1326,NA())</f>
        <v/>
      </c>
      <c r="P1326" s="17">
        <f>IF(NOT(ISNUMBER($A1326)),NA(),IF(OR($A1326&lt;MIN(KW_TP!$A$2:$A$2501),$A1326&gt;MAX(KW_TP!$A$2:$A$2501)),NA(),INDEX(KW_TP!$C$2:$C$2501,MATCH($A1326,KW_TP!$A$2:$A$2501,1))))</f>
        <v/>
      </c>
    </row>
    <row r="1327">
      <c r="A1327" s="15">
        <f>IF(ISNUMBER(BBG_Data!A1327),BBG_Data!A1327,"")</f>
        <v/>
      </c>
      <c r="B1327" s="16">
        <f>IF(AND(ISNUMBER($A1327),ISNUMBER(BBG_Data!B1327)),BBG_Data!B1327,NA())</f>
        <v/>
      </c>
      <c r="C1327" s="16">
        <f>IF(AND(ISNUMBER($A1327),ISNUMBER(BBG_Data!C1327)),BBG_Data!C1327,NA())</f>
        <v/>
      </c>
      <c r="D1327" s="17">
        <f>IF(AND(ISNUMBER($A1327),ISNUMBER(BBG_Data!D1327)),BBG_Data!D1327,NA())</f>
        <v/>
      </c>
      <c r="E1327" s="17">
        <f>IF(AND(ISNUMBER($A1327),ISNUMBER(BBG_Data!E1327)),BBG_Data!E1327,NA())</f>
        <v/>
      </c>
      <c r="F1327" s="18">
        <f>IF(AND(ISNUMBER(B1327),ISNUMBER(B1326)),(B1327-B1326)*100,"")</f>
        <v/>
      </c>
      <c r="G1327" s="18">
        <f>IF(AND(ISNUMBER(C1327),ISNUMBER(C1326)),(C1327-C1326)*100,"")</f>
        <v/>
      </c>
      <c r="H1327" s="18">
        <f>IF(OR(NOT(ISNUMBER($A1327)),ROW()-2&lt;Settings!$B$11),NA(),IF(COUNT(OFFSET(F1327,1-Settings!$B$11,0,Settings!$B$11,1))&lt;Settings!$B$11,NA(),STDEV(OFFSET(F1327,1-Settings!$B$11,0,Settings!$B$11,1))*SQRT(Settings!$B$13)))</f>
        <v/>
      </c>
      <c r="I1327" s="18">
        <f>IF(OR(NOT(ISNUMBER($A1327)),ROW()-2&lt;Settings!$B$12),NA(),IF(COUNT(OFFSET(F1327,1-Settings!$B$12,0,Settings!$B$12,1))&lt;Settings!$B$12,NA(),STDEV(OFFSET(F1327,1-Settings!$B$12,0,Settings!$B$12,1))*SQRT(Settings!$B$13)))</f>
        <v/>
      </c>
      <c r="J1327" s="18">
        <f>IF(OR(NOT(ISNUMBER($A1327)),ROW()-2&lt;Settings!$B$11),NA(),IF(COUNT(OFFSET(G1327,1-Settings!$B$11,0,Settings!$B$11,1))&lt;Settings!$B$11,NA(),STDEV(OFFSET(G1327,1-Settings!$B$11,0,Settings!$B$11,1))*SQRT(Settings!$B$13)))</f>
        <v/>
      </c>
      <c r="K1327" s="18">
        <f>IF(OR(NOT(ISNUMBER($A1327)),ROW()-2&lt;Settings!$B$12),NA(),IF(COUNT(OFFSET(G1327,1-Settings!$B$12,0,Settings!$B$12,1))&lt;Settings!$B$12,NA(),STDEV(OFFSET(G1327,1-Settings!$B$12,0,Settings!$B$12,1))*SQRT(Settings!$B$13)))</f>
        <v/>
      </c>
      <c r="L1327" s="18">
        <f>IF(AND(ISNUMBER(D1327),ISNUMBER(H1327)),D1327-H1327,NA())</f>
        <v/>
      </c>
      <c r="M1327" s="18">
        <f>IF(AND(ISNUMBER(E1327),ISNUMBER(K1327)),E1327-K1327,NA())</f>
        <v/>
      </c>
      <c r="N1327" s="18">
        <f>IF(NOT(ISNUMBER($A1327)),NA(),IF(COUNT(OFFSET(G1327,1,0,Settings!$B$12,1))&lt;Settings!$B$12,NA(),STDEV(OFFSET(G1327,1,0,Settings!$B$12,1))*SQRT(Settings!$B$13)))</f>
        <v/>
      </c>
      <c r="O1327" s="18">
        <f>IF(AND(ISNUMBER(E1327),ISNUMBER(N1327)),E1327-N1327,NA())</f>
        <v/>
      </c>
      <c r="P1327" s="17">
        <f>IF(NOT(ISNUMBER($A1327)),NA(),IF(OR($A1327&lt;MIN(KW_TP!$A$2:$A$2501),$A1327&gt;MAX(KW_TP!$A$2:$A$2501)),NA(),INDEX(KW_TP!$C$2:$C$2501,MATCH($A1327,KW_TP!$A$2:$A$2501,1))))</f>
        <v/>
      </c>
    </row>
    <row r="1328">
      <c r="A1328" s="15">
        <f>IF(ISNUMBER(BBG_Data!A1328),BBG_Data!A1328,"")</f>
        <v/>
      </c>
      <c r="B1328" s="16">
        <f>IF(AND(ISNUMBER($A1328),ISNUMBER(BBG_Data!B1328)),BBG_Data!B1328,NA())</f>
        <v/>
      </c>
      <c r="C1328" s="16">
        <f>IF(AND(ISNUMBER($A1328),ISNUMBER(BBG_Data!C1328)),BBG_Data!C1328,NA())</f>
        <v/>
      </c>
      <c r="D1328" s="17">
        <f>IF(AND(ISNUMBER($A1328),ISNUMBER(BBG_Data!D1328)),BBG_Data!D1328,NA())</f>
        <v/>
      </c>
      <c r="E1328" s="17">
        <f>IF(AND(ISNUMBER($A1328),ISNUMBER(BBG_Data!E1328)),BBG_Data!E1328,NA())</f>
        <v/>
      </c>
      <c r="F1328" s="18">
        <f>IF(AND(ISNUMBER(B1328),ISNUMBER(B1327)),(B1328-B1327)*100,"")</f>
        <v/>
      </c>
      <c r="G1328" s="18">
        <f>IF(AND(ISNUMBER(C1328),ISNUMBER(C1327)),(C1328-C1327)*100,"")</f>
        <v/>
      </c>
      <c r="H1328" s="18">
        <f>IF(OR(NOT(ISNUMBER($A1328)),ROW()-2&lt;Settings!$B$11),NA(),IF(COUNT(OFFSET(F1328,1-Settings!$B$11,0,Settings!$B$11,1))&lt;Settings!$B$11,NA(),STDEV(OFFSET(F1328,1-Settings!$B$11,0,Settings!$B$11,1))*SQRT(Settings!$B$13)))</f>
        <v/>
      </c>
      <c r="I1328" s="18">
        <f>IF(OR(NOT(ISNUMBER($A1328)),ROW()-2&lt;Settings!$B$12),NA(),IF(COUNT(OFFSET(F1328,1-Settings!$B$12,0,Settings!$B$12,1))&lt;Settings!$B$12,NA(),STDEV(OFFSET(F1328,1-Settings!$B$12,0,Settings!$B$12,1))*SQRT(Settings!$B$13)))</f>
        <v/>
      </c>
      <c r="J1328" s="18">
        <f>IF(OR(NOT(ISNUMBER($A1328)),ROW()-2&lt;Settings!$B$11),NA(),IF(COUNT(OFFSET(G1328,1-Settings!$B$11,0,Settings!$B$11,1))&lt;Settings!$B$11,NA(),STDEV(OFFSET(G1328,1-Settings!$B$11,0,Settings!$B$11,1))*SQRT(Settings!$B$13)))</f>
        <v/>
      </c>
      <c r="K1328" s="18">
        <f>IF(OR(NOT(ISNUMBER($A1328)),ROW()-2&lt;Settings!$B$12),NA(),IF(COUNT(OFFSET(G1328,1-Settings!$B$12,0,Settings!$B$12,1))&lt;Settings!$B$12,NA(),STDEV(OFFSET(G1328,1-Settings!$B$12,0,Settings!$B$12,1))*SQRT(Settings!$B$13)))</f>
        <v/>
      </c>
      <c r="L1328" s="18">
        <f>IF(AND(ISNUMBER(D1328),ISNUMBER(H1328)),D1328-H1328,NA())</f>
        <v/>
      </c>
      <c r="M1328" s="18">
        <f>IF(AND(ISNUMBER(E1328),ISNUMBER(K1328)),E1328-K1328,NA())</f>
        <v/>
      </c>
      <c r="N1328" s="18">
        <f>IF(NOT(ISNUMBER($A1328)),NA(),IF(COUNT(OFFSET(G1328,1,0,Settings!$B$12,1))&lt;Settings!$B$12,NA(),STDEV(OFFSET(G1328,1,0,Settings!$B$12,1))*SQRT(Settings!$B$13)))</f>
        <v/>
      </c>
      <c r="O1328" s="18">
        <f>IF(AND(ISNUMBER(E1328),ISNUMBER(N1328)),E1328-N1328,NA())</f>
        <v/>
      </c>
      <c r="P1328" s="17">
        <f>IF(NOT(ISNUMBER($A1328)),NA(),IF(OR($A1328&lt;MIN(KW_TP!$A$2:$A$2501),$A1328&gt;MAX(KW_TP!$A$2:$A$2501)),NA(),INDEX(KW_TP!$C$2:$C$2501,MATCH($A1328,KW_TP!$A$2:$A$2501,1))))</f>
        <v/>
      </c>
    </row>
    <row r="1329">
      <c r="A1329" s="15">
        <f>IF(ISNUMBER(BBG_Data!A1329),BBG_Data!A1329,"")</f>
        <v/>
      </c>
      <c r="B1329" s="16">
        <f>IF(AND(ISNUMBER($A1329),ISNUMBER(BBG_Data!B1329)),BBG_Data!B1329,NA())</f>
        <v/>
      </c>
      <c r="C1329" s="16">
        <f>IF(AND(ISNUMBER($A1329),ISNUMBER(BBG_Data!C1329)),BBG_Data!C1329,NA())</f>
        <v/>
      </c>
      <c r="D1329" s="17">
        <f>IF(AND(ISNUMBER($A1329),ISNUMBER(BBG_Data!D1329)),BBG_Data!D1329,NA())</f>
        <v/>
      </c>
      <c r="E1329" s="17">
        <f>IF(AND(ISNUMBER($A1329),ISNUMBER(BBG_Data!E1329)),BBG_Data!E1329,NA())</f>
        <v/>
      </c>
      <c r="F1329" s="18">
        <f>IF(AND(ISNUMBER(B1329),ISNUMBER(B1328)),(B1329-B1328)*100,"")</f>
        <v/>
      </c>
      <c r="G1329" s="18">
        <f>IF(AND(ISNUMBER(C1329),ISNUMBER(C1328)),(C1329-C1328)*100,"")</f>
        <v/>
      </c>
      <c r="H1329" s="18">
        <f>IF(OR(NOT(ISNUMBER($A1329)),ROW()-2&lt;Settings!$B$11),NA(),IF(COUNT(OFFSET(F1329,1-Settings!$B$11,0,Settings!$B$11,1))&lt;Settings!$B$11,NA(),STDEV(OFFSET(F1329,1-Settings!$B$11,0,Settings!$B$11,1))*SQRT(Settings!$B$13)))</f>
        <v/>
      </c>
      <c r="I1329" s="18">
        <f>IF(OR(NOT(ISNUMBER($A1329)),ROW()-2&lt;Settings!$B$12),NA(),IF(COUNT(OFFSET(F1329,1-Settings!$B$12,0,Settings!$B$12,1))&lt;Settings!$B$12,NA(),STDEV(OFFSET(F1329,1-Settings!$B$12,0,Settings!$B$12,1))*SQRT(Settings!$B$13)))</f>
        <v/>
      </c>
      <c r="J1329" s="18">
        <f>IF(OR(NOT(ISNUMBER($A1329)),ROW()-2&lt;Settings!$B$11),NA(),IF(COUNT(OFFSET(G1329,1-Settings!$B$11,0,Settings!$B$11,1))&lt;Settings!$B$11,NA(),STDEV(OFFSET(G1329,1-Settings!$B$11,0,Settings!$B$11,1))*SQRT(Settings!$B$13)))</f>
        <v/>
      </c>
      <c r="K1329" s="18">
        <f>IF(OR(NOT(ISNUMBER($A1329)),ROW()-2&lt;Settings!$B$12),NA(),IF(COUNT(OFFSET(G1329,1-Settings!$B$12,0,Settings!$B$12,1))&lt;Settings!$B$12,NA(),STDEV(OFFSET(G1329,1-Settings!$B$12,0,Settings!$B$12,1))*SQRT(Settings!$B$13)))</f>
        <v/>
      </c>
      <c r="L1329" s="18">
        <f>IF(AND(ISNUMBER(D1329),ISNUMBER(H1329)),D1329-H1329,NA())</f>
        <v/>
      </c>
      <c r="M1329" s="18">
        <f>IF(AND(ISNUMBER(E1329),ISNUMBER(K1329)),E1329-K1329,NA())</f>
        <v/>
      </c>
      <c r="N1329" s="18">
        <f>IF(NOT(ISNUMBER($A1329)),NA(),IF(COUNT(OFFSET(G1329,1,0,Settings!$B$12,1))&lt;Settings!$B$12,NA(),STDEV(OFFSET(G1329,1,0,Settings!$B$12,1))*SQRT(Settings!$B$13)))</f>
        <v/>
      </c>
      <c r="O1329" s="18">
        <f>IF(AND(ISNUMBER(E1329),ISNUMBER(N1329)),E1329-N1329,NA())</f>
        <v/>
      </c>
      <c r="P1329" s="17">
        <f>IF(NOT(ISNUMBER($A1329)),NA(),IF(OR($A1329&lt;MIN(KW_TP!$A$2:$A$2501),$A1329&gt;MAX(KW_TP!$A$2:$A$2501)),NA(),INDEX(KW_TP!$C$2:$C$2501,MATCH($A1329,KW_TP!$A$2:$A$2501,1))))</f>
        <v/>
      </c>
    </row>
    <row r="1330">
      <c r="A1330" s="15">
        <f>IF(ISNUMBER(BBG_Data!A1330),BBG_Data!A1330,"")</f>
        <v/>
      </c>
      <c r="B1330" s="16">
        <f>IF(AND(ISNUMBER($A1330),ISNUMBER(BBG_Data!B1330)),BBG_Data!B1330,NA())</f>
        <v/>
      </c>
      <c r="C1330" s="16">
        <f>IF(AND(ISNUMBER($A1330),ISNUMBER(BBG_Data!C1330)),BBG_Data!C1330,NA())</f>
        <v/>
      </c>
      <c r="D1330" s="17">
        <f>IF(AND(ISNUMBER($A1330),ISNUMBER(BBG_Data!D1330)),BBG_Data!D1330,NA())</f>
        <v/>
      </c>
      <c r="E1330" s="17">
        <f>IF(AND(ISNUMBER($A1330),ISNUMBER(BBG_Data!E1330)),BBG_Data!E1330,NA())</f>
        <v/>
      </c>
      <c r="F1330" s="18">
        <f>IF(AND(ISNUMBER(B1330),ISNUMBER(B1329)),(B1330-B1329)*100,"")</f>
        <v/>
      </c>
      <c r="G1330" s="18">
        <f>IF(AND(ISNUMBER(C1330),ISNUMBER(C1329)),(C1330-C1329)*100,"")</f>
        <v/>
      </c>
      <c r="H1330" s="18">
        <f>IF(OR(NOT(ISNUMBER($A1330)),ROW()-2&lt;Settings!$B$11),NA(),IF(COUNT(OFFSET(F1330,1-Settings!$B$11,0,Settings!$B$11,1))&lt;Settings!$B$11,NA(),STDEV(OFFSET(F1330,1-Settings!$B$11,0,Settings!$B$11,1))*SQRT(Settings!$B$13)))</f>
        <v/>
      </c>
      <c r="I1330" s="18">
        <f>IF(OR(NOT(ISNUMBER($A1330)),ROW()-2&lt;Settings!$B$12),NA(),IF(COUNT(OFFSET(F1330,1-Settings!$B$12,0,Settings!$B$12,1))&lt;Settings!$B$12,NA(),STDEV(OFFSET(F1330,1-Settings!$B$12,0,Settings!$B$12,1))*SQRT(Settings!$B$13)))</f>
        <v/>
      </c>
      <c r="J1330" s="18">
        <f>IF(OR(NOT(ISNUMBER($A1330)),ROW()-2&lt;Settings!$B$11),NA(),IF(COUNT(OFFSET(G1330,1-Settings!$B$11,0,Settings!$B$11,1))&lt;Settings!$B$11,NA(),STDEV(OFFSET(G1330,1-Settings!$B$11,0,Settings!$B$11,1))*SQRT(Settings!$B$13)))</f>
        <v/>
      </c>
      <c r="K1330" s="18">
        <f>IF(OR(NOT(ISNUMBER($A1330)),ROW()-2&lt;Settings!$B$12),NA(),IF(COUNT(OFFSET(G1330,1-Settings!$B$12,0,Settings!$B$12,1))&lt;Settings!$B$12,NA(),STDEV(OFFSET(G1330,1-Settings!$B$12,0,Settings!$B$12,1))*SQRT(Settings!$B$13)))</f>
        <v/>
      </c>
      <c r="L1330" s="18">
        <f>IF(AND(ISNUMBER(D1330),ISNUMBER(H1330)),D1330-H1330,NA())</f>
        <v/>
      </c>
      <c r="M1330" s="18">
        <f>IF(AND(ISNUMBER(E1330),ISNUMBER(K1330)),E1330-K1330,NA())</f>
        <v/>
      </c>
      <c r="N1330" s="18">
        <f>IF(NOT(ISNUMBER($A1330)),NA(),IF(COUNT(OFFSET(G1330,1,0,Settings!$B$12,1))&lt;Settings!$B$12,NA(),STDEV(OFFSET(G1330,1,0,Settings!$B$12,1))*SQRT(Settings!$B$13)))</f>
        <v/>
      </c>
      <c r="O1330" s="18">
        <f>IF(AND(ISNUMBER(E1330),ISNUMBER(N1330)),E1330-N1330,NA())</f>
        <v/>
      </c>
      <c r="P1330" s="17">
        <f>IF(NOT(ISNUMBER($A1330)),NA(),IF(OR($A1330&lt;MIN(KW_TP!$A$2:$A$2501),$A1330&gt;MAX(KW_TP!$A$2:$A$2501)),NA(),INDEX(KW_TP!$C$2:$C$2501,MATCH($A1330,KW_TP!$A$2:$A$2501,1))))</f>
        <v/>
      </c>
    </row>
    <row r="1331">
      <c r="A1331" s="15">
        <f>IF(ISNUMBER(BBG_Data!A1331),BBG_Data!A1331,"")</f>
        <v/>
      </c>
      <c r="B1331" s="16">
        <f>IF(AND(ISNUMBER($A1331),ISNUMBER(BBG_Data!B1331)),BBG_Data!B1331,NA())</f>
        <v/>
      </c>
      <c r="C1331" s="16">
        <f>IF(AND(ISNUMBER($A1331),ISNUMBER(BBG_Data!C1331)),BBG_Data!C1331,NA())</f>
        <v/>
      </c>
      <c r="D1331" s="17">
        <f>IF(AND(ISNUMBER($A1331),ISNUMBER(BBG_Data!D1331)),BBG_Data!D1331,NA())</f>
        <v/>
      </c>
      <c r="E1331" s="17">
        <f>IF(AND(ISNUMBER($A1331),ISNUMBER(BBG_Data!E1331)),BBG_Data!E1331,NA())</f>
        <v/>
      </c>
      <c r="F1331" s="18">
        <f>IF(AND(ISNUMBER(B1331),ISNUMBER(B1330)),(B1331-B1330)*100,"")</f>
        <v/>
      </c>
      <c r="G1331" s="18">
        <f>IF(AND(ISNUMBER(C1331),ISNUMBER(C1330)),(C1331-C1330)*100,"")</f>
        <v/>
      </c>
      <c r="H1331" s="18">
        <f>IF(OR(NOT(ISNUMBER($A1331)),ROW()-2&lt;Settings!$B$11),NA(),IF(COUNT(OFFSET(F1331,1-Settings!$B$11,0,Settings!$B$11,1))&lt;Settings!$B$11,NA(),STDEV(OFFSET(F1331,1-Settings!$B$11,0,Settings!$B$11,1))*SQRT(Settings!$B$13)))</f>
        <v/>
      </c>
      <c r="I1331" s="18">
        <f>IF(OR(NOT(ISNUMBER($A1331)),ROW()-2&lt;Settings!$B$12),NA(),IF(COUNT(OFFSET(F1331,1-Settings!$B$12,0,Settings!$B$12,1))&lt;Settings!$B$12,NA(),STDEV(OFFSET(F1331,1-Settings!$B$12,0,Settings!$B$12,1))*SQRT(Settings!$B$13)))</f>
        <v/>
      </c>
      <c r="J1331" s="18">
        <f>IF(OR(NOT(ISNUMBER($A1331)),ROW()-2&lt;Settings!$B$11),NA(),IF(COUNT(OFFSET(G1331,1-Settings!$B$11,0,Settings!$B$11,1))&lt;Settings!$B$11,NA(),STDEV(OFFSET(G1331,1-Settings!$B$11,0,Settings!$B$11,1))*SQRT(Settings!$B$13)))</f>
        <v/>
      </c>
      <c r="K1331" s="18">
        <f>IF(OR(NOT(ISNUMBER($A1331)),ROW()-2&lt;Settings!$B$12),NA(),IF(COUNT(OFFSET(G1331,1-Settings!$B$12,0,Settings!$B$12,1))&lt;Settings!$B$12,NA(),STDEV(OFFSET(G1331,1-Settings!$B$12,0,Settings!$B$12,1))*SQRT(Settings!$B$13)))</f>
        <v/>
      </c>
      <c r="L1331" s="18">
        <f>IF(AND(ISNUMBER(D1331),ISNUMBER(H1331)),D1331-H1331,NA())</f>
        <v/>
      </c>
      <c r="M1331" s="18">
        <f>IF(AND(ISNUMBER(E1331),ISNUMBER(K1331)),E1331-K1331,NA())</f>
        <v/>
      </c>
      <c r="N1331" s="18">
        <f>IF(NOT(ISNUMBER($A1331)),NA(),IF(COUNT(OFFSET(G1331,1,0,Settings!$B$12,1))&lt;Settings!$B$12,NA(),STDEV(OFFSET(G1331,1,0,Settings!$B$12,1))*SQRT(Settings!$B$13)))</f>
        <v/>
      </c>
      <c r="O1331" s="18">
        <f>IF(AND(ISNUMBER(E1331),ISNUMBER(N1331)),E1331-N1331,NA())</f>
        <v/>
      </c>
      <c r="P1331" s="17">
        <f>IF(NOT(ISNUMBER($A1331)),NA(),IF(OR($A1331&lt;MIN(KW_TP!$A$2:$A$2501),$A1331&gt;MAX(KW_TP!$A$2:$A$2501)),NA(),INDEX(KW_TP!$C$2:$C$2501,MATCH($A1331,KW_TP!$A$2:$A$2501,1))))</f>
        <v/>
      </c>
    </row>
    <row r="1332">
      <c r="A1332" s="15">
        <f>IF(ISNUMBER(BBG_Data!A1332),BBG_Data!A1332,"")</f>
        <v/>
      </c>
      <c r="B1332" s="16">
        <f>IF(AND(ISNUMBER($A1332),ISNUMBER(BBG_Data!B1332)),BBG_Data!B1332,NA())</f>
        <v/>
      </c>
      <c r="C1332" s="16">
        <f>IF(AND(ISNUMBER($A1332),ISNUMBER(BBG_Data!C1332)),BBG_Data!C1332,NA())</f>
        <v/>
      </c>
      <c r="D1332" s="17">
        <f>IF(AND(ISNUMBER($A1332),ISNUMBER(BBG_Data!D1332)),BBG_Data!D1332,NA())</f>
        <v/>
      </c>
      <c r="E1332" s="17">
        <f>IF(AND(ISNUMBER($A1332),ISNUMBER(BBG_Data!E1332)),BBG_Data!E1332,NA())</f>
        <v/>
      </c>
      <c r="F1332" s="18">
        <f>IF(AND(ISNUMBER(B1332),ISNUMBER(B1331)),(B1332-B1331)*100,"")</f>
        <v/>
      </c>
      <c r="G1332" s="18">
        <f>IF(AND(ISNUMBER(C1332),ISNUMBER(C1331)),(C1332-C1331)*100,"")</f>
        <v/>
      </c>
      <c r="H1332" s="18">
        <f>IF(OR(NOT(ISNUMBER($A1332)),ROW()-2&lt;Settings!$B$11),NA(),IF(COUNT(OFFSET(F1332,1-Settings!$B$11,0,Settings!$B$11,1))&lt;Settings!$B$11,NA(),STDEV(OFFSET(F1332,1-Settings!$B$11,0,Settings!$B$11,1))*SQRT(Settings!$B$13)))</f>
        <v/>
      </c>
      <c r="I1332" s="18">
        <f>IF(OR(NOT(ISNUMBER($A1332)),ROW()-2&lt;Settings!$B$12),NA(),IF(COUNT(OFFSET(F1332,1-Settings!$B$12,0,Settings!$B$12,1))&lt;Settings!$B$12,NA(),STDEV(OFFSET(F1332,1-Settings!$B$12,0,Settings!$B$12,1))*SQRT(Settings!$B$13)))</f>
        <v/>
      </c>
      <c r="J1332" s="18">
        <f>IF(OR(NOT(ISNUMBER($A1332)),ROW()-2&lt;Settings!$B$11),NA(),IF(COUNT(OFFSET(G1332,1-Settings!$B$11,0,Settings!$B$11,1))&lt;Settings!$B$11,NA(),STDEV(OFFSET(G1332,1-Settings!$B$11,0,Settings!$B$11,1))*SQRT(Settings!$B$13)))</f>
        <v/>
      </c>
      <c r="K1332" s="18">
        <f>IF(OR(NOT(ISNUMBER($A1332)),ROW()-2&lt;Settings!$B$12),NA(),IF(COUNT(OFFSET(G1332,1-Settings!$B$12,0,Settings!$B$12,1))&lt;Settings!$B$12,NA(),STDEV(OFFSET(G1332,1-Settings!$B$12,0,Settings!$B$12,1))*SQRT(Settings!$B$13)))</f>
        <v/>
      </c>
      <c r="L1332" s="18">
        <f>IF(AND(ISNUMBER(D1332),ISNUMBER(H1332)),D1332-H1332,NA())</f>
        <v/>
      </c>
      <c r="M1332" s="18">
        <f>IF(AND(ISNUMBER(E1332),ISNUMBER(K1332)),E1332-K1332,NA())</f>
        <v/>
      </c>
      <c r="N1332" s="18">
        <f>IF(NOT(ISNUMBER($A1332)),NA(),IF(COUNT(OFFSET(G1332,1,0,Settings!$B$12,1))&lt;Settings!$B$12,NA(),STDEV(OFFSET(G1332,1,0,Settings!$B$12,1))*SQRT(Settings!$B$13)))</f>
        <v/>
      </c>
      <c r="O1332" s="18">
        <f>IF(AND(ISNUMBER(E1332),ISNUMBER(N1332)),E1332-N1332,NA())</f>
        <v/>
      </c>
      <c r="P1332" s="17">
        <f>IF(NOT(ISNUMBER($A1332)),NA(),IF(OR($A1332&lt;MIN(KW_TP!$A$2:$A$2501),$A1332&gt;MAX(KW_TP!$A$2:$A$2501)),NA(),INDEX(KW_TP!$C$2:$C$2501,MATCH($A1332,KW_TP!$A$2:$A$2501,1))))</f>
        <v/>
      </c>
    </row>
    <row r="1333">
      <c r="A1333" s="15">
        <f>IF(ISNUMBER(BBG_Data!A1333),BBG_Data!A1333,"")</f>
        <v/>
      </c>
      <c r="B1333" s="16">
        <f>IF(AND(ISNUMBER($A1333),ISNUMBER(BBG_Data!B1333)),BBG_Data!B1333,NA())</f>
        <v/>
      </c>
      <c r="C1333" s="16">
        <f>IF(AND(ISNUMBER($A1333),ISNUMBER(BBG_Data!C1333)),BBG_Data!C1333,NA())</f>
        <v/>
      </c>
      <c r="D1333" s="17">
        <f>IF(AND(ISNUMBER($A1333),ISNUMBER(BBG_Data!D1333)),BBG_Data!D1333,NA())</f>
        <v/>
      </c>
      <c r="E1333" s="17">
        <f>IF(AND(ISNUMBER($A1333),ISNUMBER(BBG_Data!E1333)),BBG_Data!E1333,NA())</f>
        <v/>
      </c>
      <c r="F1333" s="18">
        <f>IF(AND(ISNUMBER(B1333),ISNUMBER(B1332)),(B1333-B1332)*100,"")</f>
        <v/>
      </c>
      <c r="G1333" s="18">
        <f>IF(AND(ISNUMBER(C1333),ISNUMBER(C1332)),(C1333-C1332)*100,"")</f>
        <v/>
      </c>
      <c r="H1333" s="18">
        <f>IF(OR(NOT(ISNUMBER($A1333)),ROW()-2&lt;Settings!$B$11),NA(),IF(COUNT(OFFSET(F1333,1-Settings!$B$11,0,Settings!$B$11,1))&lt;Settings!$B$11,NA(),STDEV(OFFSET(F1333,1-Settings!$B$11,0,Settings!$B$11,1))*SQRT(Settings!$B$13)))</f>
        <v/>
      </c>
      <c r="I1333" s="18">
        <f>IF(OR(NOT(ISNUMBER($A1333)),ROW()-2&lt;Settings!$B$12),NA(),IF(COUNT(OFFSET(F1333,1-Settings!$B$12,0,Settings!$B$12,1))&lt;Settings!$B$12,NA(),STDEV(OFFSET(F1333,1-Settings!$B$12,0,Settings!$B$12,1))*SQRT(Settings!$B$13)))</f>
        <v/>
      </c>
      <c r="J1333" s="18">
        <f>IF(OR(NOT(ISNUMBER($A1333)),ROW()-2&lt;Settings!$B$11),NA(),IF(COUNT(OFFSET(G1333,1-Settings!$B$11,0,Settings!$B$11,1))&lt;Settings!$B$11,NA(),STDEV(OFFSET(G1333,1-Settings!$B$11,0,Settings!$B$11,1))*SQRT(Settings!$B$13)))</f>
        <v/>
      </c>
      <c r="K1333" s="18">
        <f>IF(OR(NOT(ISNUMBER($A1333)),ROW()-2&lt;Settings!$B$12),NA(),IF(COUNT(OFFSET(G1333,1-Settings!$B$12,0,Settings!$B$12,1))&lt;Settings!$B$12,NA(),STDEV(OFFSET(G1333,1-Settings!$B$12,0,Settings!$B$12,1))*SQRT(Settings!$B$13)))</f>
        <v/>
      </c>
      <c r="L1333" s="18">
        <f>IF(AND(ISNUMBER(D1333),ISNUMBER(H1333)),D1333-H1333,NA())</f>
        <v/>
      </c>
      <c r="M1333" s="18">
        <f>IF(AND(ISNUMBER(E1333),ISNUMBER(K1333)),E1333-K1333,NA())</f>
        <v/>
      </c>
      <c r="N1333" s="18">
        <f>IF(NOT(ISNUMBER($A1333)),NA(),IF(COUNT(OFFSET(G1333,1,0,Settings!$B$12,1))&lt;Settings!$B$12,NA(),STDEV(OFFSET(G1333,1,0,Settings!$B$12,1))*SQRT(Settings!$B$13)))</f>
        <v/>
      </c>
      <c r="O1333" s="18">
        <f>IF(AND(ISNUMBER(E1333),ISNUMBER(N1333)),E1333-N1333,NA())</f>
        <v/>
      </c>
      <c r="P1333" s="17">
        <f>IF(NOT(ISNUMBER($A1333)),NA(),IF(OR($A1333&lt;MIN(KW_TP!$A$2:$A$2501),$A1333&gt;MAX(KW_TP!$A$2:$A$2501)),NA(),INDEX(KW_TP!$C$2:$C$2501,MATCH($A1333,KW_TP!$A$2:$A$2501,1))))</f>
        <v/>
      </c>
    </row>
    <row r="1334">
      <c r="A1334" s="15">
        <f>IF(ISNUMBER(BBG_Data!A1334),BBG_Data!A1334,"")</f>
        <v/>
      </c>
      <c r="B1334" s="16">
        <f>IF(AND(ISNUMBER($A1334),ISNUMBER(BBG_Data!B1334)),BBG_Data!B1334,NA())</f>
        <v/>
      </c>
      <c r="C1334" s="16">
        <f>IF(AND(ISNUMBER($A1334),ISNUMBER(BBG_Data!C1334)),BBG_Data!C1334,NA())</f>
        <v/>
      </c>
      <c r="D1334" s="17">
        <f>IF(AND(ISNUMBER($A1334),ISNUMBER(BBG_Data!D1334)),BBG_Data!D1334,NA())</f>
        <v/>
      </c>
      <c r="E1334" s="17">
        <f>IF(AND(ISNUMBER($A1334),ISNUMBER(BBG_Data!E1334)),BBG_Data!E1334,NA())</f>
        <v/>
      </c>
      <c r="F1334" s="18">
        <f>IF(AND(ISNUMBER(B1334),ISNUMBER(B1333)),(B1334-B1333)*100,"")</f>
        <v/>
      </c>
      <c r="G1334" s="18">
        <f>IF(AND(ISNUMBER(C1334),ISNUMBER(C1333)),(C1334-C1333)*100,"")</f>
        <v/>
      </c>
      <c r="H1334" s="18">
        <f>IF(OR(NOT(ISNUMBER($A1334)),ROW()-2&lt;Settings!$B$11),NA(),IF(COUNT(OFFSET(F1334,1-Settings!$B$11,0,Settings!$B$11,1))&lt;Settings!$B$11,NA(),STDEV(OFFSET(F1334,1-Settings!$B$11,0,Settings!$B$11,1))*SQRT(Settings!$B$13)))</f>
        <v/>
      </c>
      <c r="I1334" s="18">
        <f>IF(OR(NOT(ISNUMBER($A1334)),ROW()-2&lt;Settings!$B$12),NA(),IF(COUNT(OFFSET(F1334,1-Settings!$B$12,0,Settings!$B$12,1))&lt;Settings!$B$12,NA(),STDEV(OFFSET(F1334,1-Settings!$B$12,0,Settings!$B$12,1))*SQRT(Settings!$B$13)))</f>
        <v/>
      </c>
      <c r="J1334" s="18">
        <f>IF(OR(NOT(ISNUMBER($A1334)),ROW()-2&lt;Settings!$B$11),NA(),IF(COUNT(OFFSET(G1334,1-Settings!$B$11,0,Settings!$B$11,1))&lt;Settings!$B$11,NA(),STDEV(OFFSET(G1334,1-Settings!$B$11,0,Settings!$B$11,1))*SQRT(Settings!$B$13)))</f>
        <v/>
      </c>
      <c r="K1334" s="18">
        <f>IF(OR(NOT(ISNUMBER($A1334)),ROW()-2&lt;Settings!$B$12),NA(),IF(COUNT(OFFSET(G1334,1-Settings!$B$12,0,Settings!$B$12,1))&lt;Settings!$B$12,NA(),STDEV(OFFSET(G1334,1-Settings!$B$12,0,Settings!$B$12,1))*SQRT(Settings!$B$13)))</f>
        <v/>
      </c>
      <c r="L1334" s="18">
        <f>IF(AND(ISNUMBER(D1334),ISNUMBER(H1334)),D1334-H1334,NA())</f>
        <v/>
      </c>
      <c r="M1334" s="18">
        <f>IF(AND(ISNUMBER(E1334),ISNUMBER(K1334)),E1334-K1334,NA())</f>
        <v/>
      </c>
      <c r="N1334" s="18">
        <f>IF(NOT(ISNUMBER($A1334)),NA(),IF(COUNT(OFFSET(G1334,1,0,Settings!$B$12,1))&lt;Settings!$B$12,NA(),STDEV(OFFSET(G1334,1,0,Settings!$B$12,1))*SQRT(Settings!$B$13)))</f>
        <v/>
      </c>
      <c r="O1334" s="18">
        <f>IF(AND(ISNUMBER(E1334),ISNUMBER(N1334)),E1334-N1334,NA())</f>
        <v/>
      </c>
      <c r="P1334" s="17">
        <f>IF(NOT(ISNUMBER($A1334)),NA(),IF(OR($A1334&lt;MIN(KW_TP!$A$2:$A$2501),$A1334&gt;MAX(KW_TP!$A$2:$A$2501)),NA(),INDEX(KW_TP!$C$2:$C$2501,MATCH($A1334,KW_TP!$A$2:$A$2501,1))))</f>
        <v/>
      </c>
    </row>
    <row r="1335">
      <c r="A1335" s="15">
        <f>IF(ISNUMBER(BBG_Data!A1335),BBG_Data!A1335,"")</f>
        <v/>
      </c>
      <c r="B1335" s="16">
        <f>IF(AND(ISNUMBER($A1335),ISNUMBER(BBG_Data!B1335)),BBG_Data!B1335,NA())</f>
        <v/>
      </c>
      <c r="C1335" s="16">
        <f>IF(AND(ISNUMBER($A1335),ISNUMBER(BBG_Data!C1335)),BBG_Data!C1335,NA())</f>
        <v/>
      </c>
      <c r="D1335" s="17">
        <f>IF(AND(ISNUMBER($A1335),ISNUMBER(BBG_Data!D1335)),BBG_Data!D1335,NA())</f>
        <v/>
      </c>
      <c r="E1335" s="17">
        <f>IF(AND(ISNUMBER($A1335),ISNUMBER(BBG_Data!E1335)),BBG_Data!E1335,NA())</f>
        <v/>
      </c>
      <c r="F1335" s="18">
        <f>IF(AND(ISNUMBER(B1335),ISNUMBER(B1334)),(B1335-B1334)*100,"")</f>
        <v/>
      </c>
      <c r="G1335" s="18">
        <f>IF(AND(ISNUMBER(C1335),ISNUMBER(C1334)),(C1335-C1334)*100,"")</f>
        <v/>
      </c>
      <c r="H1335" s="18">
        <f>IF(OR(NOT(ISNUMBER($A1335)),ROW()-2&lt;Settings!$B$11),NA(),IF(COUNT(OFFSET(F1335,1-Settings!$B$11,0,Settings!$B$11,1))&lt;Settings!$B$11,NA(),STDEV(OFFSET(F1335,1-Settings!$B$11,0,Settings!$B$11,1))*SQRT(Settings!$B$13)))</f>
        <v/>
      </c>
      <c r="I1335" s="18">
        <f>IF(OR(NOT(ISNUMBER($A1335)),ROW()-2&lt;Settings!$B$12),NA(),IF(COUNT(OFFSET(F1335,1-Settings!$B$12,0,Settings!$B$12,1))&lt;Settings!$B$12,NA(),STDEV(OFFSET(F1335,1-Settings!$B$12,0,Settings!$B$12,1))*SQRT(Settings!$B$13)))</f>
        <v/>
      </c>
      <c r="J1335" s="18">
        <f>IF(OR(NOT(ISNUMBER($A1335)),ROW()-2&lt;Settings!$B$11),NA(),IF(COUNT(OFFSET(G1335,1-Settings!$B$11,0,Settings!$B$11,1))&lt;Settings!$B$11,NA(),STDEV(OFFSET(G1335,1-Settings!$B$11,0,Settings!$B$11,1))*SQRT(Settings!$B$13)))</f>
        <v/>
      </c>
      <c r="K1335" s="18">
        <f>IF(OR(NOT(ISNUMBER($A1335)),ROW()-2&lt;Settings!$B$12),NA(),IF(COUNT(OFFSET(G1335,1-Settings!$B$12,0,Settings!$B$12,1))&lt;Settings!$B$12,NA(),STDEV(OFFSET(G1335,1-Settings!$B$12,0,Settings!$B$12,1))*SQRT(Settings!$B$13)))</f>
        <v/>
      </c>
      <c r="L1335" s="18">
        <f>IF(AND(ISNUMBER(D1335),ISNUMBER(H1335)),D1335-H1335,NA())</f>
        <v/>
      </c>
      <c r="M1335" s="18">
        <f>IF(AND(ISNUMBER(E1335),ISNUMBER(K1335)),E1335-K1335,NA())</f>
        <v/>
      </c>
      <c r="N1335" s="18">
        <f>IF(NOT(ISNUMBER($A1335)),NA(),IF(COUNT(OFFSET(G1335,1,0,Settings!$B$12,1))&lt;Settings!$B$12,NA(),STDEV(OFFSET(G1335,1,0,Settings!$B$12,1))*SQRT(Settings!$B$13)))</f>
        <v/>
      </c>
      <c r="O1335" s="18">
        <f>IF(AND(ISNUMBER(E1335),ISNUMBER(N1335)),E1335-N1335,NA())</f>
        <v/>
      </c>
      <c r="P1335" s="17">
        <f>IF(NOT(ISNUMBER($A1335)),NA(),IF(OR($A1335&lt;MIN(KW_TP!$A$2:$A$2501),$A1335&gt;MAX(KW_TP!$A$2:$A$2501)),NA(),INDEX(KW_TP!$C$2:$C$2501,MATCH($A1335,KW_TP!$A$2:$A$2501,1))))</f>
        <v/>
      </c>
    </row>
    <row r="1336">
      <c r="A1336" s="15">
        <f>IF(ISNUMBER(BBG_Data!A1336),BBG_Data!A1336,"")</f>
        <v/>
      </c>
      <c r="B1336" s="16">
        <f>IF(AND(ISNUMBER($A1336),ISNUMBER(BBG_Data!B1336)),BBG_Data!B1336,NA())</f>
        <v/>
      </c>
      <c r="C1336" s="16">
        <f>IF(AND(ISNUMBER($A1336),ISNUMBER(BBG_Data!C1336)),BBG_Data!C1336,NA())</f>
        <v/>
      </c>
      <c r="D1336" s="17">
        <f>IF(AND(ISNUMBER($A1336),ISNUMBER(BBG_Data!D1336)),BBG_Data!D1336,NA())</f>
        <v/>
      </c>
      <c r="E1336" s="17">
        <f>IF(AND(ISNUMBER($A1336),ISNUMBER(BBG_Data!E1336)),BBG_Data!E1336,NA())</f>
        <v/>
      </c>
      <c r="F1336" s="18">
        <f>IF(AND(ISNUMBER(B1336),ISNUMBER(B1335)),(B1336-B1335)*100,"")</f>
        <v/>
      </c>
      <c r="G1336" s="18">
        <f>IF(AND(ISNUMBER(C1336),ISNUMBER(C1335)),(C1336-C1335)*100,"")</f>
        <v/>
      </c>
      <c r="H1336" s="18">
        <f>IF(OR(NOT(ISNUMBER($A1336)),ROW()-2&lt;Settings!$B$11),NA(),IF(COUNT(OFFSET(F1336,1-Settings!$B$11,0,Settings!$B$11,1))&lt;Settings!$B$11,NA(),STDEV(OFFSET(F1336,1-Settings!$B$11,0,Settings!$B$11,1))*SQRT(Settings!$B$13)))</f>
        <v/>
      </c>
      <c r="I1336" s="18">
        <f>IF(OR(NOT(ISNUMBER($A1336)),ROW()-2&lt;Settings!$B$12),NA(),IF(COUNT(OFFSET(F1336,1-Settings!$B$12,0,Settings!$B$12,1))&lt;Settings!$B$12,NA(),STDEV(OFFSET(F1336,1-Settings!$B$12,0,Settings!$B$12,1))*SQRT(Settings!$B$13)))</f>
        <v/>
      </c>
      <c r="J1336" s="18">
        <f>IF(OR(NOT(ISNUMBER($A1336)),ROW()-2&lt;Settings!$B$11),NA(),IF(COUNT(OFFSET(G1336,1-Settings!$B$11,0,Settings!$B$11,1))&lt;Settings!$B$11,NA(),STDEV(OFFSET(G1336,1-Settings!$B$11,0,Settings!$B$11,1))*SQRT(Settings!$B$13)))</f>
        <v/>
      </c>
      <c r="K1336" s="18">
        <f>IF(OR(NOT(ISNUMBER($A1336)),ROW()-2&lt;Settings!$B$12),NA(),IF(COUNT(OFFSET(G1336,1-Settings!$B$12,0,Settings!$B$12,1))&lt;Settings!$B$12,NA(),STDEV(OFFSET(G1336,1-Settings!$B$12,0,Settings!$B$12,1))*SQRT(Settings!$B$13)))</f>
        <v/>
      </c>
      <c r="L1336" s="18">
        <f>IF(AND(ISNUMBER(D1336),ISNUMBER(H1336)),D1336-H1336,NA())</f>
        <v/>
      </c>
      <c r="M1336" s="18">
        <f>IF(AND(ISNUMBER(E1336),ISNUMBER(K1336)),E1336-K1336,NA())</f>
        <v/>
      </c>
      <c r="N1336" s="18">
        <f>IF(NOT(ISNUMBER($A1336)),NA(),IF(COUNT(OFFSET(G1336,1,0,Settings!$B$12,1))&lt;Settings!$B$12,NA(),STDEV(OFFSET(G1336,1,0,Settings!$B$12,1))*SQRT(Settings!$B$13)))</f>
        <v/>
      </c>
      <c r="O1336" s="18">
        <f>IF(AND(ISNUMBER(E1336),ISNUMBER(N1336)),E1336-N1336,NA())</f>
        <v/>
      </c>
      <c r="P1336" s="17">
        <f>IF(NOT(ISNUMBER($A1336)),NA(),IF(OR($A1336&lt;MIN(KW_TP!$A$2:$A$2501),$A1336&gt;MAX(KW_TP!$A$2:$A$2501)),NA(),INDEX(KW_TP!$C$2:$C$2501,MATCH($A1336,KW_TP!$A$2:$A$2501,1))))</f>
        <v/>
      </c>
    </row>
    <row r="1337">
      <c r="A1337" s="15">
        <f>IF(ISNUMBER(BBG_Data!A1337),BBG_Data!A1337,"")</f>
        <v/>
      </c>
      <c r="B1337" s="16">
        <f>IF(AND(ISNUMBER($A1337),ISNUMBER(BBG_Data!B1337)),BBG_Data!B1337,NA())</f>
        <v/>
      </c>
      <c r="C1337" s="16">
        <f>IF(AND(ISNUMBER($A1337),ISNUMBER(BBG_Data!C1337)),BBG_Data!C1337,NA())</f>
        <v/>
      </c>
      <c r="D1337" s="17">
        <f>IF(AND(ISNUMBER($A1337),ISNUMBER(BBG_Data!D1337)),BBG_Data!D1337,NA())</f>
        <v/>
      </c>
      <c r="E1337" s="17">
        <f>IF(AND(ISNUMBER($A1337),ISNUMBER(BBG_Data!E1337)),BBG_Data!E1337,NA())</f>
        <v/>
      </c>
      <c r="F1337" s="18">
        <f>IF(AND(ISNUMBER(B1337),ISNUMBER(B1336)),(B1337-B1336)*100,"")</f>
        <v/>
      </c>
      <c r="G1337" s="18">
        <f>IF(AND(ISNUMBER(C1337),ISNUMBER(C1336)),(C1337-C1336)*100,"")</f>
        <v/>
      </c>
      <c r="H1337" s="18">
        <f>IF(OR(NOT(ISNUMBER($A1337)),ROW()-2&lt;Settings!$B$11),NA(),IF(COUNT(OFFSET(F1337,1-Settings!$B$11,0,Settings!$B$11,1))&lt;Settings!$B$11,NA(),STDEV(OFFSET(F1337,1-Settings!$B$11,0,Settings!$B$11,1))*SQRT(Settings!$B$13)))</f>
        <v/>
      </c>
      <c r="I1337" s="18">
        <f>IF(OR(NOT(ISNUMBER($A1337)),ROW()-2&lt;Settings!$B$12),NA(),IF(COUNT(OFFSET(F1337,1-Settings!$B$12,0,Settings!$B$12,1))&lt;Settings!$B$12,NA(),STDEV(OFFSET(F1337,1-Settings!$B$12,0,Settings!$B$12,1))*SQRT(Settings!$B$13)))</f>
        <v/>
      </c>
      <c r="J1337" s="18">
        <f>IF(OR(NOT(ISNUMBER($A1337)),ROW()-2&lt;Settings!$B$11),NA(),IF(COUNT(OFFSET(G1337,1-Settings!$B$11,0,Settings!$B$11,1))&lt;Settings!$B$11,NA(),STDEV(OFFSET(G1337,1-Settings!$B$11,0,Settings!$B$11,1))*SQRT(Settings!$B$13)))</f>
        <v/>
      </c>
      <c r="K1337" s="18">
        <f>IF(OR(NOT(ISNUMBER($A1337)),ROW()-2&lt;Settings!$B$12),NA(),IF(COUNT(OFFSET(G1337,1-Settings!$B$12,0,Settings!$B$12,1))&lt;Settings!$B$12,NA(),STDEV(OFFSET(G1337,1-Settings!$B$12,0,Settings!$B$12,1))*SQRT(Settings!$B$13)))</f>
        <v/>
      </c>
      <c r="L1337" s="18">
        <f>IF(AND(ISNUMBER(D1337),ISNUMBER(H1337)),D1337-H1337,NA())</f>
        <v/>
      </c>
      <c r="M1337" s="18">
        <f>IF(AND(ISNUMBER(E1337),ISNUMBER(K1337)),E1337-K1337,NA())</f>
        <v/>
      </c>
      <c r="N1337" s="18">
        <f>IF(NOT(ISNUMBER($A1337)),NA(),IF(COUNT(OFFSET(G1337,1,0,Settings!$B$12,1))&lt;Settings!$B$12,NA(),STDEV(OFFSET(G1337,1,0,Settings!$B$12,1))*SQRT(Settings!$B$13)))</f>
        <v/>
      </c>
      <c r="O1337" s="18">
        <f>IF(AND(ISNUMBER(E1337),ISNUMBER(N1337)),E1337-N1337,NA())</f>
        <v/>
      </c>
      <c r="P1337" s="17">
        <f>IF(NOT(ISNUMBER($A1337)),NA(),IF(OR($A1337&lt;MIN(KW_TP!$A$2:$A$2501),$A1337&gt;MAX(KW_TP!$A$2:$A$2501)),NA(),INDEX(KW_TP!$C$2:$C$2501,MATCH($A1337,KW_TP!$A$2:$A$2501,1))))</f>
        <v/>
      </c>
    </row>
    <row r="1338">
      <c r="A1338" s="15">
        <f>IF(ISNUMBER(BBG_Data!A1338),BBG_Data!A1338,"")</f>
        <v/>
      </c>
      <c r="B1338" s="16">
        <f>IF(AND(ISNUMBER($A1338),ISNUMBER(BBG_Data!B1338)),BBG_Data!B1338,NA())</f>
        <v/>
      </c>
      <c r="C1338" s="16">
        <f>IF(AND(ISNUMBER($A1338),ISNUMBER(BBG_Data!C1338)),BBG_Data!C1338,NA())</f>
        <v/>
      </c>
      <c r="D1338" s="17">
        <f>IF(AND(ISNUMBER($A1338),ISNUMBER(BBG_Data!D1338)),BBG_Data!D1338,NA())</f>
        <v/>
      </c>
      <c r="E1338" s="17">
        <f>IF(AND(ISNUMBER($A1338),ISNUMBER(BBG_Data!E1338)),BBG_Data!E1338,NA())</f>
        <v/>
      </c>
      <c r="F1338" s="18">
        <f>IF(AND(ISNUMBER(B1338),ISNUMBER(B1337)),(B1338-B1337)*100,"")</f>
        <v/>
      </c>
      <c r="G1338" s="18">
        <f>IF(AND(ISNUMBER(C1338),ISNUMBER(C1337)),(C1338-C1337)*100,"")</f>
        <v/>
      </c>
      <c r="H1338" s="18">
        <f>IF(OR(NOT(ISNUMBER($A1338)),ROW()-2&lt;Settings!$B$11),NA(),IF(COUNT(OFFSET(F1338,1-Settings!$B$11,0,Settings!$B$11,1))&lt;Settings!$B$11,NA(),STDEV(OFFSET(F1338,1-Settings!$B$11,0,Settings!$B$11,1))*SQRT(Settings!$B$13)))</f>
        <v/>
      </c>
      <c r="I1338" s="18">
        <f>IF(OR(NOT(ISNUMBER($A1338)),ROW()-2&lt;Settings!$B$12),NA(),IF(COUNT(OFFSET(F1338,1-Settings!$B$12,0,Settings!$B$12,1))&lt;Settings!$B$12,NA(),STDEV(OFFSET(F1338,1-Settings!$B$12,0,Settings!$B$12,1))*SQRT(Settings!$B$13)))</f>
        <v/>
      </c>
      <c r="J1338" s="18">
        <f>IF(OR(NOT(ISNUMBER($A1338)),ROW()-2&lt;Settings!$B$11),NA(),IF(COUNT(OFFSET(G1338,1-Settings!$B$11,0,Settings!$B$11,1))&lt;Settings!$B$11,NA(),STDEV(OFFSET(G1338,1-Settings!$B$11,0,Settings!$B$11,1))*SQRT(Settings!$B$13)))</f>
        <v/>
      </c>
      <c r="K1338" s="18">
        <f>IF(OR(NOT(ISNUMBER($A1338)),ROW()-2&lt;Settings!$B$12),NA(),IF(COUNT(OFFSET(G1338,1-Settings!$B$12,0,Settings!$B$12,1))&lt;Settings!$B$12,NA(),STDEV(OFFSET(G1338,1-Settings!$B$12,0,Settings!$B$12,1))*SQRT(Settings!$B$13)))</f>
        <v/>
      </c>
      <c r="L1338" s="18">
        <f>IF(AND(ISNUMBER(D1338),ISNUMBER(H1338)),D1338-H1338,NA())</f>
        <v/>
      </c>
      <c r="M1338" s="18">
        <f>IF(AND(ISNUMBER(E1338),ISNUMBER(K1338)),E1338-K1338,NA())</f>
        <v/>
      </c>
      <c r="N1338" s="18">
        <f>IF(NOT(ISNUMBER($A1338)),NA(),IF(COUNT(OFFSET(G1338,1,0,Settings!$B$12,1))&lt;Settings!$B$12,NA(),STDEV(OFFSET(G1338,1,0,Settings!$B$12,1))*SQRT(Settings!$B$13)))</f>
        <v/>
      </c>
      <c r="O1338" s="18">
        <f>IF(AND(ISNUMBER(E1338),ISNUMBER(N1338)),E1338-N1338,NA())</f>
        <v/>
      </c>
      <c r="P1338" s="17">
        <f>IF(NOT(ISNUMBER($A1338)),NA(),IF(OR($A1338&lt;MIN(KW_TP!$A$2:$A$2501),$A1338&gt;MAX(KW_TP!$A$2:$A$2501)),NA(),INDEX(KW_TP!$C$2:$C$2501,MATCH($A1338,KW_TP!$A$2:$A$2501,1))))</f>
        <v/>
      </c>
    </row>
    <row r="1339">
      <c r="A1339" s="15">
        <f>IF(ISNUMBER(BBG_Data!A1339),BBG_Data!A1339,"")</f>
        <v/>
      </c>
      <c r="B1339" s="16">
        <f>IF(AND(ISNUMBER($A1339),ISNUMBER(BBG_Data!B1339)),BBG_Data!B1339,NA())</f>
        <v/>
      </c>
      <c r="C1339" s="16">
        <f>IF(AND(ISNUMBER($A1339),ISNUMBER(BBG_Data!C1339)),BBG_Data!C1339,NA())</f>
        <v/>
      </c>
      <c r="D1339" s="17">
        <f>IF(AND(ISNUMBER($A1339),ISNUMBER(BBG_Data!D1339)),BBG_Data!D1339,NA())</f>
        <v/>
      </c>
      <c r="E1339" s="17">
        <f>IF(AND(ISNUMBER($A1339),ISNUMBER(BBG_Data!E1339)),BBG_Data!E1339,NA())</f>
        <v/>
      </c>
      <c r="F1339" s="18">
        <f>IF(AND(ISNUMBER(B1339),ISNUMBER(B1338)),(B1339-B1338)*100,"")</f>
        <v/>
      </c>
      <c r="G1339" s="18">
        <f>IF(AND(ISNUMBER(C1339),ISNUMBER(C1338)),(C1339-C1338)*100,"")</f>
        <v/>
      </c>
      <c r="H1339" s="18">
        <f>IF(OR(NOT(ISNUMBER($A1339)),ROW()-2&lt;Settings!$B$11),NA(),IF(COUNT(OFFSET(F1339,1-Settings!$B$11,0,Settings!$B$11,1))&lt;Settings!$B$11,NA(),STDEV(OFFSET(F1339,1-Settings!$B$11,0,Settings!$B$11,1))*SQRT(Settings!$B$13)))</f>
        <v/>
      </c>
      <c r="I1339" s="18">
        <f>IF(OR(NOT(ISNUMBER($A1339)),ROW()-2&lt;Settings!$B$12),NA(),IF(COUNT(OFFSET(F1339,1-Settings!$B$12,0,Settings!$B$12,1))&lt;Settings!$B$12,NA(),STDEV(OFFSET(F1339,1-Settings!$B$12,0,Settings!$B$12,1))*SQRT(Settings!$B$13)))</f>
        <v/>
      </c>
      <c r="J1339" s="18">
        <f>IF(OR(NOT(ISNUMBER($A1339)),ROW()-2&lt;Settings!$B$11),NA(),IF(COUNT(OFFSET(G1339,1-Settings!$B$11,0,Settings!$B$11,1))&lt;Settings!$B$11,NA(),STDEV(OFFSET(G1339,1-Settings!$B$11,0,Settings!$B$11,1))*SQRT(Settings!$B$13)))</f>
        <v/>
      </c>
      <c r="K1339" s="18">
        <f>IF(OR(NOT(ISNUMBER($A1339)),ROW()-2&lt;Settings!$B$12),NA(),IF(COUNT(OFFSET(G1339,1-Settings!$B$12,0,Settings!$B$12,1))&lt;Settings!$B$12,NA(),STDEV(OFFSET(G1339,1-Settings!$B$12,0,Settings!$B$12,1))*SQRT(Settings!$B$13)))</f>
        <v/>
      </c>
      <c r="L1339" s="18">
        <f>IF(AND(ISNUMBER(D1339),ISNUMBER(H1339)),D1339-H1339,NA())</f>
        <v/>
      </c>
      <c r="M1339" s="18">
        <f>IF(AND(ISNUMBER(E1339),ISNUMBER(K1339)),E1339-K1339,NA())</f>
        <v/>
      </c>
      <c r="N1339" s="18">
        <f>IF(NOT(ISNUMBER($A1339)),NA(),IF(COUNT(OFFSET(G1339,1,0,Settings!$B$12,1))&lt;Settings!$B$12,NA(),STDEV(OFFSET(G1339,1,0,Settings!$B$12,1))*SQRT(Settings!$B$13)))</f>
        <v/>
      </c>
      <c r="O1339" s="18">
        <f>IF(AND(ISNUMBER(E1339),ISNUMBER(N1339)),E1339-N1339,NA())</f>
        <v/>
      </c>
      <c r="P1339" s="17">
        <f>IF(NOT(ISNUMBER($A1339)),NA(),IF(OR($A1339&lt;MIN(KW_TP!$A$2:$A$2501),$A1339&gt;MAX(KW_TP!$A$2:$A$2501)),NA(),INDEX(KW_TP!$C$2:$C$2501,MATCH($A1339,KW_TP!$A$2:$A$2501,1))))</f>
        <v/>
      </c>
    </row>
    <row r="1340">
      <c r="A1340" s="15">
        <f>IF(ISNUMBER(BBG_Data!A1340),BBG_Data!A1340,"")</f>
        <v/>
      </c>
      <c r="B1340" s="16">
        <f>IF(AND(ISNUMBER($A1340),ISNUMBER(BBG_Data!B1340)),BBG_Data!B1340,NA())</f>
        <v/>
      </c>
      <c r="C1340" s="16">
        <f>IF(AND(ISNUMBER($A1340),ISNUMBER(BBG_Data!C1340)),BBG_Data!C1340,NA())</f>
        <v/>
      </c>
      <c r="D1340" s="17">
        <f>IF(AND(ISNUMBER($A1340),ISNUMBER(BBG_Data!D1340)),BBG_Data!D1340,NA())</f>
        <v/>
      </c>
      <c r="E1340" s="17">
        <f>IF(AND(ISNUMBER($A1340),ISNUMBER(BBG_Data!E1340)),BBG_Data!E1340,NA())</f>
        <v/>
      </c>
      <c r="F1340" s="18">
        <f>IF(AND(ISNUMBER(B1340),ISNUMBER(B1339)),(B1340-B1339)*100,"")</f>
        <v/>
      </c>
      <c r="G1340" s="18">
        <f>IF(AND(ISNUMBER(C1340),ISNUMBER(C1339)),(C1340-C1339)*100,"")</f>
        <v/>
      </c>
      <c r="H1340" s="18">
        <f>IF(OR(NOT(ISNUMBER($A1340)),ROW()-2&lt;Settings!$B$11),NA(),IF(COUNT(OFFSET(F1340,1-Settings!$B$11,0,Settings!$B$11,1))&lt;Settings!$B$11,NA(),STDEV(OFFSET(F1340,1-Settings!$B$11,0,Settings!$B$11,1))*SQRT(Settings!$B$13)))</f>
        <v/>
      </c>
      <c r="I1340" s="18">
        <f>IF(OR(NOT(ISNUMBER($A1340)),ROW()-2&lt;Settings!$B$12),NA(),IF(COUNT(OFFSET(F1340,1-Settings!$B$12,0,Settings!$B$12,1))&lt;Settings!$B$12,NA(),STDEV(OFFSET(F1340,1-Settings!$B$12,0,Settings!$B$12,1))*SQRT(Settings!$B$13)))</f>
        <v/>
      </c>
      <c r="J1340" s="18">
        <f>IF(OR(NOT(ISNUMBER($A1340)),ROW()-2&lt;Settings!$B$11),NA(),IF(COUNT(OFFSET(G1340,1-Settings!$B$11,0,Settings!$B$11,1))&lt;Settings!$B$11,NA(),STDEV(OFFSET(G1340,1-Settings!$B$11,0,Settings!$B$11,1))*SQRT(Settings!$B$13)))</f>
        <v/>
      </c>
      <c r="K1340" s="18">
        <f>IF(OR(NOT(ISNUMBER($A1340)),ROW()-2&lt;Settings!$B$12),NA(),IF(COUNT(OFFSET(G1340,1-Settings!$B$12,0,Settings!$B$12,1))&lt;Settings!$B$12,NA(),STDEV(OFFSET(G1340,1-Settings!$B$12,0,Settings!$B$12,1))*SQRT(Settings!$B$13)))</f>
        <v/>
      </c>
      <c r="L1340" s="18">
        <f>IF(AND(ISNUMBER(D1340),ISNUMBER(H1340)),D1340-H1340,NA())</f>
        <v/>
      </c>
      <c r="M1340" s="18">
        <f>IF(AND(ISNUMBER(E1340),ISNUMBER(K1340)),E1340-K1340,NA())</f>
        <v/>
      </c>
      <c r="N1340" s="18">
        <f>IF(NOT(ISNUMBER($A1340)),NA(),IF(COUNT(OFFSET(G1340,1,0,Settings!$B$12,1))&lt;Settings!$B$12,NA(),STDEV(OFFSET(G1340,1,0,Settings!$B$12,1))*SQRT(Settings!$B$13)))</f>
        <v/>
      </c>
      <c r="O1340" s="18">
        <f>IF(AND(ISNUMBER(E1340),ISNUMBER(N1340)),E1340-N1340,NA())</f>
        <v/>
      </c>
      <c r="P1340" s="17">
        <f>IF(NOT(ISNUMBER($A1340)),NA(),IF(OR($A1340&lt;MIN(KW_TP!$A$2:$A$2501),$A1340&gt;MAX(KW_TP!$A$2:$A$2501)),NA(),INDEX(KW_TP!$C$2:$C$2501,MATCH($A1340,KW_TP!$A$2:$A$2501,1))))</f>
        <v/>
      </c>
    </row>
    <row r="1341">
      <c r="A1341" s="15">
        <f>IF(ISNUMBER(BBG_Data!A1341),BBG_Data!A1341,"")</f>
        <v/>
      </c>
      <c r="B1341" s="16">
        <f>IF(AND(ISNUMBER($A1341),ISNUMBER(BBG_Data!B1341)),BBG_Data!B1341,NA())</f>
        <v/>
      </c>
      <c r="C1341" s="16">
        <f>IF(AND(ISNUMBER($A1341),ISNUMBER(BBG_Data!C1341)),BBG_Data!C1341,NA())</f>
        <v/>
      </c>
      <c r="D1341" s="17">
        <f>IF(AND(ISNUMBER($A1341),ISNUMBER(BBG_Data!D1341)),BBG_Data!D1341,NA())</f>
        <v/>
      </c>
      <c r="E1341" s="17">
        <f>IF(AND(ISNUMBER($A1341),ISNUMBER(BBG_Data!E1341)),BBG_Data!E1341,NA())</f>
        <v/>
      </c>
      <c r="F1341" s="18">
        <f>IF(AND(ISNUMBER(B1341),ISNUMBER(B1340)),(B1341-B1340)*100,"")</f>
        <v/>
      </c>
      <c r="G1341" s="18">
        <f>IF(AND(ISNUMBER(C1341),ISNUMBER(C1340)),(C1341-C1340)*100,"")</f>
        <v/>
      </c>
      <c r="H1341" s="18">
        <f>IF(OR(NOT(ISNUMBER($A1341)),ROW()-2&lt;Settings!$B$11),NA(),IF(COUNT(OFFSET(F1341,1-Settings!$B$11,0,Settings!$B$11,1))&lt;Settings!$B$11,NA(),STDEV(OFFSET(F1341,1-Settings!$B$11,0,Settings!$B$11,1))*SQRT(Settings!$B$13)))</f>
        <v/>
      </c>
      <c r="I1341" s="18">
        <f>IF(OR(NOT(ISNUMBER($A1341)),ROW()-2&lt;Settings!$B$12),NA(),IF(COUNT(OFFSET(F1341,1-Settings!$B$12,0,Settings!$B$12,1))&lt;Settings!$B$12,NA(),STDEV(OFFSET(F1341,1-Settings!$B$12,0,Settings!$B$12,1))*SQRT(Settings!$B$13)))</f>
        <v/>
      </c>
      <c r="J1341" s="18">
        <f>IF(OR(NOT(ISNUMBER($A1341)),ROW()-2&lt;Settings!$B$11),NA(),IF(COUNT(OFFSET(G1341,1-Settings!$B$11,0,Settings!$B$11,1))&lt;Settings!$B$11,NA(),STDEV(OFFSET(G1341,1-Settings!$B$11,0,Settings!$B$11,1))*SQRT(Settings!$B$13)))</f>
        <v/>
      </c>
      <c r="K1341" s="18">
        <f>IF(OR(NOT(ISNUMBER($A1341)),ROW()-2&lt;Settings!$B$12),NA(),IF(COUNT(OFFSET(G1341,1-Settings!$B$12,0,Settings!$B$12,1))&lt;Settings!$B$12,NA(),STDEV(OFFSET(G1341,1-Settings!$B$12,0,Settings!$B$12,1))*SQRT(Settings!$B$13)))</f>
        <v/>
      </c>
      <c r="L1341" s="18">
        <f>IF(AND(ISNUMBER(D1341),ISNUMBER(H1341)),D1341-H1341,NA())</f>
        <v/>
      </c>
      <c r="M1341" s="18">
        <f>IF(AND(ISNUMBER(E1341),ISNUMBER(K1341)),E1341-K1341,NA())</f>
        <v/>
      </c>
      <c r="N1341" s="18">
        <f>IF(NOT(ISNUMBER($A1341)),NA(),IF(COUNT(OFFSET(G1341,1,0,Settings!$B$12,1))&lt;Settings!$B$12,NA(),STDEV(OFFSET(G1341,1,0,Settings!$B$12,1))*SQRT(Settings!$B$13)))</f>
        <v/>
      </c>
      <c r="O1341" s="18">
        <f>IF(AND(ISNUMBER(E1341),ISNUMBER(N1341)),E1341-N1341,NA())</f>
        <v/>
      </c>
      <c r="P1341" s="17">
        <f>IF(NOT(ISNUMBER($A1341)),NA(),IF(OR($A1341&lt;MIN(KW_TP!$A$2:$A$2501),$A1341&gt;MAX(KW_TP!$A$2:$A$2501)),NA(),INDEX(KW_TP!$C$2:$C$2501,MATCH($A1341,KW_TP!$A$2:$A$2501,1))))</f>
        <v/>
      </c>
    </row>
    <row r="1342">
      <c r="A1342" s="15">
        <f>IF(ISNUMBER(BBG_Data!A1342),BBG_Data!A1342,"")</f>
        <v/>
      </c>
      <c r="B1342" s="16">
        <f>IF(AND(ISNUMBER($A1342),ISNUMBER(BBG_Data!B1342)),BBG_Data!B1342,NA())</f>
        <v/>
      </c>
      <c r="C1342" s="16">
        <f>IF(AND(ISNUMBER($A1342),ISNUMBER(BBG_Data!C1342)),BBG_Data!C1342,NA())</f>
        <v/>
      </c>
      <c r="D1342" s="17">
        <f>IF(AND(ISNUMBER($A1342),ISNUMBER(BBG_Data!D1342)),BBG_Data!D1342,NA())</f>
        <v/>
      </c>
      <c r="E1342" s="17">
        <f>IF(AND(ISNUMBER($A1342),ISNUMBER(BBG_Data!E1342)),BBG_Data!E1342,NA())</f>
        <v/>
      </c>
      <c r="F1342" s="18">
        <f>IF(AND(ISNUMBER(B1342),ISNUMBER(B1341)),(B1342-B1341)*100,"")</f>
        <v/>
      </c>
      <c r="G1342" s="18">
        <f>IF(AND(ISNUMBER(C1342),ISNUMBER(C1341)),(C1342-C1341)*100,"")</f>
        <v/>
      </c>
      <c r="H1342" s="18">
        <f>IF(OR(NOT(ISNUMBER($A1342)),ROW()-2&lt;Settings!$B$11),NA(),IF(COUNT(OFFSET(F1342,1-Settings!$B$11,0,Settings!$B$11,1))&lt;Settings!$B$11,NA(),STDEV(OFFSET(F1342,1-Settings!$B$11,0,Settings!$B$11,1))*SQRT(Settings!$B$13)))</f>
        <v/>
      </c>
      <c r="I1342" s="18">
        <f>IF(OR(NOT(ISNUMBER($A1342)),ROW()-2&lt;Settings!$B$12),NA(),IF(COUNT(OFFSET(F1342,1-Settings!$B$12,0,Settings!$B$12,1))&lt;Settings!$B$12,NA(),STDEV(OFFSET(F1342,1-Settings!$B$12,0,Settings!$B$12,1))*SQRT(Settings!$B$13)))</f>
        <v/>
      </c>
      <c r="J1342" s="18">
        <f>IF(OR(NOT(ISNUMBER($A1342)),ROW()-2&lt;Settings!$B$11),NA(),IF(COUNT(OFFSET(G1342,1-Settings!$B$11,0,Settings!$B$11,1))&lt;Settings!$B$11,NA(),STDEV(OFFSET(G1342,1-Settings!$B$11,0,Settings!$B$11,1))*SQRT(Settings!$B$13)))</f>
        <v/>
      </c>
      <c r="K1342" s="18">
        <f>IF(OR(NOT(ISNUMBER($A1342)),ROW()-2&lt;Settings!$B$12),NA(),IF(COUNT(OFFSET(G1342,1-Settings!$B$12,0,Settings!$B$12,1))&lt;Settings!$B$12,NA(),STDEV(OFFSET(G1342,1-Settings!$B$12,0,Settings!$B$12,1))*SQRT(Settings!$B$13)))</f>
        <v/>
      </c>
      <c r="L1342" s="18">
        <f>IF(AND(ISNUMBER(D1342),ISNUMBER(H1342)),D1342-H1342,NA())</f>
        <v/>
      </c>
      <c r="M1342" s="18">
        <f>IF(AND(ISNUMBER(E1342),ISNUMBER(K1342)),E1342-K1342,NA())</f>
        <v/>
      </c>
      <c r="N1342" s="18">
        <f>IF(NOT(ISNUMBER($A1342)),NA(),IF(COUNT(OFFSET(G1342,1,0,Settings!$B$12,1))&lt;Settings!$B$12,NA(),STDEV(OFFSET(G1342,1,0,Settings!$B$12,1))*SQRT(Settings!$B$13)))</f>
        <v/>
      </c>
      <c r="O1342" s="18">
        <f>IF(AND(ISNUMBER(E1342),ISNUMBER(N1342)),E1342-N1342,NA())</f>
        <v/>
      </c>
      <c r="P1342" s="17">
        <f>IF(NOT(ISNUMBER($A1342)),NA(),IF(OR($A1342&lt;MIN(KW_TP!$A$2:$A$2501),$A1342&gt;MAX(KW_TP!$A$2:$A$2501)),NA(),INDEX(KW_TP!$C$2:$C$2501,MATCH($A1342,KW_TP!$A$2:$A$2501,1))))</f>
        <v/>
      </c>
    </row>
    <row r="1343">
      <c r="A1343" s="15">
        <f>IF(ISNUMBER(BBG_Data!A1343),BBG_Data!A1343,"")</f>
        <v/>
      </c>
      <c r="B1343" s="16">
        <f>IF(AND(ISNUMBER($A1343),ISNUMBER(BBG_Data!B1343)),BBG_Data!B1343,NA())</f>
        <v/>
      </c>
      <c r="C1343" s="16">
        <f>IF(AND(ISNUMBER($A1343),ISNUMBER(BBG_Data!C1343)),BBG_Data!C1343,NA())</f>
        <v/>
      </c>
      <c r="D1343" s="17">
        <f>IF(AND(ISNUMBER($A1343),ISNUMBER(BBG_Data!D1343)),BBG_Data!D1343,NA())</f>
        <v/>
      </c>
      <c r="E1343" s="17">
        <f>IF(AND(ISNUMBER($A1343),ISNUMBER(BBG_Data!E1343)),BBG_Data!E1343,NA())</f>
        <v/>
      </c>
      <c r="F1343" s="18">
        <f>IF(AND(ISNUMBER(B1343),ISNUMBER(B1342)),(B1343-B1342)*100,"")</f>
        <v/>
      </c>
      <c r="G1343" s="18">
        <f>IF(AND(ISNUMBER(C1343),ISNUMBER(C1342)),(C1343-C1342)*100,"")</f>
        <v/>
      </c>
      <c r="H1343" s="18">
        <f>IF(OR(NOT(ISNUMBER($A1343)),ROW()-2&lt;Settings!$B$11),NA(),IF(COUNT(OFFSET(F1343,1-Settings!$B$11,0,Settings!$B$11,1))&lt;Settings!$B$11,NA(),STDEV(OFFSET(F1343,1-Settings!$B$11,0,Settings!$B$11,1))*SQRT(Settings!$B$13)))</f>
        <v/>
      </c>
      <c r="I1343" s="18">
        <f>IF(OR(NOT(ISNUMBER($A1343)),ROW()-2&lt;Settings!$B$12),NA(),IF(COUNT(OFFSET(F1343,1-Settings!$B$12,0,Settings!$B$12,1))&lt;Settings!$B$12,NA(),STDEV(OFFSET(F1343,1-Settings!$B$12,0,Settings!$B$12,1))*SQRT(Settings!$B$13)))</f>
        <v/>
      </c>
      <c r="J1343" s="18">
        <f>IF(OR(NOT(ISNUMBER($A1343)),ROW()-2&lt;Settings!$B$11),NA(),IF(COUNT(OFFSET(G1343,1-Settings!$B$11,0,Settings!$B$11,1))&lt;Settings!$B$11,NA(),STDEV(OFFSET(G1343,1-Settings!$B$11,0,Settings!$B$11,1))*SQRT(Settings!$B$13)))</f>
        <v/>
      </c>
      <c r="K1343" s="18">
        <f>IF(OR(NOT(ISNUMBER($A1343)),ROW()-2&lt;Settings!$B$12),NA(),IF(COUNT(OFFSET(G1343,1-Settings!$B$12,0,Settings!$B$12,1))&lt;Settings!$B$12,NA(),STDEV(OFFSET(G1343,1-Settings!$B$12,0,Settings!$B$12,1))*SQRT(Settings!$B$13)))</f>
        <v/>
      </c>
      <c r="L1343" s="18">
        <f>IF(AND(ISNUMBER(D1343),ISNUMBER(H1343)),D1343-H1343,NA())</f>
        <v/>
      </c>
      <c r="M1343" s="18">
        <f>IF(AND(ISNUMBER(E1343),ISNUMBER(K1343)),E1343-K1343,NA())</f>
        <v/>
      </c>
      <c r="N1343" s="18">
        <f>IF(NOT(ISNUMBER($A1343)),NA(),IF(COUNT(OFFSET(G1343,1,0,Settings!$B$12,1))&lt;Settings!$B$12,NA(),STDEV(OFFSET(G1343,1,0,Settings!$B$12,1))*SQRT(Settings!$B$13)))</f>
        <v/>
      </c>
      <c r="O1343" s="18">
        <f>IF(AND(ISNUMBER(E1343),ISNUMBER(N1343)),E1343-N1343,NA())</f>
        <v/>
      </c>
      <c r="P1343" s="17">
        <f>IF(NOT(ISNUMBER($A1343)),NA(),IF(OR($A1343&lt;MIN(KW_TP!$A$2:$A$2501),$A1343&gt;MAX(KW_TP!$A$2:$A$2501)),NA(),INDEX(KW_TP!$C$2:$C$2501,MATCH($A1343,KW_TP!$A$2:$A$2501,1))))</f>
        <v/>
      </c>
    </row>
    <row r="1344">
      <c r="A1344" s="15">
        <f>IF(ISNUMBER(BBG_Data!A1344),BBG_Data!A1344,"")</f>
        <v/>
      </c>
      <c r="B1344" s="16">
        <f>IF(AND(ISNUMBER($A1344),ISNUMBER(BBG_Data!B1344)),BBG_Data!B1344,NA())</f>
        <v/>
      </c>
      <c r="C1344" s="16">
        <f>IF(AND(ISNUMBER($A1344),ISNUMBER(BBG_Data!C1344)),BBG_Data!C1344,NA())</f>
        <v/>
      </c>
      <c r="D1344" s="17">
        <f>IF(AND(ISNUMBER($A1344),ISNUMBER(BBG_Data!D1344)),BBG_Data!D1344,NA())</f>
        <v/>
      </c>
      <c r="E1344" s="17">
        <f>IF(AND(ISNUMBER($A1344),ISNUMBER(BBG_Data!E1344)),BBG_Data!E1344,NA())</f>
        <v/>
      </c>
      <c r="F1344" s="18">
        <f>IF(AND(ISNUMBER(B1344),ISNUMBER(B1343)),(B1344-B1343)*100,"")</f>
        <v/>
      </c>
      <c r="G1344" s="18">
        <f>IF(AND(ISNUMBER(C1344),ISNUMBER(C1343)),(C1344-C1343)*100,"")</f>
        <v/>
      </c>
      <c r="H1344" s="18">
        <f>IF(OR(NOT(ISNUMBER($A1344)),ROW()-2&lt;Settings!$B$11),NA(),IF(COUNT(OFFSET(F1344,1-Settings!$B$11,0,Settings!$B$11,1))&lt;Settings!$B$11,NA(),STDEV(OFFSET(F1344,1-Settings!$B$11,0,Settings!$B$11,1))*SQRT(Settings!$B$13)))</f>
        <v/>
      </c>
      <c r="I1344" s="18">
        <f>IF(OR(NOT(ISNUMBER($A1344)),ROW()-2&lt;Settings!$B$12),NA(),IF(COUNT(OFFSET(F1344,1-Settings!$B$12,0,Settings!$B$12,1))&lt;Settings!$B$12,NA(),STDEV(OFFSET(F1344,1-Settings!$B$12,0,Settings!$B$12,1))*SQRT(Settings!$B$13)))</f>
        <v/>
      </c>
      <c r="J1344" s="18">
        <f>IF(OR(NOT(ISNUMBER($A1344)),ROW()-2&lt;Settings!$B$11),NA(),IF(COUNT(OFFSET(G1344,1-Settings!$B$11,0,Settings!$B$11,1))&lt;Settings!$B$11,NA(),STDEV(OFFSET(G1344,1-Settings!$B$11,0,Settings!$B$11,1))*SQRT(Settings!$B$13)))</f>
        <v/>
      </c>
      <c r="K1344" s="18">
        <f>IF(OR(NOT(ISNUMBER($A1344)),ROW()-2&lt;Settings!$B$12),NA(),IF(COUNT(OFFSET(G1344,1-Settings!$B$12,0,Settings!$B$12,1))&lt;Settings!$B$12,NA(),STDEV(OFFSET(G1344,1-Settings!$B$12,0,Settings!$B$12,1))*SQRT(Settings!$B$13)))</f>
        <v/>
      </c>
      <c r="L1344" s="18">
        <f>IF(AND(ISNUMBER(D1344),ISNUMBER(H1344)),D1344-H1344,NA())</f>
        <v/>
      </c>
      <c r="M1344" s="18">
        <f>IF(AND(ISNUMBER(E1344),ISNUMBER(K1344)),E1344-K1344,NA())</f>
        <v/>
      </c>
      <c r="N1344" s="18">
        <f>IF(NOT(ISNUMBER($A1344)),NA(),IF(COUNT(OFFSET(G1344,1,0,Settings!$B$12,1))&lt;Settings!$B$12,NA(),STDEV(OFFSET(G1344,1,0,Settings!$B$12,1))*SQRT(Settings!$B$13)))</f>
        <v/>
      </c>
      <c r="O1344" s="18">
        <f>IF(AND(ISNUMBER(E1344),ISNUMBER(N1344)),E1344-N1344,NA())</f>
        <v/>
      </c>
      <c r="P1344" s="17">
        <f>IF(NOT(ISNUMBER($A1344)),NA(),IF(OR($A1344&lt;MIN(KW_TP!$A$2:$A$2501),$A1344&gt;MAX(KW_TP!$A$2:$A$2501)),NA(),INDEX(KW_TP!$C$2:$C$2501,MATCH($A1344,KW_TP!$A$2:$A$2501,1))))</f>
        <v/>
      </c>
    </row>
    <row r="1345">
      <c r="A1345" s="15">
        <f>IF(ISNUMBER(BBG_Data!A1345),BBG_Data!A1345,"")</f>
        <v/>
      </c>
      <c r="B1345" s="16">
        <f>IF(AND(ISNUMBER($A1345),ISNUMBER(BBG_Data!B1345)),BBG_Data!B1345,NA())</f>
        <v/>
      </c>
      <c r="C1345" s="16">
        <f>IF(AND(ISNUMBER($A1345),ISNUMBER(BBG_Data!C1345)),BBG_Data!C1345,NA())</f>
        <v/>
      </c>
      <c r="D1345" s="17">
        <f>IF(AND(ISNUMBER($A1345),ISNUMBER(BBG_Data!D1345)),BBG_Data!D1345,NA())</f>
        <v/>
      </c>
      <c r="E1345" s="17">
        <f>IF(AND(ISNUMBER($A1345),ISNUMBER(BBG_Data!E1345)),BBG_Data!E1345,NA())</f>
        <v/>
      </c>
      <c r="F1345" s="18">
        <f>IF(AND(ISNUMBER(B1345),ISNUMBER(B1344)),(B1345-B1344)*100,"")</f>
        <v/>
      </c>
      <c r="G1345" s="18">
        <f>IF(AND(ISNUMBER(C1345),ISNUMBER(C1344)),(C1345-C1344)*100,"")</f>
        <v/>
      </c>
      <c r="H1345" s="18">
        <f>IF(OR(NOT(ISNUMBER($A1345)),ROW()-2&lt;Settings!$B$11),NA(),IF(COUNT(OFFSET(F1345,1-Settings!$B$11,0,Settings!$B$11,1))&lt;Settings!$B$11,NA(),STDEV(OFFSET(F1345,1-Settings!$B$11,0,Settings!$B$11,1))*SQRT(Settings!$B$13)))</f>
        <v/>
      </c>
      <c r="I1345" s="18">
        <f>IF(OR(NOT(ISNUMBER($A1345)),ROW()-2&lt;Settings!$B$12),NA(),IF(COUNT(OFFSET(F1345,1-Settings!$B$12,0,Settings!$B$12,1))&lt;Settings!$B$12,NA(),STDEV(OFFSET(F1345,1-Settings!$B$12,0,Settings!$B$12,1))*SQRT(Settings!$B$13)))</f>
        <v/>
      </c>
      <c r="J1345" s="18">
        <f>IF(OR(NOT(ISNUMBER($A1345)),ROW()-2&lt;Settings!$B$11),NA(),IF(COUNT(OFFSET(G1345,1-Settings!$B$11,0,Settings!$B$11,1))&lt;Settings!$B$11,NA(),STDEV(OFFSET(G1345,1-Settings!$B$11,0,Settings!$B$11,1))*SQRT(Settings!$B$13)))</f>
        <v/>
      </c>
      <c r="K1345" s="18">
        <f>IF(OR(NOT(ISNUMBER($A1345)),ROW()-2&lt;Settings!$B$12),NA(),IF(COUNT(OFFSET(G1345,1-Settings!$B$12,0,Settings!$B$12,1))&lt;Settings!$B$12,NA(),STDEV(OFFSET(G1345,1-Settings!$B$12,0,Settings!$B$12,1))*SQRT(Settings!$B$13)))</f>
        <v/>
      </c>
      <c r="L1345" s="18">
        <f>IF(AND(ISNUMBER(D1345),ISNUMBER(H1345)),D1345-H1345,NA())</f>
        <v/>
      </c>
      <c r="M1345" s="18">
        <f>IF(AND(ISNUMBER(E1345),ISNUMBER(K1345)),E1345-K1345,NA())</f>
        <v/>
      </c>
      <c r="N1345" s="18">
        <f>IF(NOT(ISNUMBER($A1345)),NA(),IF(COUNT(OFFSET(G1345,1,0,Settings!$B$12,1))&lt;Settings!$B$12,NA(),STDEV(OFFSET(G1345,1,0,Settings!$B$12,1))*SQRT(Settings!$B$13)))</f>
        <v/>
      </c>
      <c r="O1345" s="18">
        <f>IF(AND(ISNUMBER(E1345),ISNUMBER(N1345)),E1345-N1345,NA())</f>
        <v/>
      </c>
      <c r="P1345" s="17">
        <f>IF(NOT(ISNUMBER($A1345)),NA(),IF(OR($A1345&lt;MIN(KW_TP!$A$2:$A$2501),$A1345&gt;MAX(KW_TP!$A$2:$A$2501)),NA(),INDEX(KW_TP!$C$2:$C$2501,MATCH($A1345,KW_TP!$A$2:$A$2501,1))))</f>
        <v/>
      </c>
    </row>
    <row r="1346">
      <c r="A1346" s="15">
        <f>IF(ISNUMBER(BBG_Data!A1346),BBG_Data!A1346,"")</f>
        <v/>
      </c>
      <c r="B1346" s="16">
        <f>IF(AND(ISNUMBER($A1346),ISNUMBER(BBG_Data!B1346)),BBG_Data!B1346,NA())</f>
        <v/>
      </c>
      <c r="C1346" s="16">
        <f>IF(AND(ISNUMBER($A1346),ISNUMBER(BBG_Data!C1346)),BBG_Data!C1346,NA())</f>
        <v/>
      </c>
      <c r="D1346" s="17">
        <f>IF(AND(ISNUMBER($A1346),ISNUMBER(BBG_Data!D1346)),BBG_Data!D1346,NA())</f>
        <v/>
      </c>
      <c r="E1346" s="17">
        <f>IF(AND(ISNUMBER($A1346),ISNUMBER(BBG_Data!E1346)),BBG_Data!E1346,NA())</f>
        <v/>
      </c>
      <c r="F1346" s="18">
        <f>IF(AND(ISNUMBER(B1346),ISNUMBER(B1345)),(B1346-B1345)*100,"")</f>
        <v/>
      </c>
      <c r="G1346" s="18">
        <f>IF(AND(ISNUMBER(C1346),ISNUMBER(C1345)),(C1346-C1345)*100,"")</f>
        <v/>
      </c>
      <c r="H1346" s="18">
        <f>IF(OR(NOT(ISNUMBER($A1346)),ROW()-2&lt;Settings!$B$11),NA(),IF(COUNT(OFFSET(F1346,1-Settings!$B$11,0,Settings!$B$11,1))&lt;Settings!$B$11,NA(),STDEV(OFFSET(F1346,1-Settings!$B$11,0,Settings!$B$11,1))*SQRT(Settings!$B$13)))</f>
        <v/>
      </c>
      <c r="I1346" s="18">
        <f>IF(OR(NOT(ISNUMBER($A1346)),ROW()-2&lt;Settings!$B$12),NA(),IF(COUNT(OFFSET(F1346,1-Settings!$B$12,0,Settings!$B$12,1))&lt;Settings!$B$12,NA(),STDEV(OFFSET(F1346,1-Settings!$B$12,0,Settings!$B$12,1))*SQRT(Settings!$B$13)))</f>
        <v/>
      </c>
      <c r="J1346" s="18">
        <f>IF(OR(NOT(ISNUMBER($A1346)),ROW()-2&lt;Settings!$B$11),NA(),IF(COUNT(OFFSET(G1346,1-Settings!$B$11,0,Settings!$B$11,1))&lt;Settings!$B$11,NA(),STDEV(OFFSET(G1346,1-Settings!$B$11,0,Settings!$B$11,1))*SQRT(Settings!$B$13)))</f>
        <v/>
      </c>
      <c r="K1346" s="18">
        <f>IF(OR(NOT(ISNUMBER($A1346)),ROW()-2&lt;Settings!$B$12),NA(),IF(COUNT(OFFSET(G1346,1-Settings!$B$12,0,Settings!$B$12,1))&lt;Settings!$B$12,NA(),STDEV(OFFSET(G1346,1-Settings!$B$12,0,Settings!$B$12,1))*SQRT(Settings!$B$13)))</f>
        <v/>
      </c>
      <c r="L1346" s="18">
        <f>IF(AND(ISNUMBER(D1346),ISNUMBER(H1346)),D1346-H1346,NA())</f>
        <v/>
      </c>
      <c r="M1346" s="18">
        <f>IF(AND(ISNUMBER(E1346),ISNUMBER(K1346)),E1346-K1346,NA())</f>
        <v/>
      </c>
      <c r="N1346" s="18">
        <f>IF(NOT(ISNUMBER($A1346)),NA(),IF(COUNT(OFFSET(G1346,1,0,Settings!$B$12,1))&lt;Settings!$B$12,NA(),STDEV(OFFSET(G1346,1,0,Settings!$B$12,1))*SQRT(Settings!$B$13)))</f>
        <v/>
      </c>
      <c r="O1346" s="18">
        <f>IF(AND(ISNUMBER(E1346),ISNUMBER(N1346)),E1346-N1346,NA())</f>
        <v/>
      </c>
      <c r="P1346" s="17">
        <f>IF(NOT(ISNUMBER($A1346)),NA(),IF(OR($A1346&lt;MIN(KW_TP!$A$2:$A$2501),$A1346&gt;MAX(KW_TP!$A$2:$A$2501)),NA(),INDEX(KW_TP!$C$2:$C$2501,MATCH($A1346,KW_TP!$A$2:$A$2501,1))))</f>
        <v/>
      </c>
    </row>
    <row r="1347">
      <c r="A1347" s="15">
        <f>IF(ISNUMBER(BBG_Data!A1347),BBG_Data!A1347,"")</f>
        <v/>
      </c>
      <c r="B1347" s="16">
        <f>IF(AND(ISNUMBER($A1347),ISNUMBER(BBG_Data!B1347)),BBG_Data!B1347,NA())</f>
        <v/>
      </c>
      <c r="C1347" s="16">
        <f>IF(AND(ISNUMBER($A1347),ISNUMBER(BBG_Data!C1347)),BBG_Data!C1347,NA())</f>
        <v/>
      </c>
      <c r="D1347" s="17">
        <f>IF(AND(ISNUMBER($A1347),ISNUMBER(BBG_Data!D1347)),BBG_Data!D1347,NA())</f>
        <v/>
      </c>
      <c r="E1347" s="17">
        <f>IF(AND(ISNUMBER($A1347),ISNUMBER(BBG_Data!E1347)),BBG_Data!E1347,NA())</f>
        <v/>
      </c>
      <c r="F1347" s="18">
        <f>IF(AND(ISNUMBER(B1347),ISNUMBER(B1346)),(B1347-B1346)*100,"")</f>
        <v/>
      </c>
      <c r="G1347" s="18">
        <f>IF(AND(ISNUMBER(C1347),ISNUMBER(C1346)),(C1347-C1346)*100,"")</f>
        <v/>
      </c>
      <c r="H1347" s="18">
        <f>IF(OR(NOT(ISNUMBER($A1347)),ROW()-2&lt;Settings!$B$11),NA(),IF(COUNT(OFFSET(F1347,1-Settings!$B$11,0,Settings!$B$11,1))&lt;Settings!$B$11,NA(),STDEV(OFFSET(F1347,1-Settings!$B$11,0,Settings!$B$11,1))*SQRT(Settings!$B$13)))</f>
        <v/>
      </c>
      <c r="I1347" s="18">
        <f>IF(OR(NOT(ISNUMBER($A1347)),ROW()-2&lt;Settings!$B$12),NA(),IF(COUNT(OFFSET(F1347,1-Settings!$B$12,0,Settings!$B$12,1))&lt;Settings!$B$12,NA(),STDEV(OFFSET(F1347,1-Settings!$B$12,0,Settings!$B$12,1))*SQRT(Settings!$B$13)))</f>
        <v/>
      </c>
      <c r="J1347" s="18">
        <f>IF(OR(NOT(ISNUMBER($A1347)),ROW()-2&lt;Settings!$B$11),NA(),IF(COUNT(OFFSET(G1347,1-Settings!$B$11,0,Settings!$B$11,1))&lt;Settings!$B$11,NA(),STDEV(OFFSET(G1347,1-Settings!$B$11,0,Settings!$B$11,1))*SQRT(Settings!$B$13)))</f>
        <v/>
      </c>
      <c r="K1347" s="18">
        <f>IF(OR(NOT(ISNUMBER($A1347)),ROW()-2&lt;Settings!$B$12),NA(),IF(COUNT(OFFSET(G1347,1-Settings!$B$12,0,Settings!$B$12,1))&lt;Settings!$B$12,NA(),STDEV(OFFSET(G1347,1-Settings!$B$12,0,Settings!$B$12,1))*SQRT(Settings!$B$13)))</f>
        <v/>
      </c>
      <c r="L1347" s="18">
        <f>IF(AND(ISNUMBER(D1347),ISNUMBER(H1347)),D1347-H1347,NA())</f>
        <v/>
      </c>
      <c r="M1347" s="18">
        <f>IF(AND(ISNUMBER(E1347),ISNUMBER(K1347)),E1347-K1347,NA())</f>
        <v/>
      </c>
      <c r="N1347" s="18">
        <f>IF(NOT(ISNUMBER($A1347)),NA(),IF(COUNT(OFFSET(G1347,1,0,Settings!$B$12,1))&lt;Settings!$B$12,NA(),STDEV(OFFSET(G1347,1,0,Settings!$B$12,1))*SQRT(Settings!$B$13)))</f>
        <v/>
      </c>
      <c r="O1347" s="18">
        <f>IF(AND(ISNUMBER(E1347),ISNUMBER(N1347)),E1347-N1347,NA())</f>
        <v/>
      </c>
      <c r="P1347" s="17">
        <f>IF(NOT(ISNUMBER($A1347)),NA(),IF(OR($A1347&lt;MIN(KW_TP!$A$2:$A$2501),$A1347&gt;MAX(KW_TP!$A$2:$A$2501)),NA(),INDEX(KW_TP!$C$2:$C$2501,MATCH($A1347,KW_TP!$A$2:$A$2501,1))))</f>
        <v/>
      </c>
    </row>
    <row r="1348">
      <c r="A1348" s="15">
        <f>IF(ISNUMBER(BBG_Data!A1348),BBG_Data!A1348,"")</f>
        <v/>
      </c>
      <c r="B1348" s="16">
        <f>IF(AND(ISNUMBER($A1348),ISNUMBER(BBG_Data!B1348)),BBG_Data!B1348,NA())</f>
        <v/>
      </c>
      <c r="C1348" s="16">
        <f>IF(AND(ISNUMBER($A1348),ISNUMBER(BBG_Data!C1348)),BBG_Data!C1348,NA())</f>
        <v/>
      </c>
      <c r="D1348" s="17">
        <f>IF(AND(ISNUMBER($A1348),ISNUMBER(BBG_Data!D1348)),BBG_Data!D1348,NA())</f>
        <v/>
      </c>
      <c r="E1348" s="17">
        <f>IF(AND(ISNUMBER($A1348),ISNUMBER(BBG_Data!E1348)),BBG_Data!E1348,NA())</f>
        <v/>
      </c>
      <c r="F1348" s="18">
        <f>IF(AND(ISNUMBER(B1348),ISNUMBER(B1347)),(B1348-B1347)*100,"")</f>
        <v/>
      </c>
      <c r="G1348" s="18">
        <f>IF(AND(ISNUMBER(C1348),ISNUMBER(C1347)),(C1348-C1347)*100,"")</f>
        <v/>
      </c>
      <c r="H1348" s="18">
        <f>IF(OR(NOT(ISNUMBER($A1348)),ROW()-2&lt;Settings!$B$11),NA(),IF(COUNT(OFFSET(F1348,1-Settings!$B$11,0,Settings!$B$11,1))&lt;Settings!$B$11,NA(),STDEV(OFFSET(F1348,1-Settings!$B$11,0,Settings!$B$11,1))*SQRT(Settings!$B$13)))</f>
        <v/>
      </c>
      <c r="I1348" s="18">
        <f>IF(OR(NOT(ISNUMBER($A1348)),ROW()-2&lt;Settings!$B$12),NA(),IF(COUNT(OFFSET(F1348,1-Settings!$B$12,0,Settings!$B$12,1))&lt;Settings!$B$12,NA(),STDEV(OFFSET(F1348,1-Settings!$B$12,0,Settings!$B$12,1))*SQRT(Settings!$B$13)))</f>
        <v/>
      </c>
      <c r="J1348" s="18">
        <f>IF(OR(NOT(ISNUMBER($A1348)),ROW()-2&lt;Settings!$B$11),NA(),IF(COUNT(OFFSET(G1348,1-Settings!$B$11,0,Settings!$B$11,1))&lt;Settings!$B$11,NA(),STDEV(OFFSET(G1348,1-Settings!$B$11,0,Settings!$B$11,1))*SQRT(Settings!$B$13)))</f>
        <v/>
      </c>
      <c r="K1348" s="18">
        <f>IF(OR(NOT(ISNUMBER($A1348)),ROW()-2&lt;Settings!$B$12),NA(),IF(COUNT(OFFSET(G1348,1-Settings!$B$12,0,Settings!$B$12,1))&lt;Settings!$B$12,NA(),STDEV(OFFSET(G1348,1-Settings!$B$12,0,Settings!$B$12,1))*SQRT(Settings!$B$13)))</f>
        <v/>
      </c>
      <c r="L1348" s="18">
        <f>IF(AND(ISNUMBER(D1348),ISNUMBER(H1348)),D1348-H1348,NA())</f>
        <v/>
      </c>
      <c r="M1348" s="18">
        <f>IF(AND(ISNUMBER(E1348),ISNUMBER(K1348)),E1348-K1348,NA())</f>
        <v/>
      </c>
      <c r="N1348" s="18">
        <f>IF(NOT(ISNUMBER($A1348)),NA(),IF(COUNT(OFFSET(G1348,1,0,Settings!$B$12,1))&lt;Settings!$B$12,NA(),STDEV(OFFSET(G1348,1,0,Settings!$B$12,1))*SQRT(Settings!$B$13)))</f>
        <v/>
      </c>
      <c r="O1348" s="18">
        <f>IF(AND(ISNUMBER(E1348),ISNUMBER(N1348)),E1348-N1348,NA())</f>
        <v/>
      </c>
      <c r="P1348" s="17">
        <f>IF(NOT(ISNUMBER($A1348)),NA(),IF(OR($A1348&lt;MIN(KW_TP!$A$2:$A$2501),$A1348&gt;MAX(KW_TP!$A$2:$A$2501)),NA(),INDEX(KW_TP!$C$2:$C$2501,MATCH($A1348,KW_TP!$A$2:$A$2501,1))))</f>
        <v/>
      </c>
    </row>
    <row r="1349">
      <c r="A1349" s="15">
        <f>IF(ISNUMBER(BBG_Data!A1349),BBG_Data!A1349,"")</f>
        <v/>
      </c>
      <c r="B1349" s="16">
        <f>IF(AND(ISNUMBER($A1349),ISNUMBER(BBG_Data!B1349)),BBG_Data!B1349,NA())</f>
        <v/>
      </c>
      <c r="C1349" s="16">
        <f>IF(AND(ISNUMBER($A1349),ISNUMBER(BBG_Data!C1349)),BBG_Data!C1349,NA())</f>
        <v/>
      </c>
      <c r="D1349" s="17">
        <f>IF(AND(ISNUMBER($A1349),ISNUMBER(BBG_Data!D1349)),BBG_Data!D1349,NA())</f>
        <v/>
      </c>
      <c r="E1349" s="17">
        <f>IF(AND(ISNUMBER($A1349),ISNUMBER(BBG_Data!E1349)),BBG_Data!E1349,NA())</f>
        <v/>
      </c>
      <c r="F1349" s="18">
        <f>IF(AND(ISNUMBER(B1349),ISNUMBER(B1348)),(B1349-B1348)*100,"")</f>
        <v/>
      </c>
      <c r="G1349" s="18">
        <f>IF(AND(ISNUMBER(C1349),ISNUMBER(C1348)),(C1349-C1348)*100,"")</f>
        <v/>
      </c>
      <c r="H1349" s="18">
        <f>IF(OR(NOT(ISNUMBER($A1349)),ROW()-2&lt;Settings!$B$11),NA(),IF(COUNT(OFFSET(F1349,1-Settings!$B$11,0,Settings!$B$11,1))&lt;Settings!$B$11,NA(),STDEV(OFFSET(F1349,1-Settings!$B$11,0,Settings!$B$11,1))*SQRT(Settings!$B$13)))</f>
        <v/>
      </c>
      <c r="I1349" s="18">
        <f>IF(OR(NOT(ISNUMBER($A1349)),ROW()-2&lt;Settings!$B$12),NA(),IF(COUNT(OFFSET(F1349,1-Settings!$B$12,0,Settings!$B$12,1))&lt;Settings!$B$12,NA(),STDEV(OFFSET(F1349,1-Settings!$B$12,0,Settings!$B$12,1))*SQRT(Settings!$B$13)))</f>
        <v/>
      </c>
      <c r="J1349" s="18">
        <f>IF(OR(NOT(ISNUMBER($A1349)),ROW()-2&lt;Settings!$B$11),NA(),IF(COUNT(OFFSET(G1349,1-Settings!$B$11,0,Settings!$B$11,1))&lt;Settings!$B$11,NA(),STDEV(OFFSET(G1349,1-Settings!$B$11,0,Settings!$B$11,1))*SQRT(Settings!$B$13)))</f>
        <v/>
      </c>
      <c r="K1349" s="18">
        <f>IF(OR(NOT(ISNUMBER($A1349)),ROW()-2&lt;Settings!$B$12),NA(),IF(COUNT(OFFSET(G1349,1-Settings!$B$12,0,Settings!$B$12,1))&lt;Settings!$B$12,NA(),STDEV(OFFSET(G1349,1-Settings!$B$12,0,Settings!$B$12,1))*SQRT(Settings!$B$13)))</f>
        <v/>
      </c>
      <c r="L1349" s="18">
        <f>IF(AND(ISNUMBER(D1349),ISNUMBER(H1349)),D1349-H1349,NA())</f>
        <v/>
      </c>
      <c r="M1349" s="18">
        <f>IF(AND(ISNUMBER(E1349),ISNUMBER(K1349)),E1349-K1349,NA())</f>
        <v/>
      </c>
      <c r="N1349" s="18">
        <f>IF(NOT(ISNUMBER($A1349)),NA(),IF(COUNT(OFFSET(G1349,1,0,Settings!$B$12,1))&lt;Settings!$B$12,NA(),STDEV(OFFSET(G1349,1,0,Settings!$B$12,1))*SQRT(Settings!$B$13)))</f>
        <v/>
      </c>
      <c r="O1349" s="18">
        <f>IF(AND(ISNUMBER(E1349),ISNUMBER(N1349)),E1349-N1349,NA())</f>
        <v/>
      </c>
      <c r="P1349" s="17">
        <f>IF(NOT(ISNUMBER($A1349)),NA(),IF(OR($A1349&lt;MIN(KW_TP!$A$2:$A$2501),$A1349&gt;MAX(KW_TP!$A$2:$A$2501)),NA(),INDEX(KW_TP!$C$2:$C$2501,MATCH($A1349,KW_TP!$A$2:$A$2501,1))))</f>
        <v/>
      </c>
    </row>
    <row r="1350">
      <c r="A1350" s="15">
        <f>IF(ISNUMBER(BBG_Data!A1350),BBG_Data!A1350,"")</f>
        <v/>
      </c>
      <c r="B1350" s="16">
        <f>IF(AND(ISNUMBER($A1350),ISNUMBER(BBG_Data!B1350)),BBG_Data!B1350,NA())</f>
        <v/>
      </c>
      <c r="C1350" s="16">
        <f>IF(AND(ISNUMBER($A1350),ISNUMBER(BBG_Data!C1350)),BBG_Data!C1350,NA())</f>
        <v/>
      </c>
      <c r="D1350" s="17">
        <f>IF(AND(ISNUMBER($A1350),ISNUMBER(BBG_Data!D1350)),BBG_Data!D1350,NA())</f>
        <v/>
      </c>
      <c r="E1350" s="17">
        <f>IF(AND(ISNUMBER($A1350),ISNUMBER(BBG_Data!E1350)),BBG_Data!E1350,NA())</f>
        <v/>
      </c>
      <c r="F1350" s="18">
        <f>IF(AND(ISNUMBER(B1350),ISNUMBER(B1349)),(B1350-B1349)*100,"")</f>
        <v/>
      </c>
      <c r="G1350" s="18">
        <f>IF(AND(ISNUMBER(C1350),ISNUMBER(C1349)),(C1350-C1349)*100,"")</f>
        <v/>
      </c>
      <c r="H1350" s="18">
        <f>IF(OR(NOT(ISNUMBER($A1350)),ROW()-2&lt;Settings!$B$11),NA(),IF(COUNT(OFFSET(F1350,1-Settings!$B$11,0,Settings!$B$11,1))&lt;Settings!$B$11,NA(),STDEV(OFFSET(F1350,1-Settings!$B$11,0,Settings!$B$11,1))*SQRT(Settings!$B$13)))</f>
        <v/>
      </c>
      <c r="I1350" s="18">
        <f>IF(OR(NOT(ISNUMBER($A1350)),ROW()-2&lt;Settings!$B$12),NA(),IF(COUNT(OFFSET(F1350,1-Settings!$B$12,0,Settings!$B$12,1))&lt;Settings!$B$12,NA(),STDEV(OFFSET(F1350,1-Settings!$B$12,0,Settings!$B$12,1))*SQRT(Settings!$B$13)))</f>
        <v/>
      </c>
      <c r="J1350" s="18">
        <f>IF(OR(NOT(ISNUMBER($A1350)),ROW()-2&lt;Settings!$B$11),NA(),IF(COUNT(OFFSET(G1350,1-Settings!$B$11,0,Settings!$B$11,1))&lt;Settings!$B$11,NA(),STDEV(OFFSET(G1350,1-Settings!$B$11,0,Settings!$B$11,1))*SQRT(Settings!$B$13)))</f>
        <v/>
      </c>
      <c r="K1350" s="18">
        <f>IF(OR(NOT(ISNUMBER($A1350)),ROW()-2&lt;Settings!$B$12),NA(),IF(COUNT(OFFSET(G1350,1-Settings!$B$12,0,Settings!$B$12,1))&lt;Settings!$B$12,NA(),STDEV(OFFSET(G1350,1-Settings!$B$12,0,Settings!$B$12,1))*SQRT(Settings!$B$13)))</f>
        <v/>
      </c>
      <c r="L1350" s="18">
        <f>IF(AND(ISNUMBER(D1350),ISNUMBER(H1350)),D1350-H1350,NA())</f>
        <v/>
      </c>
      <c r="M1350" s="18">
        <f>IF(AND(ISNUMBER(E1350),ISNUMBER(K1350)),E1350-K1350,NA())</f>
        <v/>
      </c>
      <c r="N1350" s="18">
        <f>IF(NOT(ISNUMBER($A1350)),NA(),IF(COUNT(OFFSET(G1350,1,0,Settings!$B$12,1))&lt;Settings!$B$12,NA(),STDEV(OFFSET(G1350,1,0,Settings!$B$12,1))*SQRT(Settings!$B$13)))</f>
        <v/>
      </c>
      <c r="O1350" s="18">
        <f>IF(AND(ISNUMBER(E1350),ISNUMBER(N1350)),E1350-N1350,NA())</f>
        <v/>
      </c>
      <c r="P1350" s="17">
        <f>IF(NOT(ISNUMBER($A1350)),NA(),IF(OR($A1350&lt;MIN(KW_TP!$A$2:$A$2501),$A1350&gt;MAX(KW_TP!$A$2:$A$2501)),NA(),INDEX(KW_TP!$C$2:$C$2501,MATCH($A1350,KW_TP!$A$2:$A$2501,1))))</f>
        <v/>
      </c>
    </row>
    <row r="1351">
      <c r="A1351" s="15">
        <f>IF(ISNUMBER(BBG_Data!A1351),BBG_Data!A1351,"")</f>
        <v/>
      </c>
      <c r="B1351" s="16">
        <f>IF(AND(ISNUMBER($A1351),ISNUMBER(BBG_Data!B1351)),BBG_Data!B1351,NA())</f>
        <v/>
      </c>
      <c r="C1351" s="16">
        <f>IF(AND(ISNUMBER($A1351),ISNUMBER(BBG_Data!C1351)),BBG_Data!C1351,NA())</f>
        <v/>
      </c>
      <c r="D1351" s="17">
        <f>IF(AND(ISNUMBER($A1351),ISNUMBER(BBG_Data!D1351)),BBG_Data!D1351,NA())</f>
        <v/>
      </c>
      <c r="E1351" s="17">
        <f>IF(AND(ISNUMBER($A1351),ISNUMBER(BBG_Data!E1351)),BBG_Data!E1351,NA())</f>
        <v/>
      </c>
      <c r="F1351" s="18">
        <f>IF(AND(ISNUMBER(B1351),ISNUMBER(B1350)),(B1351-B1350)*100,"")</f>
        <v/>
      </c>
      <c r="G1351" s="18">
        <f>IF(AND(ISNUMBER(C1351),ISNUMBER(C1350)),(C1351-C1350)*100,"")</f>
        <v/>
      </c>
      <c r="H1351" s="18">
        <f>IF(OR(NOT(ISNUMBER($A1351)),ROW()-2&lt;Settings!$B$11),NA(),IF(COUNT(OFFSET(F1351,1-Settings!$B$11,0,Settings!$B$11,1))&lt;Settings!$B$11,NA(),STDEV(OFFSET(F1351,1-Settings!$B$11,0,Settings!$B$11,1))*SQRT(Settings!$B$13)))</f>
        <v/>
      </c>
      <c r="I1351" s="18">
        <f>IF(OR(NOT(ISNUMBER($A1351)),ROW()-2&lt;Settings!$B$12),NA(),IF(COUNT(OFFSET(F1351,1-Settings!$B$12,0,Settings!$B$12,1))&lt;Settings!$B$12,NA(),STDEV(OFFSET(F1351,1-Settings!$B$12,0,Settings!$B$12,1))*SQRT(Settings!$B$13)))</f>
        <v/>
      </c>
      <c r="J1351" s="18">
        <f>IF(OR(NOT(ISNUMBER($A1351)),ROW()-2&lt;Settings!$B$11),NA(),IF(COUNT(OFFSET(G1351,1-Settings!$B$11,0,Settings!$B$11,1))&lt;Settings!$B$11,NA(),STDEV(OFFSET(G1351,1-Settings!$B$11,0,Settings!$B$11,1))*SQRT(Settings!$B$13)))</f>
        <v/>
      </c>
      <c r="K1351" s="18">
        <f>IF(OR(NOT(ISNUMBER($A1351)),ROW()-2&lt;Settings!$B$12),NA(),IF(COUNT(OFFSET(G1351,1-Settings!$B$12,0,Settings!$B$12,1))&lt;Settings!$B$12,NA(),STDEV(OFFSET(G1351,1-Settings!$B$12,0,Settings!$B$12,1))*SQRT(Settings!$B$13)))</f>
        <v/>
      </c>
      <c r="L1351" s="18">
        <f>IF(AND(ISNUMBER(D1351),ISNUMBER(H1351)),D1351-H1351,NA())</f>
        <v/>
      </c>
      <c r="M1351" s="18">
        <f>IF(AND(ISNUMBER(E1351),ISNUMBER(K1351)),E1351-K1351,NA())</f>
        <v/>
      </c>
      <c r="N1351" s="18">
        <f>IF(NOT(ISNUMBER($A1351)),NA(),IF(COUNT(OFFSET(G1351,1,0,Settings!$B$12,1))&lt;Settings!$B$12,NA(),STDEV(OFFSET(G1351,1,0,Settings!$B$12,1))*SQRT(Settings!$B$13)))</f>
        <v/>
      </c>
      <c r="O1351" s="18">
        <f>IF(AND(ISNUMBER(E1351),ISNUMBER(N1351)),E1351-N1351,NA())</f>
        <v/>
      </c>
      <c r="P1351" s="17">
        <f>IF(NOT(ISNUMBER($A1351)),NA(),IF(OR($A1351&lt;MIN(KW_TP!$A$2:$A$2501),$A1351&gt;MAX(KW_TP!$A$2:$A$2501)),NA(),INDEX(KW_TP!$C$2:$C$2501,MATCH($A1351,KW_TP!$A$2:$A$2501,1))))</f>
        <v/>
      </c>
    </row>
    <row r="1352">
      <c r="A1352" s="15">
        <f>IF(ISNUMBER(BBG_Data!A1352),BBG_Data!A1352,"")</f>
        <v/>
      </c>
      <c r="B1352" s="16">
        <f>IF(AND(ISNUMBER($A1352),ISNUMBER(BBG_Data!B1352)),BBG_Data!B1352,NA())</f>
        <v/>
      </c>
      <c r="C1352" s="16">
        <f>IF(AND(ISNUMBER($A1352),ISNUMBER(BBG_Data!C1352)),BBG_Data!C1352,NA())</f>
        <v/>
      </c>
      <c r="D1352" s="17">
        <f>IF(AND(ISNUMBER($A1352),ISNUMBER(BBG_Data!D1352)),BBG_Data!D1352,NA())</f>
        <v/>
      </c>
      <c r="E1352" s="17">
        <f>IF(AND(ISNUMBER($A1352),ISNUMBER(BBG_Data!E1352)),BBG_Data!E1352,NA())</f>
        <v/>
      </c>
      <c r="F1352" s="18">
        <f>IF(AND(ISNUMBER(B1352),ISNUMBER(B1351)),(B1352-B1351)*100,"")</f>
        <v/>
      </c>
      <c r="G1352" s="18">
        <f>IF(AND(ISNUMBER(C1352),ISNUMBER(C1351)),(C1352-C1351)*100,"")</f>
        <v/>
      </c>
      <c r="H1352" s="18">
        <f>IF(OR(NOT(ISNUMBER($A1352)),ROW()-2&lt;Settings!$B$11),NA(),IF(COUNT(OFFSET(F1352,1-Settings!$B$11,0,Settings!$B$11,1))&lt;Settings!$B$11,NA(),STDEV(OFFSET(F1352,1-Settings!$B$11,0,Settings!$B$11,1))*SQRT(Settings!$B$13)))</f>
        <v/>
      </c>
      <c r="I1352" s="18">
        <f>IF(OR(NOT(ISNUMBER($A1352)),ROW()-2&lt;Settings!$B$12),NA(),IF(COUNT(OFFSET(F1352,1-Settings!$B$12,0,Settings!$B$12,1))&lt;Settings!$B$12,NA(),STDEV(OFFSET(F1352,1-Settings!$B$12,0,Settings!$B$12,1))*SQRT(Settings!$B$13)))</f>
        <v/>
      </c>
      <c r="J1352" s="18">
        <f>IF(OR(NOT(ISNUMBER($A1352)),ROW()-2&lt;Settings!$B$11),NA(),IF(COUNT(OFFSET(G1352,1-Settings!$B$11,0,Settings!$B$11,1))&lt;Settings!$B$11,NA(),STDEV(OFFSET(G1352,1-Settings!$B$11,0,Settings!$B$11,1))*SQRT(Settings!$B$13)))</f>
        <v/>
      </c>
      <c r="K1352" s="18">
        <f>IF(OR(NOT(ISNUMBER($A1352)),ROW()-2&lt;Settings!$B$12),NA(),IF(COUNT(OFFSET(G1352,1-Settings!$B$12,0,Settings!$B$12,1))&lt;Settings!$B$12,NA(),STDEV(OFFSET(G1352,1-Settings!$B$12,0,Settings!$B$12,1))*SQRT(Settings!$B$13)))</f>
        <v/>
      </c>
      <c r="L1352" s="18">
        <f>IF(AND(ISNUMBER(D1352),ISNUMBER(H1352)),D1352-H1352,NA())</f>
        <v/>
      </c>
      <c r="M1352" s="18">
        <f>IF(AND(ISNUMBER(E1352),ISNUMBER(K1352)),E1352-K1352,NA())</f>
        <v/>
      </c>
      <c r="N1352" s="18">
        <f>IF(NOT(ISNUMBER($A1352)),NA(),IF(COUNT(OFFSET(G1352,1,0,Settings!$B$12,1))&lt;Settings!$B$12,NA(),STDEV(OFFSET(G1352,1,0,Settings!$B$12,1))*SQRT(Settings!$B$13)))</f>
        <v/>
      </c>
      <c r="O1352" s="18">
        <f>IF(AND(ISNUMBER(E1352),ISNUMBER(N1352)),E1352-N1352,NA())</f>
        <v/>
      </c>
      <c r="P1352" s="17">
        <f>IF(NOT(ISNUMBER($A1352)),NA(),IF(OR($A1352&lt;MIN(KW_TP!$A$2:$A$2501),$A1352&gt;MAX(KW_TP!$A$2:$A$2501)),NA(),INDEX(KW_TP!$C$2:$C$2501,MATCH($A1352,KW_TP!$A$2:$A$2501,1))))</f>
        <v/>
      </c>
    </row>
    <row r="1353">
      <c r="A1353" s="15">
        <f>IF(ISNUMBER(BBG_Data!A1353),BBG_Data!A1353,"")</f>
        <v/>
      </c>
      <c r="B1353" s="16">
        <f>IF(AND(ISNUMBER($A1353),ISNUMBER(BBG_Data!B1353)),BBG_Data!B1353,NA())</f>
        <v/>
      </c>
      <c r="C1353" s="16">
        <f>IF(AND(ISNUMBER($A1353),ISNUMBER(BBG_Data!C1353)),BBG_Data!C1353,NA())</f>
        <v/>
      </c>
      <c r="D1353" s="17">
        <f>IF(AND(ISNUMBER($A1353),ISNUMBER(BBG_Data!D1353)),BBG_Data!D1353,NA())</f>
        <v/>
      </c>
      <c r="E1353" s="17">
        <f>IF(AND(ISNUMBER($A1353),ISNUMBER(BBG_Data!E1353)),BBG_Data!E1353,NA())</f>
        <v/>
      </c>
      <c r="F1353" s="18">
        <f>IF(AND(ISNUMBER(B1353),ISNUMBER(B1352)),(B1353-B1352)*100,"")</f>
        <v/>
      </c>
      <c r="G1353" s="18">
        <f>IF(AND(ISNUMBER(C1353),ISNUMBER(C1352)),(C1353-C1352)*100,"")</f>
        <v/>
      </c>
      <c r="H1353" s="18">
        <f>IF(OR(NOT(ISNUMBER($A1353)),ROW()-2&lt;Settings!$B$11),NA(),IF(COUNT(OFFSET(F1353,1-Settings!$B$11,0,Settings!$B$11,1))&lt;Settings!$B$11,NA(),STDEV(OFFSET(F1353,1-Settings!$B$11,0,Settings!$B$11,1))*SQRT(Settings!$B$13)))</f>
        <v/>
      </c>
      <c r="I1353" s="18">
        <f>IF(OR(NOT(ISNUMBER($A1353)),ROW()-2&lt;Settings!$B$12),NA(),IF(COUNT(OFFSET(F1353,1-Settings!$B$12,0,Settings!$B$12,1))&lt;Settings!$B$12,NA(),STDEV(OFFSET(F1353,1-Settings!$B$12,0,Settings!$B$12,1))*SQRT(Settings!$B$13)))</f>
        <v/>
      </c>
      <c r="J1353" s="18">
        <f>IF(OR(NOT(ISNUMBER($A1353)),ROW()-2&lt;Settings!$B$11),NA(),IF(COUNT(OFFSET(G1353,1-Settings!$B$11,0,Settings!$B$11,1))&lt;Settings!$B$11,NA(),STDEV(OFFSET(G1353,1-Settings!$B$11,0,Settings!$B$11,1))*SQRT(Settings!$B$13)))</f>
        <v/>
      </c>
      <c r="K1353" s="18">
        <f>IF(OR(NOT(ISNUMBER($A1353)),ROW()-2&lt;Settings!$B$12),NA(),IF(COUNT(OFFSET(G1353,1-Settings!$B$12,0,Settings!$B$12,1))&lt;Settings!$B$12,NA(),STDEV(OFFSET(G1353,1-Settings!$B$12,0,Settings!$B$12,1))*SQRT(Settings!$B$13)))</f>
        <v/>
      </c>
      <c r="L1353" s="18">
        <f>IF(AND(ISNUMBER(D1353),ISNUMBER(H1353)),D1353-H1353,NA())</f>
        <v/>
      </c>
      <c r="M1353" s="18">
        <f>IF(AND(ISNUMBER(E1353),ISNUMBER(K1353)),E1353-K1353,NA())</f>
        <v/>
      </c>
      <c r="N1353" s="18">
        <f>IF(NOT(ISNUMBER($A1353)),NA(),IF(COUNT(OFFSET(G1353,1,0,Settings!$B$12,1))&lt;Settings!$B$12,NA(),STDEV(OFFSET(G1353,1,0,Settings!$B$12,1))*SQRT(Settings!$B$13)))</f>
        <v/>
      </c>
      <c r="O1353" s="18">
        <f>IF(AND(ISNUMBER(E1353),ISNUMBER(N1353)),E1353-N1353,NA())</f>
        <v/>
      </c>
      <c r="P1353" s="17">
        <f>IF(NOT(ISNUMBER($A1353)),NA(),IF(OR($A1353&lt;MIN(KW_TP!$A$2:$A$2501),$A1353&gt;MAX(KW_TP!$A$2:$A$2501)),NA(),INDEX(KW_TP!$C$2:$C$2501,MATCH($A1353,KW_TP!$A$2:$A$2501,1))))</f>
        <v/>
      </c>
    </row>
    <row r="1354">
      <c r="A1354" s="15">
        <f>IF(ISNUMBER(BBG_Data!A1354),BBG_Data!A1354,"")</f>
        <v/>
      </c>
      <c r="B1354" s="16">
        <f>IF(AND(ISNUMBER($A1354),ISNUMBER(BBG_Data!B1354)),BBG_Data!B1354,NA())</f>
        <v/>
      </c>
      <c r="C1354" s="16">
        <f>IF(AND(ISNUMBER($A1354),ISNUMBER(BBG_Data!C1354)),BBG_Data!C1354,NA())</f>
        <v/>
      </c>
      <c r="D1354" s="17">
        <f>IF(AND(ISNUMBER($A1354),ISNUMBER(BBG_Data!D1354)),BBG_Data!D1354,NA())</f>
        <v/>
      </c>
      <c r="E1354" s="17">
        <f>IF(AND(ISNUMBER($A1354),ISNUMBER(BBG_Data!E1354)),BBG_Data!E1354,NA())</f>
        <v/>
      </c>
      <c r="F1354" s="18">
        <f>IF(AND(ISNUMBER(B1354),ISNUMBER(B1353)),(B1354-B1353)*100,"")</f>
        <v/>
      </c>
      <c r="G1354" s="18">
        <f>IF(AND(ISNUMBER(C1354),ISNUMBER(C1353)),(C1354-C1353)*100,"")</f>
        <v/>
      </c>
      <c r="H1354" s="18">
        <f>IF(OR(NOT(ISNUMBER($A1354)),ROW()-2&lt;Settings!$B$11),NA(),IF(COUNT(OFFSET(F1354,1-Settings!$B$11,0,Settings!$B$11,1))&lt;Settings!$B$11,NA(),STDEV(OFFSET(F1354,1-Settings!$B$11,0,Settings!$B$11,1))*SQRT(Settings!$B$13)))</f>
        <v/>
      </c>
      <c r="I1354" s="18">
        <f>IF(OR(NOT(ISNUMBER($A1354)),ROW()-2&lt;Settings!$B$12),NA(),IF(COUNT(OFFSET(F1354,1-Settings!$B$12,0,Settings!$B$12,1))&lt;Settings!$B$12,NA(),STDEV(OFFSET(F1354,1-Settings!$B$12,0,Settings!$B$12,1))*SQRT(Settings!$B$13)))</f>
        <v/>
      </c>
      <c r="J1354" s="18">
        <f>IF(OR(NOT(ISNUMBER($A1354)),ROW()-2&lt;Settings!$B$11),NA(),IF(COUNT(OFFSET(G1354,1-Settings!$B$11,0,Settings!$B$11,1))&lt;Settings!$B$11,NA(),STDEV(OFFSET(G1354,1-Settings!$B$11,0,Settings!$B$11,1))*SQRT(Settings!$B$13)))</f>
        <v/>
      </c>
      <c r="K1354" s="18">
        <f>IF(OR(NOT(ISNUMBER($A1354)),ROW()-2&lt;Settings!$B$12),NA(),IF(COUNT(OFFSET(G1354,1-Settings!$B$12,0,Settings!$B$12,1))&lt;Settings!$B$12,NA(),STDEV(OFFSET(G1354,1-Settings!$B$12,0,Settings!$B$12,1))*SQRT(Settings!$B$13)))</f>
        <v/>
      </c>
      <c r="L1354" s="18">
        <f>IF(AND(ISNUMBER(D1354),ISNUMBER(H1354)),D1354-H1354,NA())</f>
        <v/>
      </c>
      <c r="M1354" s="18">
        <f>IF(AND(ISNUMBER(E1354),ISNUMBER(K1354)),E1354-K1354,NA())</f>
        <v/>
      </c>
      <c r="N1354" s="18">
        <f>IF(NOT(ISNUMBER($A1354)),NA(),IF(COUNT(OFFSET(G1354,1,0,Settings!$B$12,1))&lt;Settings!$B$12,NA(),STDEV(OFFSET(G1354,1,0,Settings!$B$12,1))*SQRT(Settings!$B$13)))</f>
        <v/>
      </c>
      <c r="O1354" s="18">
        <f>IF(AND(ISNUMBER(E1354),ISNUMBER(N1354)),E1354-N1354,NA())</f>
        <v/>
      </c>
      <c r="P1354" s="17">
        <f>IF(NOT(ISNUMBER($A1354)),NA(),IF(OR($A1354&lt;MIN(KW_TP!$A$2:$A$2501),$A1354&gt;MAX(KW_TP!$A$2:$A$2501)),NA(),INDEX(KW_TP!$C$2:$C$2501,MATCH($A1354,KW_TP!$A$2:$A$2501,1))))</f>
        <v/>
      </c>
    </row>
    <row r="1355">
      <c r="A1355" s="15">
        <f>IF(ISNUMBER(BBG_Data!A1355),BBG_Data!A1355,"")</f>
        <v/>
      </c>
      <c r="B1355" s="16">
        <f>IF(AND(ISNUMBER($A1355),ISNUMBER(BBG_Data!B1355)),BBG_Data!B1355,NA())</f>
        <v/>
      </c>
      <c r="C1355" s="16">
        <f>IF(AND(ISNUMBER($A1355),ISNUMBER(BBG_Data!C1355)),BBG_Data!C1355,NA())</f>
        <v/>
      </c>
      <c r="D1355" s="17">
        <f>IF(AND(ISNUMBER($A1355),ISNUMBER(BBG_Data!D1355)),BBG_Data!D1355,NA())</f>
        <v/>
      </c>
      <c r="E1355" s="17">
        <f>IF(AND(ISNUMBER($A1355),ISNUMBER(BBG_Data!E1355)),BBG_Data!E1355,NA())</f>
        <v/>
      </c>
      <c r="F1355" s="18">
        <f>IF(AND(ISNUMBER(B1355),ISNUMBER(B1354)),(B1355-B1354)*100,"")</f>
        <v/>
      </c>
      <c r="G1355" s="18">
        <f>IF(AND(ISNUMBER(C1355),ISNUMBER(C1354)),(C1355-C1354)*100,"")</f>
        <v/>
      </c>
      <c r="H1355" s="18">
        <f>IF(OR(NOT(ISNUMBER($A1355)),ROW()-2&lt;Settings!$B$11),NA(),IF(COUNT(OFFSET(F1355,1-Settings!$B$11,0,Settings!$B$11,1))&lt;Settings!$B$11,NA(),STDEV(OFFSET(F1355,1-Settings!$B$11,0,Settings!$B$11,1))*SQRT(Settings!$B$13)))</f>
        <v/>
      </c>
      <c r="I1355" s="18">
        <f>IF(OR(NOT(ISNUMBER($A1355)),ROW()-2&lt;Settings!$B$12),NA(),IF(COUNT(OFFSET(F1355,1-Settings!$B$12,0,Settings!$B$12,1))&lt;Settings!$B$12,NA(),STDEV(OFFSET(F1355,1-Settings!$B$12,0,Settings!$B$12,1))*SQRT(Settings!$B$13)))</f>
        <v/>
      </c>
      <c r="J1355" s="18">
        <f>IF(OR(NOT(ISNUMBER($A1355)),ROW()-2&lt;Settings!$B$11),NA(),IF(COUNT(OFFSET(G1355,1-Settings!$B$11,0,Settings!$B$11,1))&lt;Settings!$B$11,NA(),STDEV(OFFSET(G1355,1-Settings!$B$11,0,Settings!$B$11,1))*SQRT(Settings!$B$13)))</f>
        <v/>
      </c>
      <c r="K1355" s="18">
        <f>IF(OR(NOT(ISNUMBER($A1355)),ROW()-2&lt;Settings!$B$12),NA(),IF(COUNT(OFFSET(G1355,1-Settings!$B$12,0,Settings!$B$12,1))&lt;Settings!$B$12,NA(),STDEV(OFFSET(G1355,1-Settings!$B$12,0,Settings!$B$12,1))*SQRT(Settings!$B$13)))</f>
        <v/>
      </c>
      <c r="L1355" s="18">
        <f>IF(AND(ISNUMBER(D1355),ISNUMBER(H1355)),D1355-H1355,NA())</f>
        <v/>
      </c>
      <c r="M1355" s="18">
        <f>IF(AND(ISNUMBER(E1355),ISNUMBER(K1355)),E1355-K1355,NA())</f>
        <v/>
      </c>
      <c r="N1355" s="18">
        <f>IF(NOT(ISNUMBER($A1355)),NA(),IF(COUNT(OFFSET(G1355,1,0,Settings!$B$12,1))&lt;Settings!$B$12,NA(),STDEV(OFFSET(G1355,1,0,Settings!$B$12,1))*SQRT(Settings!$B$13)))</f>
        <v/>
      </c>
      <c r="O1355" s="18">
        <f>IF(AND(ISNUMBER(E1355),ISNUMBER(N1355)),E1355-N1355,NA())</f>
        <v/>
      </c>
      <c r="P1355" s="17">
        <f>IF(NOT(ISNUMBER($A1355)),NA(),IF(OR($A1355&lt;MIN(KW_TP!$A$2:$A$2501),$A1355&gt;MAX(KW_TP!$A$2:$A$2501)),NA(),INDEX(KW_TP!$C$2:$C$2501,MATCH($A1355,KW_TP!$A$2:$A$2501,1))))</f>
        <v/>
      </c>
    </row>
    <row r="1356">
      <c r="A1356" s="15">
        <f>IF(ISNUMBER(BBG_Data!A1356),BBG_Data!A1356,"")</f>
        <v/>
      </c>
      <c r="B1356" s="16">
        <f>IF(AND(ISNUMBER($A1356),ISNUMBER(BBG_Data!B1356)),BBG_Data!B1356,NA())</f>
        <v/>
      </c>
      <c r="C1356" s="16">
        <f>IF(AND(ISNUMBER($A1356),ISNUMBER(BBG_Data!C1356)),BBG_Data!C1356,NA())</f>
        <v/>
      </c>
      <c r="D1356" s="17">
        <f>IF(AND(ISNUMBER($A1356),ISNUMBER(BBG_Data!D1356)),BBG_Data!D1356,NA())</f>
        <v/>
      </c>
      <c r="E1356" s="17">
        <f>IF(AND(ISNUMBER($A1356),ISNUMBER(BBG_Data!E1356)),BBG_Data!E1356,NA())</f>
        <v/>
      </c>
      <c r="F1356" s="18">
        <f>IF(AND(ISNUMBER(B1356),ISNUMBER(B1355)),(B1356-B1355)*100,"")</f>
        <v/>
      </c>
      <c r="G1356" s="18">
        <f>IF(AND(ISNUMBER(C1356),ISNUMBER(C1355)),(C1356-C1355)*100,"")</f>
        <v/>
      </c>
      <c r="H1356" s="18">
        <f>IF(OR(NOT(ISNUMBER($A1356)),ROW()-2&lt;Settings!$B$11),NA(),IF(COUNT(OFFSET(F1356,1-Settings!$B$11,0,Settings!$B$11,1))&lt;Settings!$B$11,NA(),STDEV(OFFSET(F1356,1-Settings!$B$11,0,Settings!$B$11,1))*SQRT(Settings!$B$13)))</f>
        <v/>
      </c>
      <c r="I1356" s="18">
        <f>IF(OR(NOT(ISNUMBER($A1356)),ROW()-2&lt;Settings!$B$12),NA(),IF(COUNT(OFFSET(F1356,1-Settings!$B$12,0,Settings!$B$12,1))&lt;Settings!$B$12,NA(),STDEV(OFFSET(F1356,1-Settings!$B$12,0,Settings!$B$12,1))*SQRT(Settings!$B$13)))</f>
        <v/>
      </c>
      <c r="J1356" s="18">
        <f>IF(OR(NOT(ISNUMBER($A1356)),ROW()-2&lt;Settings!$B$11),NA(),IF(COUNT(OFFSET(G1356,1-Settings!$B$11,0,Settings!$B$11,1))&lt;Settings!$B$11,NA(),STDEV(OFFSET(G1356,1-Settings!$B$11,0,Settings!$B$11,1))*SQRT(Settings!$B$13)))</f>
        <v/>
      </c>
      <c r="K1356" s="18">
        <f>IF(OR(NOT(ISNUMBER($A1356)),ROW()-2&lt;Settings!$B$12),NA(),IF(COUNT(OFFSET(G1356,1-Settings!$B$12,0,Settings!$B$12,1))&lt;Settings!$B$12,NA(),STDEV(OFFSET(G1356,1-Settings!$B$12,0,Settings!$B$12,1))*SQRT(Settings!$B$13)))</f>
        <v/>
      </c>
      <c r="L1356" s="18">
        <f>IF(AND(ISNUMBER(D1356),ISNUMBER(H1356)),D1356-H1356,NA())</f>
        <v/>
      </c>
      <c r="M1356" s="18">
        <f>IF(AND(ISNUMBER(E1356),ISNUMBER(K1356)),E1356-K1356,NA())</f>
        <v/>
      </c>
      <c r="N1356" s="18">
        <f>IF(NOT(ISNUMBER($A1356)),NA(),IF(COUNT(OFFSET(G1356,1,0,Settings!$B$12,1))&lt;Settings!$B$12,NA(),STDEV(OFFSET(G1356,1,0,Settings!$B$12,1))*SQRT(Settings!$B$13)))</f>
        <v/>
      </c>
      <c r="O1356" s="18">
        <f>IF(AND(ISNUMBER(E1356),ISNUMBER(N1356)),E1356-N1356,NA())</f>
        <v/>
      </c>
      <c r="P1356" s="17">
        <f>IF(NOT(ISNUMBER($A1356)),NA(),IF(OR($A1356&lt;MIN(KW_TP!$A$2:$A$2501),$A1356&gt;MAX(KW_TP!$A$2:$A$2501)),NA(),INDEX(KW_TP!$C$2:$C$2501,MATCH($A1356,KW_TP!$A$2:$A$2501,1))))</f>
        <v/>
      </c>
    </row>
    <row r="1357">
      <c r="A1357" s="15">
        <f>IF(ISNUMBER(BBG_Data!A1357),BBG_Data!A1357,"")</f>
        <v/>
      </c>
      <c r="B1357" s="16">
        <f>IF(AND(ISNUMBER($A1357),ISNUMBER(BBG_Data!B1357)),BBG_Data!B1357,NA())</f>
        <v/>
      </c>
      <c r="C1357" s="16">
        <f>IF(AND(ISNUMBER($A1357),ISNUMBER(BBG_Data!C1357)),BBG_Data!C1357,NA())</f>
        <v/>
      </c>
      <c r="D1357" s="17">
        <f>IF(AND(ISNUMBER($A1357),ISNUMBER(BBG_Data!D1357)),BBG_Data!D1357,NA())</f>
        <v/>
      </c>
      <c r="E1357" s="17">
        <f>IF(AND(ISNUMBER($A1357),ISNUMBER(BBG_Data!E1357)),BBG_Data!E1357,NA())</f>
        <v/>
      </c>
      <c r="F1357" s="18">
        <f>IF(AND(ISNUMBER(B1357),ISNUMBER(B1356)),(B1357-B1356)*100,"")</f>
        <v/>
      </c>
      <c r="G1357" s="18">
        <f>IF(AND(ISNUMBER(C1357),ISNUMBER(C1356)),(C1357-C1356)*100,"")</f>
        <v/>
      </c>
      <c r="H1357" s="18">
        <f>IF(OR(NOT(ISNUMBER($A1357)),ROW()-2&lt;Settings!$B$11),NA(),IF(COUNT(OFFSET(F1357,1-Settings!$B$11,0,Settings!$B$11,1))&lt;Settings!$B$11,NA(),STDEV(OFFSET(F1357,1-Settings!$B$11,0,Settings!$B$11,1))*SQRT(Settings!$B$13)))</f>
        <v/>
      </c>
      <c r="I1357" s="18">
        <f>IF(OR(NOT(ISNUMBER($A1357)),ROW()-2&lt;Settings!$B$12),NA(),IF(COUNT(OFFSET(F1357,1-Settings!$B$12,0,Settings!$B$12,1))&lt;Settings!$B$12,NA(),STDEV(OFFSET(F1357,1-Settings!$B$12,0,Settings!$B$12,1))*SQRT(Settings!$B$13)))</f>
        <v/>
      </c>
      <c r="J1357" s="18">
        <f>IF(OR(NOT(ISNUMBER($A1357)),ROW()-2&lt;Settings!$B$11),NA(),IF(COUNT(OFFSET(G1357,1-Settings!$B$11,0,Settings!$B$11,1))&lt;Settings!$B$11,NA(),STDEV(OFFSET(G1357,1-Settings!$B$11,0,Settings!$B$11,1))*SQRT(Settings!$B$13)))</f>
        <v/>
      </c>
      <c r="K1357" s="18">
        <f>IF(OR(NOT(ISNUMBER($A1357)),ROW()-2&lt;Settings!$B$12),NA(),IF(COUNT(OFFSET(G1357,1-Settings!$B$12,0,Settings!$B$12,1))&lt;Settings!$B$12,NA(),STDEV(OFFSET(G1357,1-Settings!$B$12,0,Settings!$B$12,1))*SQRT(Settings!$B$13)))</f>
        <v/>
      </c>
      <c r="L1357" s="18">
        <f>IF(AND(ISNUMBER(D1357),ISNUMBER(H1357)),D1357-H1357,NA())</f>
        <v/>
      </c>
      <c r="M1357" s="18">
        <f>IF(AND(ISNUMBER(E1357),ISNUMBER(K1357)),E1357-K1357,NA())</f>
        <v/>
      </c>
      <c r="N1357" s="18">
        <f>IF(NOT(ISNUMBER($A1357)),NA(),IF(COUNT(OFFSET(G1357,1,0,Settings!$B$12,1))&lt;Settings!$B$12,NA(),STDEV(OFFSET(G1357,1,0,Settings!$B$12,1))*SQRT(Settings!$B$13)))</f>
        <v/>
      </c>
      <c r="O1357" s="18">
        <f>IF(AND(ISNUMBER(E1357),ISNUMBER(N1357)),E1357-N1357,NA())</f>
        <v/>
      </c>
      <c r="P1357" s="17">
        <f>IF(NOT(ISNUMBER($A1357)),NA(),IF(OR($A1357&lt;MIN(KW_TP!$A$2:$A$2501),$A1357&gt;MAX(KW_TP!$A$2:$A$2501)),NA(),INDEX(KW_TP!$C$2:$C$2501,MATCH($A1357,KW_TP!$A$2:$A$2501,1))))</f>
        <v/>
      </c>
    </row>
    <row r="1358">
      <c r="A1358" s="15">
        <f>IF(ISNUMBER(BBG_Data!A1358),BBG_Data!A1358,"")</f>
        <v/>
      </c>
      <c r="B1358" s="16">
        <f>IF(AND(ISNUMBER($A1358),ISNUMBER(BBG_Data!B1358)),BBG_Data!B1358,NA())</f>
        <v/>
      </c>
      <c r="C1358" s="16">
        <f>IF(AND(ISNUMBER($A1358),ISNUMBER(BBG_Data!C1358)),BBG_Data!C1358,NA())</f>
        <v/>
      </c>
      <c r="D1358" s="17">
        <f>IF(AND(ISNUMBER($A1358),ISNUMBER(BBG_Data!D1358)),BBG_Data!D1358,NA())</f>
        <v/>
      </c>
      <c r="E1358" s="17">
        <f>IF(AND(ISNUMBER($A1358),ISNUMBER(BBG_Data!E1358)),BBG_Data!E1358,NA())</f>
        <v/>
      </c>
      <c r="F1358" s="18">
        <f>IF(AND(ISNUMBER(B1358),ISNUMBER(B1357)),(B1358-B1357)*100,"")</f>
        <v/>
      </c>
      <c r="G1358" s="18">
        <f>IF(AND(ISNUMBER(C1358),ISNUMBER(C1357)),(C1358-C1357)*100,"")</f>
        <v/>
      </c>
      <c r="H1358" s="18">
        <f>IF(OR(NOT(ISNUMBER($A1358)),ROW()-2&lt;Settings!$B$11),NA(),IF(COUNT(OFFSET(F1358,1-Settings!$B$11,0,Settings!$B$11,1))&lt;Settings!$B$11,NA(),STDEV(OFFSET(F1358,1-Settings!$B$11,0,Settings!$B$11,1))*SQRT(Settings!$B$13)))</f>
        <v/>
      </c>
      <c r="I1358" s="18">
        <f>IF(OR(NOT(ISNUMBER($A1358)),ROW()-2&lt;Settings!$B$12),NA(),IF(COUNT(OFFSET(F1358,1-Settings!$B$12,0,Settings!$B$12,1))&lt;Settings!$B$12,NA(),STDEV(OFFSET(F1358,1-Settings!$B$12,0,Settings!$B$12,1))*SQRT(Settings!$B$13)))</f>
        <v/>
      </c>
      <c r="J1358" s="18">
        <f>IF(OR(NOT(ISNUMBER($A1358)),ROW()-2&lt;Settings!$B$11),NA(),IF(COUNT(OFFSET(G1358,1-Settings!$B$11,0,Settings!$B$11,1))&lt;Settings!$B$11,NA(),STDEV(OFFSET(G1358,1-Settings!$B$11,0,Settings!$B$11,1))*SQRT(Settings!$B$13)))</f>
        <v/>
      </c>
      <c r="K1358" s="18">
        <f>IF(OR(NOT(ISNUMBER($A1358)),ROW()-2&lt;Settings!$B$12),NA(),IF(COUNT(OFFSET(G1358,1-Settings!$B$12,0,Settings!$B$12,1))&lt;Settings!$B$12,NA(),STDEV(OFFSET(G1358,1-Settings!$B$12,0,Settings!$B$12,1))*SQRT(Settings!$B$13)))</f>
        <v/>
      </c>
      <c r="L1358" s="18">
        <f>IF(AND(ISNUMBER(D1358),ISNUMBER(H1358)),D1358-H1358,NA())</f>
        <v/>
      </c>
      <c r="M1358" s="18">
        <f>IF(AND(ISNUMBER(E1358),ISNUMBER(K1358)),E1358-K1358,NA())</f>
        <v/>
      </c>
      <c r="N1358" s="18">
        <f>IF(NOT(ISNUMBER($A1358)),NA(),IF(COUNT(OFFSET(G1358,1,0,Settings!$B$12,1))&lt;Settings!$B$12,NA(),STDEV(OFFSET(G1358,1,0,Settings!$B$12,1))*SQRT(Settings!$B$13)))</f>
        <v/>
      </c>
      <c r="O1358" s="18">
        <f>IF(AND(ISNUMBER(E1358),ISNUMBER(N1358)),E1358-N1358,NA())</f>
        <v/>
      </c>
      <c r="P1358" s="17">
        <f>IF(NOT(ISNUMBER($A1358)),NA(),IF(OR($A1358&lt;MIN(KW_TP!$A$2:$A$2501),$A1358&gt;MAX(KW_TP!$A$2:$A$2501)),NA(),INDEX(KW_TP!$C$2:$C$2501,MATCH($A1358,KW_TP!$A$2:$A$2501,1))))</f>
        <v/>
      </c>
    </row>
    <row r="1359">
      <c r="A1359" s="15">
        <f>IF(ISNUMBER(BBG_Data!A1359),BBG_Data!A1359,"")</f>
        <v/>
      </c>
      <c r="B1359" s="16">
        <f>IF(AND(ISNUMBER($A1359),ISNUMBER(BBG_Data!B1359)),BBG_Data!B1359,NA())</f>
        <v/>
      </c>
      <c r="C1359" s="16">
        <f>IF(AND(ISNUMBER($A1359),ISNUMBER(BBG_Data!C1359)),BBG_Data!C1359,NA())</f>
        <v/>
      </c>
      <c r="D1359" s="17">
        <f>IF(AND(ISNUMBER($A1359),ISNUMBER(BBG_Data!D1359)),BBG_Data!D1359,NA())</f>
        <v/>
      </c>
      <c r="E1359" s="17">
        <f>IF(AND(ISNUMBER($A1359),ISNUMBER(BBG_Data!E1359)),BBG_Data!E1359,NA())</f>
        <v/>
      </c>
      <c r="F1359" s="18">
        <f>IF(AND(ISNUMBER(B1359),ISNUMBER(B1358)),(B1359-B1358)*100,"")</f>
        <v/>
      </c>
      <c r="G1359" s="18">
        <f>IF(AND(ISNUMBER(C1359),ISNUMBER(C1358)),(C1359-C1358)*100,"")</f>
        <v/>
      </c>
      <c r="H1359" s="18">
        <f>IF(OR(NOT(ISNUMBER($A1359)),ROW()-2&lt;Settings!$B$11),NA(),IF(COUNT(OFFSET(F1359,1-Settings!$B$11,0,Settings!$B$11,1))&lt;Settings!$B$11,NA(),STDEV(OFFSET(F1359,1-Settings!$B$11,0,Settings!$B$11,1))*SQRT(Settings!$B$13)))</f>
        <v/>
      </c>
      <c r="I1359" s="18">
        <f>IF(OR(NOT(ISNUMBER($A1359)),ROW()-2&lt;Settings!$B$12),NA(),IF(COUNT(OFFSET(F1359,1-Settings!$B$12,0,Settings!$B$12,1))&lt;Settings!$B$12,NA(),STDEV(OFFSET(F1359,1-Settings!$B$12,0,Settings!$B$12,1))*SQRT(Settings!$B$13)))</f>
        <v/>
      </c>
      <c r="J1359" s="18">
        <f>IF(OR(NOT(ISNUMBER($A1359)),ROW()-2&lt;Settings!$B$11),NA(),IF(COUNT(OFFSET(G1359,1-Settings!$B$11,0,Settings!$B$11,1))&lt;Settings!$B$11,NA(),STDEV(OFFSET(G1359,1-Settings!$B$11,0,Settings!$B$11,1))*SQRT(Settings!$B$13)))</f>
        <v/>
      </c>
      <c r="K1359" s="18">
        <f>IF(OR(NOT(ISNUMBER($A1359)),ROW()-2&lt;Settings!$B$12),NA(),IF(COUNT(OFFSET(G1359,1-Settings!$B$12,0,Settings!$B$12,1))&lt;Settings!$B$12,NA(),STDEV(OFFSET(G1359,1-Settings!$B$12,0,Settings!$B$12,1))*SQRT(Settings!$B$13)))</f>
        <v/>
      </c>
      <c r="L1359" s="18">
        <f>IF(AND(ISNUMBER(D1359),ISNUMBER(H1359)),D1359-H1359,NA())</f>
        <v/>
      </c>
      <c r="M1359" s="18">
        <f>IF(AND(ISNUMBER(E1359),ISNUMBER(K1359)),E1359-K1359,NA())</f>
        <v/>
      </c>
      <c r="N1359" s="18">
        <f>IF(NOT(ISNUMBER($A1359)),NA(),IF(COUNT(OFFSET(G1359,1,0,Settings!$B$12,1))&lt;Settings!$B$12,NA(),STDEV(OFFSET(G1359,1,0,Settings!$B$12,1))*SQRT(Settings!$B$13)))</f>
        <v/>
      </c>
      <c r="O1359" s="18">
        <f>IF(AND(ISNUMBER(E1359),ISNUMBER(N1359)),E1359-N1359,NA())</f>
        <v/>
      </c>
      <c r="P1359" s="17">
        <f>IF(NOT(ISNUMBER($A1359)),NA(),IF(OR($A1359&lt;MIN(KW_TP!$A$2:$A$2501),$A1359&gt;MAX(KW_TP!$A$2:$A$2501)),NA(),INDEX(KW_TP!$C$2:$C$2501,MATCH($A1359,KW_TP!$A$2:$A$2501,1))))</f>
        <v/>
      </c>
    </row>
    <row r="1360">
      <c r="A1360" s="15">
        <f>IF(ISNUMBER(BBG_Data!A1360),BBG_Data!A1360,"")</f>
        <v/>
      </c>
      <c r="B1360" s="16">
        <f>IF(AND(ISNUMBER($A1360),ISNUMBER(BBG_Data!B1360)),BBG_Data!B1360,NA())</f>
        <v/>
      </c>
      <c r="C1360" s="16">
        <f>IF(AND(ISNUMBER($A1360),ISNUMBER(BBG_Data!C1360)),BBG_Data!C1360,NA())</f>
        <v/>
      </c>
      <c r="D1360" s="17">
        <f>IF(AND(ISNUMBER($A1360),ISNUMBER(BBG_Data!D1360)),BBG_Data!D1360,NA())</f>
        <v/>
      </c>
      <c r="E1360" s="17">
        <f>IF(AND(ISNUMBER($A1360),ISNUMBER(BBG_Data!E1360)),BBG_Data!E1360,NA())</f>
        <v/>
      </c>
      <c r="F1360" s="18">
        <f>IF(AND(ISNUMBER(B1360),ISNUMBER(B1359)),(B1360-B1359)*100,"")</f>
        <v/>
      </c>
      <c r="G1360" s="18">
        <f>IF(AND(ISNUMBER(C1360),ISNUMBER(C1359)),(C1360-C1359)*100,"")</f>
        <v/>
      </c>
      <c r="H1360" s="18">
        <f>IF(OR(NOT(ISNUMBER($A1360)),ROW()-2&lt;Settings!$B$11),NA(),IF(COUNT(OFFSET(F1360,1-Settings!$B$11,0,Settings!$B$11,1))&lt;Settings!$B$11,NA(),STDEV(OFFSET(F1360,1-Settings!$B$11,0,Settings!$B$11,1))*SQRT(Settings!$B$13)))</f>
        <v/>
      </c>
      <c r="I1360" s="18">
        <f>IF(OR(NOT(ISNUMBER($A1360)),ROW()-2&lt;Settings!$B$12),NA(),IF(COUNT(OFFSET(F1360,1-Settings!$B$12,0,Settings!$B$12,1))&lt;Settings!$B$12,NA(),STDEV(OFFSET(F1360,1-Settings!$B$12,0,Settings!$B$12,1))*SQRT(Settings!$B$13)))</f>
        <v/>
      </c>
      <c r="J1360" s="18">
        <f>IF(OR(NOT(ISNUMBER($A1360)),ROW()-2&lt;Settings!$B$11),NA(),IF(COUNT(OFFSET(G1360,1-Settings!$B$11,0,Settings!$B$11,1))&lt;Settings!$B$11,NA(),STDEV(OFFSET(G1360,1-Settings!$B$11,0,Settings!$B$11,1))*SQRT(Settings!$B$13)))</f>
        <v/>
      </c>
      <c r="K1360" s="18">
        <f>IF(OR(NOT(ISNUMBER($A1360)),ROW()-2&lt;Settings!$B$12),NA(),IF(COUNT(OFFSET(G1360,1-Settings!$B$12,0,Settings!$B$12,1))&lt;Settings!$B$12,NA(),STDEV(OFFSET(G1360,1-Settings!$B$12,0,Settings!$B$12,1))*SQRT(Settings!$B$13)))</f>
        <v/>
      </c>
      <c r="L1360" s="18">
        <f>IF(AND(ISNUMBER(D1360),ISNUMBER(H1360)),D1360-H1360,NA())</f>
        <v/>
      </c>
      <c r="M1360" s="18">
        <f>IF(AND(ISNUMBER(E1360),ISNUMBER(K1360)),E1360-K1360,NA())</f>
        <v/>
      </c>
      <c r="N1360" s="18">
        <f>IF(NOT(ISNUMBER($A1360)),NA(),IF(COUNT(OFFSET(G1360,1,0,Settings!$B$12,1))&lt;Settings!$B$12,NA(),STDEV(OFFSET(G1360,1,0,Settings!$B$12,1))*SQRT(Settings!$B$13)))</f>
        <v/>
      </c>
      <c r="O1360" s="18">
        <f>IF(AND(ISNUMBER(E1360),ISNUMBER(N1360)),E1360-N1360,NA())</f>
        <v/>
      </c>
      <c r="P1360" s="17">
        <f>IF(NOT(ISNUMBER($A1360)),NA(),IF(OR($A1360&lt;MIN(KW_TP!$A$2:$A$2501),$A1360&gt;MAX(KW_TP!$A$2:$A$2501)),NA(),INDEX(KW_TP!$C$2:$C$2501,MATCH($A1360,KW_TP!$A$2:$A$2501,1))))</f>
        <v/>
      </c>
    </row>
    <row r="1361">
      <c r="A1361" s="15">
        <f>IF(ISNUMBER(BBG_Data!A1361),BBG_Data!A1361,"")</f>
        <v/>
      </c>
      <c r="B1361" s="16">
        <f>IF(AND(ISNUMBER($A1361),ISNUMBER(BBG_Data!B1361)),BBG_Data!B1361,NA())</f>
        <v/>
      </c>
      <c r="C1361" s="16">
        <f>IF(AND(ISNUMBER($A1361),ISNUMBER(BBG_Data!C1361)),BBG_Data!C1361,NA())</f>
        <v/>
      </c>
      <c r="D1361" s="17">
        <f>IF(AND(ISNUMBER($A1361),ISNUMBER(BBG_Data!D1361)),BBG_Data!D1361,NA())</f>
        <v/>
      </c>
      <c r="E1361" s="17">
        <f>IF(AND(ISNUMBER($A1361),ISNUMBER(BBG_Data!E1361)),BBG_Data!E1361,NA())</f>
        <v/>
      </c>
      <c r="F1361" s="18">
        <f>IF(AND(ISNUMBER(B1361),ISNUMBER(B1360)),(B1361-B1360)*100,"")</f>
        <v/>
      </c>
      <c r="G1361" s="18">
        <f>IF(AND(ISNUMBER(C1361),ISNUMBER(C1360)),(C1361-C1360)*100,"")</f>
        <v/>
      </c>
      <c r="H1361" s="18">
        <f>IF(OR(NOT(ISNUMBER($A1361)),ROW()-2&lt;Settings!$B$11),NA(),IF(COUNT(OFFSET(F1361,1-Settings!$B$11,0,Settings!$B$11,1))&lt;Settings!$B$11,NA(),STDEV(OFFSET(F1361,1-Settings!$B$11,0,Settings!$B$11,1))*SQRT(Settings!$B$13)))</f>
        <v/>
      </c>
      <c r="I1361" s="18">
        <f>IF(OR(NOT(ISNUMBER($A1361)),ROW()-2&lt;Settings!$B$12),NA(),IF(COUNT(OFFSET(F1361,1-Settings!$B$12,0,Settings!$B$12,1))&lt;Settings!$B$12,NA(),STDEV(OFFSET(F1361,1-Settings!$B$12,0,Settings!$B$12,1))*SQRT(Settings!$B$13)))</f>
        <v/>
      </c>
      <c r="J1361" s="18">
        <f>IF(OR(NOT(ISNUMBER($A1361)),ROW()-2&lt;Settings!$B$11),NA(),IF(COUNT(OFFSET(G1361,1-Settings!$B$11,0,Settings!$B$11,1))&lt;Settings!$B$11,NA(),STDEV(OFFSET(G1361,1-Settings!$B$11,0,Settings!$B$11,1))*SQRT(Settings!$B$13)))</f>
        <v/>
      </c>
      <c r="K1361" s="18">
        <f>IF(OR(NOT(ISNUMBER($A1361)),ROW()-2&lt;Settings!$B$12),NA(),IF(COUNT(OFFSET(G1361,1-Settings!$B$12,0,Settings!$B$12,1))&lt;Settings!$B$12,NA(),STDEV(OFFSET(G1361,1-Settings!$B$12,0,Settings!$B$12,1))*SQRT(Settings!$B$13)))</f>
        <v/>
      </c>
      <c r="L1361" s="18">
        <f>IF(AND(ISNUMBER(D1361),ISNUMBER(H1361)),D1361-H1361,NA())</f>
        <v/>
      </c>
      <c r="M1361" s="18">
        <f>IF(AND(ISNUMBER(E1361),ISNUMBER(K1361)),E1361-K1361,NA())</f>
        <v/>
      </c>
      <c r="N1361" s="18">
        <f>IF(NOT(ISNUMBER($A1361)),NA(),IF(COUNT(OFFSET(G1361,1,0,Settings!$B$12,1))&lt;Settings!$B$12,NA(),STDEV(OFFSET(G1361,1,0,Settings!$B$12,1))*SQRT(Settings!$B$13)))</f>
        <v/>
      </c>
      <c r="O1361" s="18">
        <f>IF(AND(ISNUMBER(E1361),ISNUMBER(N1361)),E1361-N1361,NA())</f>
        <v/>
      </c>
      <c r="P1361" s="17">
        <f>IF(NOT(ISNUMBER($A1361)),NA(),IF(OR($A1361&lt;MIN(KW_TP!$A$2:$A$2501),$A1361&gt;MAX(KW_TP!$A$2:$A$2501)),NA(),INDEX(KW_TP!$C$2:$C$2501,MATCH($A1361,KW_TP!$A$2:$A$2501,1))))</f>
        <v/>
      </c>
    </row>
    <row r="1362">
      <c r="A1362" s="15">
        <f>IF(ISNUMBER(BBG_Data!A1362),BBG_Data!A1362,"")</f>
        <v/>
      </c>
      <c r="B1362" s="16">
        <f>IF(AND(ISNUMBER($A1362),ISNUMBER(BBG_Data!B1362)),BBG_Data!B1362,NA())</f>
        <v/>
      </c>
      <c r="C1362" s="16">
        <f>IF(AND(ISNUMBER($A1362),ISNUMBER(BBG_Data!C1362)),BBG_Data!C1362,NA())</f>
        <v/>
      </c>
      <c r="D1362" s="17">
        <f>IF(AND(ISNUMBER($A1362),ISNUMBER(BBG_Data!D1362)),BBG_Data!D1362,NA())</f>
        <v/>
      </c>
      <c r="E1362" s="17">
        <f>IF(AND(ISNUMBER($A1362),ISNUMBER(BBG_Data!E1362)),BBG_Data!E1362,NA())</f>
        <v/>
      </c>
      <c r="F1362" s="18">
        <f>IF(AND(ISNUMBER(B1362),ISNUMBER(B1361)),(B1362-B1361)*100,"")</f>
        <v/>
      </c>
      <c r="G1362" s="18">
        <f>IF(AND(ISNUMBER(C1362),ISNUMBER(C1361)),(C1362-C1361)*100,"")</f>
        <v/>
      </c>
      <c r="H1362" s="18">
        <f>IF(OR(NOT(ISNUMBER($A1362)),ROW()-2&lt;Settings!$B$11),NA(),IF(COUNT(OFFSET(F1362,1-Settings!$B$11,0,Settings!$B$11,1))&lt;Settings!$B$11,NA(),STDEV(OFFSET(F1362,1-Settings!$B$11,0,Settings!$B$11,1))*SQRT(Settings!$B$13)))</f>
        <v/>
      </c>
      <c r="I1362" s="18">
        <f>IF(OR(NOT(ISNUMBER($A1362)),ROW()-2&lt;Settings!$B$12),NA(),IF(COUNT(OFFSET(F1362,1-Settings!$B$12,0,Settings!$B$12,1))&lt;Settings!$B$12,NA(),STDEV(OFFSET(F1362,1-Settings!$B$12,0,Settings!$B$12,1))*SQRT(Settings!$B$13)))</f>
        <v/>
      </c>
      <c r="J1362" s="18">
        <f>IF(OR(NOT(ISNUMBER($A1362)),ROW()-2&lt;Settings!$B$11),NA(),IF(COUNT(OFFSET(G1362,1-Settings!$B$11,0,Settings!$B$11,1))&lt;Settings!$B$11,NA(),STDEV(OFFSET(G1362,1-Settings!$B$11,0,Settings!$B$11,1))*SQRT(Settings!$B$13)))</f>
        <v/>
      </c>
      <c r="K1362" s="18">
        <f>IF(OR(NOT(ISNUMBER($A1362)),ROW()-2&lt;Settings!$B$12),NA(),IF(COUNT(OFFSET(G1362,1-Settings!$B$12,0,Settings!$B$12,1))&lt;Settings!$B$12,NA(),STDEV(OFFSET(G1362,1-Settings!$B$12,0,Settings!$B$12,1))*SQRT(Settings!$B$13)))</f>
        <v/>
      </c>
      <c r="L1362" s="18">
        <f>IF(AND(ISNUMBER(D1362),ISNUMBER(H1362)),D1362-H1362,NA())</f>
        <v/>
      </c>
      <c r="M1362" s="18">
        <f>IF(AND(ISNUMBER(E1362),ISNUMBER(K1362)),E1362-K1362,NA())</f>
        <v/>
      </c>
      <c r="N1362" s="18">
        <f>IF(NOT(ISNUMBER($A1362)),NA(),IF(COUNT(OFFSET(G1362,1,0,Settings!$B$12,1))&lt;Settings!$B$12,NA(),STDEV(OFFSET(G1362,1,0,Settings!$B$12,1))*SQRT(Settings!$B$13)))</f>
        <v/>
      </c>
      <c r="O1362" s="18">
        <f>IF(AND(ISNUMBER(E1362),ISNUMBER(N1362)),E1362-N1362,NA())</f>
        <v/>
      </c>
      <c r="P1362" s="17">
        <f>IF(NOT(ISNUMBER($A1362)),NA(),IF(OR($A1362&lt;MIN(KW_TP!$A$2:$A$2501),$A1362&gt;MAX(KW_TP!$A$2:$A$2501)),NA(),INDEX(KW_TP!$C$2:$C$2501,MATCH($A1362,KW_TP!$A$2:$A$2501,1))))</f>
        <v/>
      </c>
    </row>
    <row r="1363">
      <c r="A1363" s="15">
        <f>IF(ISNUMBER(BBG_Data!A1363),BBG_Data!A1363,"")</f>
        <v/>
      </c>
      <c r="B1363" s="16">
        <f>IF(AND(ISNUMBER($A1363),ISNUMBER(BBG_Data!B1363)),BBG_Data!B1363,NA())</f>
        <v/>
      </c>
      <c r="C1363" s="16">
        <f>IF(AND(ISNUMBER($A1363),ISNUMBER(BBG_Data!C1363)),BBG_Data!C1363,NA())</f>
        <v/>
      </c>
      <c r="D1363" s="17">
        <f>IF(AND(ISNUMBER($A1363),ISNUMBER(BBG_Data!D1363)),BBG_Data!D1363,NA())</f>
        <v/>
      </c>
      <c r="E1363" s="17">
        <f>IF(AND(ISNUMBER($A1363),ISNUMBER(BBG_Data!E1363)),BBG_Data!E1363,NA())</f>
        <v/>
      </c>
      <c r="F1363" s="18">
        <f>IF(AND(ISNUMBER(B1363),ISNUMBER(B1362)),(B1363-B1362)*100,"")</f>
        <v/>
      </c>
      <c r="G1363" s="18">
        <f>IF(AND(ISNUMBER(C1363),ISNUMBER(C1362)),(C1363-C1362)*100,"")</f>
        <v/>
      </c>
      <c r="H1363" s="18">
        <f>IF(OR(NOT(ISNUMBER($A1363)),ROW()-2&lt;Settings!$B$11),NA(),IF(COUNT(OFFSET(F1363,1-Settings!$B$11,0,Settings!$B$11,1))&lt;Settings!$B$11,NA(),STDEV(OFFSET(F1363,1-Settings!$B$11,0,Settings!$B$11,1))*SQRT(Settings!$B$13)))</f>
        <v/>
      </c>
      <c r="I1363" s="18">
        <f>IF(OR(NOT(ISNUMBER($A1363)),ROW()-2&lt;Settings!$B$12),NA(),IF(COUNT(OFFSET(F1363,1-Settings!$B$12,0,Settings!$B$12,1))&lt;Settings!$B$12,NA(),STDEV(OFFSET(F1363,1-Settings!$B$12,0,Settings!$B$12,1))*SQRT(Settings!$B$13)))</f>
        <v/>
      </c>
      <c r="J1363" s="18">
        <f>IF(OR(NOT(ISNUMBER($A1363)),ROW()-2&lt;Settings!$B$11),NA(),IF(COUNT(OFFSET(G1363,1-Settings!$B$11,0,Settings!$B$11,1))&lt;Settings!$B$11,NA(),STDEV(OFFSET(G1363,1-Settings!$B$11,0,Settings!$B$11,1))*SQRT(Settings!$B$13)))</f>
        <v/>
      </c>
      <c r="K1363" s="18">
        <f>IF(OR(NOT(ISNUMBER($A1363)),ROW()-2&lt;Settings!$B$12),NA(),IF(COUNT(OFFSET(G1363,1-Settings!$B$12,0,Settings!$B$12,1))&lt;Settings!$B$12,NA(),STDEV(OFFSET(G1363,1-Settings!$B$12,0,Settings!$B$12,1))*SQRT(Settings!$B$13)))</f>
        <v/>
      </c>
      <c r="L1363" s="18">
        <f>IF(AND(ISNUMBER(D1363),ISNUMBER(H1363)),D1363-H1363,NA())</f>
        <v/>
      </c>
      <c r="M1363" s="18">
        <f>IF(AND(ISNUMBER(E1363),ISNUMBER(K1363)),E1363-K1363,NA())</f>
        <v/>
      </c>
      <c r="N1363" s="18">
        <f>IF(NOT(ISNUMBER($A1363)),NA(),IF(COUNT(OFFSET(G1363,1,0,Settings!$B$12,1))&lt;Settings!$B$12,NA(),STDEV(OFFSET(G1363,1,0,Settings!$B$12,1))*SQRT(Settings!$B$13)))</f>
        <v/>
      </c>
      <c r="O1363" s="18">
        <f>IF(AND(ISNUMBER(E1363),ISNUMBER(N1363)),E1363-N1363,NA())</f>
        <v/>
      </c>
      <c r="P1363" s="17">
        <f>IF(NOT(ISNUMBER($A1363)),NA(),IF(OR($A1363&lt;MIN(KW_TP!$A$2:$A$2501),$A1363&gt;MAX(KW_TP!$A$2:$A$2501)),NA(),INDEX(KW_TP!$C$2:$C$2501,MATCH($A1363,KW_TP!$A$2:$A$2501,1))))</f>
        <v/>
      </c>
    </row>
    <row r="1364">
      <c r="A1364" s="15">
        <f>IF(ISNUMBER(BBG_Data!A1364),BBG_Data!A1364,"")</f>
        <v/>
      </c>
      <c r="B1364" s="16">
        <f>IF(AND(ISNUMBER($A1364),ISNUMBER(BBG_Data!B1364)),BBG_Data!B1364,NA())</f>
        <v/>
      </c>
      <c r="C1364" s="16">
        <f>IF(AND(ISNUMBER($A1364),ISNUMBER(BBG_Data!C1364)),BBG_Data!C1364,NA())</f>
        <v/>
      </c>
      <c r="D1364" s="17">
        <f>IF(AND(ISNUMBER($A1364),ISNUMBER(BBG_Data!D1364)),BBG_Data!D1364,NA())</f>
        <v/>
      </c>
      <c r="E1364" s="17">
        <f>IF(AND(ISNUMBER($A1364),ISNUMBER(BBG_Data!E1364)),BBG_Data!E1364,NA())</f>
        <v/>
      </c>
      <c r="F1364" s="18">
        <f>IF(AND(ISNUMBER(B1364),ISNUMBER(B1363)),(B1364-B1363)*100,"")</f>
        <v/>
      </c>
      <c r="G1364" s="18">
        <f>IF(AND(ISNUMBER(C1364),ISNUMBER(C1363)),(C1364-C1363)*100,"")</f>
        <v/>
      </c>
      <c r="H1364" s="18">
        <f>IF(OR(NOT(ISNUMBER($A1364)),ROW()-2&lt;Settings!$B$11),NA(),IF(COUNT(OFFSET(F1364,1-Settings!$B$11,0,Settings!$B$11,1))&lt;Settings!$B$11,NA(),STDEV(OFFSET(F1364,1-Settings!$B$11,0,Settings!$B$11,1))*SQRT(Settings!$B$13)))</f>
        <v/>
      </c>
      <c r="I1364" s="18">
        <f>IF(OR(NOT(ISNUMBER($A1364)),ROW()-2&lt;Settings!$B$12),NA(),IF(COUNT(OFFSET(F1364,1-Settings!$B$12,0,Settings!$B$12,1))&lt;Settings!$B$12,NA(),STDEV(OFFSET(F1364,1-Settings!$B$12,0,Settings!$B$12,1))*SQRT(Settings!$B$13)))</f>
        <v/>
      </c>
      <c r="J1364" s="18">
        <f>IF(OR(NOT(ISNUMBER($A1364)),ROW()-2&lt;Settings!$B$11),NA(),IF(COUNT(OFFSET(G1364,1-Settings!$B$11,0,Settings!$B$11,1))&lt;Settings!$B$11,NA(),STDEV(OFFSET(G1364,1-Settings!$B$11,0,Settings!$B$11,1))*SQRT(Settings!$B$13)))</f>
        <v/>
      </c>
      <c r="K1364" s="18">
        <f>IF(OR(NOT(ISNUMBER($A1364)),ROW()-2&lt;Settings!$B$12),NA(),IF(COUNT(OFFSET(G1364,1-Settings!$B$12,0,Settings!$B$12,1))&lt;Settings!$B$12,NA(),STDEV(OFFSET(G1364,1-Settings!$B$12,0,Settings!$B$12,1))*SQRT(Settings!$B$13)))</f>
        <v/>
      </c>
      <c r="L1364" s="18">
        <f>IF(AND(ISNUMBER(D1364),ISNUMBER(H1364)),D1364-H1364,NA())</f>
        <v/>
      </c>
      <c r="M1364" s="18">
        <f>IF(AND(ISNUMBER(E1364),ISNUMBER(K1364)),E1364-K1364,NA())</f>
        <v/>
      </c>
      <c r="N1364" s="18">
        <f>IF(NOT(ISNUMBER($A1364)),NA(),IF(COUNT(OFFSET(G1364,1,0,Settings!$B$12,1))&lt;Settings!$B$12,NA(),STDEV(OFFSET(G1364,1,0,Settings!$B$12,1))*SQRT(Settings!$B$13)))</f>
        <v/>
      </c>
      <c r="O1364" s="18">
        <f>IF(AND(ISNUMBER(E1364),ISNUMBER(N1364)),E1364-N1364,NA())</f>
        <v/>
      </c>
      <c r="P1364" s="17">
        <f>IF(NOT(ISNUMBER($A1364)),NA(),IF(OR($A1364&lt;MIN(KW_TP!$A$2:$A$2501),$A1364&gt;MAX(KW_TP!$A$2:$A$2501)),NA(),INDEX(KW_TP!$C$2:$C$2501,MATCH($A1364,KW_TP!$A$2:$A$2501,1))))</f>
        <v/>
      </c>
    </row>
    <row r="1365">
      <c r="A1365" s="15">
        <f>IF(ISNUMBER(BBG_Data!A1365),BBG_Data!A1365,"")</f>
        <v/>
      </c>
      <c r="B1365" s="16">
        <f>IF(AND(ISNUMBER($A1365),ISNUMBER(BBG_Data!B1365)),BBG_Data!B1365,NA())</f>
        <v/>
      </c>
      <c r="C1365" s="16">
        <f>IF(AND(ISNUMBER($A1365),ISNUMBER(BBG_Data!C1365)),BBG_Data!C1365,NA())</f>
        <v/>
      </c>
      <c r="D1365" s="17">
        <f>IF(AND(ISNUMBER($A1365),ISNUMBER(BBG_Data!D1365)),BBG_Data!D1365,NA())</f>
        <v/>
      </c>
      <c r="E1365" s="17">
        <f>IF(AND(ISNUMBER($A1365),ISNUMBER(BBG_Data!E1365)),BBG_Data!E1365,NA())</f>
        <v/>
      </c>
      <c r="F1365" s="18">
        <f>IF(AND(ISNUMBER(B1365),ISNUMBER(B1364)),(B1365-B1364)*100,"")</f>
        <v/>
      </c>
      <c r="G1365" s="18">
        <f>IF(AND(ISNUMBER(C1365),ISNUMBER(C1364)),(C1365-C1364)*100,"")</f>
        <v/>
      </c>
      <c r="H1365" s="18">
        <f>IF(OR(NOT(ISNUMBER($A1365)),ROW()-2&lt;Settings!$B$11),NA(),IF(COUNT(OFFSET(F1365,1-Settings!$B$11,0,Settings!$B$11,1))&lt;Settings!$B$11,NA(),STDEV(OFFSET(F1365,1-Settings!$B$11,0,Settings!$B$11,1))*SQRT(Settings!$B$13)))</f>
        <v/>
      </c>
      <c r="I1365" s="18">
        <f>IF(OR(NOT(ISNUMBER($A1365)),ROW()-2&lt;Settings!$B$12),NA(),IF(COUNT(OFFSET(F1365,1-Settings!$B$12,0,Settings!$B$12,1))&lt;Settings!$B$12,NA(),STDEV(OFFSET(F1365,1-Settings!$B$12,0,Settings!$B$12,1))*SQRT(Settings!$B$13)))</f>
        <v/>
      </c>
      <c r="J1365" s="18">
        <f>IF(OR(NOT(ISNUMBER($A1365)),ROW()-2&lt;Settings!$B$11),NA(),IF(COUNT(OFFSET(G1365,1-Settings!$B$11,0,Settings!$B$11,1))&lt;Settings!$B$11,NA(),STDEV(OFFSET(G1365,1-Settings!$B$11,0,Settings!$B$11,1))*SQRT(Settings!$B$13)))</f>
        <v/>
      </c>
      <c r="K1365" s="18">
        <f>IF(OR(NOT(ISNUMBER($A1365)),ROW()-2&lt;Settings!$B$12),NA(),IF(COUNT(OFFSET(G1365,1-Settings!$B$12,0,Settings!$B$12,1))&lt;Settings!$B$12,NA(),STDEV(OFFSET(G1365,1-Settings!$B$12,0,Settings!$B$12,1))*SQRT(Settings!$B$13)))</f>
        <v/>
      </c>
      <c r="L1365" s="18">
        <f>IF(AND(ISNUMBER(D1365),ISNUMBER(H1365)),D1365-H1365,NA())</f>
        <v/>
      </c>
      <c r="M1365" s="18">
        <f>IF(AND(ISNUMBER(E1365),ISNUMBER(K1365)),E1365-K1365,NA())</f>
        <v/>
      </c>
      <c r="N1365" s="18">
        <f>IF(NOT(ISNUMBER($A1365)),NA(),IF(COUNT(OFFSET(G1365,1,0,Settings!$B$12,1))&lt;Settings!$B$12,NA(),STDEV(OFFSET(G1365,1,0,Settings!$B$12,1))*SQRT(Settings!$B$13)))</f>
        <v/>
      </c>
      <c r="O1365" s="18">
        <f>IF(AND(ISNUMBER(E1365),ISNUMBER(N1365)),E1365-N1365,NA())</f>
        <v/>
      </c>
      <c r="P1365" s="17">
        <f>IF(NOT(ISNUMBER($A1365)),NA(),IF(OR($A1365&lt;MIN(KW_TP!$A$2:$A$2501),$A1365&gt;MAX(KW_TP!$A$2:$A$2501)),NA(),INDEX(KW_TP!$C$2:$C$2501,MATCH($A1365,KW_TP!$A$2:$A$2501,1))))</f>
        <v/>
      </c>
    </row>
    <row r="1366">
      <c r="A1366" s="15">
        <f>IF(ISNUMBER(BBG_Data!A1366),BBG_Data!A1366,"")</f>
        <v/>
      </c>
      <c r="B1366" s="16">
        <f>IF(AND(ISNUMBER($A1366),ISNUMBER(BBG_Data!B1366)),BBG_Data!B1366,NA())</f>
        <v/>
      </c>
      <c r="C1366" s="16">
        <f>IF(AND(ISNUMBER($A1366),ISNUMBER(BBG_Data!C1366)),BBG_Data!C1366,NA())</f>
        <v/>
      </c>
      <c r="D1366" s="17">
        <f>IF(AND(ISNUMBER($A1366),ISNUMBER(BBG_Data!D1366)),BBG_Data!D1366,NA())</f>
        <v/>
      </c>
      <c r="E1366" s="17">
        <f>IF(AND(ISNUMBER($A1366),ISNUMBER(BBG_Data!E1366)),BBG_Data!E1366,NA())</f>
        <v/>
      </c>
      <c r="F1366" s="18">
        <f>IF(AND(ISNUMBER(B1366),ISNUMBER(B1365)),(B1366-B1365)*100,"")</f>
        <v/>
      </c>
      <c r="G1366" s="18">
        <f>IF(AND(ISNUMBER(C1366),ISNUMBER(C1365)),(C1366-C1365)*100,"")</f>
        <v/>
      </c>
      <c r="H1366" s="18">
        <f>IF(OR(NOT(ISNUMBER($A1366)),ROW()-2&lt;Settings!$B$11),NA(),IF(COUNT(OFFSET(F1366,1-Settings!$B$11,0,Settings!$B$11,1))&lt;Settings!$B$11,NA(),STDEV(OFFSET(F1366,1-Settings!$B$11,0,Settings!$B$11,1))*SQRT(Settings!$B$13)))</f>
        <v/>
      </c>
      <c r="I1366" s="18">
        <f>IF(OR(NOT(ISNUMBER($A1366)),ROW()-2&lt;Settings!$B$12),NA(),IF(COUNT(OFFSET(F1366,1-Settings!$B$12,0,Settings!$B$12,1))&lt;Settings!$B$12,NA(),STDEV(OFFSET(F1366,1-Settings!$B$12,0,Settings!$B$12,1))*SQRT(Settings!$B$13)))</f>
        <v/>
      </c>
      <c r="J1366" s="18">
        <f>IF(OR(NOT(ISNUMBER($A1366)),ROW()-2&lt;Settings!$B$11),NA(),IF(COUNT(OFFSET(G1366,1-Settings!$B$11,0,Settings!$B$11,1))&lt;Settings!$B$11,NA(),STDEV(OFFSET(G1366,1-Settings!$B$11,0,Settings!$B$11,1))*SQRT(Settings!$B$13)))</f>
        <v/>
      </c>
      <c r="K1366" s="18">
        <f>IF(OR(NOT(ISNUMBER($A1366)),ROW()-2&lt;Settings!$B$12),NA(),IF(COUNT(OFFSET(G1366,1-Settings!$B$12,0,Settings!$B$12,1))&lt;Settings!$B$12,NA(),STDEV(OFFSET(G1366,1-Settings!$B$12,0,Settings!$B$12,1))*SQRT(Settings!$B$13)))</f>
        <v/>
      </c>
      <c r="L1366" s="18">
        <f>IF(AND(ISNUMBER(D1366),ISNUMBER(H1366)),D1366-H1366,NA())</f>
        <v/>
      </c>
      <c r="M1366" s="18">
        <f>IF(AND(ISNUMBER(E1366),ISNUMBER(K1366)),E1366-K1366,NA())</f>
        <v/>
      </c>
      <c r="N1366" s="18">
        <f>IF(NOT(ISNUMBER($A1366)),NA(),IF(COUNT(OFFSET(G1366,1,0,Settings!$B$12,1))&lt;Settings!$B$12,NA(),STDEV(OFFSET(G1366,1,0,Settings!$B$12,1))*SQRT(Settings!$B$13)))</f>
        <v/>
      </c>
      <c r="O1366" s="18">
        <f>IF(AND(ISNUMBER(E1366),ISNUMBER(N1366)),E1366-N1366,NA())</f>
        <v/>
      </c>
      <c r="P1366" s="17">
        <f>IF(NOT(ISNUMBER($A1366)),NA(),IF(OR($A1366&lt;MIN(KW_TP!$A$2:$A$2501),$A1366&gt;MAX(KW_TP!$A$2:$A$2501)),NA(),INDEX(KW_TP!$C$2:$C$2501,MATCH($A1366,KW_TP!$A$2:$A$2501,1))))</f>
        <v/>
      </c>
    </row>
    <row r="1367">
      <c r="A1367" s="15">
        <f>IF(ISNUMBER(BBG_Data!A1367),BBG_Data!A1367,"")</f>
        <v/>
      </c>
      <c r="B1367" s="16">
        <f>IF(AND(ISNUMBER($A1367),ISNUMBER(BBG_Data!B1367)),BBG_Data!B1367,NA())</f>
        <v/>
      </c>
      <c r="C1367" s="16">
        <f>IF(AND(ISNUMBER($A1367),ISNUMBER(BBG_Data!C1367)),BBG_Data!C1367,NA())</f>
        <v/>
      </c>
      <c r="D1367" s="17">
        <f>IF(AND(ISNUMBER($A1367),ISNUMBER(BBG_Data!D1367)),BBG_Data!D1367,NA())</f>
        <v/>
      </c>
      <c r="E1367" s="17">
        <f>IF(AND(ISNUMBER($A1367),ISNUMBER(BBG_Data!E1367)),BBG_Data!E1367,NA())</f>
        <v/>
      </c>
      <c r="F1367" s="18">
        <f>IF(AND(ISNUMBER(B1367),ISNUMBER(B1366)),(B1367-B1366)*100,"")</f>
        <v/>
      </c>
      <c r="G1367" s="18">
        <f>IF(AND(ISNUMBER(C1367),ISNUMBER(C1366)),(C1367-C1366)*100,"")</f>
        <v/>
      </c>
      <c r="H1367" s="18">
        <f>IF(OR(NOT(ISNUMBER($A1367)),ROW()-2&lt;Settings!$B$11),NA(),IF(COUNT(OFFSET(F1367,1-Settings!$B$11,0,Settings!$B$11,1))&lt;Settings!$B$11,NA(),STDEV(OFFSET(F1367,1-Settings!$B$11,0,Settings!$B$11,1))*SQRT(Settings!$B$13)))</f>
        <v/>
      </c>
      <c r="I1367" s="18">
        <f>IF(OR(NOT(ISNUMBER($A1367)),ROW()-2&lt;Settings!$B$12),NA(),IF(COUNT(OFFSET(F1367,1-Settings!$B$12,0,Settings!$B$12,1))&lt;Settings!$B$12,NA(),STDEV(OFFSET(F1367,1-Settings!$B$12,0,Settings!$B$12,1))*SQRT(Settings!$B$13)))</f>
        <v/>
      </c>
      <c r="J1367" s="18">
        <f>IF(OR(NOT(ISNUMBER($A1367)),ROW()-2&lt;Settings!$B$11),NA(),IF(COUNT(OFFSET(G1367,1-Settings!$B$11,0,Settings!$B$11,1))&lt;Settings!$B$11,NA(),STDEV(OFFSET(G1367,1-Settings!$B$11,0,Settings!$B$11,1))*SQRT(Settings!$B$13)))</f>
        <v/>
      </c>
      <c r="K1367" s="18">
        <f>IF(OR(NOT(ISNUMBER($A1367)),ROW()-2&lt;Settings!$B$12),NA(),IF(COUNT(OFFSET(G1367,1-Settings!$B$12,0,Settings!$B$12,1))&lt;Settings!$B$12,NA(),STDEV(OFFSET(G1367,1-Settings!$B$12,0,Settings!$B$12,1))*SQRT(Settings!$B$13)))</f>
        <v/>
      </c>
      <c r="L1367" s="18">
        <f>IF(AND(ISNUMBER(D1367),ISNUMBER(H1367)),D1367-H1367,NA())</f>
        <v/>
      </c>
      <c r="M1367" s="18">
        <f>IF(AND(ISNUMBER(E1367),ISNUMBER(K1367)),E1367-K1367,NA())</f>
        <v/>
      </c>
      <c r="N1367" s="18">
        <f>IF(NOT(ISNUMBER($A1367)),NA(),IF(COUNT(OFFSET(G1367,1,0,Settings!$B$12,1))&lt;Settings!$B$12,NA(),STDEV(OFFSET(G1367,1,0,Settings!$B$12,1))*SQRT(Settings!$B$13)))</f>
        <v/>
      </c>
      <c r="O1367" s="18">
        <f>IF(AND(ISNUMBER(E1367),ISNUMBER(N1367)),E1367-N1367,NA())</f>
        <v/>
      </c>
      <c r="P1367" s="17">
        <f>IF(NOT(ISNUMBER($A1367)),NA(),IF(OR($A1367&lt;MIN(KW_TP!$A$2:$A$2501),$A1367&gt;MAX(KW_TP!$A$2:$A$2501)),NA(),INDEX(KW_TP!$C$2:$C$2501,MATCH($A1367,KW_TP!$A$2:$A$2501,1))))</f>
        <v/>
      </c>
    </row>
    <row r="1368">
      <c r="A1368" s="15">
        <f>IF(ISNUMBER(BBG_Data!A1368),BBG_Data!A1368,"")</f>
        <v/>
      </c>
      <c r="B1368" s="16">
        <f>IF(AND(ISNUMBER($A1368),ISNUMBER(BBG_Data!B1368)),BBG_Data!B1368,NA())</f>
        <v/>
      </c>
      <c r="C1368" s="16">
        <f>IF(AND(ISNUMBER($A1368),ISNUMBER(BBG_Data!C1368)),BBG_Data!C1368,NA())</f>
        <v/>
      </c>
      <c r="D1368" s="17">
        <f>IF(AND(ISNUMBER($A1368),ISNUMBER(BBG_Data!D1368)),BBG_Data!D1368,NA())</f>
        <v/>
      </c>
      <c r="E1368" s="17">
        <f>IF(AND(ISNUMBER($A1368),ISNUMBER(BBG_Data!E1368)),BBG_Data!E1368,NA())</f>
        <v/>
      </c>
      <c r="F1368" s="18">
        <f>IF(AND(ISNUMBER(B1368),ISNUMBER(B1367)),(B1368-B1367)*100,"")</f>
        <v/>
      </c>
      <c r="G1368" s="18">
        <f>IF(AND(ISNUMBER(C1368),ISNUMBER(C1367)),(C1368-C1367)*100,"")</f>
        <v/>
      </c>
      <c r="H1368" s="18">
        <f>IF(OR(NOT(ISNUMBER($A1368)),ROW()-2&lt;Settings!$B$11),NA(),IF(COUNT(OFFSET(F1368,1-Settings!$B$11,0,Settings!$B$11,1))&lt;Settings!$B$11,NA(),STDEV(OFFSET(F1368,1-Settings!$B$11,0,Settings!$B$11,1))*SQRT(Settings!$B$13)))</f>
        <v/>
      </c>
      <c r="I1368" s="18">
        <f>IF(OR(NOT(ISNUMBER($A1368)),ROW()-2&lt;Settings!$B$12),NA(),IF(COUNT(OFFSET(F1368,1-Settings!$B$12,0,Settings!$B$12,1))&lt;Settings!$B$12,NA(),STDEV(OFFSET(F1368,1-Settings!$B$12,0,Settings!$B$12,1))*SQRT(Settings!$B$13)))</f>
        <v/>
      </c>
      <c r="J1368" s="18">
        <f>IF(OR(NOT(ISNUMBER($A1368)),ROW()-2&lt;Settings!$B$11),NA(),IF(COUNT(OFFSET(G1368,1-Settings!$B$11,0,Settings!$B$11,1))&lt;Settings!$B$11,NA(),STDEV(OFFSET(G1368,1-Settings!$B$11,0,Settings!$B$11,1))*SQRT(Settings!$B$13)))</f>
        <v/>
      </c>
      <c r="K1368" s="18">
        <f>IF(OR(NOT(ISNUMBER($A1368)),ROW()-2&lt;Settings!$B$12),NA(),IF(COUNT(OFFSET(G1368,1-Settings!$B$12,0,Settings!$B$12,1))&lt;Settings!$B$12,NA(),STDEV(OFFSET(G1368,1-Settings!$B$12,0,Settings!$B$12,1))*SQRT(Settings!$B$13)))</f>
        <v/>
      </c>
      <c r="L1368" s="18">
        <f>IF(AND(ISNUMBER(D1368),ISNUMBER(H1368)),D1368-H1368,NA())</f>
        <v/>
      </c>
      <c r="M1368" s="18">
        <f>IF(AND(ISNUMBER(E1368),ISNUMBER(K1368)),E1368-K1368,NA())</f>
        <v/>
      </c>
      <c r="N1368" s="18">
        <f>IF(NOT(ISNUMBER($A1368)),NA(),IF(COUNT(OFFSET(G1368,1,0,Settings!$B$12,1))&lt;Settings!$B$12,NA(),STDEV(OFFSET(G1368,1,0,Settings!$B$12,1))*SQRT(Settings!$B$13)))</f>
        <v/>
      </c>
      <c r="O1368" s="18">
        <f>IF(AND(ISNUMBER(E1368),ISNUMBER(N1368)),E1368-N1368,NA())</f>
        <v/>
      </c>
      <c r="P1368" s="17">
        <f>IF(NOT(ISNUMBER($A1368)),NA(),IF(OR($A1368&lt;MIN(KW_TP!$A$2:$A$2501),$A1368&gt;MAX(KW_TP!$A$2:$A$2501)),NA(),INDEX(KW_TP!$C$2:$C$2501,MATCH($A1368,KW_TP!$A$2:$A$2501,1))))</f>
        <v/>
      </c>
    </row>
    <row r="1369">
      <c r="A1369" s="15">
        <f>IF(ISNUMBER(BBG_Data!A1369),BBG_Data!A1369,"")</f>
        <v/>
      </c>
      <c r="B1369" s="16">
        <f>IF(AND(ISNUMBER($A1369),ISNUMBER(BBG_Data!B1369)),BBG_Data!B1369,NA())</f>
        <v/>
      </c>
      <c r="C1369" s="16">
        <f>IF(AND(ISNUMBER($A1369),ISNUMBER(BBG_Data!C1369)),BBG_Data!C1369,NA())</f>
        <v/>
      </c>
      <c r="D1369" s="17">
        <f>IF(AND(ISNUMBER($A1369),ISNUMBER(BBG_Data!D1369)),BBG_Data!D1369,NA())</f>
        <v/>
      </c>
      <c r="E1369" s="17">
        <f>IF(AND(ISNUMBER($A1369),ISNUMBER(BBG_Data!E1369)),BBG_Data!E1369,NA())</f>
        <v/>
      </c>
      <c r="F1369" s="18">
        <f>IF(AND(ISNUMBER(B1369),ISNUMBER(B1368)),(B1369-B1368)*100,"")</f>
        <v/>
      </c>
      <c r="G1369" s="18">
        <f>IF(AND(ISNUMBER(C1369),ISNUMBER(C1368)),(C1369-C1368)*100,"")</f>
        <v/>
      </c>
      <c r="H1369" s="18">
        <f>IF(OR(NOT(ISNUMBER($A1369)),ROW()-2&lt;Settings!$B$11),NA(),IF(COUNT(OFFSET(F1369,1-Settings!$B$11,0,Settings!$B$11,1))&lt;Settings!$B$11,NA(),STDEV(OFFSET(F1369,1-Settings!$B$11,0,Settings!$B$11,1))*SQRT(Settings!$B$13)))</f>
        <v/>
      </c>
      <c r="I1369" s="18">
        <f>IF(OR(NOT(ISNUMBER($A1369)),ROW()-2&lt;Settings!$B$12),NA(),IF(COUNT(OFFSET(F1369,1-Settings!$B$12,0,Settings!$B$12,1))&lt;Settings!$B$12,NA(),STDEV(OFFSET(F1369,1-Settings!$B$12,0,Settings!$B$12,1))*SQRT(Settings!$B$13)))</f>
        <v/>
      </c>
      <c r="J1369" s="18">
        <f>IF(OR(NOT(ISNUMBER($A1369)),ROW()-2&lt;Settings!$B$11),NA(),IF(COUNT(OFFSET(G1369,1-Settings!$B$11,0,Settings!$B$11,1))&lt;Settings!$B$11,NA(),STDEV(OFFSET(G1369,1-Settings!$B$11,0,Settings!$B$11,1))*SQRT(Settings!$B$13)))</f>
        <v/>
      </c>
      <c r="K1369" s="18">
        <f>IF(OR(NOT(ISNUMBER($A1369)),ROW()-2&lt;Settings!$B$12),NA(),IF(COUNT(OFFSET(G1369,1-Settings!$B$12,0,Settings!$B$12,1))&lt;Settings!$B$12,NA(),STDEV(OFFSET(G1369,1-Settings!$B$12,0,Settings!$B$12,1))*SQRT(Settings!$B$13)))</f>
        <v/>
      </c>
      <c r="L1369" s="18">
        <f>IF(AND(ISNUMBER(D1369),ISNUMBER(H1369)),D1369-H1369,NA())</f>
        <v/>
      </c>
      <c r="M1369" s="18">
        <f>IF(AND(ISNUMBER(E1369),ISNUMBER(K1369)),E1369-K1369,NA())</f>
        <v/>
      </c>
      <c r="N1369" s="18">
        <f>IF(NOT(ISNUMBER($A1369)),NA(),IF(COUNT(OFFSET(G1369,1,0,Settings!$B$12,1))&lt;Settings!$B$12,NA(),STDEV(OFFSET(G1369,1,0,Settings!$B$12,1))*SQRT(Settings!$B$13)))</f>
        <v/>
      </c>
      <c r="O1369" s="18">
        <f>IF(AND(ISNUMBER(E1369),ISNUMBER(N1369)),E1369-N1369,NA())</f>
        <v/>
      </c>
      <c r="P1369" s="17">
        <f>IF(NOT(ISNUMBER($A1369)),NA(),IF(OR($A1369&lt;MIN(KW_TP!$A$2:$A$2501),$A1369&gt;MAX(KW_TP!$A$2:$A$2501)),NA(),INDEX(KW_TP!$C$2:$C$2501,MATCH($A1369,KW_TP!$A$2:$A$2501,1))))</f>
        <v/>
      </c>
    </row>
    <row r="1370">
      <c r="A1370" s="15">
        <f>IF(ISNUMBER(BBG_Data!A1370),BBG_Data!A1370,"")</f>
        <v/>
      </c>
      <c r="B1370" s="16">
        <f>IF(AND(ISNUMBER($A1370),ISNUMBER(BBG_Data!B1370)),BBG_Data!B1370,NA())</f>
        <v/>
      </c>
      <c r="C1370" s="16">
        <f>IF(AND(ISNUMBER($A1370),ISNUMBER(BBG_Data!C1370)),BBG_Data!C1370,NA())</f>
        <v/>
      </c>
      <c r="D1370" s="17">
        <f>IF(AND(ISNUMBER($A1370),ISNUMBER(BBG_Data!D1370)),BBG_Data!D1370,NA())</f>
        <v/>
      </c>
      <c r="E1370" s="17">
        <f>IF(AND(ISNUMBER($A1370),ISNUMBER(BBG_Data!E1370)),BBG_Data!E1370,NA())</f>
        <v/>
      </c>
      <c r="F1370" s="18">
        <f>IF(AND(ISNUMBER(B1370),ISNUMBER(B1369)),(B1370-B1369)*100,"")</f>
        <v/>
      </c>
      <c r="G1370" s="18">
        <f>IF(AND(ISNUMBER(C1370),ISNUMBER(C1369)),(C1370-C1369)*100,"")</f>
        <v/>
      </c>
      <c r="H1370" s="18">
        <f>IF(OR(NOT(ISNUMBER($A1370)),ROW()-2&lt;Settings!$B$11),NA(),IF(COUNT(OFFSET(F1370,1-Settings!$B$11,0,Settings!$B$11,1))&lt;Settings!$B$11,NA(),STDEV(OFFSET(F1370,1-Settings!$B$11,0,Settings!$B$11,1))*SQRT(Settings!$B$13)))</f>
        <v/>
      </c>
      <c r="I1370" s="18">
        <f>IF(OR(NOT(ISNUMBER($A1370)),ROW()-2&lt;Settings!$B$12),NA(),IF(COUNT(OFFSET(F1370,1-Settings!$B$12,0,Settings!$B$12,1))&lt;Settings!$B$12,NA(),STDEV(OFFSET(F1370,1-Settings!$B$12,0,Settings!$B$12,1))*SQRT(Settings!$B$13)))</f>
        <v/>
      </c>
      <c r="J1370" s="18">
        <f>IF(OR(NOT(ISNUMBER($A1370)),ROW()-2&lt;Settings!$B$11),NA(),IF(COUNT(OFFSET(G1370,1-Settings!$B$11,0,Settings!$B$11,1))&lt;Settings!$B$11,NA(),STDEV(OFFSET(G1370,1-Settings!$B$11,0,Settings!$B$11,1))*SQRT(Settings!$B$13)))</f>
        <v/>
      </c>
      <c r="K1370" s="18">
        <f>IF(OR(NOT(ISNUMBER($A1370)),ROW()-2&lt;Settings!$B$12),NA(),IF(COUNT(OFFSET(G1370,1-Settings!$B$12,0,Settings!$B$12,1))&lt;Settings!$B$12,NA(),STDEV(OFFSET(G1370,1-Settings!$B$12,0,Settings!$B$12,1))*SQRT(Settings!$B$13)))</f>
        <v/>
      </c>
      <c r="L1370" s="18">
        <f>IF(AND(ISNUMBER(D1370),ISNUMBER(H1370)),D1370-H1370,NA())</f>
        <v/>
      </c>
      <c r="M1370" s="18">
        <f>IF(AND(ISNUMBER(E1370),ISNUMBER(K1370)),E1370-K1370,NA())</f>
        <v/>
      </c>
      <c r="N1370" s="18">
        <f>IF(NOT(ISNUMBER($A1370)),NA(),IF(COUNT(OFFSET(G1370,1,0,Settings!$B$12,1))&lt;Settings!$B$12,NA(),STDEV(OFFSET(G1370,1,0,Settings!$B$12,1))*SQRT(Settings!$B$13)))</f>
        <v/>
      </c>
      <c r="O1370" s="18">
        <f>IF(AND(ISNUMBER(E1370),ISNUMBER(N1370)),E1370-N1370,NA())</f>
        <v/>
      </c>
      <c r="P1370" s="17">
        <f>IF(NOT(ISNUMBER($A1370)),NA(),IF(OR($A1370&lt;MIN(KW_TP!$A$2:$A$2501),$A1370&gt;MAX(KW_TP!$A$2:$A$2501)),NA(),INDEX(KW_TP!$C$2:$C$2501,MATCH($A1370,KW_TP!$A$2:$A$2501,1))))</f>
        <v/>
      </c>
    </row>
    <row r="1371">
      <c r="A1371" s="15">
        <f>IF(ISNUMBER(BBG_Data!A1371),BBG_Data!A1371,"")</f>
        <v/>
      </c>
      <c r="B1371" s="16">
        <f>IF(AND(ISNUMBER($A1371),ISNUMBER(BBG_Data!B1371)),BBG_Data!B1371,NA())</f>
        <v/>
      </c>
      <c r="C1371" s="16">
        <f>IF(AND(ISNUMBER($A1371),ISNUMBER(BBG_Data!C1371)),BBG_Data!C1371,NA())</f>
        <v/>
      </c>
      <c r="D1371" s="17">
        <f>IF(AND(ISNUMBER($A1371),ISNUMBER(BBG_Data!D1371)),BBG_Data!D1371,NA())</f>
        <v/>
      </c>
      <c r="E1371" s="17">
        <f>IF(AND(ISNUMBER($A1371),ISNUMBER(BBG_Data!E1371)),BBG_Data!E1371,NA())</f>
        <v/>
      </c>
      <c r="F1371" s="18">
        <f>IF(AND(ISNUMBER(B1371),ISNUMBER(B1370)),(B1371-B1370)*100,"")</f>
        <v/>
      </c>
      <c r="G1371" s="18">
        <f>IF(AND(ISNUMBER(C1371),ISNUMBER(C1370)),(C1371-C1370)*100,"")</f>
        <v/>
      </c>
      <c r="H1371" s="18">
        <f>IF(OR(NOT(ISNUMBER($A1371)),ROW()-2&lt;Settings!$B$11),NA(),IF(COUNT(OFFSET(F1371,1-Settings!$B$11,0,Settings!$B$11,1))&lt;Settings!$B$11,NA(),STDEV(OFFSET(F1371,1-Settings!$B$11,0,Settings!$B$11,1))*SQRT(Settings!$B$13)))</f>
        <v/>
      </c>
      <c r="I1371" s="18">
        <f>IF(OR(NOT(ISNUMBER($A1371)),ROW()-2&lt;Settings!$B$12),NA(),IF(COUNT(OFFSET(F1371,1-Settings!$B$12,0,Settings!$B$12,1))&lt;Settings!$B$12,NA(),STDEV(OFFSET(F1371,1-Settings!$B$12,0,Settings!$B$12,1))*SQRT(Settings!$B$13)))</f>
        <v/>
      </c>
      <c r="J1371" s="18">
        <f>IF(OR(NOT(ISNUMBER($A1371)),ROW()-2&lt;Settings!$B$11),NA(),IF(COUNT(OFFSET(G1371,1-Settings!$B$11,0,Settings!$B$11,1))&lt;Settings!$B$11,NA(),STDEV(OFFSET(G1371,1-Settings!$B$11,0,Settings!$B$11,1))*SQRT(Settings!$B$13)))</f>
        <v/>
      </c>
      <c r="K1371" s="18">
        <f>IF(OR(NOT(ISNUMBER($A1371)),ROW()-2&lt;Settings!$B$12),NA(),IF(COUNT(OFFSET(G1371,1-Settings!$B$12,0,Settings!$B$12,1))&lt;Settings!$B$12,NA(),STDEV(OFFSET(G1371,1-Settings!$B$12,0,Settings!$B$12,1))*SQRT(Settings!$B$13)))</f>
        <v/>
      </c>
      <c r="L1371" s="18">
        <f>IF(AND(ISNUMBER(D1371),ISNUMBER(H1371)),D1371-H1371,NA())</f>
        <v/>
      </c>
      <c r="M1371" s="18">
        <f>IF(AND(ISNUMBER(E1371),ISNUMBER(K1371)),E1371-K1371,NA())</f>
        <v/>
      </c>
      <c r="N1371" s="18">
        <f>IF(NOT(ISNUMBER($A1371)),NA(),IF(COUNT(OFFSET(G1371,1,0,Settings!$B$12,1))&lt;Settings!$B$12,NA(),STDEV(OFFSET(G1371,1,0,Settings!$B$12,1))*SQRT(Settings!$B$13)))</f>
        <v/>
      </c>
      <c r="O1371" s="18">
        <f>IF(AND(ISNUMBER(E1371),ISNUMBER(N1371)),E1371-N1371,NA())</f>
        <v/>
      </c>
      <c r="P1371" s="17">
        <f>IF(NOT(ISNUMBER($A1371)),NA(),IF(OR($A1371&lt;MIN(KW_TP!$A$2:$A$2501),$A1371&gt;MAX(KW_TP!$A$2:$A$2501)),NA(),INDEX(KW_TP!$C$2:$C$2501,MATCH($A1371,KW_TP!$A$2:$A$2501,1))))</f>
        <v/>
      </c>
    </row>
    <row r="1372">
      <c r="A1372" s="15">
        <f>IF(ISNUMBER(BBG_Data!A1372),BBG_Data!A1372,"")</f>
        <v/>
      </c>
      <c r="B1372" s="16">
        <f>IF(AND(ISNUMBER($A1372),ISNUMBER(BBG_Data!B1372)),BBG_Data!B1372,NA())</f>
        <v/>
      </c>
      <c r="C1372" s="16">
        <f>IF(AND(ISNUMBER($A1372),ISNUMBER(BBG_Data!C1372)),BBG_Data!C1372,NA())</f>
        <v/>
      </c>
      <c r="D1372" s="17">
        <f>IF(AND(ISNUMBER($A1372),ISNUMBER(BBG_Data!D1372)),BBG_Data!D1372,NA())</f>
        <v/>
      </c>
      <c r="E1372" s="17">
        <f>IF(AND(ISNUMBER($A1372),ISNUMBER(BBG_Data!E1372)),BBG_Data!E1372,NA())</f>
        <v/>
      </c>
      <c r="F1372" s="18">
        <f>IF(AND(ISNUMBER(B1372),ISNUMBER(B1371)),(B1372-B1371)*100,"")</f>
        <v/>
      </c>
      <c r="G1372" s="18">
        <f>IF(AND(ISNUMBER(C1372),ISNUMBER(C1371)),(C1372-C1371)*100,"")</f>
        <v/>
      </c>
      <c r="H1372" s="18">
        <f>IF(OR(NOT(ISNUMBER($A1372)),ROW()-2&lt;Settings!$B$11),NA(),IF(COUNT(OFFSET(F1372,1-Settings!$B$11,0,Settings!$B$11,1))&lt;Settings!$B$11,NA(),STDEV(OFFSET(F1372,1-Settings!$B$11,0,Settings!$B$11,1))*SQRT(Settings!$B$13)))</f>
        <v/>
      </c>
      <c r="I1372" s="18">
        <f>IF(OR(NOT(ISNUMBER($A1372)),ROW()-2&lt;Settings!$B$12),NA(),IF(COUNT(OFFSET(F1372,1-Settings!$B$12,0,Settings!$B$12,1))&lt;Settings!$B$12,NA(),STDEV(OFFSET(F1372,1-Settings!$B$12,0,Settings!$B$12,1))*SQRT(Settings!$B$13)))</f>
        <v/>
      </c>
      <c r="J1372" s="18">
        <f>IF(OR(NOT(ISNUMBER($A1372)),ROW()-2&lt;Settings!$B$11),NA(),IF(COUNT(OFFSET(G1372,1-Settings!$B$11,0,Settings!$B$11,1))&lt;Settings!$B$11,NA(),STDEV(OFFSET(G1372,1-Settings!$B$11,0,Settings!$B$11,1))*SQRT(Settings!$B$13)))</f>
        <v/>
      </c>
      <c r="K1372" s="18">
        <f>IF(OR(NOT(ISNUMBER($A1372)),ROW()-2&lt;Settings!$B$12),NA(),IF(COUNT(OFFSET(G1372,1-Settings!$B$12,0,Settings!$B$12,1))&lt;Settings!$B$12,NA(),STDEV(OFFSET(G1372,1-Settings!$B$12,0,Settings!$B$12,1))*SQRT(Settings!$B$13)))</f>
        <v/>
      </c>
      <c r="L1372" s="18">
        <f>IF(AND(ISNUMBER(D1372),ISNUMBER(H1372)),D1372-H1372,NA())</f>
        <v/>
      </c>
      <c r="M1372" s="18">
        <f>IF(AND(ISNUMBER(E1372),ISNUMBER(K1372)),E1372-K1372,NA())</f>
        <v/>
      </c>
      <c r="N1372" s="18">
        <f>IF(NOT(ISNUMBER($A1372)),NA(),IF(COUNT(OFFSET(G1372,1,0,Settings!$B$12,1))&lt;Settings!$B$12,NA(),STDEV(OFFSET(G1372,1,0,Settings!$B$12,1))*SQRT(Settings!$B$13)))</f>
        <v/>
      </c>
      <c r="O1372" s="18">
        <f>IF(AND(ISNUMBER(E1372),ISNUMBER(N1372)),E1372-N1372,NA())</f>
        <v/>
      </c>
      <c r="P1372" s="17">
        <f>IF(NOT(ISNUMBER($A1372)),NA(),IF(OR($A1372&lt;MIN(KW_TP!$A$2:$A$2501),$A1372&gt;MAX(KW_TP!$A$2:$A$2501)),NA(),INDEX(KW_TP!$C$2:$C$2501,MATCH($A1372,KW_TP!$A$2:$A$2501,1))))</f>
        <v/>
      </c>
    </row>
    <row r="1373">
      <c r="A1373" s="15">
        <f>IF(ISNUMBER(BBG_Data!A1373),BBG_Data!A1373,"")</f>
        <v/>
      </c>
      <c r="B1373" s="16">
        <f>IF(AND(ISNUMBER($A1373),ISNUMBER(BBG_Data!B1373)),BBG_Data!B1373,NA())</f>
        <v/>
      </c>
      <c r="C1373" s="16">
        <f>IF(AND(ISNUMBER($A1373),ISNUMBER(BBG_Data!C1373)),BBG_Data!C1373,NA())</f>
        <v/>
      </c>
      <c r="D1373" s="17">
        <f>IF(AND(ISNUMBER($A1373),ISNUMBER(BBG_Data!D1373)),BBG_Data!D1373,NA())</f>
        <v/>
      </c>
      <c r="E1373" s="17">
        <f>IF(AND(ISNUMBER($A1373),ISNUMBER(BBG_Data!E1373)),BBG_Data!E1373,NA())</f>
        <v/>
      </c>
      <c r="F1373" s="18">
        <f>IF(AND(ISNUMBER(B1373),ISNUMBER(B1372)),(B1373-B1372)*100,"")</f>
        <v/>
      </c>
      <c r="G1373" s="18">
        <f>IF(AND(ISNUMBER(C1373),ISNUMBER(C1372)),(C1373-C1372)*100,"")</f>
        <v/>
      </c>
      <c r="H1373" s="18">
        <f>IF(OR(NOT(ISNUMBER($A1373)),ROW()-2&lt;Settings!$B$11),NA(),IF(COUNT(OFFSET(F1373,1-Settings!$B$11,0,Settings!$B$11,1))&lt;Settings!$B$11,NA(),STDEV(OFFSET(F1373,1-Settings!$B$11,0,Settings!$B$11,1))*SQRT(Settings!$B$13)))</f>
        <v/>
      </c>
      <c r="I1373" s="18">
        <f>IF(OR(NOT(ISNUMBER($A1373)),ROW()-2&lt;Settings!$B$12),NA(),IF(COUNT(OFFSET(F1373,1-Settings!$B$12,0,Settings!$B$12,1))&lt;Settings!$B$12,NA(),STDEV(OFFSET(F1373,1-Settings!$B$12,0,Settings!$B$12,1))*SQRT(Settings!$B$13)))</f>
        <v/>
      </c>
      <c r="J1373" s="18">
        <f>IF(OR(NOT(ISNUMBER($A1373)),ROW()-2&lt;Settings!$B$11),NA(),IF(COUNT(OFFSET(G1373,1-Settings!$B$11,0,Settings!$B$11,1))&lt;Settings!$B$11,NA(),STDEV(OFFSET(G1373,1-Settings!$B$11,0,Settings!$B$11,1))*SQRT(Settings!$B$13)))</f>
        <v/>
      </c>
      <c r="K1373" s="18">
        <f>IF(OR(NOT(ISNUMBER($A1373)),ROW()-2&lt;Settings!$B$12),NA(),IF(COUNT(OFFSET(G1373,1-Settings!$B$12,0,Settings!$B$12,1))&lt;Settings!$B$12,NA(),STDEV(OFFSET(G1373,1-Settings!$B$12,0,Settings!$B$12,1))*SQRT(Settings!$B$13)))</f>
        <v/>
      </c>
      <c r="L1373" s="18">
        <f>IF(AND(ISNUMBER(D1373),ISNUMBER(H1373)),D1373-H1373,NA())</f>
        <v/>
      </c>
      <c r="M1373" s="18">
        <f>IF(AND(ISNUMBER(E1373),ISNUMBER(K1373)),E1373-K1373,NA())</f>
        <v/>
      </c>
      <c r="N1373" s="18">
        <f>IF(NOT(ISNUMBER($A1373)),NA(),IF(COUNT(OFFSET(G1373,1,0,Settings!$B$12,1))&lt;Settings!$B$12,NA(),STDEV(OFFSET(G1373,1,0,Settings!$B$12,1))*SQRT(Settings!$B$13)))</f>
        <v/>
      </c>
      <c r="O1373" s="18">
        <f>IF(AND(ISNUMBER(E1373),ISNUMBER(N1373)),E1373-N1373,NA())</f>
        <v/>
      </c>
      <c r="P1373" s="17">
        <f>IF(NOT(ISNUMBER($A1373)),NA(),IF(OR($A1373&lt;MIN(KW_TP!$A$2:$A$2501),$A1373&gt;MAX(KW_TP!$A$2:$A$2501)),NA(),INDEX(KW_TP!$C$2:$C$2501,MATCH($A1373,KW_TP!$A$2:$A$2501,1))))</f>
        <v/>
      </c>
    </row>
    <row r="1374">
      <c r="A1374" s="15">
        <f>IF(ISNUMBER(BBG_Data!A1374),BBG_Data!A1374,"")</f>
        <v/>
      </c>
      <c r="B1374" s="16">
        <f>IF(AND(ISNUMBER($A1374),ISNUMBER(BBG_Data!B1374)),BBG_Data!B1374,NA())</f>
        <v/>
      </c>
      <c r="C1374" s="16">
        <f>IF(AND(ISNUMBER($A1374),ISNUMBER(BBG_Data!C1374)),BBG_Data!C1374,NA())</f>
        <v/>
      </c>
      <c r="D1374" s="17">
        <f>IF(AND(ISNUMBER($A1374),ISNUMBER(BBG_Data!D1374)),BBG_Data!D1374,NA())</f>
        <v/>
      </c>
      <c r="E1374" s="17">
        <f>IF(AND(ISNUMBER($A1374),ISNUMBER(BBG_Data!E1374)),BBG_Data!E1374,NA())</f>
        <v/>
      </c>
      <c r="F1374" s="18">
        <f>IF(AND(ISNUMBER(B1374),ISNUMBER(B1373)),(B1374-B1373)*100,"")</f>
        <v/>
      </c>
      <c r="G1374" s="18">
        <f>IF(AND(ISNUMBER(C1374),ISNUMBER(C1373)),(C1374-C1373)*100,"")</f>
        <v/>
      </c>
      <c r="H1374" s="18">
        <f>IF(OR(NOT(ISNUMBER($A1374)),ROW()-2&lt;Settings!$B$11),NA(),IF(COUNT(OFFSET(F1374,1-Settings!$B$11,0,Settings!$B$11,1))&lt;Settings!$B$11,NA(),STDEV(OFFSET(F1374,1-Settings!$B$11,0,Settings!$B$11,1))*SQRT(Settings!$B$13)))</f>
        <v/>
      </c>
      <c r="I1374" s="18">
        <f>IF(OR(NOT(ISNUMBER($A1374)),ROW()-2&lt;Settings!$B$12),NA(),IF(COUNT(OFFSET(F1374,1-Settings!$B$12,0,Settings!$B$12,1))&lt;Settings!$B$12,NA(),STDEV(OFFSET(F1374,1-Settings!$B$12,0,Settings!$B$12,1))*SQRT(Settings!$B$13)))</f>
        <v/>
      </c>
      <c r="J1374" s="18">
        <f>IF(OR(NOT(ISNUMBER($A1374)),ROW()-2&lt;Settings!$B$11),NA(),IF(COUNT(OFFSET(G1374,1-Settings!$B$11,0,Settings!$B$11,1))&lt;Settings!$B$11,NA(),STDEV(OFFSET(G1374,1-Settings!$B$11,0,Settings!$B$11,1))*SQRT(Settings!$B$13)))</f>
        <v/>
      </c>
      <c r="K1374" s="18">
        <f>IF(OR(NOT(ISNUMBER($A1374)),ROW()-2&lt;Settings!$B$12),NA(),IF(COUNT(OFFSET(G1374,1-Settings!$B$12,0,Settings!$B$12,1))&lt;Settings!$B$12,NA(),STDEV(OFFSET(G1374,1-Settings!$B$12,0,Settings!$B$12,1))*SQRT(Settings!$B$13)))</f>
        <v/>
      </c>
      <c r="L1374" s="18">
        <f>IF(AND(ISNUMBER(D1374),ISNUMBER(H1374)),D1374-H1374,NA())</f>
        <v/>
      </c>
      <c r="M1374" s="18">
        <f>IF(AND(ISNUMBER(E1374),ISNUMBER(K1374)),E1374-K1374,NA())</f>
        <v/>
      </c>
      <c r="N1374" s="18">
        <f>IF(NOT(ISNUMBER($A1374)),NA(),IF(COUNT(OFFSET(G1374,1,0,Settings!$B$12,1))&lt;Settings!$B$12,NA(),STDEV(OFFSET(G1374,1,0,Settings!$B$12,1))*SQRT(Settings!$B$13)))</f>
        <v/>
      </c>
      <c r="O1374" s="18">
        <f>IF(AND(ISNUMBER(E1374),ISNUMBER(N1374)),E1374-N1374,NA())</f>
        <v/>
      </c>
      <c r="P1374" s="17">
        <f>IF(NOT(ISNUMBER($A1374)),NA(),IF(OR($A1374&lt;MIN(KW_TP!$A$2:$A$2501),$A1374&gt;MAX(KW_TP!$A$2:$A$2501)),NA(),INDEX(KW_TP!$C$2:$C$2501,MATCH($A1374,KW_TP!$A$2:$A$2501,1))))</f>
        <v/>
      </c>
    </row>
    <row r="1375">
      <c r="A1375" s="15">
        <f>IF(ISNUMBER(BBG_Data!A1375),BBG_Data!A1375,"")</f>
        <v/>
      </c>
      <c r="B1375" s="16">
        <f>IF(AND(ISNUMBER($A1375),ISNUMBER(BBG_Data!B1375)),BBG_Data!B1375,NA())</f>
        <v/>
      </c>
      <c r="C1375" s="16">
        <f>IF(AND(ISNUMBER($A1375),ISNUMBER(BBG_Data!C1375)),BBG_Data!C1375,NA())</f>
        <v/>
      </c>
      <c r="D1375" s="17">
        <f>IF(AND(ISNUMBER($A1375),ISNUMBER(BBG_Data!D1375)),BBG_Data!D1375,NA())</f>
        <v/>
      </c>
      <c r="E1375" s="17">
        <f>IF(AND(ISNUMBER($A1375),ISNUMBER(BBG_Data!E1375)),BBG_Data!E1375,NA())</f>
        <v/>
      </c>
      <c r="F1375" s="18">
        <f>IF(AND(ISNUMBER(B1375),ISNUMBER(B1374)),(B1375-B1374)*100,"")</f>
        <v/>
      </c>
      <c r="G1375" s="18">
        <f>IF(AND(ISNUMBER(C1375),ISNUMBER(C1374)),(C1375-C1374)*100,"")</f>
        <v/>
      </c>
      <c r="H1375" s="18">
        <f>IF(OR(NOT(ISNUMBER($A1375)),ROW()-2&lt;Settings!$B$11),NA(),IF(COUNT(OFFSET(F1375,1-Settings!$B$11,0,Settings!$B$11,1))&lt;Settings!$B$11,NA(),STDEV(OFFSET(F1375,1-Settings!$B$11,0,Settings!$B$11,1))*SQRT(Settings!$B$13)))</f>
        <v/>
      </c>
      <c r="I1375" s="18">
        <f>IF(OR(NOT(ISNUMBER($A1375)),ROW()-2&lt;Settings!$B$12),NA(),IF(COUNT(OFFSET(F1375,1-Settings!$B$12,0,Settings!$B$12,1))&lt;Settings!$B$12,NA(),STDEV(OFFSET(F1375,1-Settings!$B$12,0,Settings!$B$12,1))*SQRT(Settings!$B$13)))</f>
        <v/>
      </c>
      <c r="J1375" s="18">
        <f>IF(OR(NOT(ISNUMBER($A1375)),ROW()-2&lt;Settings!$B$11),NA(),IF(COUNT(OFFSET(G1375,1-Settings!$B$11,0,Settings!$B$11,1))&lt;Settings!$B$11,NA(),STDEV(OFFSET(G1375,1-Settings!$B$11,0,Settings!$B$11,1))*SQRT(Settings!$B$13)))</f>
        <v/>
      </c>
      <c r="K1375" s="18">
        <f>IF(OR(NOT(ISNUMBER($A1375)),ROW()-2&lt;Settings!$B$12),NA(),IF(COUNT(OFFSET(G1375,1-Settings!$B$12,0,Settings!$B$12,1))&lt;Settings!$B$12,NA(),STDEV(OFFSET(G1375,1-Settings!$B$12,0,Settings!$B$12,1))*SQRT(Settings!$B$13)))</f>
        <v/>
      </c>
      <c r="L1375" s="18">
        <f>IF(AND(ISNUMBER(D1375),ISNUMBER(H1375)),D1375-H1375,NA())</f>
        <v/>
      </c>
      <c r="M1375" s="18">
        <f>IF(AND(ISNUMBER(E1375),ISNUMBER(K1375)),E1375-K1375,NA())</f>
        <v/>
      </c>
      <c r="N1375" s="18">
        <f>IF(NOT(ISNUMBER($A1375)),NA(),IF(COUNT(OFFSET(G1375,1,0,Settings!$B$12,1))&lt;Settings!$B$12,NA(),STDEV(OFFSET(G1375,1,0,Settings!$B$12,1))*SQRT(Settings!$B$13)))</f>
        <v/>
      </c>
      <c r="O1375" s="18">
        <f>IF(AND(ISNUMBER(E1375),ISNUMBER(N1375)),E1375-N1375,NA())</f>
        <v/>
      </c>
      <c r="P1375" s="17">
        <f>IF(NOT(ISNUMBER($A1375)),NA(),IF(OR($A1375&lt;MIN(KW_TP!$A$2:$A$2501),$A1375&gt;MAX(KW_TP!$A$2:$A$2501)),NA(),INDEX(KW_TP!$C$2:$C$2501,MATCH($A1375,KW_TP!$A$2:$A$2501,1))))</f>
        <v/>
      </c>
    </row>
    <row r="1376">
      <c r="A1376" s="15">
        <f>IF(ISNUMBER(BBG_Data!A1376),BBG_Data!A1376,"")</f>
        <v/>
      </c>
      <c r="B1376" s="16">
        <f>IF(AND(ISNUMBER($A1376),ISNUMBER(BBG_Data!B1376)),BBG_Data!B1376,NA())</f>
        <v/>
      </c>
      <c r="C1376" s="16">
        <f>IF(AND(ISNUMBER($A1376),ISNUMBER(BBG_Data!C1376)),BBG_Data!C1376,NA())</f>
        <v/>
      </c>
      <c r="D1376" s="17">
        <f>IF(AND(ISNUMBER($A1376),ISNUMBER(BBG_Data!D1376)),BBG_Data!D1376,NA())</f>
        <v/>
      </c>
      <c r="E1376" s="17">
        <f>IF(AND(ISNUMBER($A1376),ISNUMBER(BBG_Data!E1376)),BBG_Data!E1376,NA())</f>
        <v/>
      </c>
      <c r="F1376" s="18">
        <f>IF(AND(ISNUMBER(B1376),ISNUMBER(B1375)),(B1376-B1375)*100,"")</f>
        <v/>
      </c>
      <c r="G1376" s="18">
        <f>IF(AND(ISNUMBER(C1376),ISNUMBER(C1375)),(C1376-C1375)*100,"")</f>
        <v/>
      </c>
      <c r="H1376" s="18">
        <f>IF(OR(NOT(ISNUMBER($A1376)),ROW()-2&lt;Settings!$B$11),NA(),IF(COUNT(OFFSET(F1376,1-Settings!$B$11,0,Settings!$B$11,1))&lt;Settings!$B$11,NA(),STDEV(OFFSET(F1376,1-Settings!$B$11,0,Settings!$B$11,1))*SQRT(Settings!$B$13)))</f>
        <v/>
      </c>
      <c r="I1376" s="18">
        <f>IF(OR(NOT(ISNUMBER($A1376)),ROW()-2&lt;Settings!$B$12),NA(),IF(COUNT(OFFSET(F1376,1-Settings!$B$12,0,Settings!$B$12,1))&lt;Settings!$B$12,NA(),STDEV(OFFSET(F1376,1-Settings!$B$12,0,Settings!$B$12,1))*SQRT(Settings!$B$13)))</f>
        <v/>
      </c>
      <c r="J1376" s="18">
        <f>IF(OR(NOT(ISNUMBER($A1376)),ROW()-2&lt;Settings!$B$11),NA(),IF(COUNT(OFFSET(G1376,1-Settings!$B$11,0,Settings!$B$11,1))&lt;Settings!$B$11,NA(),STDEV(OFFSET(G1376,1-Settings!$B$11,0,Settings!$B$11,1))*SQRT(Settings!$B$13)))</f>
        <v/>
      </c>
      <c r="K1376" s="18">
        <f>IF(OR(NOT(ISNUMBER($A1376)),ROW()-2&lt;Settings!$B$12),NA(),IF(COUNT(OFFSET(G1376,1-Settings!$B$12,0,Settings!$B$12,1))&lt;Settings!$B$12,NA(),STDEV(OFFSET(G1376,1-Settings!$B$12,0,Settings!$B$12,1))*SQRT(Settings!$B$13)))</f>
        <v/>
      </c>
      <c r="L1376" s="18">
        <f>IF(AND(ISNUMBER(D1376),ISNUMBER(H1376)),D1376-H1376,NA())</f>
        <v/>
      </c>
      <c r="M1376" s="18">
        <f>IF(AND(ISNUMBER(E1376),ISNUMBER(K1376)),E1376-K1376,NA())</f>
        <v/>
      </c>
      <c r="N1376" s="18">
        <f>IF(NOT(ISNUMBER($A1376)),NA(),IF(COUNT(OFFSET(G1376,1,0,Settings!$B$12,1))&lt;Settings!$B$12,NA(),STDEV(OFFSET(G1376,1,0,Settings!$B$12,1))*SQRT(Settings!$B$13)))</f>
        <v/>
      </c>
      <c r="O1376" s="18">
        <f>IF(AND(ISNUMBER(E1376),ISNUMBER(N1376)),E1376-N1376,NA())</f>
        <v/>
      </c>
      <c r="P1376" s="17">
        <f>IF(NOT(ISNUMBER($A1376)),NA(),IF(OR($A1376&lt;MIN(KW_TP!$A$2:$A$2501),$A1376&gt;MAX(KW_TP!$A$2:$A$2501)),NA(),INDEX(KW_TP!$C$2:$C$2501,MATCH($A1376,KW_TP!$A$2:$A$2501,1))))</f>
        <v/>
      </c>
    </row>
    <row r="1377">
      <c r="A1377" s="15">
        <f>IF(ISNUMBER(BBG_Data!A1377),BBG_Data!A1377,"")</f>
        <v/>
      </c>
      <c r="B1377" s="16">
        <f>IF(AND(ISNUMBER($A1377),ISNUMBER(BBG_Data!B1377)),BBG_Data!B1377,NA())</f>
        <v/>
      </c>
      <c r="C1377" s="16">
        <f>IF(AND(ISNUMBER($A1377),ISNUMBER(BBG_Data!C1377)),BBG_Data!C1377,NA())</f>
        <v/>
      </c>
      <c r="D1377" s="17">
        <f>IF(AND(ISNUMBER($A1377),ISNUMBER(BBG_Data!D1377)),BBG_Data!D1377,NA())</f>
        <v/>
      </c>
      <c r="E1377" s="17">
        <f>IF(AND(ISNUMBER($A1377),ISNUMBER(BBG_Data!E1377)),BBG_Data!E1377,NA())</f>
        <v/>
      </c>
      <c r="F1377" s="18">
        <f>IF(AND(ISNUMBER(B1377),ISNUMBER(B1376)),(B1377-B1376)*100,"")</f>
        <v/>
      </c>
      <c r="G1377" s="18">
        <f>IF(AND(ISNUMBER(C1377),ISNUMBER(C1376)),(C1377-C1376)*100,"")</f>
        <v/>
      </c>
      <c r="H1377" s="18">
        <f>IF(OR(NOT(ISNUMBER($A1377)),ROW()-2&lt;Settings!$B$11),NA(),IF(COUNT(OFFSET(F1377,1-Settings!$B$11,0,Settings!$B$11,1))&lt;Settings!$B$11,NA(),STDEV(OFFSET(F1377,1-Settings!$B$11,0,Settings!$B$11,1))*SQRT(Settings!$B$13)))</f>
        <v/>
      </c>
      <c r="I1377" s="18">
        <f>IF(OR(NOT(ISNUMBER($A1377)),ROW()-2&lt;Settings!$B$12),NA(),IF(COUNT(OFFSET(F1377,1-Settings!$B$12,0,Settings!$B$12,1))&lt;Settings!$B$12,NA(),STDEV(OFFSET(F1377,1-Settings!$B$12,0,Settings!$B$12,1))*SQRT(Settings!$B$13)))</f>
        <v/>
      </c>
      <c r="J1377" s="18">
        <f>IF(OR(NOT(ISNUMBER($A1377)),ROW()-2&lt;Settings!$B$11),NA(),IF(COUNT(OFFSET(G1377,1-Settings!$B$11,0,Settings!$B$11,1))&lt;Settings!$B$11,NA(),STDEV(OFFSET(G1377,1-Settings!$B$11,0,Settings!$B$11,1))*SQRT(Settings!$B$13)))</f>
        <v/>
      </c>
      <c r="K1377" s="18">
        <f>IF(OR(NOT(ISNUMBER($A1377)),ROW()-2&lt;Settings!$B$12),NA(),IF(COUNT(OFFSET(G1377,1-Settings!$B$12,0,Settings!$B$12,1))&lt;Settings!$B$12,NA(),STDEV(OFFSET(G1377,1-Settings!$B$12,0,Settings!$B$12,1))*SQRT(Settings!$B$13)))</f>
        <v/>
      </c>
      <c r="L1377" s="18">
        <f>IF(AND(ISNUMBER(D1377),ISNUMBER(H1377)),D1377-H1377,NA())</f>
        <v/>
      </c>
      <c r="M1377" s="18">
        <f>IF(AND(ISNUMBER(E1377),ISNUMBER(K1377)),E1377-K1377,NA())</f>
        <v/>
      </c>
      <c r="N1377" s="18">
        <f>IF(NOT(ISNUMBER($A1377)),NA(),IF(COUNT(OFFSET(G1377,1,0,Settings!$B$12,1))&lt;Settings!$B$12,NA(),STDEV(OFFSET(G1377,1,0,Settings!$B$12,1))*SQRT(Settings!$B$13)))</f>
        <v/>
      </c>
      <c r="O1377" s="18">
        <f>IF(AND(ISNUMBER(E1377),ISNUMBER(N1377)),E1377-N1377,NA())</f>
        <v/>
      </c>
      <c r="P1377" s="17">
        <f>IF(NOT(ISNUMBER($A1377)),NA(),IF(OR($A1377&lt;MIN(KW_TP!$A$2:$A$2501),$A1377&gt;MAX(KW_TP!$A$2:$A$2501)),NA(),INDEX(KW_TP!$C$2:$C$2501,MATCH($A1377,KW_TP!$A$2:$A$2501,1))))</f>
        <v/>
      </c>
    </row>
    <row r="1378">
      <c r="A1378" s="15">
        <f>IF(ISNUMBER(BBG_Data!A1378),BBG_Data!A1378,"")</f>
        <v/>
      </c>
      <c r="B1378" s="16">
        <f>IF(AND(ISNUMBER($A1378),ISNUMBER(BBG_Data!B1378)),BBG_Data!B1378,NA())</f>
        <v/>
      </c>
      <c r="C1378" s="16">
        <f>IF(AND(ISNUMBER($A1378),ISNUMBER(BBG_Data!C1378)),BBG_Data!C1378,NA())</f>
        <v/>
      </c>
      <c r="D1378" s="17">
        <f>IF(AND(ISNUMBER($A1378),ISNUMBER(BBG_Data!D1378)),BBG_Data!D1378,NA())</f>
        <v/>
      </c>
      <c r="E1378" s="17">
        <f>IF(AND(ISNUMBER($A1378),ISNUMBER(BBG_Data!E1378)),BBG_Data!E1378,NA())</f>
        <v/>
      </c>
      <c r="F1378" s="18">
        <f>IF(AND(ISNUMBER(B1378),ISNUMBER(B1377)),(B1378-B1377)*100,"")</f>
        <v/>
      </c>
      <c r="G1378" s="18">
        <f>IF(AND(ISNUMBER(C1378),ISNUMBER(C1377)),(C1378-C1377)*100,"")</f>
        <v/>
      </c>
      <c r="H1378" s="18">
        <f>IF(OR(NOT(ISNUMBER($A1378)),ROW()-2&lt;Settings!$B$11),NA(),IF(COUNT(OFFSET(F1378,1-Settings!$B$11,0,Settings!$B$11,1))&lt;Settings!$B$11,NA(),STDEV(OFFSET(F1378,1-Settings!$B$11,0,Settings!$B$11,1))*SQRT(Settings!$B$13)))</f>
        <v/>
      </c>
      <c r="I1378" s="18">
        <f>IF(OR(NOT(ISNUMBER($A1378)),ROW()-2&lt;Settings!$B$12),NA(),IF(COUNT(OFFSET(F1378,1-Settings!$B$12,0,Settings!$B$12,1))&lt;Settings!$B$12,NA(),STDEV(OFFSET(F1378,1-Settings!$B$12,0,Settings!$B$12,1))*SQRT(Settings!$B$13)))</f>
        <v/>
      </c>
      <c r="J1378" s="18">
        <f>IF(OR(NOT(ISNUMBER($A1378)),ROW()-2&lt;Settings!$B$11),NA(),IF(COUNT(OFFSET(G1378,1-Settings!$B$11,0,Settings!$B$11,1))&lt;Settings!$B$11,NA(),STDEV(OFFSET(G1378,1-Settings!$B$11,0,Settings!$B$11,1))*SQRT(Settings!$B$13)))</f>
        <v/>
      </c>
      <c r="K1378" s="18">
        <f>IF(OR(NOT(ISNUMBER($A1378)),ROW()-2&lt;Settings!$B$12),NA(),IF(COUNT(OFFSET(G1378,1-Settings!$B$12,0,Settings!$B$12,1))&lt;Settings!$B$12,NA(),STDEV(OFFSET(G1378,1-Settings!$B$12,0,Settings!$B$12,1))*SQRT(Settings!$B$13)))</f>
        <v/>
      </c>
      <c r="L1378" s="18">
        <f>IF(AND(ISNUMBER(D1378),ISNUMBER(H1378)),D1378-H1378,NA())</f>
        <v/>
      </c>
      <c r="M1378" s="18">
        <f>IF(AND(ISNUMBER(E1378),ISNUMBER(K1378)),E1378-K1378,NA())</f>
        <v/>
      </c>
      <c r="N1378" s="18">
        <f>IF(NOT(ISNUMBER($A1378)),NA(),IF(COUNT(OFFSET(G1378,1,0,Settings!$B$12,1))&lt;Settings!$B$12,NA(),STDEV(OFFSET(G1378,1,0,Settings!$B$12,1))*SQRT(Settings!$B$13)))</f>
        <v/>
      </c>
      <c r="O1378" s="18">
        <f>IF(AND(ISNUMBER(E1378),ISNUMBER(N1378)),E1378-N1378,NA())</f>
        <v/>
      </c>
      <c r="P1378" s="17">
        <f>IF(NOT(ISNUMBER($A1378)),NA(),IF(OR($A1378&lt;MIN(KW_TP!$A$2:$A$2501),$A1378&gt;MAX(KW_TP!$A$2:$A$2501)),NA(),INDEX(KW_TP!$C$2:$C$2501,MATCH($A1378,KW_TP!$A$2:$A$2501,1))))</f>
        <v/>
      </c>
    </row>
    <row r="1379">
      <c r="A1379" s="15">
        <f>IF(ISNUMBER(BBG_Data!A1379),BBG_Data!A1379,"")</f>
        <v/>
      </c>
      <c r="B1379" s="16">
        <f>IF(AND(ISNUMBER($A1379),ISNUMBER(BBG_Data!B1379)),BBG_Data!B1379,NA())</f>
        <v/>
      </c>
      <c r="C1379" s="16">
        <f>IF(AND(ISNUMBER($A1379),ISNUMBER(BBG_Data!C1379)),BBG_Data!C1379,NA())</f>
        <v/>
      </c>
      <c r="D1379" s="17">
        <f>IF(AND(ISNUMBER($A1379),ISNUMBER(BBG_Data!D1379)),BBG_Data!D1379,NA())</f>
        <v/>
      </c>
      <c r="E1379" s="17">
        <f>IF(AND(ISNUMBER($A1379),ISNUMBER(BBG_Data!E1379)),BBG_Data!E1379,NA())</f>
        <v/>
      </c>
      <c r="F1379" s="18">
        <f>IF(AND(ISNUMBER(B1379),ISNUMBER(B1378)),(B1379-B1378)*100,"")</f>
        <v/>
      </c>
      <c r="G1379" s="18">
        <f>IF(AND(ISNUMBER(C1379),ISNUMBER(C1378)),(C1379-C1378)*100,"")</f>
        <v/>
      </c>
      <c r="H1379" s="18">
        <f>IF(OR(NOT(ISNUMBER($A1379)),ROW()-2&lt;Settings!$B$11),NA(),IF(COUNT(OFFSET(F1379,1-Settings!$B$11,0,Settings!$B$11,1))&lt;Settings!$B$11,NA(),STDEV(OFFSET(F1379,1-Settings!$B$11,0,Settings!$B$11,1))*SQRT(Settings!$B$13)))</f>
        <v/>
      </c>
      <c r="I1379" s="18">
        <f>IF(OR(NOT(ISNUMBER($A1379)),ROW()-2&lt;Settings!$B$12),NA(),IF(COUNT(OFFSET(F1379,1-Settings!$B$12,0,Settings!$B$12,1))&lt;Settings!$B$12,NA(),STDEV(OFFSET(F1379,1-Settings!$B$12,0,Settings!$B$12,1))*SQRT(Settings!$B$13)))</f>
        <v/>
      </c>
      <c r="J1379" s="18">
        <f>IF(OR(NOT(ISNUMBER($A1379)),ROW()-2&lt;Settings!$B$11),NA(),IF(COUNT(OFFSET(G1379,1-Settings!$B$11,0,Settings!$B$11,1))&lt;Settings!$B$11,NA(),STDEV(OFFSET(G1379,1-Settings!$B$11,0,Settings!$B$11,1))*SQRT(Settings!$B$13)))</f>
        <v/>
      </c>
      <c r="K1379" s="18">
        <f>IF(OR(NOT(ISNUMBER($A1379)),ROW()-2&lt;Settings!$B$12),NA(),IF(COUNT(OFFSET(G1379,1-Settings!$B$12,0,Settings!$B$12,1))&lt;Settings!$B$12,NA(),STDEV(OFFSET(G1379,1-Settings!$B$12,0,Settings!$B$12,1))*SQRT(Settings!$B$13)))</f>
        <v/>
      </c>
      <c r="L1379" s="18">
        <f>IF(AND(ISNUMBER(D1379),ISNUMBER(H1379)),D1379-H1379,NA())</f>
        <v/>
      </c>
      <c r="M1379" s="18">
        <f>IF(AND(ISNUMBER(E1379),ISNUMBER(K1379)),E1379-K1379,NA())</f>
        <v/>
      </c>
      <c r="N1379" s="18">
        <f>IF(NOT(ISNUMBER($A1379)),NA(),IF(COUNT(OFFSET(G1379,1,0,Settings!$B$12,1))&lt;Settings!$B$12,NA(),STDEV(OFFSET(G1379,1,0,Settings!$B$12,1))*SQRT(Settings!$B$13)))</f>
        <v/>
      </c>
      <c r="O1379" s="18">
        <f>IF(AND(ISNUMBER(E1379),ISNUMBER(N1379)),E1379-N1379,NA())</f>
        <v/>
      </c>
      <c r="P1379" s="17">
        <f>IF(NOT(ISNUMBER($A1379)),NA(),IF(OR($A1379&lt;MIN(KW_TP!$A$2:$A$2501),$A1379&gt;MAX(KW_TP!$A$2:$A$2501)),NA(),INDEX(KW_TP!$C$2:$C$2501,MATCH($A1379,KW_TP!$A$2:$A$2501,1))))</f>
        <v/>
      </c>
    </row>
    <row r="1380">
      <c r="A1380" s="15">
        <f>IF(ISNUMBER(BBG_Data!A1380),BBG_Data!A1380,"")</f>
        <v/>
      </c>
      <c r="B1380" s="16">
        <f>IF(AND(ISNUMBER($A1380),ISNUMBER(BBG_Data!B1380)),BBG_Data!B1380,NA())</f>
        <v/>
      </c>
      <c r="C1380" s="16">
        <f>IF(AND(ISNUMBER($A1380),ISNUMBER(BBG_Data!C1380)),BBG_Data!C1380,NA())</f>
        <v/>
      </c>
      <c r="D1380" s="17">
        <f>IF(AND(ISNUMBER($A1380),ISNUMBER(BBG_Data!D1380)),BBG_Data!D1380,NA())</f>
        <v/>
      </c>
      <c r="E1380" s="17">
        <f>IF(AND(ISNUMBER($A1380),ISNUMBER(BBG_Data!E1380)),BBG_Data!E1380,NA())</f>
        <v/>
      </c>
      <c r="F1380" s="18">
        <f>IF(AND(ISNUMBER(B1380),ISNUMBER(B1379)),(B1380-B1379)*100,"")</f>
        <v/>
      </c>
      <c r="G1380" s="18">
        <f>IF(AND(ISNUMBER(C1380),ISNUMBER(C1379)),(C1380-C1379)*100,"")</f>
        <v/>
      </c>
      <c r="H1380" s="18">
        <f>IF(OR(NOT(ISNUMBER($A1380)),ROW()-2&lt;Settings!$B$11),NA(),IF(COUNT(OFFSET(F1380,1-Settings!$B$11,0,Settings!$B$11,1))&lt;Settings!$B$11,NA(),STDEV(OFFSET(F1380,1-Settings!$B$11,0,Settings!$B$11,1))*SQRT(Settings!$B$13)))</f>
        <v/>
      </c>
      <c r="I1380" s="18">
        <f>IF(OR(NOT(ISNUMBER($A1380)),ROW()-2&lt;Settings!$B$12),NA(),IF(COUNT(OFFSET(F1380,1-Settings!$B$12,0,Settings!$B$12,1))&lt;Settings!$B$12,NA(),STDEV(OFFSET(F1380,1-Settings!$B$12,0,Settings!$B$12,1))*SQRT(Settings!$B$13)))</f>
        <v/>
      </c>
      <c r="J1380" s="18">
        <f>IF(OR(NOT(ISNUMBER($A1380)),ROW()-2&lt;Settings!$B$11),NA(),IF(COUNT(OFFSET(G1380,1-Settings!$B$11,0,Settings!$B$11,1))&lt;Settings!$B$11,NA(),STDEV(OFFSET(G1380,1-Settings!$B$11,0,Settings!$B$11,1))*SQRT(Settings!$B$13)))</f>
        <v/>
      </c>
      <c r="K1380" s="18">
        <f>IF(OR(NOT(ISNUMBER($A1380)),ROW()-2&lt;Settings!$B$12),NA(),IF(COUNT(OFFSET(G1380,1-Settings!$B$12,0,Settings!$B$12,1))&lt;Settings!$B$12,NA(),STDEV(OFFSET(G1380,1-Settings!$B$12,0,Settings!$B$12,1))*SQRT(Settings!$B$13)))</f>
        <v/>
      </c>
      <c r="L1380" s="18">
        <f>IF(AND(ISNUMBER(D1380),ISNUMBER(H1380)),D1380-H1380,NA())</f>
        <v/>
      </c>
      <c r="M1380" s="18">
        <f>IF(AND(ISNUMBER(E1380),ISNUMBER(K1380)),E1380-K1380,NA())</f>
        <v/>
      </c>
      <c r="N1380" s="18">
        <f>IF(NOT(ISNUMBER($A1380)),NA(),IF(COUNT(OFFSET(G1380,1,0,Settings!$B$12,1))&lt;Settings!$B$12,NA(),STDEV(OFFSET(G1380,1,0,Settings!$B$12,1))*SQRT(Settings!$B$13)))</f>
        <v/>
      </c>
      <c r="O1380" s="18">
        <f>IF(AND(ISNUMBER(E1380),ISNUMBER(N1380)),E1380-N1380,NA())</f>
        <v/>
      </c>
      <c r="P1380" s="17">
        <f>IF(NOT(ISNUMBER($A1380)),NA(),IF(OR($A1380&lt;MIN(KW_TP!$A$2:$A$2501),$A1380&gt;MAX(KW_TP!$A$2:$A$2501)),NA(),INDEX(KW_TP!$C$2:$C$2501,MATCH($A1380,KW_TP!$A$2:$A$2501,1))))</f>
        <v/>
      </c>
    </row>
    <row r="1381">
      <c r="A1381" s="15">
        <f>IF(ISNUMBER(BBG_Data!A1381),BBG_Data!A1381,"")</f>
        <v/>
      </c>
      <c r="B1381" s="16">
        <f>IF(AND(ISNUMBER($A1381),ISNUMBER(BBG_Data!B1381)),BBG_Data!B1381,NA())</f>
        <v/>
      </c>
      <c r="C1381" s="16">
        <f>IF(AND(ISNUMBER($A1381),ISNUMBER(BBG_Data!C1381)),BBG_Data!C1381,NA())</f>
        <v/>
      </c>
      <c r="D1381" s="17">
        <f>IF(AND(ISNUMBER($A1381),ISNUMBER(BBG_Data!D1381)),BBG_Data!D1381,NA())</f>
        <v/>
      </c>
      <c r="E1381" s="17">
        <f>IF(AND(ISNUMBER($A1381),ISNUMBER(BBG_Data!E1381)),BBG_Data!E1381,NA())</f>
        <v/>
      </c>
      <c r="F1381" s="18">
        <f>IF(AND(ISNUMBER(B1381),ISNUMBER(B1380)),(B1381-B1380)*100,"")</f>
        <v/>
      </c>
      <c r="G1381" s="18">
        <f>IF(AND(ISNUMBER(C1381),ISNUMBER(C1380)),(C1381-C1380)*100,"")</f>
        <v/>
      </c>
      <c r="H1381" s="18">
        <f>IF(OR(NOT(ISNUMBER($A1381)),ROW()-2&lt;Settings!$B$11),NA(),IF(COUNT(OFFSET(F1381,1-Settings!$B$11,0,Settings!$B$11,1))&lt;Settings!$B$11,NA(),STDEV(OFFSET(F1381,1-Settings!$B$11,0,Settings!$B$11,1))*SQRT(Settings!$B$13)))</f>
        <v/>
      </c>
      <c r="I1381" s="18">
        <f>IF(OR(NOT(ISNUMBER($A1381)),ROW()-2&lt;Settings!$B$12),NA(),IF(COUNT(OFFSET(F1381,1-Settings!$B$12,0,Settings!$B$12,1))&lt;Settings!$B$12,NA(),STDEV(OFFSET(F1381,1-Settings!$B$12,0,Settings!$B$12,1))*SQRT(Settings!$B$13)))</f>
        <v/>
      </c>
      <c r="J1381" s="18">
        <f>IF(OR(NOT(ISNUMBER($A1381)),ROW()-2&lt;Settings!$B$11),NA(),IF(COUNT(OFFSET(G1381,1-Settings!$B$11,0,Settings!$B$11,1))&lt;Settings!$B$11,NA(),STDEV(OFFSET(G1381,1-Settings!$B$11,0,Settings!$B$11,1))*SQRT(Settings!$B$13)))</f>
        <v/>
      </c>
      <c r="K1381" s="18">
        <f>IF(OR(NOT(ISNUMBER($A1381)),ROW()-2&lt;Settings!$B$12),NA(),IF(COUNT(OFFSET(G1381,1-Settings!$B$12,0,Settings!$B$12,1))&lt;Settings!$B$12,NA(),STDEV(OFFSET(G1381,1-Settings!$B$12,0,Settings!$B$12,1))*SQRT(Settings!$B$13)))</f>
        <v/>
      </c>
      <c r="L1381" s="18">
        <f>IF(AND(ISNUMBER(D1381),ISNUMBER(H1381)),D1381-H1381,NA())</f>
        <v/>
      </c>
      <c r="M1381" s="18">
        <f>IF(AND(ISNUMBER(E1381),ISNUMBER(K1381)),E1381-K1381,NA())</f>
        <v/>
      </c>
      <c r="N1381" s="18">
        <f>IF(NOT(ISNUMBER($A1381)),NA(),IF(COUNT(OFFSET(G1381,1,0,Settings!$B$12,1))&lt;Settings!$B$12,NA(),STDEV(OFFSET(G1381,1,0,Settings!$B$12,1))*SQRT(Settings!$B$13)))</f>
        <v/>
      </c>
      <c r="O1381" s="18">
        <f>IF(AND(ISNUMBER(E1381),ISNUMBER(N1381)),E1381-N1381,NA())</f>
        <v/>
      </c>
      <c r="P1381" s="17">
        <f>IF(NOT(ISNUMBER($A1381)),NA(),IF(OR($A1381&lt;MIN(KW_TP!$A$2:$A$2501),$A1381&gt;MAX(KW_TP!$A$2:$A$2501)),NA(),INDEX(KW_TP!$C$2:$C$2501,MATCH($A1381,KW_TP!$A$2:$A$2501,1))))</f>
        <v/>
      </c>
    </row>
    <row r="1382">
      <c r="A1382" s="15">
        <f>IF(ISNUMBER(BBG_Data!A1382),BBG_Data!A1382,"")</f>
        <v/>
      </c>
      <c r="B1382" s="16">
        <f>IF(AND(ISNUMBER($A1382),ISNUMBER(BBG_Data!B1382)),BBG_Data!B1382,NA())</f>
        <v/>
      </c>
      <c r="C1382" s="16">
        <f>IF(AND(ISNUMBER($A1382),ISNUMBER(BBG_Data!C1382)),BBG_Data!C1382,NA())</f>
        <v/>
      </c>
      <c r="D1382" s="17">
        <f>IF(AND(ISNUMBER($A1382),ISNUMBER(BBG_Data!D1382)),BBG_Data!D1382,NA())</f>
        <v/>
      </c>
      <c r="E1382" s="17">
        <f>IF(AND(ISNUMBER($A1382),ISNUMBER(BBG_Data!E1382)),BBG_Data!E1382,NA())</f>
        <v/>
      </c>
      <c r="F1382" s="18">
        <f>IF(AND(ISNUMBER(B1382),ISNUMBER(B1381)),(B1382-B1381)*100,"")</f>
        <v/>
      </c>
      <c r="G1382" s="18">
        <f>IF(AND(ISNUMBER(C1382),ISNUMBER(C1381)),(C1382-C1381)*100,"")</f>
        <v/>
      </c>
      <c r="H1382" s="18">
        <f>IF(OR(NOT(ISNUMBER($A1382)),ROW()-2&lt;Settings!$B$11),NA(),IF(COUNT(OFFSET(F1382,1-Settings!$B$11,0,Settings!$B$11,1))&lt;Settings!$B$11,NA(),STDEV(OFFSET(F1382,1-Settings!$B$11,0,Settings!$B$11,1))*SQRT(Settings!$B$13)))</f>
        <v/>
      </c>
      <c r="I1382" s="18">
        <f>IF(OR(NOT(ISNUMBER($A1382)),ROW()-2&lt;Settings!$B$12),NA(),IF(COUNT(OFFSET(F1382,1-Settings!$B$12,0,Settings!$B$12,1))&lt;Settings!$B$12,NA(),STDEV(OFFSET(F1382,1-Settings!$B$12,0,Settings!$B$12,1))*SQRT(Settings!$B$13)))</f>
        <v/>
      </c>
      <c r="J1382" s="18">
        <f>IF(OR(NOT(ISNUMBER($A1382)),ROW()-2&lt;Settings!$B$11),NA(),IF(COUNT(OFFSET(G1382,1-Settings!$B$11,0,Settings!$B$11,1))&lt;Settings!$B$11,NA(),STDEV(OFFSET(G1382,1-Settings!$B$11,0,Settings!$B$11,1))*SQRT(Settings!$B$13)))</f>
        <v/>
      </c>
      <c r="K1382" s="18">
        <f>IF(OR(NOT(ISNUMBER($A1382)),ROW()-2&lt;Settings!$B$12),NA(),IF(COUNT(OFFSET(G1382,1-Settings!$B$12,0,Settings!$B$12,1))&lt;Settings!$B$12,NA(),STDEV(OFFSET(G1382,1-Settings!$B$12,0,Settings!$B$12,1))*SQRT(Settings!$B$13)))</f>
        <v/>
      </c>
      <c r="L1382" s="18">
        <f>IF(AND(ISNUMBER(D1382),ISNUMBER(H1382)),D1382-H1382,NA())</f>
        <v/>
      </c>
      <c r="M1382" s="18">
        <f>IF(AND(ISNUMBER(E1382),ISNUMBER(K1382)),E1382-K1382,NA())</f>
        <v/>
      </c>
      <c r="N1382" s="18">
        <f>IF(NOT(ISNUMBER($A1382)),NA(),IF(COUNT(OFFSET(G1382,1,0,Settings!$B$12,1))&lt;Settings!$B$12,NA(),STDEV(OFFSET(G1382,1,0,Settings!$B$12,1))*SQRT(Settings!$B$13)))</f>
        <v/>
      </c>
      <c r="O1382" s="18">
        <f>IF(AND(ISNUMBER(E1382),ISNUMBER(N1382)),E1382-N1382,NA())</f>
        <v/>
      </c>
      <c r="P1382" s="17">
        <f>IF(NOT(ISNUMBER($A1382)),NA(),IF(OR($A1382&lt;MIN(KW_TP!$A$2:$A$2501),$A1382&gt;MAX(KW_TP!$A$2:$A$2501)),NA(),INDEX(KW_TP!$C$2:$C$2501,MATCH($A1382,KW_TP!$A$2:$A$2501,1))))</f>
        <v/>
      </c>
    </row>
    <row r="1383">
      <c r="A1383" s="15">
        <f>IF(ISNUMBER(BBG_Data!A1383),BBG_Data!A1383,"")</f>
        <v/>
      </c>
      <c r="B1383" s="16">
        <f>IF(AND(ISNUMBER($A1383),ISNUMBER(BBG_Data!B1383)),BBG_Data!B1383,NA())</f>
        <v/>
      </c>
      <c r="C1383" s="16">
        <f>IF(AND(ISNUMBER($A1383),ISNUMBER(BBG_Data!C1383)),BBG_Data!C1383,NA())</f>
        <v/>
      </c>
      <c r="D1383" s="17">
        <f>IF(AND(ISNUMBER($A1383),ISNUMBER(BBG_Data!D1383)),BBG_Data!D1383,NA())</f>
        <v/>
      </c>
      <c r="E1383" s="17">
        <f>IF(AND(ISNUMBER($A1383),ISNUMBER(BBG_Data!E1383)),BBG_Data!E1383,NA())</f>
        <v/>
      </c>
      <c r="F1383" s="18">
        <f>IF(AND(ISNUMBER(B1383),ISNUMBER(B1382)),(B1383-B1382)*100,"")</f>
        <v/>
      </c>
      <c r="G1383" s="18">
        <f>IF(AND(ISNUMBER(C1383),ISNUMBER(C1382)),(C1383-C1382)*100,"")</f>
        <v/>
      </c>
      <c r="H1383" s="18">
        <f>IF(OR(NOT(ISNUMBER($A1383)),ROW()-2&lt;Settings!$B$11),NA(),IF(COUNT(OFFSET(F1383,1-Settings!$B$11,0,Settings!$B$11,1))&lt;Settings!$B$11,NA(),STDEV(OFFSET(F1383,1-Settings!$B$11,0,Settings!$B$11,1))*SQRT(Settings!$B$13)))</f>
        <v/>
      </c>
      <c r="I1383" s="18">
        <f>IF(OR(NOT(ISNUMBER($A1383)),ROW()-2&lt;Settings!$B$12),NA(),IF(COUNT(OFFSET(F1383,1-Settings!$B$12,0,Settings!$B$12,1))&lt;Settings!$B$12,NA(),STDEV(OFFSET(F1383,1-Settings!$B$12,0,Settings!$B$12,1))*SQRT(Settings!$B$13)))</f>
        <v/>
      </c>
      <c r="J1383" s="18">
        <f>IF(OR(NOT(ISNUMBER($A1383)),ROW()-2&lt;Settings!$B$11),NA(),IF(COUNT(OFFSET(G1383,1-Settings!$B$11,0,Settings!$B$11,1))&lt;Settings!$B$11,NA(),STDEV(OFFSET(G1383,1-Settings!$B$11,0,Settings!$B$11,1))*SQRT(Settings!$B$13)))</f>
        <v/>
      </c>
      <c r="K1383" s="18">
        <f>IF(OR(NOT(ISNUMBER($A1383)),ROW()-2&lt;Settings!$B$12),NA(),IF(COUNT(OFFSET(G1383,1-Settings!$B$12,0,Settings!$B$12,1))&lt;Settings!$B$12,NA(),STDEV(OFFSET(G1383,1-Settings!$B$12,0,Settings!$B$12,1))*SQRT(Settings!$B$13)))</f>
        <v/>
      </c>
      <c r="L1383" s="18">
        <f>IF(AND(ISNUMBER(D1383),ISNUMBER(H1383)),D1383-H1383,NA())</f>
        <v/>
      </c>
      <c r="M1383" s="18">
        <f>IF(AND(ISNUMBER(E1383),ISNUMBER(K1383)),E1383-K1383,NA())</f>
        <v/>
      </c>
      <c r="N1383" s="18">
        <f>IF(NOT(ISNUMBER($A1383)),NA(),IF(COUNT(OFFSET(G1383,1,0,Settings!$B$12,1))&lt;Settings!$B$12,NA(),STDEV(OFFSET(G1383,1,0,Settings!$B$12,1))*SQRT(Settings!$B$13)))</f>
        <v/>
      </c>
      <c r="O1383" s="18">
        <f>IF(AND(ISNUMBER(E1383),ISNUMBER(N1383)),E1383-N1383,NA())</f>
        <v/>
      </c>
      <c r="P1383" s="17">
        <f>IF(NOT(ISNUMBER($A1383)),NA(),IF(OR($A1383&lt;MIN(KW_TP!$A$2:$A$2501),$A1383&gt;MAX(KW_TP!$A$2:$A$2501)),NA(),INDEX(KW_TP!$C$2:$C$2501,MATCH($A1383,KW_TP!$A$2:$A$2501,1))))</f>
        <v/>
      </c>
    </row>
    <row r="1384">
      <c r="A1384" s="15">
        <f>IF(ISNUMBER(BBG_Data!A1384),BBG_Data!A1384,"")</f>
        <v/>
      </c>
      <c r="B1384" s="16">
        <f>IF(AND(ISNUMBER($A1384),ISNUMBER(BBG_Data!B1384)),BBG_Data!B1384,NA())</f>
        <v/>
      </c>
      <c r="C1384" s="16">
        <f>IF(AND(ISNUMBER($A1384),ISNUMBER(BBG_Data!C1384)),BBG_Data!C1384,NA())</f>
        <v/>
      </c>
      <c r="D1384" s="17">
        <f>IF(AND(ISNUMBER($A1384),ISNUMBER(BBG_Data!D1384)),BBG_Data!D1384,NA())</f>
        <v/>
      </c>
      <c r="E1384" s="17">
        <f>IF(AND(ISNUMBER($A1384),ISNUMBER(BBG_Data!E1384)),BBG_Data!E1384,NA())</f>
        <v/>
      </c>
      <c r="F1384" s="18">
        <f>IF(AND(ISNUMBER(B1384),ISNUMBER(B1383)),(B1384-B1383)*100,"")</f>
        <v/>
      </c>
      <c r="G1384" s="18">
        <f>IF(AND(ISNUMBER(C1384),ISNUMBER(C1383)),(C1384-C1383)*100,"")</f>
        <v/>
      </c>
      <c r="H1384" s="18">
        <f>IF(OR(NOT(ISNUMBER($A1384)),ROW()-2&lt;Settings!$B$11),NA(),IF(COUNT(OFFSET(F1384,1-Settings!$B$11,0,Settings!$B$11,1))&lt;Settings!$B$11,NA(),STDEV(OFFSET(F1384,1-Settings!$B$11,0,Settings!$B$11,1))*SQRT(Settings!$B$13)))</f>
        <v/>
      </c>
      <c r="I1384" s="18">
        <f>IF(OR(NOT(ISNUMBER($A1384)),ROW()-2&lt;Settings!$B$12),NA(),IF(COUNT(OFFSET(F1384,1-Settings!$B$12,0,Settings!$B$12,1))&lt;Settings!$B$12,NA(),STDEV(OFFSET(F1384,1-Settings!$B$12,0,Settings!$B$12,1))*SQRT(Settings!$B$13)))</f>
        <v/>
      </c>
      <c r="J1384" s="18">
        <f>IF(OR(NOT(ISNUMBER($A1384)),ROW()-2&lt;Settings!$B$11),NA(),IF(COUNT(OFFSET(G1384,1-Settings!$B$11,0,Settings!$B$11,1))&lt;Settings!$B$11,NA(),STDEV(OFFSET(G1384,1-Settings!$B$11,0,Settings!$B$11,1))*SQRT(Settings!$B$13)))</f>
        <v/>
      </c>
      <c r="K1384" s="18">
        <f>IF(OR(NOT(ISNUMBER($A1384)),ROW()-2&lt;Settings!$B$12),NA(),IF(COUNT(OFFSET(G1384,1-Settings!$B$12,0,Settings!$B$12,1))&lt;Settings!$B$12,NA(),STDEV(OFFSET(G1384,1-Settings!$B$12,0,Settings!$B$12,1))*SQRT(Settings!$B$13)))</f>
        <v/>
      </c>
      <c r="L1384" s="18">
        <f>IF(AND(ISNUMBER(D1384),ISNUMBER(H1384)),D1384-H1384,NA())</f>
        <v/>
      </c>
      <c r="M1384" s="18">
        <f>IF(AND(ISNUMBER(E1384),ISNUMBER(K1384)),E1384-K1384,NA())</f>
        <v/>
      </c>
      <c r="N1384" s="18">
        <f>IF(NOT(ISNUMBER($A1384)),NA(),IF(COUNT(OFFSET(G1384,1,0,Settings!$B$12,1))&lt;Settings!$B$12,NA(),STDEV(OFFSET(G1384,1,0,Settings!$B$12,1))*SQRT(Settings!$B$13)))</f>
        <v/>
      </c>
      <c r="O1384" s="18">
        <f>IF(AND(ISNUMBER(E1384),ISNUMBER(N1384)),E1384-N1384,NA())</f>
        <v/>
      </c>
      <c r="P1384" s="17">
        <f>IF(NOT(ISNUMBER($A1384)),NA(),IF(OR($A1384&lt;MIN(KW_TP!$A$2:$A$2501),$A1384&gt;MAX(KW_TP!$A$2:$A$2501)),NA(),INDEX(KW_TP!$C$2:$C$2501,MATCH($A1384,KW_TP!$A$2:$A$2501,1))))</f>
        <v/>
      </c>
    </row>
    <row r="1385">
      <c r="A1385" s="15">
        <f>IF(ISNUMBER(BBG_Data!A1385),BBG_Data!A1385,"")</f>
        <v/>
      </c>
      <c r="B1385" s="16">
        <f>IF(AND(ISNUMBER($A1385),ISNUMBER(BBG_Data!B1385)),BBG_Data!B1385,NA())</f>
        <v/>
      </c>
      <c r="C1385" s="16">
        <f>IF(AND(ISNUMBER($A1385),ISNUMBER(BBG_Data!C1385)),BBG_Data!C1385,NA())</f>
        <v/>
      </c>
      <c r="D1385" s="17">
        <f>IF(AND(ISNUMBER($A1385),ISNUMBER(BBG_Data!D1385)),BBG_Data!D1385,NA())</f>
        <v/>
      </c>
      <c r="E1385" s="17">
        <f>IF(AND(ISNUMBER($A1385),ISNUMBER(BBG_Data!E1385)),BBG_Data!E1385,NA())</f>
        <v/>
      </c>
      <c r="F1385" s="18">
        <f>IF(AND(ISNUMBER(B1385),ISNUMBER(B1384)),(B1385-B1384)*100,"")</f>
        <v/>
      </c>
      <c r="G1385" s="18">
        <f>IF(AND(ISNUMBER(C1385),ISNUMBER(C1384)),(C1385-C1384)*100,"")</f>
        <v/>
      </c>
      <c r="H1385" s="18">
        <f>IF(OR(NOT(ISNUMBER($A1385)),ROW()-2&lt;Settings!$B$11),NA(),IF(COUNT(OFFSET(F1385,1-Settings!$B$11,0,Settings!$B$11,1))&lt;Settings!$B$11,NA(),STDEV(OFFSET(F1385,1-Settings!$B$11,0,Settings!$B$11,1))*SQRT(Settings!$B$13)))</f>
        <v/>
      </c>
      <c r="I1385" s="18">
        <f>IF(OR(NOT(ISNUMBER($A1385)),ROW()-2&lt;Settings!$B$12),NA(),IF(COUNT(OFFSET(F1385,1-Settings!$B$12,0,Settings!$B$12,1))&lt;Settings!$B$12,NA(),STDEV(OFFSET(F1385,1-Settings!$B$12,0,Settings!$B$12,1))*SQRT(Settings!$B$13)))</f>
        <v/>
      </c>
      <c r="J1385" s="18">
        <f>IF(OR(NOT(ISNUMBER($A1385)),ROW()-2&lt;Settings!$B$11),NA(),IF(COUNT(OFFSET(G1385,1-Settings!$B$11,0,Settings!$B$11,1))&lt;Settings!$B$11,NA(),STDEV(OFFSET(G1385,1-Settings!$B$11,0,Settings!$B$11,1))*SQRT(Settings!$B$13)))</f>
        <v/>
      </c>
      <c r="K1385" s="18">
        <f>IF(OR(NOT(ISNUMBER($A1385)),ROW()-2&lt;Settings!$B$12),NA(),IF(COUNT(OFFSET(G1385,1-Settings!$B$12,0,Settings!$B$12,1))&lt;Settings!$B$12,NA(),STDEV(OFFSET(G1385,1-Settings!$B$12,0,Settings!$B$12,1))*SQRT(Settings!$B$13)))</f>
        <v/>
      </c>
      <c r="L1385" s="18">
        <f>IF(AND(ISNUMBER(D1385),ISNUMBER(H1385)),D1385-H1385,NA())</f>
        <v/>
      </c>
      <c r="M1385" s="18">
        <f>IF(AND(ISNUMBER(E1385),ISNUMBER(K1385)),E1385-K1385,NA())</f>
        <v/>
      </c>
      <c r="N1385" s="18">
        <f>IF(NOT(ISNUMBER($A1385)),NA(),IF(COUNT(OFFSET(G1385,1,0,Settings!$B$12,1))&lt;Settings!$B$12,NA(),STDEV(OFFSET(G1385,1,0,Settings!$B$12,1))*SQRT(Settings!$B$13)))</f>
        <v/>
      </c>
      <c r="O1385" s="18">
        <f>IF(AND(ISNUMBER(E1385),ISNUMBER(N1385)),E1385-N1385,NA())</f>
        <v/>
      </c>
      <c r="P1385" s="17">
        <f>IF(NOT(ISNUMBER($A1385)),NA(),IF(OR($A1385&lt;MIN(KW_TP!$A$2:$A$2501),$A1385&gt;MAX(KW_TP!$A$2:$A$2501)),NA(),INDEX(KW_TP!$C$2:$C$2501,MATCH($A1385,KW_TP!$A$2:$A$2501,1))))</f>
        <v/>
      </c>
    </row>
    <row r="1386">
      <c r="A1386" s="15">
        <f>IF(ISNUMBER(BBG_Data!A1386),BBG_Data!A1386,"")</f>
        <v/>
      </c>
      <c r="B1386" s="16">
        <f>IF(AND(ISNUMBER($A1386),ISNUMBER(BBG_Data!B1386)),BBG_Data!B1386,NA())</f>
        <v/>
      </c>
      <c r="C1386" s="16">
        <f>IF(AND(ISNUMBER($A1386),ISNUMBER(BBG_Data!C1386)),BBG_Data!C1386,NA())</f>
        <v/>
      </c>
      <c r="D1386" s="17">
        <f>IF(AND(ISNUMBER($A1386),ISNUMBER(BBG_Data!D1386)),BBG_Data!D1386,NA())</f>
        <v/>
      </c>
      <c r="E1386" s="17">
        <f>IF(AND(ISNUMBER($A1386),ISNUMBER(BBG_Data!E1386)),BBG_Data!E1386,NA())</f>
        <v/>
      </c>
      <c r="F1386" s="18">
        <f>IF(AND(ISNUMBER(B1386),ISNUMBER(B1385)),(B1386-B1385)*100,"")</f>
        <v/>
      </c>
      <c r="G1386" s="18">
        <f>IF(AND(ISNUMBER(C1386),ISNUMBER(C1385)),(C1386-C1385)*100,"")</f>
        <v/>
      </c>
      <c r="H1386" s="18">
        <f>IF(OR(NOT(ISNUMBER($A1386)),ROW()-2&lt;Settings!$B$11),NA(),IF(COUNT(OFFSET(F1386,1-Settings!$B$11,0,Settings!$B$11,1))&lt;Settings!$B$11,NA(),STDEV(OFFSET(F1386,1-Settings!$B$11,0,Settings!$B$11,1))*SQRT(Settings!$B$13)))</f>
        <v/>
      </c>
      <c r="I1386" s="18">
        <f>IF(OR(NOT(ISNUMBER($A1386)),ROW()-2&lt;Settings!$B$12),NA(),IF(COUNT(OFFSET(F1386,1-Settings!$B$12,0,Settings!$B$12,1))&lt;Settings!$B$12,NA(),STDEV(OFFSET(F1386,1-Settings!$B$12,0,Settings!$B$12,1))*SQRT(Settings!$B$13)))</f>
        <v/>
      </c>
      <c r="J1386" s="18">
        <f>IF(OR(NOT(ISNUMBER($A1386)),ROW()-2&lt;Settings!$B$11),NA(),IF(COUNT(OFFSET(G1386,1-Settings!$B$11,0,Settings!$B$11,1))&lt;Settings!$B$11,NA(),STDEV(OFFSET(G1386,1-Settings!$B$11,0,Settings!$B$11,1))*SQRT(Settings!$B$13)))</f>
        <v/>
      </c>
      <c r="K1386" s="18">
        <f>IF(OR(NOT(ISNUMBER($A1386)),ROW()-2&lt;Settings!$B$12),NA(),IF(COUNT(OFFSET(G1386,1-Settings!$B$12,0,Settings!$B$12,1))&lt;Settings!$B$12,NA(),STDEV(OFFSET(G1386,1-Settings!$B$12,0,Settings!$B$12,1))*SQRT(Settings!$B$13)))</f>
        <v/>
      </c>
      <c r="L1386" s="18">
        <f>IF(AND(ISNUMBER(D1386),ISNUMBER(H1386)),D1386-H1386,NA())</f>
        <v/>
      </c>
      <c r="M1386" s="18">
        <f>IF(AND(ISNUMBER(E1386),ISNUMBER(K1386)),E1386-K1386,NA())</f>
        <v/>
      </c>
      <c r="N1386" s="18">
        <f>IF(NOT(ISNUMBER($A1386)),NA(),IF(COUNT(OFFSET(G1386,1,0,Settings!$B$12,1))&lt;Settings!$B$12,NA(),STDEV(OFFSET(G1386,1,0,Settings!$B$12,1))*SQRT(Settings!$B$13)))</f>
        <v/>
      </c>
      <c r="O1386" s="18">
        <f>IF(AND(ISNUMBER(E1386),ISNUMBER(N1386)),E1386-N1386,NA())</f>
        <v/>
      </c>
      <c r="P1386" s="17">
        <f>IF(NOT(ISNUMBER($A1386)),NA(),IF(OR($A1386&lt;MIN(KW_TP!$A$2:$A$2501),$A1386&gt;MAX(KW_TP!$A$2:$A$2501)),NA(),INDEX(KW_TP!$C$2:$C$2501,MATCH($A1386,KW_TP!$A$2:$A$2501,1))))</f>
        <v/>
      </c>
    </row>
    <row r="1387">
      <c r="A1387" s="15">
        <f>IF(ISNUMBER(BBG_Data!A1387),BBG_Data!A1387,"")</f>
        <v/>
      </c>
      <c r="B1387" s="16">
        <f>IF(AND(ISNUMBER($A1387),ISNUMBER(BBG_Data!B1387)),BBG_Data!B1387,NA())</f>
        <v/>
      </c>
      <c r="C1387" s="16">
        <f>IF(AND(ISNUMBER($A1387),ISNUMBER(BBG_Data!C1387)),BBG_Data!C1387,NA())</f>
        <v/>
      </c>
      <c r="D1387" s="17">
        <f>IF(AND(ISNUMBER($A1387),ISNUMBER(BBG_Data!D1387)),BBG_Data!D1387,NA())</f>
        <v/>
      </c>
      <c r="E1387" s="17">
        <f>IF(AND(ISNUMBER($A1387),ISNUMBER(BBG_Data!E1387)),BBG_Data!E1387,NA())</f>
        <v/>
      </c>
      <c r="F1387" s="18">
        <f>IF(AND(ISNUMBER(B1387),ISNUMBER(B1386)),(B1387-B1386)*100,"")</f>
        <v/>
      </c>
      <c r="G1387" s="18">
        <f>IF(AND(ISNUMBER(C1387),ISNUMBER(C1386)),(C1387-C1386)*100,"")</f>
        <v/>
      </c>
      <c r="H1387" s="18">
        <f>IF(OR(NOT(ISNUMBER($A1387)),ROW()-2&lt;Settings!$B$11),NA(),IF(COUNT(OFFSET(F1387,1-Settings!$B$11,0,Settings!$B$11,1))&lt;Settings!$B$11,NA(),STDEV(OFFSET(F1387,1-Settings!$B$11,0,Settings!$B$11,1))*SQRT(Settings!$B$13)))</f>
        <v/>
      </c>
      <c r="I1387" s="18">
        <f>IF(OR(NOT(ISNUMBER($A1387)),ROW()-2&lt;Settings!$B$12),NA(),IF(COUNT(OFFSET(F1387,1-Settings!$B$12,0,Settings!$B$12,1))&lt;Settings!$B$12,NA(),STDEV(OFFSET(F1387,1-Settings!$B$12,0,Settings!$B$12,1))*SQRT(Settings!$B$13)))</f>
        <v/>
      </c>
      <c r="J1387" s="18">
        <f>IF(OR(NOT(ISNUMBER($A1387)),ROW()-2&lt;Settings!$B$11),NA(),IF(COUNT(OFFSET(G1387,1-Settings!$B$11,0,Settings!$B$11,1))&lt;Settings!$B$11,NA(),STDEV(OFFSET(G1387,1-Settings!$B$11,0,Settings!$B$11,1))*SQRT(Settings!$B$13)))</f>
        <v/>
      </c>
      <c r="K1387" s="18">
        <f>IF(OR(NOT(ISNUMBER($A1387)),ROW()-2&lt;Settings!$B$12),NA(),IF(COUNT(OFFSET(G1387,1-Settings!$B$12,0,Settings!$B$12,1))&lt;Settings!$B$12,NA(),STDEV(OFFSET(G1387,1-Settings!$B$12,0,Settings!$B$12,1))*SQRT(Settings!$B$13)))</f>
        <v/>
      </c>
      <c r="L1387" s="18">
        <f>IF(AND(ISNUMBER(D1387),ISNUMBER(H1387)),D1387-H1387,NA())</f>
        <v/>
      </c>
      <c r="M1387" s="18">
        <f>IF(AND(ISNUMBER(E1387),ISNUMBER(K1387)),E1387-K1387,NA())</f>
        <v/>
      </c>
      <c r="N1387" s="18">
        <f>IF(NOT(ISNUMBER($A1387)),NA(),IF(COUNT(OFFSET(G1387,1,0,Settings!$B$12,1))&lt;Settings!$B$12,NA(),STDEV(OFFSET(G1387,1,0,Settings!$B$12,1))*SQRT(Settings!$B$13)))</f>
        <v/>
      </c>
      <c r="O1387" s="18">
        <f>IF(AND(ISNUMBER(E1387),ISNUMBER(N1387)),E1387-N1387,NA())</f>
        <v/>
      </c>
      <c r="P1387" s="17">
        <f>IF(NOT(ISNUMBER($A1387)),NA(),IF(OR($A1387&lt;MIN(KW_TP!$A$2:$A$2501),$A1387&gt;MAX(KW_TP!$A$2:$A$2501)),NA(),INDEX(KW_TP!$C$2:$C$2501,MATCH($A1387,KW_TP!$A$2:$A$2501,1))))</f>
        <v/>
      </c>
    </row>
    <row r="1388">
      <c r="A1388" s="15">
        <f>IF(ISNUMBER(BBG_Data!A1388),BBG_Data!A1388,"")</f>
        <v/>
      </c>
      <c r="B1388" s="16">
        <f>IF(AND(ISNUMBER($A1388),ISNUMBER(BBG_Data!B1388)),BBG_Data!B1388,NA())</f>
        <v/>
      </c>
      <c r="C1388" s="16">
        <f>IF(AND(ISNUMBER($A1388),ISNUMBER(BBG_Data!C1388)),BBG_Data!C1388,NA())</f>
        <v/>
      </c>
      <c r="D1388" s="17">
        <f>IF(AND(ISNUMBER($A1388),ISNUMBER(BBG_Data!D1388)),BBG_Data!D1388,NA())</f>
        <v/>
      </c>
      <c r="E1388" s="17">
        <f>IF(AND(ISNUMBER($A1388),ISNUMBER(BBG_Data!E1388)),BBG_Data!E1388,NA())</f>
        <v/>
      </c>
      <c r="F1388" s="18">
        <f>IF(AND(ISNUMBER(B1388),ISNUMBER(B1387)),(B1388-B1387)*100,"")</f>
        <v/>
      </c>
      <c r="G1388" s="18">
        <f>IF(AND(ISNUMBER(C1388),ISNUMBER(C1387)),(C1388-C1387)*100,"")</f>
        <v/>
      </c>
      <c r="H1388" s="18">
        <f>IF(OR(NOT(ISNUMBER($A1388)),ROW()-2&lt;Settings!$B$11),NA(),IF(COUNT(OFFSET(F1388,1-Settings!$B$11,0,Settings!$B$11,1))&lt;Settings!$B$11,NA(),STDEV(OFFSET(F1388,1-Settings!$B$11,0,Settings!$B$11,1))*SQRT(Settings!$B$13)))</f>
        <v/>
      </c>
      <c r="I1388" s="18">
        <f>IF(OR(NOT(ISNUMBER($A1388)),ROW()-2&lt;Settings!$B$12),NA(),IF(COUNT(OFFSET(F1388,1-Settings!$B$12,0,Settings!$B$12,1))&lt;Settings!$B$12,NA(),STDEV(OFFSET(F1388,1-Settings!$B$12,0,Settings!$B$12,1))*SQRT(Settings!$B$13)))</f>
        <v/>
      </c>
      <c r="J1388" s="18">
        <f>IF(OR(NOT(ISNUMBER($A1388)),ROW()-2&lt;Settings!$B$11),NA(),IF(COUNT(OFFSET(G1388,1-Settings!$B$11,0,Settings!$B$11,1))&lt;Settings!$B$11,NA(),STDEV(OFFSET(G1388,1-Settings!$B$11,0,Settings!$B$11,1))*SQRT(Settings!$B$13)))</f>
        <v/>
      </c>
      <c r="K1388" s="18">
        <f>IF(OR(NOT(ISNUMBER($A1388)),ROW()-2&lt;Settings!$B$12),NA(),IF(COUNT(OFFSET(G1388,1-Settings!$B$12,0,Settings!$B$12,1))&lt;Settings!$B$12,NA(),STDEV(OFFSET(G1388,1-Settings!$B$12,0,Settings!$B$12,1))*SQRT(Settings!$B$13)))</f>
        <v/>
      </c>
      <c r="L1388" s="18">
        <f>IF(AND(ISNUMBER(D1388),ISNUMBER(H1388)),D1388-H1388,NA())</f>
        <v/>
      </c>
      <c r="M1388" s="18">
        <f>IF(AND(ISNUMBER(E1388),ISNUMBER(K1388)),E1388-K1388,NA())</f>
        <v/>
      </c>
      <c r="N1388" s="18">
        <f>IF(NOT(ISNUMBER($A1388)),NA(),IF(COUNT(OFFSET(G1388,1,0,Settings!$B$12,1))&lt;Settings!$B$12,NA(),STDEV(OFFSET(G1388,1,0,Settings!$B$12,1))*SQRT(Settings!$B$13)))</f>
        <v/>
      </c>
      <c r="O1388" s="18">
        <f>IF(AND(ISNUMBER(E1388),ISNUMBER(N1388)),E1388-N1388,NA())</f>
        <v/>
      </c>
      <c r="P1388" s="17">
        <f>IF(NOT(ISNUMBER($A1388)),NA(),IF(OR($A1388&lt;MIN(KW_TP!$A$2:$A$2501),$A1388&gt;MAX(KW_TP!$A$2:$A$2501)),NA(),INDEX(KW_TP!$C$2:$C$2501,MATCH($A1388,KW_TP!$A$2:$A$2501,1))))</f>
        <v/>
      </c>
    </row>
    <row r="1389">
      <c r="A1389" s="15">
        <f>IF(ISNUMBER(BBG_Data!A1389),BBG_Data!A1389,"")</f>
        <v/>
      </c>
      <c r="B1389" s="16">
        <f>IF(AND(ISNUMBER($A1389),ISNUMBER(BBG_Data!B1389)),BBG_Data!B1389,NA())</f>
        <v/>
      </c>
      <c r="C1389" s="16">
        <f>IF(AND(ISNUMBER($A1389),ISNUMBER(BBG_Data!C1389)),BBG_Data!C1389,NA())</f>
        <v/>
      </c>
      <c r="D1389" s="17">
        <f>IF(AND(ISNUMBER($A1389),ISNUMBER(BBG_Data!D1389)),BBG_Data!D1389,NA())</f>
        <v/>
      </c>
      <c r="E1389" s="17">
        <f>IF(AND(ISNUMBER($A1389),ISNUMBER(BBG_Data!E1389)),BBG_Data!E1389,NA())</f>
        <v/>
      </c>
      <c r="F1389" s="18">
        <f>IF(AND(ISNUMBER(B1389),ISNUMBER(B1388)),(B1389-B1388)*100,"")</f>
        <v/>
      </c>
      <c r="G1389" s="18">
        <f>IF(AND(ISNUMBER(C1389),ISNUMBER(C1388)),(C1389-C1388)*100,"")</f>
        <v/>
      </c>
      <c r="H1389" s="18">
        <f>IF(OR(NOT(ISNUMBER($A1389)),ROW()-2&lt;Settings!$B$11),NA(),IF(COUNT(OFFSET(F1389,1-Settings!$B$11,0,Settings!$B$11,1))&lt;Settings!$B$11,NA(),STDEV(OFFSET(F1389,1-Settings!$B$11,0,Settings!$B$11,1))*SQRT(Settings!$B$13)))</f>
        <v/>
      </c>
      <c r="I1389" s="18">
        <f>IF(OR(NOT(ISNUMBER($A1389)),ROW()-2&lt;Settings!$B$12),NA(),IF(COUNT(OFFSET(F1389,1-Settings!$B$12,0,Settings!$B$12,1))&lt;Settings!$B$12,NA(),STDEV(OFFSET(F1389,1-Settings!$B$12,0,Settings!$B$12,1))*SQRT(Settings!$B$13)))</f>
        <v/>
      </c>
      <c r="J1389" s="18">
        <f>IF(OR(NOT(ISNUMBER($A1389)),ROW()-2&lt;Settings!$B$11),NA(),IF(COUNT(OFFSET(G1389,1-Settings!$B$11,0,Settings!$B$11,1))&lt;Settings!$B$11,NA(),STDEV(OFFSET(G1389,1-Settings!$B$11,0,Settings!$B$11,1))*SQRT(Settings!$B$13)))</f>
        <v/>
      </c>
      <c r="K1389" s="18">
        <f>IF(OR(NOT(ISNUMBER($A1389)),ROW()-2&lt;Settings!$B$12),NA(),IF(COUNT(OFFSET(G1389,1-Settings!$B$12,0,Settings!$B$12,1))&lt;Settings!$B$12,NA(),STDEV(OFFSET(G1389,1-Settings!$B$12,0,Settings!$B$12,1))*SQRT(Settings!$B$13)))</f>
        <v/>
      </c>
      <c r="L1389" s="18">
        <f>IF(AND(ISNUMBER(D1389),ISNUMBER(H1389)),D1389-H1389,NA())</f>
        <v/>
      </c>
      <c r="M1389" s="18">
        <f>IF(AND(ISNUMBER(E1389),ISNUMBER(K1389)),E1389-K1389,NA())</f>
        <v/>
      </c>
      <c r="N1389" s="18">
        <f>IF(NOT(ISNUMBER($A1389)),NA(),IF(COUNT(OFFSET(G1389,1,0,Settings!$B$12,1))&lt;Settings!$B$12,NA(),STDEV(OFFSET(G1389,1,0,Settings!$B$12,1))*SQRT(Settings!$B$13)))</f>
        <v/>
      </c>
      <c r="O1389" s="18">
        <f>IF(AND(ISNUMBER(E1389),ISNUMBER(N1389)),E1389-N1389,NA())</f>
        <v/>
      </c>
      <c r="P1389" s="17">
        <f>IF(NOT(ISNUMBER($A1389)),NA(),IF(OR($A1389&lt;MIN(KW_TP!$A$2:$A$2501),$A1389&gt;MAX(KW_TP!$A$2:$A$2501)),NA(),INDEX(KW_TP!$C$2:$C$2501,MATCH($A1389,KW_TP!$A$2:$A$2501,1))))</f>
        <v/>
      </c>
    </row>
    <row r="1390">
      <c r="A1390" s="15">
        <f>IF(ISNUMBER(BBG_Data!A1390),BBG_Data!A1390,"")</f>
        <v/>
      </c>
      <c r="B1390" s="16">
        <f>IF(AND(ISNUMBER($A1390),ISNUMBER(BBG_Data!B1390)),BBG_Data!B1390,NA())</f>
        <v/>
      </c>
      <c r="C1390" s="16">
        <f>IF(AND(ISNUMBER($A1390),ISNUMBER(BBG_Data!C1390)),BBG_Data!C1390,NA())</f>
        <v/>
      </c>
      <c r="D1390" s="17">
        <f>IF(AND(ISNUMBER($A1390),ISNUMBER(BBG_Data!D1390)),BBG_Data!D1390,NA())</f>
        <v/>
      </c>
      <c r="E1390" s="17">
        <f>IF(AND(ISNUMBER($A1390),ISNUMBER(BBG_Data!E1390)),BBG_Data!E1390,NA())</f>
        <v/>
      </c>
      <c r="F1390" s="18">
        <f>IF(AND(ISNUMBER(B1390),ISNUMBER(B1389)),(B1390-B1389)*100,"")</f>
        <v/>
      </c>
      <c r="G1390" s="18">
        <f>IF(AND(ISNUMBER(C1390),ISNUMBER(C1389)),(C1390-C1389)*100,"")</f>
        <v/>
      </c>
      <c r="H1390" s="18">
        <f>IF(OR(NOT(ISNUMBER($A1390)),ROW()-2&lt;Settings!$B$11),NA(),IF(COUNT(OFFSET(F1390,1-Settings!$B$11,0,Settings!$B$11,1))&lt;Settings!$B$11,NA(),STDEV(OFFSET(F1390,1-Settings!$B$11,0,Settings!$B$11,1))*SQRT(Settings!$B$13)))</f>
        <v/>
      </c>
      <c r="I1390" s="18">
        <f>IF(OR(NOT(ISNUMBER($A1390)),ROW()-2&lt;Settings!$B$12),NA(),IF(COUNT(OFFSET(F1390,1-Settings!$B$12,0,Settings!$B$12,1))&lt;Settings!$B$12,NA(),STDEV(OFFSET(F1390,1-Settings!$B$12,0,Settings!$B$12,1))*SQRT(Settings!$B$13)))</f>
        <v/>
      </c>
      <c r="J1390" s="18">
        <f>IF(OR(NOT(ISNUMBER($A1390)),ROW()-2&lt;Settings!$B$11),NA(),IF(COUNT(OFFSET(G1390,1-Settings!$B$11,0,Settings!$B$11,1))&lt;Settings!$B$11,NA(),STDEV(OFFSET(G1390,1-Settings!$B$11,0,Settings!$B$11,1))*SQRT(Settings!$B$13)))</f>
        <v/>
      </c>
      <c r="K1390" s="18">
        <f>IF(OR(NOT(ISNUMBER($A1390)),ROW()-2&lt;Settings!$B$12),NA(),IF(COUNT(OFFSET(G1390,1-Settings!$B$12,0,Settings!$B$12,1))&lt;Settings!$B$12,NA(),STDEV(OFFSET(G1390,1-Settings!$B$12,0,Settings!$B$12,1))*SQRT(Settings!$B$13)))</f>
        <v/>
      </c>
      <c r="L1390" s="18">
        <f>IF(AND(ISNUMBER(D1390),ISNUMBER(H1390)),D1390-H1390,NA())</f>
        <v/>
      </c>
      <c r="M1390" s="18">
        <f>IF(AND(ISNUMBER(E1390),ISNUMBER(K1390)),E1390-K1390,NA())</f>
        <v/>
      </c>
      <c r="N1390" s="18">
        <f>IF(NOT(ISNUMBER($A1390)),NA(),IF(COUNT(OFFSET(G1390,1,0,Settings!$B$12,1))&lt;Settings!$B$12,NA(),STDEV(OFFSET(G1390,1,0,Settings!$B$12,1))*SQRT(Settings!$B$13)))</f>
        <v/>
      </c>
      <c r="O1390" s="18">
        <f>IF(AND(ISNUMBER(E1390),ISNUMBER(N1390)),E1390-N1390,NA())</f>
        <v/>
      </c>
      <c r="P1390" s="17">
        <f>IF(NOT(ISNUMBER($A1390)),NA(),IF(OR($A1390&lt;MIN(KW_TP!$A$2:$A$2501),$A1390&gt;MAX(KW_TP!$A$2:$A$2501)),NA(),INDEX(KW_TP!$C$2:$C$2501,MATCH($A1390,KW_TP!$A$2:$A$2501,1))))</f>
        <v/>
      </c>
    </row>
    <row r="1391">
      <c r="A1391" s="15">
        <f>IF(ISNUMBER(BBG_Data!A1391),BBG_Data!A1391,"")</f>
        <v/>
      </c>
      <c r="B1391" s="16">
        <f>IF(AND(ISNUMBER($A1391),ISNUMBER(BBG_Data!B1391)),BBG_Data!B1391,NA())</f>
        <v/>
      </c>
      <c r="C1391" s="16">
        <f>IF(AND(ISNUMBER($A1391),ISNUMBER(BBG_Data!C1391)),BBG_Data!C1391,NA())</f>
        <v/>
      </c>
      <c r="D1391" s="17">
        <f>IF(AND(ISNUMBER($A1391),ISNUMBER(BBG_Data!D1391)),BBG_Data!D1391,NA())</f>
        <v/>
      </c>
      <c r="E1391" s="17">
        <f>IF(AND(ISNUMBER($A1391),ISNUMBER(BBG_Data!E1391)),BBG_Data!E1391,NA())</f>
        <v/>
      </c>
      <c r="F1391" s="18">
        <f>IF(AND(ISNUMBER(B1391),ISNUMBER(B1390)),(B1391-B1390)*100,"")</f>
        <v/>
      </c>
      <c r="G1391" s="18">
        <f>IF(AND(ISNUMBER(C1391),ISNUMBER(C1390)),(C1391-C1390)*100,"")</f>
        <v/>
      </c>
      <c r="H1391" s="18">
        <f>IF(OR(NOT(ISNUMBER($A1391)),ROW()-2&lt;Settings!$B$11),NA(),IF(COUNT(OFFSET(F1391,1-Settings!$B$11,0,Settings!$B$11,1))&lt;Settings!$B$11,NA(),STDEV(OFFSET(F1391,1-Settings!$B$11,0,Settings!$B$11,1))*SQRT(Settings!$B$13)))</f>
        <v/>
      </c>
      <c r="I1391" s="18">
        <f>IF(OR(NOT(ISNUMBER($A1391)),ROW()-2&lt;Settings!$B$12),NA(),IF(COUNT(OFFSET(F1391,1-Settings!$B$12,0,Settings!$B$12,1))&lt;Settings!$B$12,NA(),STDEV(OFFSET(F1391,1-Settings!$B$12,0,Settings!$B$12,1))*SQRT(Settings!$B$13)))</f>
        <v/>
      </c>
      <c r="J1391" s="18">
        <f>IF(OR(NOT(ISNUMBER($A1391)),ROW()-2&lt;Settings!$B$11),NA(),IF(COUNT(OFFSET(G1391,1-Settings!$B$11,0,Settings!$B$11,1))&lt;Settings!$B$11,NA(),STDEV(OFFSET(G1391,1-Settings!$B$11,0,Settings!$B$11,1))*SQRT(Settings!$B$13)))</f>
        <v/>
      </c>
      <c r="K1391" s="18">
        <f>IF(OR(NOT(ISNUMBER($A1391)),ROW()-2&lt;Settings!$B$12),NA(),IF(COUNT(OFFSET(G1391,1-Settings!$B$12,0,Settings!$B$12,1))&lt;Settings!$B$12,NA(),STDEV(OFFSET(G1391,1-Settings!$B$12,0,Settings!$B$12,1))*SQRT(Settings!$B$13)))</f>
        <v/>
      </c>
      <c r="L1391" s="18">
        <f>IF(AND(ISNUMBER(D1391),ISNUMBER(H1391)),D1391-H1391,NA())</f>
        <v/>
      </c>
      <c r="M1391" s="18">
        <f>IF(AND(ISNUMBER(E1391),ISNUMBER(K1391)),E1391-K1391,NA())</f>
        <v/>
      </c>
      <c r="N1391" s="18">
        <f>IF(NOT(ISNUMBER($A1391)),NA(),IF(COUNT(OFFSET(G1391,1,0,Settings!$B$12,1))&lt;Settings!$B$12,NA(),STDEV(OFFSET(G1391,1,0,Settings!$B$12,1))*SQRT(Settings!$B$13)))</f>
        <v/>
      </c>
      <c r="O1391" s="18">
        <f>IF(AND(ISNUMBER(E1391),ISNUMBER(N1391)),E1391-N1391,NA())</f>
        <v/>
      </c>
      <c r="P1391" s="17">
        <f>IF(NOT(ISNUMBER($A1391)),NA(),IF(OR($A1391&lt;MIN(KW_TP!$A$2:$A$2501),$A1391&gt;MAX(KW_TP!$A$2:$A$2501)),NA(),INDEX(KW_TP!$C$2:$C$2501,MATCH($A1391,KW_TP!$A$2:$A$2501,1))))</f>
        <v/>
      </c>
    </row>
    <row r="1392">
      <c r="A1392" s="15">
        <f>IF(ISNUMBER(BBG_Data!A1392),BBG_Data!A1392,"")</f>
        <v/>
      </c>
      <c r="B1392" s="16">
        <f>IF(AND(ISNUMBER($A1392),ISNUMBER(BBG_Data!B1392)),BBG_Data!B1392,NA())</f>
        <v/>
      </c>
      <c r="C1392" s="16">
        <f>IF(AND(ISNUMBER($A1392),ISNUMBER(BBG_Data!C1392)),BBG_Data!C1392,NA())</f>
        <v/>
      </c>
      <c r="D1392" s="17">
        <f>IF(AND(ISNUMBER($A1392),ISNUMBER(BBG_Data!D1392)),BBG_Data!D1392,NA())</f>
        <v/>
      </c>
      <c r="E1392" s="17">
        <f>IF(AND(ISNUMBER($A1392),ISNUMBER(BBG_Data!E1392)),BBG_Data!E1392,NA())</f>
        <v/>
      </c>
      <c r="F1392" s="18">
        <f>IF(AND(ISNUMBER(B1392),ISNUMBER(B1391)),(B1392-B1391)*100,"")</f>
        <v/>
      </c>
      <c r="G1392" s="18">
        <f>IF(AND(ISNUMBER(C1392),ISNUMBER(C1391)),(C1392-C1391)*100,"")</f>
        <v/>
      </c>
      <c r="H1392" s="18">
        <f>IF(OR(NOT(ISNUMBER($A1392)),ROW()-2&lt;Settings!$B$11),NA(),IF(COUNT(OFFSET(F1392,1-Settings!$B$11,0,Settings!$B$11,1))&lt;Settings!$B$11,NA(),STDEV(OFFSET(F1392,1-Settings!$B$11,0,Settings!$B$11,1))*SQRT(Settings!$B$13)))</f>
        <v/>
      </c>
      <c r="I1392" s="18">
        <f>IF(OR(NOT(ISNUMBER($A1392)),ROW()-2&lt;Settings!$B$12),NA(),IF(COUNT(OFFSET(F1392,1-Settings!$B$12,0,Settings!$B$12,1))&lt;Settings!$B$12,NA(),STDEV(OFFSET(F1392,1-Settings!$B$12,0,Settings!$B$12,1))*SQRT(Settings!$B$13)))</f>
        <v/>
      </c>
      <c r="J1392" s="18">
        <f>IF(OR(NOT(ISNUMBER($A1392)),ROW()-2&lt;Settings!$B$11),NA(),IF(COUNT(OFFSET(G1392,1-Settings!$B$11,0,Settings!$B$11,1))&lt;Settings!$B$11,NA(),STDEV(OFFSET(G1392,1-Settings!$B$11,0,Settings!$B$11,1))*SQRT(Settings!$B$13)))</f>
        <v/>
      </c>
      <c r="K1392" s="18">
        <f>IF(OR(NOT(ISNUMBER($A1392)),ROW()-2&lt;Settings!$B$12),NA(),IF(COUNT(OFFSET(G1392,1-Settings!$B$12,0,Settings!$B$12,1))&lt;Settings!$B$12,NA(),STDEV(OFFSET(G1392,1-Settings!$B$12,0,Settings!$B$12,1))*SQRT(Settings!$B$13)))</f>
        <v/>
      </c>
      <c r="L1392" s="18">
        <f>IF(AND(ISNUMBER(D1392),ISNUMBER(H1392)),D1392-H1392,NA())</f>
        <v/>
      </c>
      <c r="M1392" s="18">
        <f>IF(AND(ISNUMBER(E1392),ISNUMBER(K1392)),E1392-K1392,NA())</f>
        <v/>
      </c>
      <c r="N1392" s="18">
        <f>IF(NOT(ISNUMBER($A1392)),NA(),IF(COUNT(OFFSET(G1392,1,0,Settings!$B$12,1))&lt;Settings!$B$12,NA(),STDEV(OFFSET(G1392,1,0,Settings!$B$12,1))*SQRT(Settings!$B$13)))</f>
        <v/>
      </c>
      <c r="O1392" s="18">
        <f>IF(AND(ISNUMBER(E1392),ISNUMBER(N1392)),E1392-N1392,NA())</f>
        <v/>
      </c>
      <c r="P1392" s="17">
        <f>IF(NOT(ISNUMBER($A1392)),NA(),IF(OR($A1392&lt;MIN(KW_TP!$A$2:$A$2501),$A1392&gt;MAX(KW_TP!$A$2:$A$2501)),NA(),INDEX(KW_TP!$C$2:$C$2501,MATCH($A1392,KW_TP!$A$2:$A$2501,1))))</f>
        <v/>
      </c>
    </row>
    <row r="1393">
      <c r="A1393" s="15">
        <f>IF(ISNUMBER(BBG_Data!A1393),BBG_Data!A1393,"")</f>
        <v/>
      </c>
      <c r="B1393" s="16">
        <f>IF(AND(ISNUMBER($A1393),ISNUMBER(BBG_Data!B1393)),BBG_Data!B1393,NA())</f>
        <v/>
      </c>
      <c r="C1393" s="16">
        <f>IF(AND(ISNUMBER($A1393),ISNUMBER(BBG_Data!C1393)),BBG_Data!C1393,NA())</f>
        <v/>
      </c>
      <c r="D1393" s="17">
        <f>IF(AND(ISNUMBER($A1393),ISNUMBER(BBG_Data!D1393)),BBG_Data!D1393,NA())</f>
        <v/>
      </c>
      <c r="E1393" s="17">
        <f>IF(AND(ISNUMBER($A1393),ISNUMBER(BBG_Data!E1393)),BBG_Data!E1393,NA())</f>
        <v/>
      </c>
      <c r="F1393" s="18">
        <f>IF(AND(ISNUMBER(B1393),ISNUMBER(B1392)),(B1393-B1392)*100,"")</f>
        <v/>
      </c>
      <c r="G1393" s="18">
        <f>IF(AND(ISNUMBER(C1393),ISNUMBER(C1392)),(C1393-C1392)*100,"")</f>
        <v/>
      </c>
      <c r="H1393" s="18">
        <f>IF(OR(NOT(ISNUMBER($A1393)),ROW()-2&lt;Settings!$B$11),NA(),IF(COUNT(OFFSET(F1393,1-Settings!$B$11,0,Settings!$B$11,1))&lt;Settings!$B$11,NA(),STDEV(OFFSET(F1393,1-Settings!$B$11,0,Settings!$B$11,1))*SQRT(Settings!$B$13)))</f>
        <v/>
      </c>
      <c r="I1393" s="18">
        <f>IF(OR(NOT(ISNUMBER($A1393)),ROW()-2&lt;Settings!$B$12),NA(),IF(COUNT(OFFSET(F1393,1-Settings!$B$12,0,Settings!$B$12,1))&lt;Settings!$B$12,NA(),STDEV(OFFSET(F1393,1-Settings!$B$12,0,Settings!$B$12,1))*SQRT(Settings!$B$13)))</f>
        <v/>
      </c>
      <c r="J1393" s="18">
        <f>IF(OR(NOT(ISNUMBER($A1393)),ROW()-2&lt;Settings!$B$11),NA(),IF(COUNT(OFFSET(G1393,1-Settings!$B$11,0,Settings!$B$11,1))&lt;Settings!$B$11,NA(),STDEV(OFFSET(G1393,1-Settings!$B$11,0,Settings!$B$11,1))*SQRT(Settings!$B$13)))</f>
        <v/>
      </c>
      <c r="K1393" s="18">
        <f>IF(OR(NOT(ISNUMBER($A1393)),ROW()-2&lt;Settings!$B$12),NA(),IF(COUNT(OFFSET(G1393,1-Settings!$B$12,0,Settings!$B$12,1))&lt;Settings!$B$12,NA(),STDEV(OFFSET(G1393,1-Settings!$B$12,0,Settings!$B$12,1))*SQRT(Settings!$B$13)))</f>
        <v/>
      </c>
      <c r="L1393" s="18">
        <f>IF(AND(ISNUMBER(D1393),ISNUMBER(H1393)),D1393-H1393,NA())</f>
        <v/>
      </c>
      <c r="M1393" s="18">
        <f>IF(AND(ISNUMBER(E1393),ISNUMBER(K1393)),E1393-K1393,NA())</f>
        <v/>
      </c>
      <c r="N1393" s="18">
        <f>IF(NOT(ISNUMBER($A1393)),NA(),IF(COUNT(OFFSET(G1393,1,0,Settings!$B$12,1))&lt;Settings!$B$12,NA(),STDEV(OFFSET(G1393,1,0,Settings!$B$12,1))*SQRT(Settings!$B$13)))</f>
        <v/>
      </c>
      <c r="O1393" s="18">
        <f>IF(AND(ISNUMBER(E1393),ISNUMBER(N1393)),E1393-N1393,NA())</f>
        <v/>
      </c>
      <c r="P1393" s="17">
        <f>IF(NOT(ISNUMBER($A1393)),NA(),IF(OR($A1393&lt;MIN(KW_TP!$A$2:$A$2501),$A1393&gt;MAX(KW_TP!$A$2:$A$2501)),NA(),INDEX(KW_TP!$C$2:$C$2501,MATCH($A1393,KW_TP!$A$2:$A$2501,1))))</f>
        <v/>
      </c>
    </row>
    <row r="1394">
      <c r="A1394" s="15">
        <f>IF(ISNUMBER(BBG_Data!A1394),BBG_Data!A1394,"")</f>
        <v/>
      </c>
      <c r="B1394" s="16">
        <f>IF(AND(ISNUMBER($A1394),ISNUMBER(BBG_Data!B1394)),BBG_Data!B1394,NA())</f>
        <v/>
      </c>
      <c r="C1394" s="16">
        <f>IF(AND(ISNUMBER($A1394),ISNUMBER(BBG_Data!C1394)),BBG_Data!C1394,NA())</f>
        <v/>
      </c>
      <c r="D1394" s="17">
        <f>IF(AND(ISNUMBER($A1394),ISNUMBER(BBG_Data!D1394)),BBG_Data!D1394,NA())</f>
        <v/>
      </c>
      <c r="E1394" s="17">
        <f>IF(AND(ISNUMBER($A1394),ISNUMBER(BBG_Data!E1394)),BBG_Data!E1394,NA())</f>
        <v/>
      </c>
      <c r="F1394" s="18">
        <f>IF(AND(ISNUMBER(B1394),ISNUMBER(B1393)),(B1394-B1393)*100,"")</f>
        <v/>
      </c>
      <c r="G1394" s="18">
        <f>IF(AND(ISNUMBER(C1394),ISNUMBER(C1393)),(C1394-C1393)*100,"")</f>
        <v/>
      </c>
      <c r="H1394" s="18">
        <f>IF(OR(NOT(ISNUMBER($A1394)),ROW()-2&lt;Settings!$B$11),NA(),IF(COUNT(OFFSET(F1394,1-Settings!$B$11,0,Settings!$B$11,1))&lt;Settings!$B$11,NA(),STDEV(OFFSET(F1394,1-Settings!$B$11,0,Settings!$B$11,1))*SQRT(Settings!$B$13)))</f>
        <v/>
      </c>
      <c r="I1394" s="18">
        <f>IF(OR(NOT(ISNUMBER($A1394)),ROW()-2&lt;Settings!$B$12),NA(),IF(COUNT(OFFSET(F1394,1-Settings!$B$12,0,Settings!$B$12,1))&lt;Settings!$B$12,NA(),STDEV(OFFSET(F1394,1-Settings!$B$12,0,Settings!$B$12,1))*SQRT(Settings!$B$13)))</f>
        <v/>
      </c>
      <c r="J1394" s="18">
        <f>IF(OR(NOT(ISNUMBER($A1394)),ROW()-2&lt;Settings!$B$11),NA(),IF(COUNT(OFFSET(G1394,1-Settings!$B$11,0,Settings!$B$11,1))&lt;Settings!$B$11,NA(),STDEV(OFFSET(G1394,1-Settings!$B$11,0,Settings!$B$11,1))*SQRT(Settings!$B$13)))</f>
        <v/>
      </c>
      <c r="K1394" s="18">
        <f>IF(OR(NOT(ISNUMBER($A1394)),ROW()-2&lt;Settings!$B$12),NA(),IF(COUNT(OFFSET(G1394,1-Settings!$B$12,0,Settings!$B$12,1))&lt;Settings!$B$12,NA(),STDEV(OFFSET(G1394,1-Settings!$B$12,0,Settings!$B$12,1))*SQRT(Settings!$B$13)))</f>
        <v/>
      </c>
      <c r="L1394" s="18">
        <f>IF(AND(ISNUMBER(D1394),ISNUMBER(H1394)),D1394-H1394,NA())</f>
        <v/>
      </c>
      <c r="M1394" s="18">
        <f>IF(AND(ISNUMBER(E1394),ISNUMBER(K1394)),E1394-K1394,NA())</f>
        <v/>
      </c>
      <c r="N1394" s="18">
        <f>IF(NOT(ISNUMBER($A1394)),NA(),IF(COUNT(OFFSET(G1394,1,0,Settings!$B$12,1))&lt;Settings!$B$12,NA(),STDEV(OFFSET(G1394,1,0,Settings!$B$12,1))*SQRT(Settings!$B$13)))</f>
        <v/>
      </c>
      <c r="O1394" s="18">
        <f>IF(AND(ISNUMBER(E1394),ISNUMBER(N1394)),E1394-N1394,NA())</f>
        <v/>
      </c>
      <c r="P1394" s="17">
        <f>IF(NOT(ISNUMBER($A1394)),NA(),IF(OR($A1394&lt;MIN(KW_TP!$A$2:$A$2501),$A1394&gt;MAX(KW_TP!$A$2:$A$2501)),NA(),INDEX(KW_TP!$C$2:$C$2501,MATCH($A1394,KW_TP!$A$2:$A$2501,1))))</f>
        <v/>
      </c>
    </row>
    <row r="1395">
      <c r="A1395" s="15">
        <f>IF(ISNUMBER(BBG_Data!A1395),BBG_Data!A1395,"")</f>
        <v/>
      </c>
      <c r="B1395" s="16">
        <f>IF(AND(ISNUMBER($A1395),ISNUMBER(BBG_Data!B1395)),BBG_Data!B1395,NA())</f>
        <v/>
      </c>
      <c r="C1395" s="16">
        <f>IF(AND(ISNUMBER($A1395),ISNUMBER(BBG_Data!C1395)),BBG_Data!C1395,NA())</f>
        <v/>
      </c>
      <c r="D1395" s="17">
        <f>IF(AND(ISNUMBER($A1395),ISNUMBER(BBG_Data!D1395)),BBG_Data!D1395,NA())</f>
        <v/>
      </c>
      <c r="E1395" s="17">
        <f>IF(AND(ISNUMBER($A1395),ISNUMBER(BBG_Data!E1395)),BBG_Data!E1395,NA())</f>
        <v/>
      </c>
      <c r="F1395" s="18">
        <f>IF(AND(ISNUMBER(B1395),ISNUMBER(B1394)),(B1395-B1394)*100,"")</f>
        <v/>
      </c>
      <c r="G1395" s="18">
        <f>IF(AND(ISNUMBER(C1395),ISNUMBER(C1394)),(C1395-C1394)*100,"")</f>
        <v/>
      </c>
      <c r="H1395" s="18">
        <f>IF(OR(NOT(ISNUMBER($A1395)),ROW()-2&lt;Settings!$B$11),NA(),IF(COUNT(OFFSET(F1395,1-Settings!$B$11,0,Settings!$B$11,1))&lt;Settings!$B$11,NA(),STDEV(OFFSET(F1395,1-Settings!$B$11,0,Settings!$B$11,1))*SQRT(Settings!$B$13)))</f>
        <v/>
      </c>
      <c r="I1395" s="18">
        <f>IF(OR(NOT(ISNUMBER($A1395)),ROW()-2&lt;Settings!$B$12),NA(),IF(COUNT(OFFSET(F1395,1-Settings!$B$12,0,Settings!$B$12,1))&lt;Settings!$B$12,NA(),STDEV(OFFSET(F1395,1-Settings!$B$12,0,Settings!$B$12,1))*SQRT(Settings!$B$13)))</f>
        <v/>
      </c>
      <c r="J1395" s="18">
        <f>IF(OR(NOT(ISNUMBER($A1395)),ROW()-2&lt;Settings!$B$11),NA(),IF(COUNT(OFFSET(G1395,1-Settings!$B$11,0,Settings!$B$11,1))&lt;Settings!$B$11,NA(),STDEV(OFFSET(G1395,1-Settings!$B$11,0,Settings!$B$11,1))*SQRT(Settings!$B$13)))</f>
        <v/>
      </c>
      <c r="K1395" s="18">
        <f>IF(OR(NOT(ISNUMBER($A1395)),ROW()-2&lt;Settings!$B$12),NA(),IF(COUNT(OFFSET(G1395,1-Settings!$B$12,0,Settings!$B$12,1))&lt;Settings!$B$12,NA(),STDEV(OFFSET(G1395,1-Settings!$B$12,0,Settings!$B$12,1))*SQRT(Settings!$B$13)))</f>
        <v/>
      </c>
      <c r="L1395" s="18">
        <f>IF(AND(ISNUMBER(D1395),ISNUMBER(H1395)),D1395-H1395,NA())</f>
        <v/>
      </c>
      <c r="M1395" s="18">
        <f>IF(AND(ISNUMBER(E1395),ISNUMBER(K1395)),E1395-K1395,NA())</f>
        <v/>
      </c>
      <c r="N1395" s="18">
        <f>IF(NOT(ISNUMBER($A1395)),NA(),IF(COUNT(OFFSET(G1395,1,0,Settings!$B$12,1))&lt;Settings!$B$12,NA(),STDEV(OFFSET(G1395,1,0,Settings!$B$12,1))*SQRT(Settings!$B$13)))</f>
        <v/>
      </c>
      <c r="O1395" s="18">
        <f>IF(AND(ISNUMBER(E1395),ISNUMBER(N1395)),E1395-N1395,NA())</f>
        <v/>
      </c>
      <c r="P1395" s="17">
        <f>IF(NOT(ISNUMBER($A1395)),NA(),IF(OR($A1395&lt;MIN(KW_TP!$A$2:$A$2501),$A1395&gt;MAX(KW_TP!$A$2:$A$2501)),NA(),INDEX(KW_TP!$C$2:$C$2501,MATCH($A1395,KW_TP!$A$2:$A$2501,1))))</f>
        <v/>
      </c>
    </row>
    <row r="1396">
      <c r="A1396" s="15">
        <f>IF(ISNUMBER(BBG_Data!A1396),BBG_Data!A1396,"")</f>
        <v/>
      </c>
      <c r="B1396" s="16">
        <f>IF(AND(ISNUMBER($A1396),ISNUMBER(BBG_Data!B1396)),BBG_Data!B1396,NA())</f>
        <v/>
      </c>
      <c r="C1396" s="16">
        <f>IF(AND(ISNUMBER($A1396),ISNUMBER(BBG_Data!C1396)),BBG_Data!C1396,NA())</f>
        <v/>
      </c>
      <c r="D1396" s="17">
        <f>IF(AND(ISNUMBER($A1396),ISNUMBER(BBG_Data!D1396)),BBG_Data!D1396,NA())</f>
        <v/>
      </c>
      <c r="E1396" s="17">
        <f>IF(AND(ISNUMBER($A1396),ISNUMBER(BBG_Data!E1396)),BBG_Data!E1396,NA())</f>
        <v/>
      </c>
      <c r="F1396" s="18">
        <f>IF(AND(ISNUMBER(B1396),ISNUMBER(B1395)),(B1396-B1395)*100,"")</f>
        <v/>
      </c>
      <c r="G1396" s="18">
        <f>IF(AND(ISNUMBER(C1396),ISNUMBER(C1395)),(C1396-C1395)*100,"")</f>
        <v/>
      </c>
      <c r="H1396" s="18">
        <f>IF(OR(NOT(ISNUMBER($A1396)),ROW()-2&lt;Settings!$B$11),NA(),IF(COUNT(OFFSET(F1396,1-Settings!$B$11,0,Settings!$B$11,1))&lt;Settings!$B$11,NA(),STDEV(OFFSET(F1396,1-Settings!$B$11,0,Settings!$B$11,1))*SQRT(Settings!$B$13)))</f>
        <v/>
      </c>
      <c r="I1396" s="18">
        <f>IF(OR(NOT(ISNUMBER($A1396)),ROW()-2&lt;Settings!$B$12),NA(),IF(COUNT(OFFSET(F1396,1-Settings!$B$12,0,Settings!$B$12,1))&lt;Settings!$B$12,NA(),STDEV(OFFSET(F1396,1-Settings!$B$12,0,Settings!$B$12,1))*SQRT(Settings!$B$13)))</f>
        <v/>
      </c>
      <c r="J1396" s="18">
        <f>IF(OR(NOT(ISNUMBER($A1396)),ROW()-2&lt;Settings!$B$11),NA(),IF(COUNT(OFFSET(G1396,1-Settings!$B$11,0,Settings!$B$11,1))&lt;Settings!$B$11,NA(),STDEV(OFFSET(G1396,1-Settings!$B$11,0,Settings!$B$11,1))*SQRT(Settings!$B$13)))</f>
        <v/>
      </c>
      <c r="K1396" s="18">
        <f>IF(OR(NOT(ISNUMBER($A1396)),ROW()-2&lt;Settings!$B$12),NA(),IF(COUNT(OFFSET(G1396,1-Settings!$B$12,0,Settings!$B$12,1))&lt;Settings!$B$12,NA(),STDEV(OFFSET(G1396,1-Settings!$B$12,0,Settings!$B$12,1))*SQRT(Settings!$B$13)))</f>
        <v/>
      </c>
      <c r="L1396" s="18">
        <f>IF(AND(ISNUMBER(D1396),ISNUMBER(H1396)),D1396-H1396,NA())</f>
        <v/>
      </c>
      <c r="M1396" s="18">
        <f>IF(AND(ISNUMBER(E1396),ISNUMBER(K1396)),E1396-K1396,NA())</f>
        <v/>
      </c>
      <c r="N1396" s="18">
        <f>IF(NOT(ISNUMBER($A1396)),NA(),IF(COUNT(OFFSET(G1396,1,0,Settings!$B$12,1))&lt;Settings!$B$12,NA(),STDEV(OFFSET(G1396,1,0,Settings!$B$12,1))*SQRT(Settings!$B$13)))</f>
        <v/>
      </c>
      <c r="O1396" s="18">
        <f>IF(AND(ISNUMBER(E1396),ISNUMBER(N1396)),E1396-N1396,NA())</f>
        <v/>
      </c>
      <c r="P1396" s="17">
        <f>IF(NOT(ISNUMBER($A1396)),NA(),IF(OR($A1396&lt;MIN(KW_TP!$A$2:$A$2501),$A1396&gt;MAX(KW_TP!$A$2:$A$2501)),NA(),INDEX(KW_TP!$C$2:$C$2501,MATCH($A1396,KW_TP!$A$2:$A$2501,1))))</f>
        <v/>
      </c>
    </row>
    <row r="1397">
      <c r="A1397" s="15">
        <f>IF(ISNUMBER(BBG_Data!A1397),BBG_Data!A1397,"")</f>
        <v/>
      </c>
      <c r="B1397" s="16">
        <f>IF(AND(ISNUMBER($A1397),ISNUMBER(BBG_Data!B1397)),BBG_Data!B1397,NA())</f>
        <v/>
      </c>
      <c r="C1397" s="16">
        <f>IF(AND(ISNUMBER($A1397),ISNUMBER(BBG_Data!C1397)),BBG_Data!C1397,NA())</f>
        <v/>
      </c>
      <c r="D1397" s="17">
        <f>IF(AND(ISNUMBER($A1397),ISNUMBER(BBG_Data!D1397)),BBG_Data!D1397,NA())</f>
        <v/>
      </c>
      <c r="E1397" s="17">
        <f>IF(AND(ISNUMBER($A1397),ISNUMBER(BBG_Data!E1397)),BBG_Data!E1397,NA())</f>
        <v/>
      </c>
      <c r="F1397" s="18">
        <f>IF(AND(ISNUMBER(B1397),ISNUMBER(B1396)),(B1397-B1396)*100,"")</f>
        <v/>
      </c>
      <c r="G1397" s="18">
        <f>IF(AND(ISNUMBER(C1397),ISNUMBER(C1396)),(C1397-C1396)*100,"")</f>
        <v/>
      </c>
      <c r="H1397" s="18">
        <f>IF(OR(NOT(ISNUMBER($A1397)),ROW()-2&lt;Settings!$B$11),NA(),IF(COUNT(OFFSET(F1397,1-Settings!$B$11,0,Settings!$B$11,1))&lt;Settings!$B$11,NA(),STDEV(OFFSET(F1397,1-Settings!$B$11,0,Settings!$B$11,1))*SQRT(Settings!$B$13)))</f>
        <v/>
      </c>
      <c r="I1397" s="18">
        <f>IF(OR(NOT(ISNUMBER($A1397)),ROW()-2&lt;Settings!$B$12),NA(),IF(COUNT(OFFSET(F1397,1-Settings!$B$12,0,Settings!$B$12,1))&lt;Settings!$B$12,NA(),STDEV(OFFSET(F1397,1-Settings!$B$12,0,Settings!$B$12,1))*SQRT(Settings!$B$13)))</f>
        <v/>
      </c>
      <c r="J1397" s="18">
        <f>IF(OR(NOT(ISNUMBER($A1397)),ROW()-2&lt;Settings!$B$11),NA(),IF(COUNT(OFFSET(G1397,1-Settings!$B$11,0,Settings!$B$11,1))&lt;Settings!$B$11,NA(),STDEV(OFFSET(G1397,1-Settings!$B$11,0,Settings!$B$11,1))*SQRT(Settings!$B$13)))</f>
        <v/>
      </c>
      <c r="K1397" s="18">
        <f>IF(OR(NOT(ISNUMBER($A1397)),ROW()-2&lt;Settings!$B$12),NA(),IF(COUNT(OFFSET(G1397,1-Settings!$B$12,0,Settings!$B$12,1))&lt;Settings!$B$12,NA(),STDEV(OFFSET(G1397,1-Settings!$B$12,0,Settings!$B$12,1))*SQRT(Settings!$B$13)))</f>
        <v/>
      </c>
      <c r="L1397" s="18">
        <f>IF(AND(ISNUMBER(D1397),ISNUMBER(H1397)),D1397-H1397,NA())</f>
        <v/>
      </c>
      <c r="M1397" s="18">
        <f>IF(AND(ISNUMBER(E1397),ISNUMBER(K1397)),E1397-K1397,NA())</f>
        <v/>
      </c>
      <c r="N1397" s="18">
        <f>IF(NOT(ISNUMBER($A1397)),NA(),IF(COUNT(OFFSET(G1397,1,0,Settings!$B$12,1))&lt;Settings!$B$12,NA(),STDEV(OFFSET(G1397,1,0,Settings!$B$12,1))*SQRT(Settings!$B$13)))</f>
        <v/>
      </c>
      <c r="O1397" s="18">
        <f>IF(AND(ISNUMBER(E1397),ISNUMBER(N1397)),E1397-N1397,NA())</f>
        <v/>
      </c>
      <c r="P1397" s="17">
        <f>IF(NOT(ISNUMBER($A1397)),NA(),IF(OR($A1397&lt;MIN(KW_TP!$A$2:$A$2501),$A1397&gt;MAX(KW_TP!$A$2:$A$2501)),NA(),INDEX(KW_TP!$C$2:$C$2501,MATCH($A1397,KW_TP!$A$2:$A$2501,1))))</f>
        <v/>
      </c>
    </row>
    <row r="1398">
      <c r="A1398" s="15">
        <f>IF(ISNUMBER(BBG_Data!A1398),BBG_Data!A1398,"")</f>
        <v/>
      </c>
      <c r="B1398" s="16">
        <f>IF(AND(ISNUMBER($A1398),ISNUMBER(BBG_Data!B1398)),BBG_Data!B1398,NA())</f>
        <v/>
      </c>
      <c r="C1398" s="16">
        <f>IF(AND(ISNUMBER($A1398),ISNUMBER(BBG_Data!C1398)),BBG_Data!C1398,NA())</f>
        <v/>
      </c>
      <c r="D1398" s="17">
        <f>IF(AND(ISNUMBER($A1398),ISNUMBER(BBG_Data!D1398)),BBG_Data!D1398,NA())</f>
        <v/>
      </c>
      <c r="E1398" s="17">
        <f>IF(AND(ISNUMBER($A1398),ISNUMBER(BBG_Data!E1398)),BBG_Data!E1398,NA())</f>
        <v/>
      </c>
      <c r="F1398" s="18">
        <f>IF(AND(ISNUMBER(B1398),ISNUMBER(B1397)),(B1398-B1397)*100,"")</f>
        <v/>
      </c>
      <c r="G1398" s="18">
        <f>IF(AND(ISNUMBER(C1398),ISNUMBER(C1397)),(C1398-C1397)*100,"")</f>
        <v/>
      </c>
      <c r="H1398" s="18">
        <f>IF(OR(NOT(ISNUMBER($A1398)),ROW()-2&lt;Settings!$B$11),NA(),IF(COUNT(OFFSET(F1398,1-Settings!$B$11,0,Settings!$B$11,1))&lt;Settings!$B$11,NA(),STDEV(OFFSET(F1398,1-Settings!$B$11,0,Settings!$B$11,1))*SQRT(Settings!$B$13)))</f>
        <v/>
      </c>
      <c r="I1398" s="18">
        <f>IF(OR(NOT(ISNUMBER($A1398)),ROW()-2&lt;Settings!$B$12),NA(),IF(COUNT(OFFSET(F1398,1-Settings!$B$12,0,Settings!$B$12,1))&lt;Settings!$B$12,NA(),STDEV(OFFSET(F1398,1-Settings!$B$12,0,Settings!$B$12,1))*SQRT(Settings!$B$13)))</f>
        <v/>
      </c>
      <c r="J1398" s="18">
        <f>IF(OR(NOT(ISNUMBER($A1398)),ROW()-2&lt;Settings!$B$11),NA(),IF(COUNT(OFFSET(G1398,1-Settings!$B$11,0,Settings!$B$11,1))&lt;Settings!$B$11,NA(),STDEV(OFFSET(G1398,1-Settings!$B$11,0,Settings!$B$11,1))*SQRT(Settings!$B$13)))</f>
        <v/>
      </c>
      <c r="K1398" s="18">
        <f>IF(OR(NOT(ISNUMBER($A1398)),ROW()-2&lt;Settings!$B$12),NA(),IF(COUNT(OFFSET(G1398,1-Settings!$B$12,0,Settings!$B$12,1))&lt;Settings!$B$12,NA(),STDEV(OFFSET(G1398,1-Settings!$B$12,0,Settings!$B$12,1))*SQRT(Settings!$B$13)))</f>
        <v/>
      </c>
      <c r="L1398" s="18">
        <f>IF(AND(ISNUMBER(D1398),ISNUMBER(H1398)),D1398-H1398,NA())</f>
        <v/>
      </c>
      <c r="M1398" s="18">
        <f>IF(AND(ISNUMBER(E1398),ISNUMBER(K1398)),E1398-K1398,NA())</f>
        <v/>
      </c>
      <c r="N1398" s="18">
        <f>IF(NOT(ISNUMBER($A1398)),NA(),IF(COUNT(OFFSET(G1398,1,0,Settings!$B$12,1))&lt;Settings!$B$12,NA(),STDEV(OFFSET(G1398,1,0,Settings!$B$12,1))*SQRT(Settings!$B$13)))</f>
        <v/>
      </c>
      <c r="O1398" s="18">
        <f>IF(AND(ISNUMBER(E1398),ISNUMBER(N1398)),E1398-N1398,NA())</f>
        <v/>
      </c>
      <c r="P1398" s="17">
        <f>IF(NOT(ISNUMBER($A1398)),NA(),IF(OR($A1398&lt;MIN(KW_TP!$A$2:$A$2501),$A1398&gt;MAX(KW_TP!$A$2:$A$2501)),NA(),INDEX(KW_TP!$C$2:$C$2501,MATCH($A1398,KW_TP!$A$2:$A$2501,1))))</f>
        <v/>
      </c>
    </row>
    <row r="1399">
      <c r="A1399" s="15">
        <f>IF(ISNUMBER(BBG_Data!A1399),BBG_Data!A1399,"")</f>
        <v/>
      </c>
      <c r="B1399" s="16">
        <f>IF(AND(ISNUMBER($A1399),ISNUMBER(BBG_Data!B1399)),BBG_Data!B1399,NA())</f>
        <v/>
      </c>
      <c r="C1399" s="16">
        <f>IF(AND(ISNUMBER($A1399),ISNUMBER(BBG_Data!C1399)),BBG_Data!C1399,NA())</f>
        <v/>
      </c>
      <c r="D1399" s="17">
        <f>IF(AND(ISNUMBER($A1399),ISNUMBER(BBG_Data!D1399)),BBG_Data!D1399,NA())</f>
        <v/>
      </c>
      <c r="E1399" s="17">
        <f>IF(AND(ISNUMBER($A1399),ISNUMBER(BBG_Data!E1399)),BBG_Data!E1399,NA())</f>
        <v/>
      </c>
      <c r="F1399" s="18">
        <f>IF(AND(ISNUMBER(B1399),ISNUMBER(B1398)),(B1399-B1398)*100,"")</f>
        <v/>
      </c>
      <c r="G1399" s="18">
        <f>IF(AND(ISNUMBER(C1399),ISNUMBER(C1398)),(C1399-C1398)*100,"")</f>
        <v/>
      </c>
      <c r="H1399" s="18">
        <f>IF(OR(NOT(ISNUMBER($A1399)),ROW()-2&lt;Settings!$B$11),NA(),IF(COUNT(OFFSET(F1399,1-Settings!$B$11,0,Settings!$B$11,1))&lt;Settings!$B$11,NA(),STDEV(OFFSET(F1399,1-Settings!$B$11,0,Settings!$B$11,1))*SQRT(Settings!$B$13)))</f>
        <v/>
      </c>
      <c r="I1399" s="18">
        <f>IF(OR(NOT(ISNUMBER($A1399)),ROW()-2&lt;Settings!$B$12),NA(),IF(COUNT(OFFSET(F1399,1-Settings!$B$12,0,Settings!$B$12,1))&lt;Settings!$B$12,NA(),STDEV(OFFSET(F1399,1-Settings!$B$12,0,Settings!$B$12,1))*SQRT(Settings!$B$13)))</f>
        <v/>
      </c>
      <c r="J1399" s="18">
        <f>IF(OR(NOT(ISNUMBER($A1399)),ROW()-2&lt;Settings!$B$11),NA(),IF(COUNT(OFFSET(G1399,1-Settings!$B$11,0,Settings!$B$11,1))&lt;Settings!$B$11,NA(),STDEV(OFFSET(G1399,1-Settings!$B$11,0,Settings!$B$11,1))*SQRT(Settings!$B$13)))</f>
        <v/>
      </c>
      <c r="K1399" s="18">
        <f>IF(OR(NOT(ISNUMBER($A1399)),ROW()-2&lt;Settings!$B$12),NA(),IF(COUNT(OFFSET(G1399,1-Settings!$B$12,0,Settings!$B$12,1))&lt;Settings!$B$12,NA(),STDEV(OFFSET(G1399,1-Settings!$B$12,0,Settings!$B$12,1))*SQRT(Settings!$B$13)))</f>
        <v/>
      </c>
      <c r="L1399" s="18">
        <f>IF(AND(ISNUMBER(D1399),ISNUMBER(H1399)),D1399-H1399,NA())</f>
        <v/>
      </c>
      <c r="M1399" s="18">
        <f>IF(AND(ISNUMBER(E1399),ISNUMBER(K1399)),E1399-K1399,NA())</f>
        <v/>
      </c>
      <c r="N1399" s="18">
        <f>IF(NOT(ISNUMBER($A1399)),NA(),IF(COUNT(OFFSET(G1399,1,0,Settings!$B$12,1))&lt;Settings!$B$12,NA(),STDEV(OFFSET(G1399,1,0,Settings!$B$12,1))*SQRT(Settings!$B$13)))</f>
        <v/>
      </c>
      <c r="O1399" s="18">
        <f>IF(AND(ISNUMBER(E1399),ISNUMBER(N1399)),E1399-N1399,NA())</f>
        <v/>
      </c>
      <c r="P1399" s="17">
        <f>IF(NOT(ISNUMBER($A1399)),NA(),IF(OR($A1399&lt;MIN(KW_TP!$A$2:$A$2501),$A1399&gt;MAX(KW_TP!$A$2:$A$2501)),NA(),INDEX(KW_TP!$C$2:$C$2501,MATCH($A1399,KW_TP!$A$2:$A$2501,1))))</f>
        <v/>
      </c>
    </row>
    <row r="1400">
      <c r="A1400" s="15">
        <f>IF(ISNUMBER(BBG_Data!A1400),BBG_Data!A1400,"")</f>
        <v/>
      </c>
      <c r="B1400" s="16">
        <f>IF(AND(ISNUMBER($A1400),ISNUMBER(BBG_Data!B1400)),BBG_Data!B1400,NA())</f>
        <v/>
      </c>
      <c r="C1400" s="16">
        <f>IF(AND(ISNUMBER($A1400),ISNUMBER(BBG_Data!C1400)),BBG_Data!C1400,NA())</f>
        <v/>
      </c>
      <c r="D1400" s="17">
        <f>IF(AND(ISNUMBER($A1400),ISNUMBER(BBG_Data!D1400)),BBG_Data!D1400,NA())</f>
        <v/>
      </c>
      <c r="E1400" s="17">
        <f>IF(AND(ISNUMBER($A1400),ISNUMBER(BBG_Data!E1400)),BBG_Data!E1400,NA())</f>
        <v/>
      </c>
      <c r="F1400" s="18">
        <f>IF(AND(ISNUMBER(B1400),ISNUMBER(B1399)),(B1400-B1399)*100,"")</f>
        <v/>
      </c>
      <c r="G1400" s="18">
        <f>IF(AND(ISNUMBER(C1400),ISNUMBER(C1399)),(C1400-C1399)*100,"")</f>
        <v/>
      </c>
      <c r="H1400" s="18">
        <f>IF(OR(NOT(ISNUMBER($A1400)),ROW()-2&lt;Settings!$B$11),NA(),IF(COUNT(OFFSET(F1400,1-Settings!$B$11,0,Settings!$B$11,1))&lt;Settings!$B$11,NA(),STDEV(OFFSET(F1400,1-Settings!$B$11,0,Settings!$B$11,1))*SQRT(Settings!$B$13)))</f>
        <v/>
      </c>
      <c r="I1400" s="18">
        <f>IF(OR(NOT(ISNUMBER($A1400)),ROW()-2&lt;Settings!$B$12),NA(),IF(COUNT(OFFSET(F1400,1-Settings!$B$12,0,Settings!$B$12,1))&lt;Settings!$B$12,NA(),STDEV(OFFSET(F1400,1-Settings!$B$12,0,Settings!$B$12,1))*SQRT(Settings!$B$13)))</f>
        <v/>
      </c>
      <c r="J1400" s="18">
        <f>IF(OR(NOT(ISNUMBER($A1400)),ROW()-2&lt;Settings!$B$11),NA(),IF(COUNT(OFFSET(G1400,1-Settings!$B$11,0,Settings!$B$11,1))&lt;Settings!$B$11,NA(),STDEV(OFFSET(G1400,1-Settings!$B$11,0,Settings!$B$11,1))*SQRT(Settings!$B$13)))</f>
        <v/>
      </c>
      <c r="K1400" s="18">
        <f>IF(OR(NOT(ISNUMBER($A1400)),ROW()-2&lt;Settings!$B$12),NA(),IF(COUNT(OFFSET(G1400,1-Settings!$B$12,0,Settings!$B$12,1))&lt;Settings!$B$12,NA(),STDEV(OFFSET(G1400,1-Settings!$B$12,0,Settings!$B$12,1))*SQRT(Settings!$B$13)))</f>
        <v/>
      </c>
      <c r="L1400" s="18">
        <f>IF(AND(ISNUMBER(D1400),ISNUMBER(H1400)),D1400-H1400,NA())</f>
        <v/>
      </c>
      <c r="M1400" s="18">
        <f>IF(AND(ISNUMBER(E1400),ISNUMBER(K1400)),E1400-K1400,NA())</f>
        <v/>
      </c>
      <c r="N1400" s="18">
        <f>IF(NOT(ISNUMBER($A1400)),NA(),IF(COUNT(OFFSET(G1400,1,0,Settings!$B$12,1))&lt;Settings!$B$12,NA(),STDEV(OFFSET(G1400,1,0,Settings!$B$12,1))*SQRT(Settings!$B$13)))</f>
        <v/>
      </c>
      <c r="O1400" s="18">
        <f>IF(AND(ISNUMBER(E1400),ISNUMBER(N1400)),E1400-N1400,NA())</f>
        <v/>
      </c>
      <c r="P1400" s="17">
        <f>IF(NOT(ISNUMBER($A1400)),NA(),IF(OR($A1400&lt;MIN(KW_TP!$A$2:$A$2501),$A1400&gt;MAX(KW_TP!$A$2:$A$2501)),NA(),INDEX(KW_TP!$C$2:$C$2501,MATCH($A1400,KW_TP!$A$2:$A$2501,1))))</f>
        <v/>
      </c>
    </row>
    <row r="1401">
      <c r="A1401" s="15">
        <f>IF(ISNUMBER(BBG_Data!A1401),BBG_Data!A1401,"")</f>
        <v/>
      </c>
      <c r="B1401" s="16">
        <f>IF(AND(ISNUMBER($A1401),ISNUMBER(BBG_Data!B1401)),BBG_Data!B1401,NA())</f>
        <v/>
      </c>
      <c r="C1401" s="16">
        <f>IF(AND(ISNUMBER($A1401),ISNUMBER(BBG_Data!C1401)),BBG_Data!C1401,NA())</f>
        <v/>
      </c>
      <c r="D1401" s="17">
        <f>IF(AND(ISNUMBER($A1401),ISNUMBER(BBG_Data!D1401)),BBG_Data!D1401,NA())</f>
        <v/>
      </c>
      <c r="E1401" s="17">
        <f>IF(AND(ISNUMBER($A1401),ISNUMBER(BBG_Data!E1401)),BBG_Data!E1401,NA())</f>
        <v/>
      </c>
      <c r="F1401" s="18">
        <f>IF(AND(ISNUMBER(B1401),ISNUMBER(B1400)),(B1401-B1400)*100,"")</f>
        <v/>
      </c>
      <c r="G1401" s="18">
        <f>IF(AND(ISNUMBER(C1401),ISNUMBER(C1400)),(C1401-C1400)*100,"")</f>
        <v/>
      </c>
      <c r="H1401" s="18">
        <f>IF(OR(NOT(ISNUMBER($A1401)),ROW()-2&lt;Settings!$B$11),NA(),IF(COUNT(OFFSET(F1401,1-Settings!$B$11,0,Settings!$B$11,1))&lt;Settings!$B$11,NA(),STDEV(OFFSET(F1401,1-Settings!$B$11,0,Settings!$B$11,1))*SQRT(Settings!$B$13)))</f>
        <v/>
      </c>
      <c r="I1401" s="18">
        <f>IF(OR(NOT(ISNUMBER($A1401)),ROW()-2&lt;Settings!$B$12),NA(),IF(COUNT(OFFSET(F1401,1-Settings!$B$12,0,Settings!$B$12,1))&lt;Settings!$B$12,NA(),STDEV(OFFSET(F1401,1-Settings!$B$12,0,Settings!$B$12,1))*SQRT(Settings!$B$13)))</f>
        <v/>
      </c>
      <c r="J1401" s="18">
        <f>IF(OR(NOT(ISNUMBER($A1401)),ROW()-2&lt;Settings!$B$11),NA(),IF(COUNT(OFFSET(G1401,1-Settings!$B$11,0,Settings!$B$11,1))&lt;Settings!$B$11,NA(),STDEV(OFFSET(G1401,1-Settings!$B$11,0,Settings!$B$11,1))*SQRT(Settings!$B$13)))</f>
        <v/>
      </c>
      <c r="K1401" s="18">
        <f>IF(OR(NOT(ISNUMBER($A1401)),ROW()-2&lt;Settings!$B$12),NA(),IF(COUNT(OFFSET(G1401,1-Settings!$B$12,0,Settings!$B$12,1))&lt;Settings!$B$12,NA(),STDEV(OFFSET(G1401,1-Settings!$B$12,0,Settings!$B$12,1))*SQRT(Settings!$B$13)))</f>
        <v/>
      </c>
      <c r="L1401" s="18">
        <f>IF(AND(ISNUMBER(D1401),ISNUMBER(H1401)),D1401-H1401,NA())</f>
        <v/>
      </c>
      <c r="M1401" s="18">
        <f>IF(AND(ISNUMBER(E1401),ISNUMBER(K1401)),E1401-K1401,NA())</f>
        <v/>
      </c>
      <c r="N1401" s="18">
        <f>IF(NOT(ISNUMBER($A1401)),NA(),IF(COUNT(OFFSET(G1401,1,0,Settings!$B$12,1))&lt;Settings!$B$12,NA(),STDEV(OFFSET(G1401,1,0,Settings!$B$12,1))*SQRT(Settings!$B$13)))</f>
        <v/>
      </c>
      <c r="O1401" s="18">
        <f>IF(AND(ISNUMBER(E1401),ISNUMBER(N1401)),E1401-N1401,NA())</f>
        <v/>
      </c>
      <c r="P1401" s="17">
        <f>IF(NOT(ISNUMBER($A1401)),NA(),IF(OR($A1401&lt;MIN(KW_TP!$A$2:$A$2501),$A1401&gt;MAX(KW_TP!$A$2:$A$2501)),NA(),INDEX(KW_TP!$C$2:$C$2501,MATCH($A1401,KW_TP!$A$2:$A$2501,1))))</f>
        <v/>
      </c>
    </row>
    <row r="1402">
      <c r="A1402" s="15">
        <f>IF(ISNUMBER(BBG_Data!A1402),BBG_Data!A1402,"")</f>
        <v/>
      </c>
      <c r="B1402" s="16">
        <f>IF(AND(ISNUMBER($A1402),ISNUMBER(BBG_Data!B1402)),BBG_Data!B1402,NA())</f>
        <v/>
      </c>
      <c r="C1402" s="16">
        <f>IF(AND(ISNUMBER($A1402),ISNUMBER(BBG_Data!C1402)),BBG_Data!C1402,NA())</f>
        <v/>
      </c>
      <c r="D1402" s="17">
        <f>IF(AND(ISNUMBER($A1402),ISNUMBER(BBG_Data!D1402)),BBG_Data!D1402,NA())</f>
        <v/>
      </c>
      <c r="E1402" s="17">
        <f>IF(AND(ISNUMBER($A1402),ISNUMBER(BBG_Data!E1402)),BBG_Data!E1402,NA())</f>
        <v/>
      </c>
      <c r="F1402" s="18">
        <f>IF(AND(ISNUMBER(B1402),ISNUMBER(B1401)),(B1402-B1401)*100,"")</f>
        <v/>
      </c>
      <c r="G1402" s="18">
        <f>IF(AND(ISNUMBER(C1402),ISNUMBER(C1401)),(C1402-C1401)*100,"")</f>
        <v/>
      </c>
      <c r="H1402" s="18">
        <f>IF(OR(NOT(ISNUMBER($A1402)),ROW()-2&lt;Settings!$B$11),NA(),IF(COUNT(OFFSET(F1402,1-Settings!$B$11,0,Settings!$B$11,1))&lt;Settings!$B$11,NA(),STDEV(OFFSET(F1402,1-Settings!$B$11,0,Settings!$B$11,1))*SQRT(Settings!$B$13)))</f>
        <v/>
      </c>
      <c r="I1402" s="18">
        <f>IF(OR(NOT(ISNUMBER($A1402)),ROW()-2&lt;Settings!$B$12),NA(),IF(COUNT(OFFSET(F1402,1-Settings!$B$12,0,Settings!$B$12,1))&lt;Settings!$B$12,NA(),STDEV(OFFSET(F1402,1-Settings!$B$12,0,Settings!$B$12,1))*SQRT(Settings!$B$13)))</f>
        <v/>
      </c>
      <c r="J1402" s="18">
        <f>IF(OR(NOT(ISNUMBER($A1402)),ROW()-2&lt;Settings!$B$11),NA(),IF(COUNT(OFFSET(G1402,1-Settings!$B$11,0,Settings!$B$11,1))&lt;Settings!$B$11,NA(),STDEV(OFFSET(G1402,1-Settings!$B$11,0,Settings!$B$11,1))*SQRT(Settings!$B$13)))</f>
        <v/>
      </c>
      <c r="K1402" s="18">
        <f>IF(OR(NOT(ISNUMBER($A1402)),ROW()-2&lt;Settings!$B$12),NA(),IF(COUNT(OFFSET(G1402,1-Settings!$B$12,0,Settings!$B$12,1))&lt;Settings!$B$12,NA(),STDEV(OFFSET(G1402,1-Settings!$B$12,0,Settings!$B$12,1))*SQRT(Settings!$B$13)))</f>
        <v/>
      </c>
      <c r="L1402" s="18">
        <f>IF(AND(ISNUMBER(D1402),ISNUMBER(H1402)),D1402-H1402,NA())</f>
        <v/>
      </c>
      <c r="M1402" s="18">
        <f>IF(AND(ISNUMBER(E1402),ISNUMBER(K1402)),E1402-K1402,NA())</f>
        <v/>
      </c>
      <c r="N1402" s="18">
        <f>IF(NOT(ISNUMBER($A1402)),NA(),IF(COUNT(OFFSET(G1402,1,0,Settings!$B$12,1))&lt;Settings!$B$12,NA(),STDEV(OFFSET(G1402,1,0,Settings!$B$12,1))*SQRT(Settings!$B$13)))</f>
        <v/>
      </c>
      <c r="O1402" s="18">
        <f>IF(AND(ISNUMBER(E1402),ISNUMBER(N1402)),E1402-N1402,NA())</f>
        <v/>
      </c>
      <c r="P1402" s="17">
        <f>IF(NOT(ISNUMBER($A1402)),NA(),IF(OR($A1402&lt;MIN(KW_TP!$A$2:$A$2501),$A1402&gt;MAX(KW_TP!$A$2:$A$2501)),NA(),INDEX(KW_TP!$C$2:$C$2501,MATCH($A1402,KW_TP!$A$2:$A$2501,1))))</f>
        <v/>
      </c>
    </row>
    <row r="1403">
      <c r="A1403" s="15">
        <f>IF(ISNUMBER(BBG_Data!A1403),BBG_Data!A1403,"")</f>
        <v/>
      </c>
      <c r="B1403" s="16">
        <f>IF(AND(ISNUMBER($A1403),ISNUMBER(BBG_Data!B1403)),BBG_Data!B1403,NA())</f>
        <v/>
      </c>
      <c r="C1403" s="16">
        <f>IF(AND(ISNUMBER($A1403),ISNUMBER(BBG_Data!C1403)),BBG_Data!C1403,NA())</f>
        <v/>
      </c>
      <c r="D1403" s="17">
        <f>IF(AND(ISNUMBER($A1403),ISNUMBER(BBG_Data!D1403)),BBG_Data!D1403,NA())</f>
        <v/>
      </c>
      <c r="E1403" s="17">
        <f>IF(AND(ISNUMBER($A1403),ISNUMBER(BBG_Data!E1403)),BBG_Data!E1403,NA())</f>
        <v/>
      </c>
      <c r="F1403" s="18">
        <f>IF(AND(ISNUMBER(B1403),ISNUMBER(B1402)),(B1403-B1402)*100,"")</f>
        <v/>
      </c>
      <c r="G1403" s="18">
        <f>IF(AND(ISNUMBER(C1403),ISNUMBER(C1402)),(C1403-C1402)*100,"")</f>
        <v/>
      </c>
      <c r="H1403" s="18">
        <f>IF(OR(NOT(ISNUMBER($A1403)),ROW()-2&lt;Settings!$B$11),NA(),IF(COUNT(OFFSET(F1403,1-Settings!$B$11,0,Settings!$B$11,1))&lt;Settings!$B$11,NA(),STDEV(OFFSET(F1403,1-Settings!$B$11,0,Settings!$B$11,1))*SQRT(Settings!$B$13)))</f>
        <v/>
      </c>
      <c r="I1403" s="18">
        <f>IF(OR(NOT(ISNUMBER($A1403)),ROW()-2&lt;Settings!$B$12),NA(),IF(COUNT(OFFSET(F1403,1-Settings!$B$12,0,Settings!$B$12,1))&lt;Settings!$B$12,NA(),STDEV(OFFSET(F1403,1-Settings!$B$12,0,Settings!$B$12,1))*SQRT(Settings!$B$13)))</f>
        <v/>
      </c>
      <c r="J1403" s="18">
        <f>IF(OR(NOT(ISNUMBER($A1403)),ROW()-2&lt;Settings!$B$11),NA(),IF(COUNT(OFFSET(G1403,1-Settings!$B$11,0,Settings!$B$11,1))&lt;Settings!$B$11,NA(),STDEV(OFFSET(G1403,1-Settings!$B$11,0,Settings!$B$11,1))*SQRT(Settings!$B$13)))</f>
        <v/>
      </c>
      <c r="K1403" s="18">
        <f>IF(OR(NOT(ISNUMBER($A1403)),ROW()-2&lt;Settings!$B$12),NA(),IF(COUNT(OFFSET(G1403,1-Settings!$B$12,0,Settings!$B$12,1))&lt;Settings!$B$12,NA(),STDEV(OFFSET(G1403,1-Settings!$B$12,0,Settings!$B$12,1))*SQRT(Settings!$B$13)))</f>
        <v/>
      </c>
      <c r="L1403" s="18">
        <f>IF(AND(ISNUMBER(D1403),ISNUMBER(H1403)),D1403-H1403,NA())</f>
        <v/>
      </c>
      <c r="M1403" s="18">
        <f>IF(AND(ISNUMBER(E1403),ISNUMBER(K1403)),E1403-K1403,NA())</f>
        <v/>
      </c>
      <c r="N1403" s="18">
        <f>IF(NOT(ISNUMBER($A1403)),NA(),IF(COUNT(OFFSET(G1403,1,0,Settings!$B$12,1))&lt;Settings!$B$12,NA(),STDEV(OFFSET(G1403,1,0,Settings!$B$12,1))*SQRT(Settings!$B$13)))</f>
        <v/>
      </c>
      <c r="O1403" s="18">
        <f>IF(AND(ISNUMBER(E1403),ISNUMBER(N1403)),E1403-N1403,NA())</f>
        <v/>
      </c>
      <c r="P1403" s="17">
        <f>IF(NOT(ISNUMBER($A1403)),NA(),IF(OR($A1403&lt;MIN(KW_TP!$A$2:$A$2501),$A1403&gt;MAX(KW_TP!$A$2:$A$2501)),NA(),INDEX(KW_TP!$C$2:$C$2501,MATCH($A1403,KW_TP!$A$2:$A$2501,1))))</f>
        <v/>
      </c>
    </row>
    <row r="1404">
      <c r="A1404" s="15">
        <f>IF(ISNUMBER(BBG_Data!A1404),BBG_Data!A1404,"")</f>
        <v/>
      </c>
      <c r="B1404" s="16">
        <f>IF(AND(ISNUMBER($A1404),ISNUMBER(BBG_Data!B1404)),BBG_Data!B1404,NA())</f>
        <v/>
      </c>
      <c r="C1404" s="16">
        <f>IF(AND(ISNUMBER($A1404),ISNUMBER(BBG_Data!C1404)),BBG_Data!C1404,NA())</f>
        <v/>
      </c>
      <c r="D1404" s="17">
        <f>IF(AND(ISNUMBER($A1404),ISNUMBER(BBG_Data!D1404)),BBG_Data!D1404,NA())</f>
        <v/>
      </c>
      <c r="E1404" s="17">
        <f>IF(AND(ISNUMBER($A1404),ISNUMBER(BBG_Data!E1404)),BBG_Data!E1404,NA())</f>
        <v/>
      </c>
      <c r="F1404" s="18">
        <f>IF(AND(ISNUMBER(B1404),ISNUMBER(B1403)),(B1404-B1403)*100,"")</f>
        <v/>
      </c>
      <c r="G1404" s="18">
        <f>IF(AND(ISNUMBER(C1404),ISNUMBER(C1403)),(C1404-C1403)*100,"")</f>
        <v/>
      </c>
      <c r="H1404" s="18">
        <f>IF(OR(NOT(ISNUMBER($A1404)),ROW()-2&lt;Settings!$B$11),NA(),IF(COUNT(OFFSET(F1404,1-Settings!$B$11,0,Settings!$B$11,1))&lt;Settings!$B$11,NA(),STDEV(OFFSET(F1404,1-Settings!$B$11,0,Settings!$B$11,1))*SQRT(Settings!$B$13)))</f>
        <v/>
      </c>
      <c r="I1404" s="18">
        <f>IF(OR(NOT(ISNUMBER($A1404)),ROW()-2&lt;Settings!$B$12),NA(),IF(COUNT(OFFSET(F1404,1-Settings!$B$12,0,Settings!$B$12,1))&lt;Settings!$B$12,NA(),STDEV(OFFSET(F1404,1-Settings!$B$12,0,Settings!$B$12,1))*SQRT(Settings!$B$13)))</f>
        <v/>
      </c>
      <c r="J1404" s="18">
        <f>IF(OR(NOT(ISNUMBER($A1404)),ROW()-2&lt;Settings!$B$11),NA(),IF(COUNT(OFFSET(G1404,1-Settings!$B$11,0,Settings!$B$11,1))&lt;Settings!$B$11,NA(),STDEV(OFFSET(G1404,1-Settings!$B$11,0,Settings!$B$11,1))*SQRT(Settings!$B$13)))</f>
        <v/>
      </c>
      <c r="K1404" s="18">
        <f>IF(OR(NOT(ISNUMBER($A1404)),ROW()-2&lt;Settings!$B$12),NA(),IF(COUNT(OFFSET(G1404,1-Settings!$B$12,0,Settings!$B$12,1))&lt;Settings!$B$12,NA(),STDEV(OFFSET(G1404,1-Settings!$B$12,0,Settings!$B$12,1))*SQRT(Settings!$B$13)))</f>
        <v/>
      </c>
      <c r="L1404" s="18">
        <f>IF(AND(ISNUMBER(D1404),ISNUMBER(H1404)),D1404-H1404,NA())</f>
        <v/>
      </c>
      <c r="M1404" s="18">
        <f>IF(AND(ISNUMBER(E1404),ISNUMBER(K1404)),E1404-K1404,NA())</f>
        <v/>
      </c>
      <c r="N1404" s="18">
        <f>IF(NOT(ISNUMBER($A1404)),NA(),IF(COUNT(OFFSET(G1404,1,0,Settings!$B$12,1))&lt;Settings!$B$12,NA(),STDEV(OFFSET(G1404,1,0,Settings!$B$12,1))*SQRT(Settings!$B$13)))</f>
        <v/>
      </c>
      <c r="O1404" s="18">
        <f>IF(AND(ISNUMBER(E1404),ISNUMBER(N1404)),E1404-N1404,NA())</f>
        <v/>
      </c>
      <c r="P1404" s="17">
        <f>IF(NOT(ISNUMBER($A1404)),NA(),IF(OR($A1404&lt;MIN(KW_TP!$A$2:$A$2501),$A1404&gt;MAX(KW_TP!$A$2:$A$2501)),NA(),INDEX(KW_TP!$C$2:$C$2501,MATCH($A1404,KW_TP!$A$2:$A$2501,1))))</f>
        <v/>
      </c>
    </row>
    <row r="1405">
      <c r="A1405" s="15">
        <f>IF(ISNUMBER(BBG_Data!A1405),BBG_Data!A1405,"")</f>
        <v/>
      </c>
      <c r="B1405" s="16">
        <f>IF(AND(ISNUMBER($A1405),ISNUMBER(BBG_Data!B1405)),BBG_Data!B1405,NA())</f>
        <v/>
      </c>
      <c r="C1405" s="16">
        <f>IF(AND(ISNUMBER($A1405),ISNUMBER(BBG_Data!C1405)),BBG_Data!C1405,NA())</f>
        <v/>
      </c>
      <c r="D1405" s="17">
        <f>IF(AND(ISNUMBER($A1405),ISNUMBER(BBG_Data!D1405)),BBG_Data!D1405,NA())</f>
        <v/>
      </c>
      <c r="E1405" s="17">
        <f>IF(AND(ISNUMBER($A1405),ISNUMBER(BBG_Data!E1405)),BBG_Data!E1405,NA())</f>
        <v/>
      </c>
      <c r="F1405" s="18">
        <f>IF(AND(ISNUMBER(B1405),ISNUMBER(B1404)),(B1405-B1404)*100,"")</f>
        <v/>
      </c>
      <c r="G1405" s="18">
        <f>IF(AND(ISNUMBER(C1405),ISNUMBER(C1404)),(C1405-C1404)*100,"")</f>
        <v/>
      </c>
      <c r="H1405" s="18">
        <f>IF(OR(NOT(ISNUMBER($A1405)),ROW()-2&lt;Settings!$B$11),NA(),IF(COUNT(OFFSET(F1405,1-Settings!$B$11,0,Settings!$B$11,1))&lt;Settings!$B$11,NA(),STDEV(OFFSET(F1405,1-Settings!$B$11,0,Settings!$B$11,1))*SQRT(Settings!$B$13)))</f>
        <v/>
      </c>
      <c r="I1405" s="18">
        <f>IF(OR(NOT(ISNUMBER($A1405)),ROW()-2&lt;Settings!$B$12),NA(),IF(COUNT(OFFSET(F1405,1-Settings!$B$12,0,Settings!$B$12,1))&lt;Settings!$B$12,NA(),STDEV(OFFSET(F1405,1-Settings!$B$12,0,Settings!$B$12,1))*SQRT(Settings!$B$13)))</f>
        <v/>
      </c>
      <c r="J1405" s="18">
        <f>IF(OR(NOT(ISNUMBER($A1405)),ROW()-2&lt;Settings!$B$11),NA(),IF(COUNT(OFFSET(G1405,1-Settings!$B$11,0,Settings!$B$11,1))&lt;Settings!$B$11,NA(),STDEV(OFFSET(G1405,1-Settings!$B$11,0,Settings!$B$11,1))*SQRT(Settings!$B$13)))</f>
        <v/>
      </c>
      <c r="K1405" s="18">
        <f>IF(OR(NOT(ISNUMBER($A1405)),ROW()-2&lt;Settings!$B$12),NA(),IF(COUNT(OFFSET(G1405,1-Settings!$B$12,0,Settings!$B$12,1))&lt;Settings!$B$12,NA(),STDEV(OFFSET(G1405,1-Settings!$B$12,0,Settings!$B$12,1))*SQRT(Settings!$B$13)))</f>
        <v/>
      </c>
      <c r="L1405" s="18">
        <f>IF(AND(ISNUMBER(D1405),ISNUMBER(H1405)),D1405-H1405,NA())</f>
        <v/>
      </c>
      <c r="M1405" s="18">
        <f>IF(AND(ISNUMBER(E1405),ISNUMBER(K1405)),E1405-K1405,NA())</f>
        <v/>
      </c>
      <c r="N1405" s="18">
        <f>IF(NOT(ISNUMBER($A1405)),NA(),IF(COUNT(OFFSET(G1405,1,0,Settings!$B$12,1))&lt;Settings!$B$12,NA(),STDEV(OFFSET(G1405,1,0,Settings!$B$12,1))*SQRT(Settings!$B$13)))</f>
        <v/>
      </c>
      <c r="O1405" s="18">
        <f>IF(AND(ISNUMBER(E1405),ISNUMBER(N1405)),E1405-N1405,NA())</f>
        <v/>
      </c>
      <c r="P1405" s="17">
        <f>IF(NOT(ISNUMBER($A1405)),NA(),IF(OR($A1405&lt;MIN(KW_TP!$A$2:$A$2501),$A1405&gt;MAX(KW_TP!$A$2:$A$2501)),NA(),INDEX(KW_TP!$C$2:$C$2501,MATCH($A1405,KW_TP!$A$2:$A$2501,1))))</f>
        <v/>
      </c>
    </row>
    <row r="1406">
      <c r="A1406" s="15">
        <f>IF(ISNUMBER(BBG_Data!A1406),BBG_Data!A1406,"")</f>
        <v/>
      </c>
      <c r="B1406" s="16">
        <f>IF(AND(ISNUMBER($A1406),ISNUMBER(BBG_Data!B1406)),BBG_Data!B1406,NA())</f>
        <v/>
      </c>
      <c r="C1406" s="16">
        <f>IF(AND(ISNUMBER($A1406),ISNUMBER(BBG_Data!C1406)),BBG_Data!C1406,NA())</f>
        <v/>
      </c>
      <c r="D1406" s="17">
        <f>IF(AND(ISNUMBER($A1406),ISNUMBER(BBG_Data!D1406)),BBG_Data!D1406,NA())</f>
        <v/>
      </c>
      <c r="E1406" s="17">
        <f>IF(AND(ISNUMBER($A1406),ISNUMBER(BBG_Data!E1406)),BBG_Data!E1406,NA())</f>
        <v/>
      </c>
      <c r="F1406" s="18">
        <f>IF(AND(ISNUMBER(B1406),ISNUMBER(B1405)),(B1406-B1405)*100,"")</f>
        <v/>
      </c>
      <c r="G1406" s="18">
        <f>IF(AND(ISNUMBER(C1406),ISNUMBER(C1405)),(C1406-C1405)*100,"")</f>
        <v/>
      </c>
      <c r="H1406" s="18">
        <f>IF(OR(NOT(ISNUMBER($A1406)),ROW()-2&lt;Settings!$B$11),NA(),IF(COUNT(OFFSET(F1406,1-Settings!$B$11,0,Settings!$B$11,1))&lt;Settings!$B$11,NA(),STDEV(OFFSET(F1406,1-Settings!$B$11,0,Settings!$B$11,1))*SQRT(Settings!$B$13)))</f>
        <v/>
      </c>
      <c r="I1406" s="18">
        <f>IF(OR(NOT(ISNUMBER($A1406)),ROW()-2&lt;Settings!$B$12),NA(),IF(COUNT(OFFSET(F1406,1-Settings!$B$12,0,Settings!$B$12,1))&lt;Settings!$B$12,NA(),STDEV(OFFSET(F1406,1-Settings!$B$12,0,Settings!$B$12,1))*SQRT(Settings!$B$13)))</f>
        <v/>
      </c>
      <c r="J1406" s="18">
        <f>IF(OR(NOT(ISNUMBER($A1406)),ROW()-2&lt;Settings!$B$11),NA(),IF(COUNT(OFFSET(G1406,1-Settings!$B$11,0,Settings!$B$11,1))&lt;Settings!$B$11,NA(),STDEV(OFFSET(G1406,1-Settings!$B$11,0,Settings!$B$11,1))*SQRT(Settings!$B$13)))</f>
        <v/>
      </c>
      <c r="K1406" s="18">
        <f>IF(OR(NOT(ISNUMBER($A1406)),ROW()-2&lt;Settings!$B$12),NA(),IF(COUNT(OFFSET(G1406,1-Settings!$B$12,0,Settings!$B$12,1))&lt;Settings!$B$12,NA(),STDEV(OFFSET(G1406,1-Settings!$B$12,0,Settings!$B$12,1))*SQRT(Settings!$B$13)))</f>
        <v/>
      </c>
      <c r="L1406" s="18">
        <f>IF(AND(ISNUMBER(D1406),ISNUMBER(H1406)),D1406-H1406,NA())</f>
        <v/>
      </c>
      <c r="M1406" s="18">
        <f>IF(AND(ISNUMBER(E1406),ISNUMBER(K1406)),E1406-K1406,NA())</f>
        <v/>
      </c>
      <c r="N1406" s="18">
        <f>IF(NOT(ISNUMBER($A1406)),NA(),IF(COUNT(OFFSET(G1406,1,0,Settings!$B$12,1))&lt;Settings!$B$12,NA(),STDEV(OFFSET(G1406,1,0,Settings!$B$12,1))*SQRT(Settings!$B$13)))</f>
        <v/>
      </c>
      <c r="O1406" s="18">
        <f>IF(AND(ISNUMBER(E1406),ISNUMBER(N1406)),E1406-N1406,NA())</f>
        <v/>
      </c>
      <c r="P1406" s="17">
        <f>IF(NOT(ISNUMBER($A1406)),NA(),IF(OR($A1406&lt;MIN(KW_TP!$A$2:$A$2501),$A1406&gt;MAX(KW_TP!$A$2:$A$2501)),NA(),INDEX(KW_TP!$C$2:$C$2501,MATCH($A1406,KW_TP!$A$2:$A$2501,1))))</f>
        <v/>
      </c>
    </row>
    <row r="1407">
      <c r="A1407" s="15">
        <f>IF(ISNUMBER(BBG_Data!A1407),BBG_Data!A1407,"")</f>
        <v/>
      </c>
      <c r="B1407" s="16">
        <f>IF(AND(ISNUMBER($A1407),ISNUMBER(BBG_Data!B1407)),BBG_Data!B1407,NA())</f>
        <v/>
      </c>
      <c r="C1407" s="16">
        <f>IF(AND(ISNUMBER($A1407),ISNUMBER(BBG_Data!C1407)),BBG_Data!C1407,NA())</f>
        <v/>
      </c>
      <c r="D1407" s="17">
        <f>IF(AND(ISNUMBER($A1407),ISNUMBER(BBG_Data!D1407)),BBG_Data!D1407,NA())</f>
        <v/>
      </c>
      <c r="E1407" s="17">
        <f>IF(AND(ISNUMBER($A1407),ISNUMBER(BBG_Data!E1407)),BBG_Data!E1407,NA())</f>
        <v/>
      </c>
      <c r="F1407" s="18">
        <f>IF(AND(ISNUMBER(B1407),ISNUMBER(B1406)),(B1407-B1406)*100,"")</f>
        <v/>
      </c>
      <c r="G1407" s="18">
        <f>IF(AND(ISNUMBER(C1407),ISNUMBER(C1406)),(C1407-C1406)*100,"")</f>
        <v/>
      </c>
      <c r="H1407" s="18">
        <f>IF(OR(NOT(ISNUMBER($A1407)),ROW()-2&lt;Settings!$B$11),NA(),IF(COUNT(OFFSET(F1407,1-Settings!$B$11,0,Settings!$B$11,1))&lt;Settings!$B$11,NA(),STDEV(OFFSET(F1407,1-Settings!$B$11,0,Settings!$B$11,1))*SQRT(Settings!$B$13)))</f>
        <v/>
      </c>
      <c r="I1407" s="18">
        <f>IF(OR(NOT(ISNUMBER($A1407)),ROW()-2&lt;Settings!$B$12),NA(),IF(COUNT(OFFSET(F1407,1-Settings!$B$12,0,Settings!$B$12,1))&lt;Settings!$B$12,NA(),STDEV(OFFSET(F1407,1-Settings!$B$12,0,Settings!$B$12,1))*SQRT(Settings!$B$13)))</f>
        <v/>
      </c>
      <c r="J1407" s="18">
        <f>IF(OR(NOT(ISNUMBER($A1407)),ROW()-2&lt;Settings!$B$11),NA(),IF(COUNT(OFFSET(G1407,1-Settings!$B$11,0,Settings!$B$11,1))&lt;Settings!$B$11,NA(),STDEV(OFFSET(G1407,1-Settings!$B$11,0,Settings!$B$11,1))*SQRT(Settings!$B$13)))</f>
        <v/>
      </c>
      <c r="K1407" s="18">
        <f>IF(OR(NOT(ISNUMBER($A1407)),ROW()-2&lt;Settings!$B$12),NA(),IF(COUNT(OFFSET(G1407,1-Settings!$B$12,0,Settings!$B$12,1))&lt;Settings!$B$12,NA(),STDEV(OFFSET(G1407,1-Settings!$B$12,0,Settings!$B$12,1))*SQRT(Settings!$B$13)))</f>
        <v/>
      </c>
      <c r="L1407" s="18">
        <f>IF(AND(ISNUMBER(D1407),ISNUMBER(H1407)),D1407-H1407,NA())</f>
        <v/>
      </c>
      <c r="M1407" s="18">
        <f>IF(AND(ISNUMBER(E1407),ISNUMBER(K1407)),E1407-K1407,NA())</f>
        <v/>
      </c>
      <c r="N1407" s="18">
        <f>IF(NOT(ISNUMBER($A1407)),NA(),IF(COUNT(OFFSET(G1407,1,0,Settings!$B$12,1))&lt;Settings!$B$12,NA(),STDEV(OFFSET(G1407,1,0,Settings!$B$12,1))*SQRT(Settings!$B$13)))</f>
        <v/>
      </c>
      <c r="O1407" s="18">
        <f>IF(AND(ISNUMBER(E1407),ISNUMBER(N1407)),E1407-N1407,NA())</f>
        <v/>
      </c>
      <c r="P1407" s="17">
        <f>IF(NOT(ISNUMBER($A1407)),NA(),IF(OR($A1407&lt;MIN(KW_TP!$A$2:$A$2501),$A1407&gt;MAX(KW_TP!$A$2:$A$2501)),NA(),INDEX(KW_TP!$C$2:$C$2501,MATCH($A1407,KW_TP!$A$2:$A$2501,1))))</f>
        <v/>
      </c>
    </row>
    <row r="1408">
      <c r="A1408" s="15">
        <f>IF(ISNUMBER(BBG_Data!A1408),BBG_Data!A1408,"")</f>
        <v/>
      </c>
      <c r="B1408" s="16">
        <f>IF(AND(ISNUMBER($A1408),ISNUMBER(BBG_Data!B1408)),BBG_Data!B1408,NA())</f>
        <v/>
      </c>
      <c r="C1408" s="16">
        <f>IF(AND(ISNUMBER($A1408),ISNUMBER(BBG_Data!C1408)),BBG_Data!C1408,NA())</f>
        <v/>
      </c>
      <c r="D1408" s="17">
        <f>IF(AND(ISNUMBER($A1408),ISNUMBER(BBG_Data!D1408)),BBG_Data!D1408,NA())</f>
        <v/>
      </c>
      <c r="E1408" s="17">
        <f>IF(AND(ISNUMBER($A1408),ISNUMBER(BBG_Data!E1408)),BBG_Data!E1408,NA())</f>
        <v/>
      </c>
      <c r="F1408" s="18">
        <f>IF(AND(ISNUMBER(B1408),ISNUMBER(B1407)),(B1408-B1407)*100,"")</f>
        <v/>
      </c>
      <c r="G1408" s="18">
        <f>IF(AND(ISNUMBER(C1408),ISNUMBER(C1407)),(C1408-C1407)*100,"")</f>
        <v/>
      </c>
      <c r="H1408" s="18">
        <f>IF(OR(NOT(ISNUMBER($A1408)),ROW()-2&lt;Settings!$B$11),NA(),IF(COUNT(OFFSET(F1408,1-Settings!$B$11,0,Settings!$B$11,1))&lt;Settings!$B$11,NA(),STDEV(OFFSET(F1408,1-Settings!$B$11,0,Settings!$B$11,1))*SQRT(Settings!$B$13)))</f>
        <v/>
      </c>
      <c r="I1408" s="18">
        <f>IF(OR(NOT(ISNUMBER($A1408)),ROW()-2&lt;Settings!$B$12),NA(),IF(COUNT(OFFSET(F1408,1-Settings!$B$12,0,Settings!$B$12,1))&lt;Settings!$B$12,NA(),STDEV(OFFSET(F1408,1-Settings!$B$12,0,Settings!$B$12,1))*SQRT(Settings!$B$13)))</f>
        <v/>
      </c>
      <c r="J1408" s="18">
        <f>IF(OR(NOT(ISNUMBER($A1408)),ROW()-2&lt;Settings!$B$11),NA(),IF(COUNT(OFFSET(G1408,1-Settings!$B$11,0,Settings!$B$11,1))&lt;Settings!$B$11,NA(),STDEV(OFFSET(G1408,1-Settings!$B$11,0,Settings!$B$11,1))*SQRT(Settings!$B$13)))</f>
        <v/>
      </c>
      <c r="K1408" s="18">
        <f>IF(OR(NOT(ISNUMBER($A1408)),ROW()-2&lt;Settings!$B$12),NA(),IF(COUNT(OFFSET(G1408,1-Settings!$B$12,0,Settings!$B$12,1))&lt;Settings!$B$12,NA(),STDEV(OFFSET(G1408,1-Settings!$B$12,0,Settings!$B$12,1))*SQRT(Settings!$B$13)))</f>
        <v/>
      </c>
      <c r="L1408" s="18">
        <f>IF(AND(ISNUMBER(D1408),ISNUMBER(H1408)),D1408-H1408,NA())</f>
        <v/>
      </c>
      <c r="M1408" s="18">
        <f>IF(AND(ISNUMBER(E1408),ISNUMBER(K1408)),E1408-K1408,NA())</f>
        <v/>
      </c>
      <c r="N1408" s="18">
        <f>IF(NOT(ISNUMBER($A1408)),NA(),IF(COUNT(OFFSET(G1408,1,0,Settings!$B$12,1))&lt;Settings!$B$12,NA(),STDEV(OFFSET(G1408,1,0,Settings!$B$12,1))*SQRT(Settings!$B$13)))</f>
        <v/>
      </c>
      <c r="O1408" s="18">
        <f>IF(AND(ISNUMBER(E1408),ISNUMBER(N1408)),E1408-N1408,NA())</f>
        <v/>
      </c>
      <c r="P1408" s="17">
        <f>IF(NOT(ISNUMBER($A1408)),NA(),IF(OR($A1408&lt;MIN(KW_TP!$A$2:$A$2501),$A1408&gt;MAX(KW_TP!$A$2:$A$2501)),NA(),INDEX(KW_TP!$C$2:$C$2501,MATCH($A1408,KW_TP!$A$2:$A$2501,1))))</f>
        <v/>
      </c>
    </row>
    <row r="1409">
      <c r="A1409" s="15">
        <f>IF(ISNUMBER(BBG_Data!A1409),BBG_Data!A1409,"")</f>
        <v/>
      </c>
      <c r="B1409" s="16">
        <f>IF(AND(ISNUMBER($A1409),ISNUMBER(BBG_Data!B1409)),BBG_Data!B1409,NA())</f>
        <v/>
      </c>
      <c r="C1409" s="16">
        <f>IF(AND(ISNUMBER($A1409),ISNUMBER(BBG_Data!C1409)),BBG_Data!C1409,NA())</f>
        <v/>
      </c>
      <c r="D1409" s="17">
        <f>IF(AND(ISNUMBER($A1409),ISNUMBER(BBG_Data!D1409)),BBG_Data!D1409,NA())</f>
        <v/>
      </c>
      <c r="E1409" s="17">
        <f>IF(AND(ISNUMBER($A1409),ISNUMBER(BBG_Data!E1409)),BBG_Data!E1409,NA())</f>
        <v/>
      </c>
      <c r="F1409" s="18">
        <f>IF(AND(ISNUMBER(B1409),ISNUMBER(B1408)),(B1409-B1408)*100,"")</f>
        <v/>
      </c>
      <c r="G1409" s="18">
        <f>IF(AND(ISNUMBER(C1409),ISNUMBER(C1408)),(C1409-C1408)*100,"")</f>
        <v/>
      </c>
      <c r="H1409" s="18">
        <f>IF(OR(NOT(ISNUMBER($A1409)),ROW()-2&lt;Settings!$B$11),NA(),IF(COUNT(OFFSET(F1409,1-Settings!$B$11,0,Settings!$B$11,1))&lt;Settings!$B$11,NA(),STDEV(OFFSET(F1409,1-Settings!$B$11,0,Settings!$B$11,1))*SQRT(Settings!$B$13)))</f>
        <v/>
      </c>
      <c r="I1409" s="18">
        <f>IF(OR(NOT(ISNUMBER($A1409)),ROW()-2&lt;Settings!$B$12),NA(),IF(COUNT(OFFSET(F1409,1-Settings!$B$12,0,Settings!$B$12,1))&lt;Settings!$B$12,NA(),STDEV(OFFSET(F1409,1-Settings!$B$12,0,Settings!$B$12,1))*SQRT(Settings!$B$13)))</f>
        <v/>
      </c>
      <c r="J1409" s="18">
        <f>IF(OR(NOT(ISNUMBER($A1409)),ROW()-2&lt;Settings!$B$11),NA(),IF(COUNT(OFFSET(G1409,1-Settings!$B$11,0,Settings!$B$11,1))&lt;Settings!$B$11,NA(),STDEV(OFFSET(G1409,1-Settings!$B$11,0,Settings!$B$11,1))*SQRT(Settings!$B$13)))</f>
        <v/>
      </c>
      <c r="K1409" s="18">
        <f>IF(OR(NOT(ISNUMBER($A1409)),ROW()-2&lt;Settings!$B$12),NA(),IF(COUNT(OFFSET(G1409,1-Settings!$B$12,0,Settings!$B$12,1))&lt;Settings!$B$12,NA(),STDEV(OFFSET(G1409,1-Settings!$B$12,0,Settings!$B$12,1))*SQRT(Settings!$B$13)))</f>
        <v/>
      </c>
      <c r="L1409" s="18">
        <f>IF(AND(ISNUMBER(D1409),ISNUMBER(H1409)),D1409-H1409,NA())</f>
        <v/>
      </c>
      <c r="M1409" s="18">
        <f>IF(AND(ISNUMBER(E1409),ISNUMBER(K1409)),E1409-K1409,NA())</f>
        <v/>
      </c>
      <c r="N1409" s="18">
        <f>IF(NOT(ISNUMBER($A1409)),NA(),IF(COUNT(OFFSET(G1409,1,0,Settings!$B$12,1))&lt;Settings!$B$12,NA(),STDEV(OFFSET(G1409,1,0,Settings!$B$12,1))*SQRT(Settings!$B$13)))</f>
        <v/>
      </c>
      <c r="O1409" s="18">
        <f>IF(AND(ISNUMBER(E1409),ISNUMBER(N1409)),E1409-N1409,NA())</f>
        <v/>
      </c>
      <c r="P1409" s="17">
        <f>IF(NOT(ISNUMBER($A1409)),NA(),IF(OR($A1409&lt;MIN(KW_TP!$A$2:$A$2501),$A1409&gt;MAX(KW_TP!$A$2:$A$2501)),NA(),INDEX(KW_TP!$C$2:$C$2501,MATCH($A1409,KW_TP!$A$2:$A$2501,1))))</f>
        <v/>
      </c>
    </row>
    <row r="1410">
      <c r="A1410" s="15">
        <f>IF(ISNUMBER(BBG_Data!A1410),BBG_Data!A1410,"")</f>
        <v/>
      </c>
      <c r="B1410" s="16">
        <f>IF(AND(ISNUMBER($A1410),ISNUMBER(BBG_Data!B1410)),BBG_Data!B1410,NA())</f>
        <v/>
      </c>
      <c r="C1410" s="16">
        <f>IF(AND(ISNUMBER($A1410),ISNUMBER(BBG_Data!C1410)),BBG_Data!C1410,NA())</f>
        <v/>
      </c>
      <c r="D1410" s="17">
        <f>IF(AND(ISNUMBER($A1410),ISNUMBER(BBG_Data!D1410)),BBG_Data!D1410,NA())</f>
        <v/>
      </c>
      <c r="E1410" s="17">
        <f>IF(AND(ISNUMBER($A1410),ISNUMBER(BBG_Data!E1410)),BBG_Data!E1410,NA())</f>
        <v/>
      </c>
      <c r="F1410" s="18">
        <f>IF(AND(ISNUMBER(B1410),ISNUMBER(B1409)),(B1410-B1409)*100,"")</f>
        <v/>
      </c>
      <c r="G1410" s="18">
        <f>IF(AND(ISNUMBER(C1410),ISNUMBER(C1409)),(C1410-C1409)*100,"")</f>
        <v/>
      </c>
      <c r="H1410" s="18">
        <f>IF(OR(NOT(ISNUMBER($A1410)),ROW()-2&lt;Settings!$B$11),NA(),IF(COUNT(OFFSET(F1410,1-Settings!$B$11,0,Settings!$B$11,1))&lt;Settings!$B$11,NA(),STDEV(OFFSET(F1410,1-Settings!$B$11,0,Settings!$B$11,1))*SQRT(Settings!$B$13)))</f>
        <v/>
      </c>
      <c r="I1410" s="18">
        <f>IF(OR(NOT(ISNUMBER($A1410)),ROW()-2&lt;Settings!$B$12),NA(),IF(COUNT(OFFSET(F1410,1-Settings!$B$12,0,Settings!$B$12,1))&lt;Settings!$B$12,NA(),STDEV(OFFSET(F1410,1-Settings!$B$12,0,Settings!$B$12,1))*SQRT(Settings!$B$13)))</f>
        <v/>
      </c>
      <c r="J1410" s="18">
        <f>IF(OR(NOT(ISNUMBER($A1410)),ROW()-2&lt;Settings!$B$11),NA(),IF(COUNT(OFFSET(G1410,1-Settings!$B$11,0,Settings!$B$11,1))&lt;Settings!$B$11,NA(),STDEV(OFFSET(G1410,1-Settings!$B$11,0,Settings!$B$11,1))*SQRT(Settings!$B$13)))</f>
        <v/>
      </c>
      <c r="K1410" s="18">
        <f>IF(OR(NOT(ISNUMBER($A1410)),ROW()-2&lt;Settings!$B$12),NA(),IF(COUNT(OFFSET(G1410,1-Settings!$B$12,0,Settings!$B$12,1))&lt;Settings!$B$12,NA(),STDEV(OFFSET(G1410,1-Settings!$B$12,0,Settings!$B$12,1))*SQRT(Settings!$B$13)))</f>
        <v/>
      </c>
      <c r="L1410" s="18">
        <f>IF(AND(ISNUMBER(D1410),ISNUMBER(H1410)),D1410-H1410,NA())</f>
        <v/>
      </c>
      <c r="M1410" s="18">
        <f>IF(AND(ISNUMBER(E1410),ISNUMBER(K1410)),E1410-K1410,NA())</f>
        <v/>
      </c>
      <c r="N1410" s="18">
        <f>IF(NOT(ISNUMBER($A1410)),NA(),IF(COUNT(OFFSET(G1410,1,0,Settings!$B$12,1))&lt;Settings!$B$12,NA(),STDEV(OFFSET(G1410,1,0,Settings!$B$12,1))*SQRT(Settings!$B$13)))</f>
        <v/>
      </c>
      <c r="O1410" s="18">
        <f>IF(AND(ISNUMBER(E1410),ISNUMBER(N1410)),E1410-N1410,NA())</f>
        <v/>
      </c>
      <c r="P1410" s="17">
        <f>IF(NOT(ISNUMBER($A1410)),NA(),IF(OR($A1410&lt;MIN(KW_TP!$A$2:$A$2501),$A1410&gt;MAX(KW_TP!$A$2:$A$2501)),NA(),INDEX(KW_TP!$C$2:$C$2501,MATCH($A1410,KW_TP!$A$2:$A$2501,1))))</f>
        <v/>
      </c>
    </row>
    <row r="1411">
      <c r="A1411" s="15">
        <f>IF(ISNUMBER(BBG_Data!A1411),BBG_Data!A1411,"")</f>
        <v/>
      </c>
      <c r="B1411" s="16">
        <f>IF(AND(ISNUMBER($A1411),ISNUMBER(BBG_Data!B1411)),BBG_Data!B1411,NA())</f>
        <v/>
      </c>
      <c r="C1411" s="16">
        <f>IF(AND(ISNUMBER($A1411),ISNUMBER(BBG_Data!C1411)),BBG_Data!C1411,NA())</f>
        <v/>
      </c>
      <c r="D1411" s="17">
        <f>IF(AND(ISNUMBER($A1411),ISNUMBER(BBG_Data!D1411)),BBG_Data!D1411,NA())</f>
        <v/>
      </c>
      <c r="E1411" s="17">
        <f>IF(AND(ISNUMBER($A1411),ISNUMBER(BBG_Data!E1411)),BBG_Data!E1411,NA())</f>
        <v/>
      </c>
      <c r="F1411" s="18">
        <f>IF(AND(ISNUMBER(B1411),ISNUMBER(B1410)),(B1411-B1410)*100,"")</f>
        <v/>
      </c>
      <c r="G1411" s="18">
        <f>IF(AND(ISNUMBER(C1411),ISNUMBER(C1410)),(C1411-C1410)*100,"")</f>
        <v/>
      </c>
      <c r="H1411" s="18">
        <f>IF(OR(NOT(ISNUMBER($A1411)),ROW()-2&lt;Settings!$B$11),NA(),IF(COUNT(OFFSET(F1411,1-Settings!$B$11,0,Settings!$B$11,1))&lt;Settings!$B$11,NA(),STDEV(OFFSET(F1411,1-Settings!$B$11,0,Settings!$B$11,1))*SQRT(Settings!$B$13)))</f>
        <v/>
      </c>
      <c r="I1411" s="18">
        <f>IF(OR(NOT(ISNUMBER($A1411)),ROW()-2&lt;Settings!$B$12),NA(),IF(COUNT(OFFSET(F1411,1-Settings!$B$12,0,Settings!$B$12,1))&lt;Settings!$B$12,NA(),STDEV(OFFSET(F1411,1-Settings!$B$12,0,Settings!$B$12,1))*SQRT(Settings!$B$13)))</f>
        <v/>
      </c>
      <c r="J1411" s="18">
        <f>IF(OR(NOT(ISNUMBER($A1411)),ROW()-2&lt;Settings!$B$11),NA(),IF(COUNT(OFFSET(G1411,1-Settings!$B$11,0,Settings!$B$11,1))&lt;Settings!$B$11,NA(),STDEV(OFFSET(G1411,1-Settings!$B$11,0,Settings!$B$11,1))*SQRT(Settings!$B$13)))</f>
        <v/>
      </c>
      <c r="K1411" s="18">
        <f>IF(OR(NOT(ISNUMBER($A1411)),ROW()-2&lt;Settings!$B$12),NA(),IF(COUNT(OFFSET(G1411,1-Settings!$B$12,0,Settings!$B$12,1))&lt;Settings!$B$12,NA(),STDEV(OFFSET(G1411,1-Settings!$B$12,0,Settings!$B$12,1))*SQRT(Settings!$B$13)))</f>
        <v/>
      </c>
      <c r="L1411" s="18">
        <f>IF(AND(ISNUMBER(D1411),ISNUMBER(H1411)),D1411-H1411,NA())</f>
        <v/>
      </c>
      <c r="M1411" s="18">
        <f>IF(AND(ISNUMBER(E1411),ISNUMBER(K1411)),E1411-K1411,NA())</f>
        <v/>
      </c>
      <c r="N1411" s="18">
        <f>IF(NOT(ISNUMBER($A1411)),NA(),IF(COUNT(OFFSET(G1411,1,0,Settings!$B$12,1))&lt;Settings!$B$12,NA(),STDEV(OFFSET(G1411,1,0,Settings!$B$12,1))*SQRT(Settings!$B$13)))</f>
        <v/>
      </c>
      <c r="O1411" s="18">
        <f>IF(AND(ISNUMBER(E1411),ISNUMBER(N1411)),E1411-N1411,NA())</f>
        <v/>
      </c>
      <c r="P1411" s="17">
        <f>IF(NOT(ISNUMBER($A1411)),NA(),IF(OR($A1411&lt;MIN(KW_TP!$A$2:$A$2501),$A1411&gt;MAX(KW_TP!$A$2:$A$2501)),NA(),INDEX(KW_TP!$C$2:$C$2501,MATCH($A1411,KW_TP!$A$2:$A$2501,1))))</f>
        <v/>
      </c>
    </row>
    <row r="1412">
      <c r="A1412" s="15">
        <f>IF(ISNUMBER(BBG_Data!A1412),BBG_Data!A1412,"")</f>
        <v/>
      </c>
      <c r="B1412" s="16">
        <f>IF(AND(ISNUMBER($A1412),ISNUMBER(BBG_Data!B1412)),BBG_Data!B1412,NA())</f>
        <v/>
      </c>
      <c r="C1412" s="16">
        <f>IF(AND(ISNUMBER($A1412),ISNUMBER(BBG_Data!C1412)),BBG_Data!C1412,NA())</f>
        <v/>
      </c>
      <c r="D1412" s="17">
        <f>IF(AND(ISNUMBER($A1412),ISNUMBER(BBG_Data!D1412)),BBG_Data!D1412,NA())</f>
        <v/>
      </c>
      <c r="E1412" s="17">
        <f>IF(AND(ISNUMBER($A1412),ISNUMBER(BBG_Data!E1412)),BBG_Data!E1412,NA())</f>
        <v/>
      </c>
      <c r="F1412" s="18">
        <f>IF(AND(ISNUMBER(B1412),ISNUMBER(B1411)),(B1412-B1411)*100,"")</f>
        <v/>
      </c>
      <c r="G1412" s="18">
        <f>IF(AND(ISNUMBER(C1412),ISNUMBER(C1411)),(C1412-C1411)*100,"")</f>
        <v/>
      </c>
      <c r="H1412" s="18">
        <f>IF(OR(NOT(ISNUMBER($A1412)),ROW()-2&lt;Settings!$B$11),NA(),IF(COUNT(OFFSET(F1412,1-Settings!$B$11,0,Settings!$B$11,1))&lt;Settings!$B$11,NA(),STDEV(OFFSET(F1412,1-Settings!$B$11,0,Settings!$B$11,1))*SQRT(Settings!$B$13)))</f>
        <v/>
      </c>
      <c r="I1412" s="18">
        <f>IF(OR(NOT(ISNUMBER($A1412)),ROW()-2&lt;Settings!$B$12),NA(),IF(COUNT(OFFSET(F1412,1-Settings!$B$12,0,Settings!$B$12,1))&lt;Settings!$B$12,NA(),STDEV(OFFSET(F1412,1-Settings!$B$12,0,Settings!$B$12,1))*SQRT(Settings!$B$13)))</f>
        <v/>
      </c>
      <c r="J1412" s="18">
        <f>IF(OR(NOT(ISNUMBER($A1412)),ROW()-2&lt;Settings!$B$11),NA(),IF(COUNT(OFFSET(G1412,1-Settings!$B$11,0,Settings!$B$11,1))&lt;Settings!$B$11,NA(),STDEV(OFFSET(G1412,1-Settings!$B$11,0,Settings!$B$11,1))*SQRT(Settings!$B$13)))</f>
        <v/>
      </c>
      <c r="K1412" s="18">
        <f>IF(OR(NOT(ISNUMBER($A1412)),ROW()-2&lt;Settings!$B$12),NA(),IF(COUNT(OFFSET(G1412,1-Settings!$B$12,0,Settings!$B$12,1))&lt;Settings!$B$12,NA(),STDEV(OFFSET(G1412,1-Settings!$B$12,0,Settings!$B$12,1))*SQRT(Settings!$B$13)))</f>
        <v/>
      </c>
      <c r="L1412" s="18">
        <f>IF(AND(ISNUMBER(D1412),ISNUMBER(H1412)),D1412-H1412,NA())</f>
        <v/>
      </c>
      <c r="M1412" s="18">
        <f>IF(AND(ISNUMBER(E1412),ISNUMBER(K1412)),E1412-K1412,NA())</f>
        <v/>
      </c>
      <c r="N1412" s="18">
        <f>IF(NOT(ISNUMBER($A1412)),NA(),IF(COUNT(OFFSET(G1412,1,0,Settings!$B$12,1))&lt;Settings!$B$12,NA(),STDEV(OFFSET(G1412,1,0,Settings!$B$12,1))*SQRT(Settings!$B$13)))</f>
        <v/>
      </c>
      <c r="O1412" s="18">
        <f>IF(AND(ISNUMBER(E1412),ISNUMBER(N1412)),E1412-N1412,NA())</f>
        <v/>
      </c>
      <c r="P1412" s="17">
        <f>IF(NOT(ISNUMBER($A1412)),NA(),IF(OR($A1412&lt;MIN(KW_TP!$A$2:$A$2501),$A1412&gt;MAX(KW_TP!$A$2:$A$2501)),NA(),INDEX(KW_TP!$C$2:$C$2501,MATCH($A1412,KW_TP!$A$2:$A$2501,1))))</f>
        <v/>
      </c>
    </row>
    <row r="1413">
      <c r="A1413" s="15">
        <f>IF(ISNUMBER(BBG_Data!A1413),BBG_Data!A1413,"")</f>
        <v/>
      </c>
      <c r="B1413" s="16">
        <f>IF(AND(ISNUMBER($A1413),ISNUMBER(BBG_Data!B1413)),BBG_Data!B1413,NA())</f>
        <v/>
      </c>
      <c r="C1413" s="16">
        <f>IF(AND(ISNUMBER($A1413),ISNUMBER(BBG_Data!C1413)),BBG_Data!C1413,NA())</f>
        <v/>
      </c>
      <c r="D1413" s="17">
        <f>IF(AND(ISNUMBER($A1413),ISNUMBER(BBG_Data!D1413)),BBG_Data!D1413,NA())</f>
        <v/>
      </c>
      <c r="E1413" s="17">
        <f>IF(AND(ISNUMBER($A1413),ISNUMBER(BBG_Data!E1413)),BBG_Data!E1413,NA())</f>
        <v/>
      </c>
      <c r="F1413" s="18">
        <f>IF(AND(ISNUMBER(B1413),ISNUMBER(B1412)),(B1413-B1412)*100,"")</f>
        <v/>
      </c>
      <c r="G1413" s="18">
        <f>IF(AND(ISNUMBER(C1413),ISNUMBER(C1412)),(C1413-C1412)*100,"")</f>
        <v/>
      </c>
      <c r="H1413" s="18">
        <f>IF(OR(NOT(ISNUMBER($A1413)),ROW()-2&lt;Settings!$B$11),NA(),IF(COUNT(OFFSET(F1413,1-Settings!$B$11,0,Settings!$B$11,1))&lt;Settings!$B$11,NA(),STDEV(OFFSET(F1413,1-Settings!$B$11,0,Settings!$B$11,1))*SQRT(Settings!$B$13)))</f>
        <v/>
      </c>
      <c r="I1413" s="18">
        <f>IF(OR(NOT(ISNUMBER($A1413)),ROW()-2&lt;Settings!$B$12),NA(),IF(COUNT(OFFSET(F1413,1-Settings!$B$12,0,Settings!$B$12,1))&lt;Settings!$B$12,NA(),STDEV(OFFSET(F1413,1-Settings!$B$12,0,Settings!$B$12,1))*SQRT(Settings!$B$13)))</f>
        <v/>
      </c>
      <c r="J1413" s="18">
        <f>IF(OR(NOT(ISNUMBER($A1413)),ROW()-2&lt;Settings!$B$11),NA(),IF(COUNT(OFFSET(G1413,1-Settings!$B$11,0,Settings!$B$11,1))&lt;Settings!$B$11,NA(),STDEV(OFFSET(G1413,1-Settings!$B$11,0,Settings!$B$11,1))*SQRT(Settings!$B$13)))</f>
        <v/>
      </c>
      <c r="K1413" s="18">
        <f>IF(OR(NOT(ISNUMBER($A1413)),ROW()-2&lt;Settings!$B$12),NA(),IF(COUNT(OFFSET(G1413,1-Settings!$B$12,0,Settings!$B$12,1))&lt;Settings!$B$12,NA(),STDEV(OFFSET(G1413,1-Settings!$B$12,0,Settings!$B$12,1))*SQRT(Settings!$B$13)))</f>
        <v/>
      </c>
      <c r="L1413" s="18">
        <f>IF(AND(ISNUMBER(D1413),ISNUMBER(H1413)),D1413-H1413,NA())</f>
        <v/>
      </c>
      <c r="M1413" s="18">
        <f>IF(AND(ISNUMBER(E1413),ISNUMBER(K1413)),E1413-K1413,NA())</f>
        <v/>
      </c>
      <c r="N1413" s="18">
        <f>IF(NOT(ISNUMBER($A1413)),NA(),IF(COUNT(OFFSET(G1413,1,0,Settings!$B$12,1))&lt;Settings!$B$12,NA(),STDEV(OFFSET(G1413,1,0,Settings!$B$12,1))*SQRT(Settings!$B$13)))</f>
        <v/>
      </c>
      <c r="O1413" s="18">
        <f>IF(AND(ISNUMBER(E1413),ISNUMBER(N1413)),E1413-N1413,NA())</f>
        <v/>
      </c>
      <c r="P1413" s="17">
        <f>IF(NOT(ISNUMBER($A1413)),NA(),IF(OR($A1413&lt;MIN(KW_TP!$A$2:$A$2501),$A1413&gt;MAX(KW_TP!$A$2:$A$2501)),NA(),INDEX(KW_TP!$C$2:$C$2501,MATCH($A1413,KW_TP!$A$2:$A$2501,1))))</f>
        <v/>
      </c>
    </row>
    <row r="1414">
      <c r="A1414" s="15">
        <f>IF(ISNUMBER(BBG_Data!A1414),BBG_Data!A1414,"")</f>
        <v/>
      </c>
      <c r="B1414" s="16">
        <f>IF(AND(ISNUMBER($A1414),ISNUMBER(BBG_Data!B1414)),BBG_Data!B1414,NA())</f>
        <v/>
      </c>
      <c r="C1414" s="16">
        <f>IF(AND(ISNUMBER($A1414),ISNUMBER(BBG_Data!C1414)),BBG_Data!C1414,NA())</f>
        <v/>
      </c>
      <c r="D1414" s="17">
        <f>IF(AND(ISNUMBER($A1414),ISNUMBER(BBG_Data!D1414)),BBG_Data!D1414,NA())</f>
        <v/>
      </c>
      <c r="E1414" s="17">
        <f>IF(AND(ISNUMBER($A1414),ISNUMBER(BBG_Data!E1414)),BBG_Data!E1414,NA())</f>
        <v/>
      </c>
      <c r="F1414" s="18">
        <f>IF(AND(ISNUMBER(B1414),ISNUMBER(B1413)),(B1414-B1413)*100,"")</f>
        <v/>
      </c>
      <c r="G1414" s="18">
        <f>IF(AND(ISNUMBER(C1414),ISNUMBER(C1413)),(C1414-C1413)*100,"")</f>
        <v/>
      </c>
      <c r="H1414" s="18">
        <f>IF(OR(NOT(ISNUMBER($A1414)),ROW()-2&lt;Settings!$B$11),NA(),IF(COUNT(OFFSET(F1414,1-Settings!$B$11,0,Settings!$B$11,1))&lt;Settings!$B$11,NA(),STDEV(OFFSET(F1414,1-Settings!$B$11,0,Settings!$B$11,1))*SQRT(Settings!$B$13)))</f>
        <v/>
      </c>
      <c r="I1414" s="18">
        <f>IF(OR(NOT(ISNUMBER($A1414)),ROW()-2&lt;Settings!$B$12),NA(),IF(COUNT(OFFSET(F1414,1-Settings!$B$12,0,Settings!$B$12,1))&lt;Settings!$B$12,NA(),STDEV(OFFSET(F1414,1-Settings!$B$12,0,Settings!$B$12,1))*SQRT(Settings!$B$13)))</f>
        <v/>
      </c>
      <c r="J1414" s="18">
        <f>IF(OR(NOT(ISNUMBER($A1414)),ROW()-2&lt;Settings!$B$11),NA(),IF(COUNT(OFFSET(G1414,1-Settings!$B$11,0,Settings!$B$11,1))&lt;Settings!$B$11,NA(),STDEV(OFFSET(G1414,1-Settings!$B$11,0,Settings!$B$11,1))*SQRT(Settings!$B$13)))</f>
        <v/>
      </c>
      <c r="K1414" s="18">
        <f>IF(OR(NOT(ISNUMBER($A1414)),ROW()-2&lt;Settings!$B$12),NA(),IF(COUNT(OFFSET(G1414,1-Settings!$B$12,0,Settings!$B$12,1))&lt;Settings!$B$12,NA(),STDEV(OFFSET(G1414,1-Settings!$B$12,0,Settings!$B$12,1))*SQRT(Settings!$B$13)))</f>
        <v/>
      </c>
      <c r="L1414" s="18">
        <f>IF(AND(ISNUMBER(D1414),ISNUMBER(H1414)),D1414-H1414,NA())</f>
        <v/>
      </c>
      <c r="M1414" s="18">
        <f>IF(AND(ISNUMBER(E1414),ISNUMBER(K1414)),E1414-K1414,NA())</f>
        <v/>
      </c>
      <c r="N1414" s="18">
        <f>IF(NOT(ISNUMBER($A1414)),NA(),IF(COUNT(OFFSET(G1414,1,0,Settings!$B$12,1))&lt;Settings!$B$12,NA(),STDEV(OFFSET(G1414,1,0,Settings!$B$12,1))*SQRT(Settings!$B$13)))</f>
        <v/>
      </c>
      <c r="O1414" s="18">
        <f>IF(AND(ISNUMBER(E1414),ISNUMBER(N1414)),E1414-N1414,NA())</f>
        <v/>
      </c>
      <c r="P1414" s="17">
        <f>IF(NOT(ISNUMBER($A1414)),NA(),IF(OR($A1414&lt;MIN(KW_TP!$A$2:$A$2501),$A1414&gt;MAX(KW_TP!$A$2:$A$2501)),NA(),INDEX(KW_TP!$C$2:$C$2501,MATCH($A1414,KW_TP!$A$2:$A$2501,1))))</f>
        <v/>
      </c>
    </row>
    <row r="1415">
      <c r="A1415" s="15">
        <f>IF(ISNUMBER(BBG_Data!A1415),BBG_Data!A1415,"")</f>
        <v/>
      </c>
      <c r="B1415" s="16">
        <f>IF(AND(ISNUMBER($A1415),ISNUMBER(BBG_Data!B1415)),BBG_Data!B1415,NA())</f>
        <v/>
      </c>
      <c r="C1415" s="16">
        <f>IF(AND(ISNUMBER($A1415),ISNUMBER(BBG_Data!C1415)),BBG_Data!C1415,NA())</f>
        <v/>
      </c>
      <c r="D1415" s="17">
        <f>IF(AND(ISNUMBER($A1415),ISNUMBER(BBG_Data!D1415)),BBG_Data!D1415,NA())</f>
        <v/>
      </c>
      <c r="E1415" s="17">
        <f>IF(AND(ISNUMBER($A1415),ISNUMBER(BBG_Data!E1415)),BBG_Data!E1415,NA())</f>
        <v/>
      </c>
      <c r="F1415" s="18">
        <f>IF(AND(ISNUMBER(B1415),ISNUMBER(B1414)),(B1415-B1414)*100,"")</f>
        <v/>
      </c>
      <c r="G1415" s="18">
        <f>IF(AND(ISNUMBER(C1415),ISNUMBER(C1414)),(C1415-C1414)*100,"")</f>
        <v/>
      </c>
      <c r="H1415" s="18">
        <f>IF(OR(NOT(ISNUMBER($A1415)),ROW()-2&lt;Settings!$B$11),NA(),IF(COUNT(OFFSET(F1415,1-Settings!$B$11,0,Settings!$B$11,1))&lt;Settings!$B$11,NA(),STDEV(OFFSET(F1415,1-Settings!$B$11,0,Settings!$B$11,1))*SQRT(Settings!$B$13)))</f>
        <v/>
      </c>
      <c r="I1415" s="18">
        <f>IF(OR(NOT(ISNUMBER($A1415)),ROW()-2&lt;Settings!$B$12),NA(),IF(COUNT(OFFSET(F1415,1-Settings!$B$12,0,Settings!$B$12,1))&lt;Settings!$B$12,NA(),STDEV(OFFSET(F1415,1-Settings!$B$12,0,Settings!$B$12,1))*SQRT(Settings!$B$13)))</f>
        <v/>
      </c>
      <c r="J1415" s="18">
        <f>IF(OR(NOT(ISNUMBER($A1415)),ROW()-2&lt;Settings!$B$11),NA(),IF(COUNT(OFFSET(G1415,1-Settings!$B$11,0,Settings!$B$11,1))&lt;Settings!$B$11,NA(),STDEV(OFFSET(G1415,1-Settings!$B$11,0,Settings!$B$11,1))*SQRT(Settings!$B$13)))</f>
        <v/>
      </c>
      <c r="K1415" s="18">
        <f>IF(OR(NOT(ISNUMBER($A1415)),ROW()-2&lt;Settings!$B$12),NA(),IF(COUNT(OFFSET(G1415,1-Settings!$B$12,0,Settings!$B$12,1))&lt;Settings!$B$12,NA(),STDEV(OFFSET(G1415,1-Settings!$B$12,0,Settings!$B$12,1))*SQRT(Settings!$B$13)))</f>
        <v/>
      </c>
      <c r="L1415" s="18">
        <f>IF(AND(ISNUMBER(D1415),ISNUMBER(H1415)),D1415-H1415,NA())</f>
        <v/>
      </c>
      <c r="M1415" s="18">
        <f>IF(AND(ISNUMBER(E1415),ISNUMBER(K1415)),E1415-K1415,NA())</f>
        <v/>
      </c>
      <c r="N1415" s="18">
        <f>IF(NOT(ISNUMBER($A1415)),NA(),IF(COUNT(OFFSET(G1415,1,0,Settings!$B$12,1))&lt;Settings!$B$12,NA(),STDEV(OFFSET(G1415,1,0,Settings!$B$12,1))*SQRT(Settings!$B$13)))</f>
        <v/>
      </c>
      <c r="O1415" s="18">
        <f>IF(AND(ISNUMBER(E1415),ISNUMBER(N1415)),E1415-N1415,NA())</f>
        <v/>
      </c>
      <c r="P1415" s="17">
        <f>IF(NOT(ISNUMBER($A1415)),NA(),IF(OR($A1415&lt;MIN(KW_TP!$A$2:$A$2501),$A1415&gt;MAX(KW_TP!$A$2:$A$2501)),NA(),INDEX(KW_TP!$C$2:$C$2501,MATCH($A1415,KW_TP!$A$2:$A$2501,1))))</f>
        <v/>
      </c>
    </row>
    <row r="1416">
      <c r="A1416" s="15">
        <f>IF(ISNUMBER(BBG_Data!A1416),BBG_Data!A1416,"")</f>
        <v/>
      </c>
      <c r="B1416" s="16">
        <f>IF(AND(ISNUMBER($A1416),ISNUMBER(BBG_Data!B1416)),BBG_Data!B1416,NA())</f>
        <v/>
      </c>
      <c r="C1416" s="16">
        <f>IF(AND(ISNUMBER($A1416),ISNUMBER(BBG_Data!C1416)),BBG_Data!C1416,NA())</f>
        <v/>
      </c>
      <c r="D1416" s="17">
        <f>IF(AND(ISNUMBER($A1416),ISNUMBER(BBG_Data!D1416)),BBG_Data!D1416,NA())</f>
        <v/>
      </c>
      <c r="E1416" s="17">
        <f>IF(AND(ISNUMBER($A1416),ISNUMBER(BBG_Data!E1416)),BBG_Data!E1416,NA())</f>
        <v/>
      </c>
      <c r="F1416" s="18">
        <f>IF(AND(ISNUMBER(B1416),ISNUMBER(B1415)),(B1416-B1415)*100,"")</f>
        <v/>
      </c>
      <c r="G1416" s="18">
        <f>IF(AND(ISNUMBER(C1416),ISNUMBER(C1415)),(C1416-C1415)*100,"")</f>
        <v/>
      </c>
      <c r="H1416" s="18">
        <f>IF(OR(NOT(ISNUMBER($A1416)),ROW()-2&lt;Settings!$B$11),NA(),IF(COUNT(OFFSET(F1416,1-Settings!$B$11,0,Settings!$B$11,1))&lt;Settings!$B$11,NA(),STDEV(OFFSET(F1416,1-Settings!$B$11,0,Settings!$B$11,1))*SQRT(Settings!$B$13)))</f>
        <v/>
      </c>
      <c r="I1416" s="18">
        <f>IF(OR(NOT(ISNUMBER($A1416)),ROW()-2&lt;Settings!$B$12),NA(),IF(COUNT(OFFSET(F1416,1-Settings!$B$12,0,Settings!$B$12,1))&lt;Settings!$B$12,NA(),STDEV(OFFSET(F1416,1-Settings!$B$12,0,Settings!$B$12,1))*SQRT(Settings!$B$13)))</f>
        <v/>
      </c>
      <c r="J1416" s="18">
        <f>IF(OR(NOT(ISNUMBER($A1416)),ROW()-2&lt;Settings!$B$11),NA(),IF(COUNT(OFFSET(G1416,1-Settings!$B$11,0,Settings!$B$11,1))&lt;Settings!$B$11,NA(),STDEV(OFFSET(G1416,1-Settings!$B$11,0,Settings!$B$11,1))*SQRT(Settings!$B$13)))</f>
        <v/>
      </c>
      <c r="K1416" s="18">
        <f>IF(OR(NOT(ISNUMBER($A1416)),ROW()-2&lt;Settings!$B$12),NA(),IF(COUNT(OFFSET(G1416,1-Settings!$B$12,0,Settings!$B$12,1))&lt;Settings!$B$12,NA(),STDEV(OFFSET(G1416,1-Settings!$B$12,0,Settings!$B$12,1))*SQRT(Settings!$B$13)))</f>
        <v/>
      </c>
      <c r="L1416" s="18">
        <f>IF(AND(ISNUMBER(D1416),ISNUMBER(H1416)),D1416-H1416,NA())</f>
        <v/>
      </c>
      <c r="M1416" s="18">
        <f>IF(AND(ISNUMBER(E1416),ISNUMBER(K1416)),E1416-K1416,NA())</f>
        <v/>
      </c>
      <c r="N1416" s="18">
        <f>IF(NOT(ISNUMBER($A1416)),NA(),IF(COUNT(OFFSET(G1416,1,0,Settings!$B$12,1))&lt;Settings!$B$12,NA(),STDEV(OFFSET(G1416,1,0,Settings!$B$12,1))*SQRT(Settings!$B$13)))</f>
        <v/>
      </c>
      <c r="O1416" s="18">
        <f>IF(AND(ISNUMBER(E1416),ISNUMBER(N1416)),E1416-N1416,NA())</f>
        <v/>
      </c>
      <c r="P1416" s="17">
        <f>IF(NOT(ISNUMBER($A1416)),NA(),IF(OR($A1416&lt;MIN(KW_TP!$A$2:$A$2501),$A1416&gt;MAX(KW_TP!$A$2:$A$2501)),NA(),INDEX(KW_TP!$C$2:$C$2501,MATCH($A1416,KW_TP!$A$2:$A$2501,1))))</f>
        <v/>
      </c>
    </row>
    <row r="1417">
      <c r="A1417" s="15">
        <f>IF(ISNUMBER(BBG_Data!A1417),BBG_Data!A1417,"")</f>
        <v/>
      </c>
      <c r="B1417" s="16">
        <f>IF(AND(ISNUMBER($A1417),ISNUMBER(BBG_Data!B1417)),BBG_Data!B1417,NA())</f>
        <v/>
      </c>
      <c r="C1417" s="16">
        <f>IF(AND(ISNUMBER($A1417),ISNUMBER(BBG_Data!C1417)),BBG_Data!C1417,NA())</f>
        <v/>
      </c>
      <c r="D1417" s="17">
        <f>IF(AND(ISNUMBER($A1417),ISNUMBER(BBG_Data!D1417)),BBG_Data!D1417,NA())</f>
        <v/>
      </c>
      <c r="E1417" s="17">
        <f>IF(AND(ISNUMBER($A1417),ISNUMBER(BBG_Data!E1417)),BBG_Data!E1417,NA())</f>
        <v/>
      </c>
      <c r="F1417" s="18">
        <f>IF(AND(ISNUMBER(B1417),ISNUMBER(B1416)),(B1417-B1416)*100,"")</f>
        <v/>
      </c>
      <c r="G1417" s="18">
        <f>IF(AND(ISNUMBER(C1417),ISNUMBER(C1416)),(C1417-C1416)*100,"")</f>
        <v/>
      </c>
      <c r="H1417" s="18">
        <f>IF(OR(NOT(ISNUMBER($A1417)),ROW()-2&lt;Settings!$B$11),NA(),IF(COUNT(OFFSET(F1417,1-Settings!$B$11,0,Settings!$B$11,1))&lt;Settings!$B$11,NA(),STDEV(OFFSET(F1417,1-Settings!$B$11,0,Settings!$B$11,1))*SQRT(Settings!$B$13)))</f>
        <v/>
      </c>
      <c r="I1417" s="18">
        <f>IF(OR(NOT(ISNUMBER($A1417)),ROW()-2&lt;Settings!$B$12),NA(),IF(COUNT(OFFSET(F1417,1-Settings!$B$12,0,Settings!$B$12,1))&lt;Settings!$B$12,NA(),STDEV(OFFSET(F1417,1-Settings!$B$12,0,Settings!$B$12,1))*SQRT(Settings!$B$13)))</f>
        <v/>
      </c>
      <c r="J1417" s="18">
        <f>IF(OR(NOT(ISNUMBER($A1417)),ROW()-2&lt;Settings!$B$11),NA(),IF(COUNT(OFFSET(G1417,1-Settings!$B$11,0,Settings!$B$11,1))&lt;Settings!$B$11,NA(),STDEV(OFFSET(G1417,1-Settings!$B$11,0,Settings!$B$11,1))*SQRT(Settings!$B$13)))</f>
        <v/>
      </c>
      <c r="K1417" s="18">
        <f>IF(OR(NOT(ISNUMBER($A1417)),ROW()-2&lt;Settings!$B$12),NA(),IF(COUNT(OFFSET(G1417,1-Settings!$B$12,0,Settings!$B$12,1))&lt;Settings!$B$12,NA(),STDEV(OFFSET(G1417,1-Settings!$B$12,0,Settings!$B$12,1))*SQRT(Settings!$B$13)))</f>
        <v/>
      </c>
      <c r="L1417" s="18">
        <f>IF(AND(ISNUMBER(D1417),ISNUMBER(H1417)),D1417-H1417,NA())</f>
        <v/>
      </c>
      <c r="M1417" s="18">
        <f>IF(AND(ISNUMBER(E1417),ISNUMBER(K1417)),E1417-K1417,NA())</f>
        <v/>
      </c>
      <c r="N1417" s="18">
        <f>IF(NOT(ISNUMBER($A1417)),NA(),IF(COUNT(OFFSET(G1417,1,0,Settings!$B$12,1))&lt;Settings!$B$12,NA(),STDEV(OFFSET(G1417,1,0,Settings!$B$12,1))*SQRT(Settings!$B$13)))</f>
        <v/>
      </c>
      <c r="O1417" s="18">
        <f>IF(AND(ISNUMBER(E1417),ISNUMBER(N1417)),E1417-N1417,NA())</f>
        <v/>
      </c>
      <c r="P1417" s="17">
        <f>IF(NOT(ISNUMBER($A1417)),NA(),IF(OR($A1417&lt;MIN(KW_TP!$A$2:$A$2501),$A1417&gt;MAX(KW_TP!$A$2:$A$2501)),NA(),INDEX(KW_TP!$C$2:$C$2501,MATCH($A1417,KW_TP!$A$2:$A$2501,1))))</f>
        <v/>
      </c>
    </row>
    <row r="1418">
      <c r="A1418" s="15">
        <f>IF(ISNUMBER(BBG_Data!A1418),BBG_Data!A1418,"")</f>
        <v/>
      </c>
      <c r="B1418" s="16">
        <f>IF(AND(ISNUMBER($A1418),ISNUMBER(BBG_Data!B1418)),BBG_Data!B1418,NA())</f>
        <v/>
      </c>
      <c r="C1418" s="16">
        <f>IF(AND(ISNUMBER($A1418),ISNUMBER(BBG_Data!C1418)),BBG_Data!C1418,NA())</f>
        <v/>
      </c>
      <c r="D1418" s="17">
        <f>IF(AND(ISNUMBER($A1418),ISNUMBER(BBG_Data!D1418)),BBG_Data!D1418,NA())</f>
        <v/>
      </c>
      <c r="E1418" s="17">
        <f>IF(AND(ISNUMBER($A1418),ISNUMBER(BBG_Data!E1418)),BBG_Data!E1418,NA())</f>
        <v/>
      </c>
      <c r="F1418" s="18">
        <f>IF(AND(ISNUMBER(B1418),ISNUMBER(B1417)),(B1418-B1417)*100,"")</f>
        <v/>
      </c>
      <c r="G1418" s="18">
        <f>IF(AND(ISNUMBER(C1418),ISNUMBER(C1417)),(C1418-C1417)*100,"")</f>
        <v/>
      </c>
      <c r="H1418" s="18">
        <f>IF(OR(NOT(ISNUMBER($A1418)),ROW()-2&lt;Settings!$B$11),NA(),IF(COUNT(OFFSET(F1418,1-Settings!$B$11,0,Settings!$B$11,1))&lt;Settings!$B$11,NA(),STDEV(OFFSET(F1418,1-Settings!$B$11,0,Settings!$B$11,1))*SQRT(Settings!$B$13)))</f>
        <v/>
      </c>
      <c r="I1418" s="18">
        <f>IF(OR(NOT(ISNUMBER($A1418)),ROW()-2&lt;Settings!$B$12),NA(),IF(COUNT(OFFSET(F1418,1-Settings!$B$12,0,Settings!$B$12,1))&lt;Settings!$B$12,NA(),STDEV(OFFSET(F1418,1-Settings!$B$12,0,Settings!$B$12,1))*SQRT(Settings!$B$13)))</f>
        <v/>
      </c>
      <c r="J1418" s="18">
        <f>IF(OR(NOT(ISNUMBER($A1418)),ROW()-2&lt;Settings!$B$11),NA(),IF(COUNT(OFFSET(G1418,1-Settings!$B$11,0,Settings!$B$11,1))&lt;Settings!$B$11,NA(),STDEV(OFFSET(G1418,1-Settings!$B$11,0,Settings!$B$11,1))*SQRT(Settings!$B$13)))</f>
        <v/>
      </c>
      <c r="K1418" s="18">
        <f>IF(OR(NOT(ISNUMBER($A1418)),ROW()-2&lt;Settings!$B$12),NA(),IF(COUNT(OFFSET(G1418,1-Settings!$B$12,0,Settings!$B$12,1))&lt;Settings!$B$12,NA(),STDEV(OFFSET(G1418,1-Settings!$B$12,0,Settings!$B$12,1))*SQRT(Settings!$B$13)))</f>
        <v/>
      </c>
      <c r="L1418" s="18">
        <f>IF(AND(ISNUMBER(D1418),ISNUMBER(H1418)),D1418-H1418,NA())</f>
        <v/>
      </c>
      <c r="M1418" s="18">
        <f>IF(AND(ISNUMBER(E1418),ISNUMBER(K1418)),E1418-K1418,NA())</f>
        <v/>
      </c>
      <c r="N1418" s="18">
        <f>IF(NOT(ISNUMBER($A1418)),NA(),IF(COUNT(OFFSET(G1418,1,0,Settings!$B$12,1))&lt;Settings!$B$12,NA(),STDEV(OFFSET(G1418,1,0,Settings!$B$12,1))*SQRT(Settings!$B$13)))</f>
        <v/>
      </c>
      <c r="O1418" s="18">
        <f>IF(AND(ISNUMBER(E1418),ISNUMBER(N1418)),E1418-N1418,NA())</f>
        <v/>
      </c>
      <c r="P1418" s="17">
        <f>IF(NOT(ISNUMBER($A1418)),NA(),IF(OR($A1418&lt;MIN(KW_TP!$A$2:$A$2501),$A1418&gt;MAX(KW_TP!$A$2:$A$2501)),NA(),INDEX(KW_TP!$C$2:$C$2501,MATCH($A1418,KW_TP!$A$2:$A$2501,1))))</f>
        <v/>
      </c>
    </row>
    <row r="1419">
      <c r="A1419" s="15">
        <f>IF(ISNUMBER(BBG_Data!A1419),BBG_Data!A1419,"")</f>
        <v/>
      </c>
      <c r="B1419" s="16">
        <f>IF(AND(ISNUMBER($A1419),ISNUMBER(BBG_Data!B1419)),BBG_Data!B1419,NA())</f>
        <v/>
      </c>
      <c r="C1419" s="16">
        <f>IF(AND(ISNUMBER($A1419),ISNUMBER(BBG_Data!C1419)),BBG_Data!C1419,NA())</f>
        <v/>
      </c>
      <c r="D1419" s="17">
        <f>IF(AND(ISNUMBER($A1419),ISNUMBER(BBG_Data!D1419)),BBG_Data!D1419,NA())</f>
        <v/>
      </c>
      <c r="E1419" s="17">
        <f>IF(AND(ISNUMBER($A1419),ISNUMBER(BBG_Data!E1419)),BBG_Data!E1419,NA())</f>
        <v/>
      </c>
      <c r="F1419" s="18">
        <f>IF(AND(ISNUMBER(B1419),ISNUMBER(B1418)),(B1419-B1418)*100,"")</f>
        <v/>
      </c>
      <c r="G1419" s="18">
        <f>IF(AND(ISNUMBER(C1419),ISNUMBER(C1418)),(C1419-C1418)*100,"")</f>
        <v/>
      </c>
      <c r="H1419" s="18">
        <f>IF(OR(NOT(ISNUMBER($A1419)),ROW()-2&lt;Settings!$B$11),NA(),IF(COUNT(OFFSET(F1419,1-Settings!$B$11,0,Settings!$B$11,1))&lt;Settings!$B$11,NA(),STDEV(OFFSET(F1419,1-Settings!$B$11,0,Settings!$B$11,1))*SQRT(Settings!$B$13)))</f>
        <v/>
      </c>
      <c r="I1419" s="18">
        <f>IF(OR(NOT(ISNUMBER($A1419)),ROW()-2&lt;Settings!$B$12),NA(),IF(COUNT(OFFSET(F1419,1-Settings!$B$12,0,Settings!$B$12,1))&lt;Settings!$B$12,NA(),STDEV(OFFSET(F1419,1-Settings!$B$12,0,Settings!$B$12,1))*SQRT(Settings!$B$13)))</f>
        <v/>
      </c>
      <c r="J1419" s="18">
        <f>IF(OR(NOT(ISNUMBER($A1419)),ROW()-2&lt;Settings!$B$11),NA(),IF(COUNT(OFFSET(G1419,1-Settings!$B$11,0,Settings!$B$11,1))&lt;Settings!$B$11,NA(),STDEV(OFFSET(G1419,1-Settings!$B$11,0,Settings!$B$11,1))*SQRT(Settings!$B$13)))</f>
        <v/>
      </c>
      <c r="K1419" s="18">
        <f>IF(OR(NOT(ISNUMBER($A1419)),ROW()-2&lt;Settings!$B$12),NA(),IF(COUNT(OFFSET(G1419,1-Settings!$B$12,0,Settings!$B$12,1))&lt;Settings!$B$12,NA(),STDEV(OFFSET(G1419,1-Settings!$B$12,0,Settings!$B$12,1))*SQRT(Settings!$B$13)))</f>
        <v/>
      </c>
      <c r="L1419" s="18">
        <f>IF(AND(ISNUMBER(D1419),ISNUMBER(H1419)),D1419-H1419,NA())</f>
        <v/>
      </c>
      <c r="M1419" s="18">
        <f>IF(AND(ISNUMBER(E1419),ISNUMBER(K1419)),E1419-K1419,NA())</f>
        <v/>
      </c>
      <c r="N1419" s="18">
        <f>IF(NOT(ISNUMBER($A1419)),NA(),IF(COUNT(OFFSET(G1419,1,0,Settings!$B$12,1))&lt;Settings!$B$12,NA(),STDEV(OFFSET(G1419,1,0,Settings!$B$12,1))*SQRT(Settings!$B$13)))</f>
        <v/>
      </c>
      <c r="O1419" s="18">
        <f>IF(AND(ISNUMBER(E1419),ISNUMBER(N1419)),E1419-N1419,NA())</f>
        <v/>
      </c>
      <c r="P1419" s="17">
        <f>IF(NOT(ISNUMBER($A1419)),NA(),IF(OR($A1419&lt;MIN(KW_TP!$A$2:$A$2501),$A1419&gt;MAX(KW_TP!$A$2:$A$2501)),NA(),INDEX(KW_TP!$C$2:$C$2501,MATCH($A1419,KW_TP!$A$2:$A$2501,1))))</f>
        <v/>
      </c>
    </row>
    <row r="1420">
      <c r="A1420" s="15">
        <f>IF(ISNUMBER(BBG_Data!A1420),BBG_Data!A1420,"")</f>
        <v/>
      </c>
      <c r="B1420" s="16">
        <f>IF(AND(ISNUMBER($A1420),ISNUMBER(BBG_Data!B1420)),BBG_Data!B1420,NA())</f>
        <v/>
      </c>
      <c r="C1420" s="16">
        <f>IF(AND(ISNUMBER($A1420),ISNUMBER(BBG_Data!C1420)),BBG_Data!C1420,NA())</f>
        <v/>
      </c>
      <c r="D1420" s="17">
        <f>IF(AND(ISNUMBER($A1420),ISNUMBER(BBG_Data!D1420)),BBG_Data!D1420,NA())</f>
        <v/>
      </c>
      <c r="E1420" s="17">
        <f>IF(AND(ISNUMBER($A1420),ISNUMBER(BBG_Data!E1420)),BBG_Data!E1420,NA())</f>
        <v/>
      </c>
      <c r="F1420" s="18">
        <f>IF(AND(ISNUMBER(B1420),ISNUMBER(B1419)),(B1420-B1419)*100,"")</f>
        <v/>
      </c>
      <c r="G1420" s="18">
        <f>IF(AND(ISNUMBER(C1420),ISNUMBER(C1419)),(C1420-C1419)*100,"")</f>
        <v/>
      </c>
      <c r="H1420" s="18">
        <f>IF(OR(NOT(ISNUMBER($A1420)),ROW()-2&lt;Settings!$B$11),NA(),IF(COUNT(OFFSET(F1420,1-Settings!$B$11,0,Settings!$B$11,1))&lt;Settings!$B$11,NA(),STDEV(OFFSET(F1420,1-Settings!$B$11,0,Settings!$B$11,1))*SQRT(Settings!$B$13)))</f>
        <v/>
      </c>
      <c r="I1420" s="18">
        <f>IF(OR(NOT(ISNUMBER($A1420)),ROW()-2&lt;Settings!$B$12),NA(),IF(COUNT(OFFSET(F1420,1-Settings!$B$12,0,Settings!$B$12,1))&lt;Settings!$B$12,NA(),STDEV(OFFSET(F1420,1-Settings!$B$12,0,Settings!$B$12,1))*SQRT(Settings!$B$13)))</f>
        <v/>
      </c>
      <c r="J1420" s="18">
        <f>IF(OR(NOT(ISNUMBER($A1420)),ROW()-2&lt;Settings!$B$11),NA(),IF(COUNT(OFFSET(G1420,1-Settings!$B$11,0,Settings!$B$11,1))&lt;Settings!$B$11,NA(),STDEV(OFFSET(G1420,1-Settings!$B$11,0,Settings!$B$11,1))*SQRT(Settings!$B$13)))</f>
        <v/>
      </c>
      <c r="K1420" s="18">
        <f>IF(OR(NOT(ISNUMBER($A1420)),ROW()-2&lt;Settings!$B$12),NA(),IF(COUNT(OFFSET(G1420,1-Settings!$B$12,0,Settings!$B$12,1))&lt;Settings!$B$12,NA(),STDEV(OFFSET(G1420,1-Settings!$B$12,0,Settings!$B$12,1))*SQRT(Settings!$B$13)))</f>
        <v/>
      </c>
      <c r="L1420" s="18">
        <f>IF(AND(ISNUMBER(D1420),ISNUMBER(H1420)),D1420-H1420,NA())</f>
        <v/>
      </c>
      <c r="M1420" s="18">
        <f>IF(AND(ISNUMBER(E1420),ISNUMBER(K1420)),E1420-K1420,NA())</f>
        <v/>
      </c>
      <c r="N1420" s="18">
        <f>IF(NOT(ISNUMBER($A1420)),NA(),IF(COUNT(OFFSET(G1420,1,0,Settings!$B$12,1))&lt;Settings!$B$12,NA(),STDEV(OFFSET(G1420,1,0,Settings!$B$12,1))*SQRT(Settings!$B$13)))</f>
        <v/>
      </c>
      <c r="O1420" s="18">
        <f>IF(AND(ISNUMBER(E1420),ISNUMBER(N1420)),E1420-N1420,NA())</f>
        <v/>
      </c>
      <c r="P1420" s="17">
        <f>IF(NOT(ISNUMBER($A1420)),NA(),IF(OR($A1420&lt;MIN(KW_TP!$A$2:$A$2501),$A1420&gt;MAX(KW_TP!$A$2:$A$2501)),NA(),INDEX(KW_TP!$C$2:$C$2501,MATCH($A1420,KW_TP!$A$2:$A$2501,1))))</f>
        <v/>
      </c>
    </row>
    <row r="1421">
      <c r="A1421" s="15">
        <f>IF(ISNUMBER(BBG_Data!A1421),BBG_Data!A1421,"")</f>
        <v/>
      </c>
      <c r="B1421" s="16">
        <f>IF(AND(ISNUMBER($A1421),ISNUMBER(BBG_Data!B1421)),BBG_Data!B1421,NA())</f>
        <v/>
      </c>
      <c r="C1421" s="16">
        <f>IF(AND(ISNUMBER($A1421),ISNUMBER(BBG_Data!C1421)),BBG_Data!C1421,NA())</f>
        <v/>
      </c>
      <c r="D1421" s="17">
        <f>IF(AND(ISNUMBER($A1421),ISNUMBER(BBG_Data!D1421)),BBG_Data!D1421,NA())</f>
        <v/>
      </c>
      <c r="E1421" s="17">
        <f>IF(AND(ISNUMBER($A1421),ISNUMBER(BBG_Data!E1421)),BBG_Data!E1421,NA())</f>
        <v/>
      </c>
      <c r="F1421" s="18">
        <f>IF(AND(ISNUMBER(B1421),ISNUMBER(B1420)),(B1421-B1420)*100,"")</f>
        <v/>
      </c>
      <c r="G1421" s="18">
        <f>IF(AND(ISNUMBER(C1421),ISNUMBER(C1420)),(C1421-C1420)*100,"")</f>
        <v/>
      </c>
      <c r="H1421" s="18">
        <f>IF(OR(NOT(ISNUMBER($A1421)),ROW()-2&lt;Settings!$B$11),NA(),IF(COUNT(OFFSET(F1421,1-Settings!$B$11,0,Settings!$B$11,1))&lt;Settings!$B$11,NA(),STDEV(OFFSET(F1421,1-Settings!$B$11,0,Settings!$B$11,1))*SQRT(Settings!$B$13)))</f>
        <v/>
      </c>
      <c r="I1421" s="18">
        <f>IF(OR(NOT(ISNUMBER($A1421)),ROW()-2&lt;Settings!$B$12),NA(),IF(COUNT(OFFSET(F1421,1-Settings!$B$12,0,Settings!$B$12,1))&lt;Settings!$B$12,NA(),STDEV(OFFSET(F1421,1-Settings!$B$12,0,Settings!$B$12,1))*SQRT(Settings!$B$13)))</f>
        <v/>
      </c>
      <c r="J1421" s="18">
        <f>IF(OR(NOT(ISNUMBER($A1421)),ROW()-2&lt;Settings!$B$11),NA(),IF(COUNT(OFFSET(G1421,1-Settings!$B$11,0,Settings!$B$11,1))&lt;Settings!$B$11,NA(),STDEV(OFFSET(G1421,1-Settings!$B$11,0,Settings!$B$11,1))*SQRT(Settings!$B$13)))</f>
        <v/>
      </c>
      <c r="K1421" s="18">
        <f>IF(OR(NOT(ISNUMBER($A1421)),ROW()-2&lt;Settings!$B$12),NA(),IF(COUNT(OFFSET(G1421,1-Settings!$B$12,0,Settings!$B$12,1))&lt;Settings!$B$12,NA(),STDEV(OFFSET(G1421,1-Settings!$B$12,0,Settings!$B$12,1))*SQRT(Settings!$B$13)))</f>
        <v/>
      </c>
      <c r="L1421" s="18">
        <f>IF(AND(ISNUMBER(D1421),ISNUMBER(H1421)),D1421-H1421,NA())</f>
        <v/>
      </c>
      <c r="M1421" s="18">
        <f>IF(AND(ISNUMBER(E1421),ISNUMBER(K1421)),E1421-K1421,NA())</f>
        <v/>
      </c>
      <c r="N1421" s="18">
        <f>IF(NOT(ISNUMBER($A1421)),NA(),IF(COUNT(OFFSET(G1421,1,0,Settings!$B$12,1))&lt;Settings!$B$12,NA(),STDEV(OFFSET(G1421,1,0,Settings!$B$12,1))*SQRT(Settings!$B$13)))</f>
        <v/>
      </c>
      <c r="O1421" s="18">
        <f>IF(AND(ISNUMBER(E1421),ISNUMBER(N1421)),E1421-N1421,NA())</f>
        <v/>
      </c>
      <c r="P1421" s="17">
        <f>IF(NOT(ISNUMBER($A1421)),NA(),IF(OR($A1421&lt;MIN(KW_TP!$A$2:$A$2501),$A1421&gt;MAX(KW_TP!$A$2:$A$2501)),NA(),INDEX(KW_TP!$C$2:$C$2501,MATCH($A1421,KW_TP!$A$2:$A$2501,1))))</f>
        <v/>
      </c>
    </row>
    <row r="1422">
      <c r="A1422" s="15">
        <f>IF(ISNUMBER(BBG_Data!A1422),BBG_Data!A1422,"")</f>
        <v/>
      </c>
      <c r="B1422" s="16">
        <f>IF(AND(ISNUMBER($A1422),ISNUMBER(BBG_Data!B1422)),BBG_Data!B1422,NA())</f>
        <v/>
      </c>
      <c r="C1422" s="16">
        <f>IF(AND(ISNUMBER($A1422),ISNUMBER(BBG_Data!C1422)),BBG_Data!C1422,NA())</f>
        <v/>
      </c>
      <c r="D1422" s="17">
        <f>IF(AND(ISNUMBER($A1422),ISNUMBER(BBG_Data!D1422)),BBG_Data!D1422,NA())</f>
        <v/>
      </c>
      <c r="E1422" s="17">
        <f>IF(AND(ISNUMBER($A1422),ISNUMBER(BBG_Data!E1422)),BBG_Data!E1422,NA())</f>
        <v/>
      </c>
      <c r="F1422" s="18">
        <f>IF(AND(ISNUMBER(B1422),ISNUMBER(B1421)),(B1422-B1421)*100,"")</f>
        <v/>
      </c>
      <c r="G1422" s="18">
        <f>IF(AND(ISNUMBER(C1422),ISNUMBER(C1421)),(C1422-C1421)*100,"")</f>
        <v/>
      </c>
      <c r="H1422" s="18">
        <f>IF(OR(NOT(ISNUMBER($A1422)),ROW()-2&lt;Settings!$B$11),NA(),IF(COUNT(OFFSET(F1422,1-Settings!$B$11,0,Settings!$B$11,1))&lt;Settings!$B$11,NA(),STDEV(OFFSET(F1422,1-Settings!$B$11,0,Settings!$B$11,1))*SQRT(Settings!$B$13)))</f>
        <v/>
      </c>
      <c r="I1422" s="18">
        <f>IF(OR(NOT(ISNUMBER($A1422)),ROW()-2&lt;Settings!$B$12),NA(),IF(COUNT(OFFSET(F1422,1-Settings!$B$12,0,Settings!$B$12,1))&lt;Settings!$B$12,NA(),STDEV(OFFSET(F1422,1-Settings!$B$12,0,Settings!$B$12,1))*SQRT(Settings!$B$13)))</f>
        <v/>
      </c>
      <c r="J1422" s="18">
        <f>IF(OR(NOT(ISNUMBER($A1422)),ROW()-2&lt;Settings!$B$11),NA(),IF(COUNT(OFFSET(G1422,1-Settings!$B$11,0,Settings!$B$11,1))&lt;Settings!$B$11,NA(),STDEV(OFFSET(G1422,1-Settings!$B$11,0,Settings!$B$11,1))*SQRT(Settings!$B$13)))</f>
        <v/>
      </c>
      <c r="K1422" s="18">
        <f>IF(OR(NOT(ISNUMBER($A1422)),ROW()-2&lt;Settings!$B$12),NA(),IF(COUNT(OFFSET(G1422,1-Settings!$B$12,0,Settings!$B$12,1))&lt;Settings!$B$12,NA(),STDEV(OFFSET(G1422,1-Settings!$B$12,0,Settings!$B$12,1))*SQRT(Settings!$B$13)))</f>
        <v/>
      </c>
      <c r="L1422" s="18">
        <f>IF(AND(ISNUMBER(D1422),ISNUMBER(H1422)),D1422-H1422,NA())</f>
        <v/>
      </c>
      <c r="M1422" s="18">
        <f>IF(AND(ISNUMBER(E1422),ISNUMBER(K1422)),E1422-K1422,NA())</f>
        <v/>
      </c>
      <c r="N1422" s="18">
        <f>IF(NOT(ISNUMBER($A1422)),NA(),IF(COUNT(OFFSET(G1422,1,0,Settings!$B$12,1))&lt;Settings!$B$12,NA(),STDEV(OFFSET(G1422,1,0,Settings!$B$12,1))*SQRT(Settings!$B$13)))</f>
        <v/>
      </c>
      <c r="O1422" s="18">
        <f>IF(AND(ISNUMBER(E1422),ISNUMBER(N1422)),E1422-N1422,NA())</f>
        <v/>
      </c>
      <c r="P1422" s="17">
        <f>IF(NOT(ISNUMBER($A1422)),NA(),IF(OR($A1422&lt;MIN(KW_TP!$A$2:$A$2501),$A1422&gt;MAX(KW_TP!$A$2:$A$2501)),NA(),INDEX(KW_TP!$C$2:$C$2501,MATCH($A1422,KW_TP!$A$2:$A$2501,1))))</f>
        <v/>
      </c>
    </row>
    <row r="1423">
      <c r="A1423" s="15">
        <f>IF(ISNUMBER(BBG_Data!A1423),BBG_Data!A1423,"")</f>
        <v/>
      </c>
      <c r="B1423" s="16">
        <f>IF(AND(ISNUMBER($A1423),ISNUMBER(BBG_Data!B1423)),BBG_Data!B1423,NA())</f>
        <v/>
      </c>
      <c r="C1423" s="16">
        <f>IF(AND(ISNUMBER($A1423),ISNUMBER(BBG_Data!C1423)),BBG_Data!C1423,NA())</f>
        <v/>
      </c>
      <c r="D1423" s="17">
        <f>IF(AND(ISNUMBER($A1423),ISNUMBER(BBG_Data!D1423)),BBG_Data!D1423,NA())</f>
        <v/>
      </c>
      <c r="E1423" s="17">
        <f>IF(AND(ISNUMBER($A1423),ISNUMBER(BBG_Data!E1423)),BBG_Data!E1423,NA())</f>
        <v/>
      </c>
      <c r="F1423" s="18">
        <f>IF(AND(ISNUMBER(B1423),ISNUMBER(B1422)),(B1423-B1422)*100,"")</f>
        <v/>
      </c>
      <c r="G1423" s="18">
        <f>IF(AND(ISNUMBER(C1423),ISNUMBER(C1422)),(C1423-C1422)*100,"")</f>
        <v/>
      </c>
      <c r="H1423" s="18">
        <f>IF(OR(NOT(ISNUMBER($A1423)),ROW()-2&lt;Settings!$B$11),NA(),IF(COUNT(OFFSET(F1423,1-Settings!$B$11,0,Settings!$B$11,1))&lt;Settings!$B$11,NA(),STDEV(OFFSET(F1423,1-Settings!$B$11,0,Settings!$B$11,1))*SQRT(Settings!$B$13)))</f>
        <v/>
      </c>
      <c r="I1423" s="18">
        <f>IF(OR(NOT(ISNUMBER($A1423)),ROW()-2&lt;Settings!$B$12),NA(),IF(COUNT(OFFSET(F1423,1-Settings!$B$12,0,Settings!$B$12,1))&lt;Settings!$B$12,NA(),STDEV(OFFSET(F1423,1-Settings!$B$12,0,Settings!$B$12,1))*SQRT(Settings!$B$13)))</f>
        <v/>
      </c>
      <c r="J1423" s="18">
        <f>IF(OR(NOT(ISNUMBER($A1423)),ROW()-2&lt;Settings!$B$11),NA(),IF(COUNT(OFFSET(G1423,1-Settings!$B$11,0,Settings!$B$11,1))&lt;Settings!$B$11,NA(),STDEV(OFFSET(G1423,1-Settings!$B$11,0,Settings!$B$11,1))*SQRT(Settings!$B$13)))</f>
        <v/>
      </c>
      <c r="K1423" s="18">
        <f>IF(OR(NOT(ISNUMBER($A1423)),ROW()-2&lt;Settings!$B$12),NA(),IF(COUNT(OFFSET(G1423,1-Settings!$B$12,0,Settings!$B$12,1))&lt;Settings!$B$12,NA(),STDEV(OFFSET(G1423,1-Settings!$B$12,0,Settings!$B$12,1))*SQRT(Settings!$B$13)))</f>
        <v/>
      </c>
      <c r="L1423" s="18">
        <f>IF(AND(ISNUMBER(D1423),ISNUMBER(H1423)),D1423-H1423,NA())</f>
        <v/>
      </c>
      <c r="M1423" s="18">
        <f>IF(AND(ISNUMBER(E1423),ISNUMBER(K1423)),E1423-K1423,NA())</f>
        <v/>
      </c>
      <c r="N1423" s="18">
        <f>IF(NOT(ISNUMBER($A1423)),NA(),IF(COUNT(OFFSET(G1423,1,0,Settings!$B$12,1))&lt;Settings!$B$12,NA(),STDEV(OFFSET(G1423,1,0,Settings!$B$12,1))*SQRT(Settings!$B$13)))</f>
        <v/>
      </c>
      <c r="O1423" s="18">
        <f>IF(AND(ISNUMBER(E1423),ISNUMBER(N1423)),E1423-N1423,NA())</f>
        <v/>
      </c>
      <c r="P1423" s="17">
        <f>IF(NOT(ISNUMBER($A1423)),NA(),IF(OR($A1423&lt;MIN(KW_TP!$A$2:$A$2501),$A1423&gt;MAX(KW_TP!$A$2:$A$2501)),NA(),INDEX(KW_TP!$C$2:$C$2501,MATCH($A1423,KW_TP!$A$2:$A$2501,1))))</f>
        <v/>
      </c>
    </row>
    <row r="1424">
      <c r="A1424" s="15">
        <f>IF(ISNUMBER(BBG_Data!A1424),BBG_Data!A1424,"")</f>
        <v/>
      </c>
      <c r="B1424" s="16">
        <f>IF(AND(ISNUMBER($A1424),ISNUMBER(BBG_Data!B1424)),BBG_Data!B1424,NA())</f>
        <v/>
      </c>
      <c r="C1424" s="16">
        <f>IF(AND(ISNUMBER($A1424),ISNUMBER(BBG_Data!C1424)),BBG_Data!C1424,NA())</f>
        <v/>
      </c>
      <c r="D1424" s="17">
        <f>IF(AND(ISNUMBER($A1424),ISNUMBER(BBG_Data!D1424)),BBG_Data!D1424,NA())</f>
        <v/>
      </c>
      <c r="E1424" s="17">
        <f>IF(AND(ISNUMBER($A1424),ISNUMBER(BBG_Data!E1424)),BBG_Data!E1424,NA())</f>
        <v/>
      </c>
      <c r="F1424" s="18">
        <f>IF(AND(ISNUMBER(B1424),ISNUMBER(B1423)),(B1424-B1423)*100,"")</f>
        <v/>
      </c>
      <c r="G1424" s="18">
        <f>IF(AND(ISNUMBER(C1424),ISNUMBER(C1423)),(C1424-C1423)*100,"")</f>
        <v/>
      </c>
      <c r="H1424" s="18">
        <f>IF(OR(NOT(ISNUMBER($A1424)),ROW()-2&lt;Settings!$B$11),NA(),IF(COUNT(OFFSET(F1424,1-Settings!$B$11,0,Settings!$B$11,1))&lt;Settings!$B$11,NA(),STDEV(OFFSET(F1424,1-Settings!$B$11,0,Settings!$B$11,1))*SQRT(Settings!$B$13)))</f>
        <v/>
      </c>
      <c r="I1424" s="18">
        <f>IF(OR(NOT(ISNUMBER($A1424)),ROW()-2&lt;Settings!$B$12),NA(),IF(COUNT(OFFSET(F1424,1-Settings!$B$12,0,Settings!$B$12,1))&lt;Settings!$B$12,NA(),STDEV(OFFSET(F1424,1-Settings!$B$12,0,Settings!$B$12,1))*SQRT(Settings!$B$13)))</f>
        <v/>
      </c>
      <c r="J1424" s="18">
        <f>IF(OR(NOT(ISNUMBER($A1424)),ROW()-2&lt;Settings!$B$11),NA(),IF(COUNT(OFFSET(G1424,1-Settings!$B$11,0,Settings!$B$11,1))&lt;Settings!$B$11,NA(),STDEV(OFFSET(G1424,1-Settings!$B$11,0,Settings!$B$11,1))*SQRT(Settings!$B$13)))</f>
        <v/>
      </c>
      <c r="K1424" s="18">
        <f>IF(OR(NOT(ISNUMBER($A1424)),ROW()-2&lt;Settings!$B$12),NA(),IF(COUNT(OFFSET(G1424,1-Settings!$B$12,0,Settings!$B$12,1))&lt;Settings!$B$12,NA(),STDEV(OFFSET(G1424,1-Settings!$B$12,0,Settings!$B$12,1))*SQRT(Settings!$B$13)))</f>
        <v/>
      </c>
      <c r="L1424" s="18">
        <f>IF(AND(ISNUMBER(D1424),ISNUMBER(H1424)),D1424-H1424,NA())</f>
        <v/>
      </c>
      <c r="M1424" s="18">
        <f>IF(AND(ISNUMBER(E1424),ISNUMBER(K1424)),E1424-K1424,NA())</f>
        <v/>
      </c>
      <c r="N1424" s="18">
        <f>IF(NOT(ISNUMBER($A1424)),NA(),IF(COUNT(OFFSET(G1424,1,0,Settings!$B$12,1))&lt;Settings!$B$12,NA(),STDEV(OFFSET(G1424,1,0,Settings!$B$12,1))*SQRT(Settings!$B$13)))</f>
        <v/>
      </c>
      <c r="O1424" s="18">
        <f>IF(AND(ISNUMBER(E1424),ISNUMBER(N1424)),E1424-N1424,NA())</f>
        <v/>
      </c>
      <c r="P1424" s="17">
        <f>IF(NOT(ISNUMBER($A1424)),NA(),IF(OR($A1424&lt;MIN(KW_TP!$A$2:$A$2501),$A1424&gt;MAX(KW_TP!$A$2:$A$2501)),NA(),INDEX(KW_TP!$C$2:$C$2501,MATCH($A1424,KW_TP!$A$2:$A$2501,1))))</f>
        <v/>
      </c>
    </row>
    <row r="1425">
      <c r="A1425" s="15">
        <f>IF(ISNUMBER(BBG_Data!A1425),BBG_Data!A1425,"")</f>
        <v/>
      </c>
      <c r="B1425" s="16">
        <f>IF(AND(ISNUMBER($A1425),ISNUMBER(BBG_Data!B1425)),BBG_Data!B1425,NA())</f>
        <v/>
      </c>
      <c r="C1425" s="16">
        <f>IF(AND(ISNUMBER($A1425),ISNUMBER(BBG_Data!C1425)),BBG_Data!C1425,NA())</f>
        <v/>
      </c>
      <c r="D1425" s="17">
        <f>IF(AND(ISNUMBER($A1425),ISNUMBER(BBG_Data!D1425)),BBG_Data!D1425,NA())</f>
        <v/>
      </c>
      <c r="E1425" s="17">
        <f>IF(AND(ISNUMBER($A1425),ISNUMBER(BBG_Data!E1425)),BBG_Data!E1425,NA())</f>
        <v/>
      </c>
      <c r="F1425" s="18">
        <f>IF(AND(ISNUMBER(B1425),ISNUMBER(B1424)),(B1425-B1424)*100,"")</f>
        <v/>
      </c>
      <c r="G1425" s="18">
        <f>IF(AND(ISNUMBER(C1425),ISNUMBER(C1424)),(C1425-C1424)*100,"")</f>
        <v/>
      </c>
      <c r="H1425" s="18">
        <f>IF(OR(NOT(ISNUMBER($A1425)),ROW()-2&lt;Settings!$B$11),NA(),IF(COUNT(OFFSET(F1425,1-Settings!$B$11,0,Settings!$B$11,1))&lt;Settings!$B$11,NA(),STDEV(OFFSET(F1425,1-Settings!$B$11,0,Settings!$B$11,1))*SQRT(Settings!$B$13)))</f>
        <v/>
      </c>
      <c r="I1425" s="18">
        <f>IF(OR(NOT(ISNUMBER($A1425)),ROW()-2&lt;Settings!$B$12),NA(),IF(COUNT(OFFSET(F1425,1-Settings!$B$12,0,Settings!$B$12,1))&lt;Settings!$B$12,NA(),STDEV(OFFSET(F1425,1-Settings!$B$12,0,Settings!$B$12,1))*SQRT(Settings!$B$13)))</f>
        <v/>
      </c>
      <c r="J1425" s="18">
        <f>IF(OR(NOT(ISNUMBER($A1425)),ROW()-2&lt;Settings!$B$11),NA(),IF(COUNT(OFFSET(G1425,1-Settings!$B$11,0,Settings!$B$11,1))&lt;Settings!$B$11,NA(),STDEV(OFFSET(G1425,1-Settings!$B$11,0,Settings!$B$11,1))*SQRT(Settings!$B$13)))</f>
        <v/>
      </c>
      <c r="K1425" s="18">
        <f>IF(OR(NOT(ISNUMBER($A1425)),ROW()-2&lt;Settings!$B$12),NA(),IF(COUNT(OFFSET(G1425,1-Settings!$B$12,0,Settings!$B$12,1))&lt;Settings!$B$12,NA(),STDEV(OFFSET(G1425,1-Settings!$B$12,0,Settings!$B$12,1))*SQRT(Settings!$B$13)))</f>
        <v/>
      </c>
      <c r="L1425" s="18">
        <f>IF(AND(ISNUMBER(D1425),ISNUMBER(H1425)),D1425-H1425,NA())</f>
        <v/>
      </c>
      <c r="M1425" s="18">
        <f>IF(AND(ISNUMBER(E1425),ISNUMBER(K1425)),E1425-K1425,NA())</f>
        <v/>
      </c>
      <c r="N1425" s="18">
        <f>IF(NOT(ISNUMBER($A1425)),NA(),IF(COUNT(OFFSET(G1425,1,0,Settings!$B$12,1))&lt;Settings!$B$12,NA(),STDEV(OFFSET(G1425,1,0,Settings!$B$12,1))*SQRT(Settings!$B$13)))</f>
        <v/>
      </c>
      <c r="O1425" s="18">
        <f>IF(AND(ISNUMBER(E1425),ISNUMBER(N1425)),E1425-N1425,NA())</f>
        <v/>
      </c>
      <c r="P1425" s="17">
        <f>IF(NOT(ISNUMBER($A1425)),NA(),IF(OR($A1425&lt;MIN(KW_TP!$A$2:$A$2501),$A1425&gt;MAX(KW_TP!$A$2:$A$2501)),NA(),INDEX(KW_TP!$C$2:$C$2501,MATCH($A1425,KW_TP!$A$2:$A$2501,1))))</f>
        <v/>
      </c>
    </row>
    <row r="1426">
      <c r="A1426" s="15">
        <f>IF(ISNUMBER(BBG_Data!A1426),BBG_Data!A1426,"")</f>
        <v/>
      </c>
      <c r="B1426" s="16">
        <f>IF(AND(ISNUMBER($A1426),ISNUMBER(BBG_Data!B1426)),BBG_Data!B1426,NA())</f>
        <v/>
      </c>
      <c r="C1426" s="16">
        <f>IF(AND(ISNUMBER($A1426),ISNUMBER(BBG_Data!C1426)),BBG_Data!C1426,NA())</f>
        <v/>
      </c>
      <c r="D1426" s="17">
        <f>IF(AND(ISNUMBER($A1426),ISNUMBER(BBG_Data!D1426)),BBG_Data!D1426,NA())</f>
        <v/>
      </c>
      <c r="E1426" s="17">
        <f>IF(AND(ISNUMBER($A1426),ISNUMBER(BBG_Data!E1426)),BBG_Data!E1426,NA())</f>
        <v/>
      </c>
      <c r="F1426" s="18">
        <f>IF(AND(ISNUMBER(B1426),ISNUMBER(B1425)),(B1426-B1425)*100,"")</f>
        <v/>
      </c>
      <c r="G1426" s="18">
        <f>IF(AND(ISNUMBER(C1426),ISNUMBER(C1425)),(C1426-C1425)*100,"")</f>
        <v/>
      </c>
      <c r="H1426" s="18">
        <f>IF(OR(NOT(ISNUMBER($A1426)),ROW()-2&lt;Settings!$B$11),NA(),IF(COUNT(OFFSET(F1426,1-Settings!$B$11,0,Settings!$B$11,1))&lt;Settings!$B$11,NA(),STDEV(OFFSET(F1426,1-Settings!$B$11,0,Settings!$B$11,1))*SQRT(Settings!$B$13)))</f>
        <v/>
      </c>
      <c r="I1426" s="18">
        <f>IF(OR(NOT(ISNUMBER($A1426)),ROW()-2&lt;Settings!$B$12),NA(),IF(COUNT(OFFSET(F1426,1-Settings!$B$12,0,Settings!$B$12,1))&lt;Settings!$B$12,NA(),STDEV(OFFSET(F1426,1-Settings!$B$12,0,Settings!$B$12,1))*SQRT(Settings!$B$13)))</f>
        <v/>
      </c>
      <c r="J1426" s="18">
        <f>IF(OR(NOT(ISNUMBER($A1426)),ROW()-2&lt;Settings!$B$11),NA(),IF(COUNT(OFFSET(G1426,1-Settings!$B$11,0,Settings!$B$11,1))&lt;Settings!$B$11,NA(),STDEV(OFFSET(G1426,1-Settings!$B$11,0,Settings!$B$11,1))*SQRT(Settings!$B$13)))</f>
        <v/>
      </c>
      <c r="K1426" s="18">
        <f>IF(OR(NOT(ISNUMBER($A1426)),ROW()-2&lt;Settings!$B$12),NA(),IF(COUNT(OFFSET(G1426,1-Settings!$B$12,0,Settings!$B$12,1))&lt;Settings!$B$12,NA(),STDEV(OFFSET(G1426,1-Settings!$B$12,0,Settings!$B$12,1))*SQRT(Settings!$B$13)))</f>
        <v/>
      </c>
      <c r="L1426" s="18">
        <f>IF(AND(ISNUMBER(D1426),ISNUMBER(H1426)),D1426-H1426,NA())</f>
        <v/>
      </c>
      <c r="M1426" s="18">
        <f>IF(AND(ISNUMBER(E1426),ISNUMBER(K1426)),E1426-K1426,NA())</f>
        <v/>
      </c>
      <c r="N1426" s="18">
        <f>IF(NOT(ISNUMBER($A1426)),NA(),IF(COUNT(OFFSET(G1426,1,0,Settings!$B$12,1))&lt;Settings!$B$12,NA(),STDEV(OFFSET(G1426,1,0,Settings!$B$12,1))*SQRT(Settings!$B$13)))</f>
        <v/>
      </c>
      <c r="O1426" s="18">
        <f>IF(AND(ISNUMBER(E1426),ISNUMBER(N1426)),E1426-N1426,NA())</f>
        <v/>
      </c>
      <c r="P1426" s="17">
        <f>IF(NOT(ISNUMBER($A1426)),NA(),IF(OR($A1426&lt;MIN(KW_TP!$A$2:$A$2501),$A1426&gt;MAX(KW_TP!$A$2:$A$2501)),NA(),INDEX(KW_TP!$C$2:$C$2501,MATCH($A1426,KW_TP!$A$2:$A$2501,1))))</f>
        <v/>
      </c>
    </row>
    <row r="1427">
      <c r="A1427" s="15">
        <f>IF(ISNUMBER(BBG_Data!A1427),BBG_Data!A1427,"")</f>
        <v/>
      </c>
      <c r="B1427" s="16">
        <f>IF(AND(ISNUMBER($A1427),ISNUMBER(BBG_Data!B1427)),BBG_Data!B1427,NA())</f>
        <v/>
      </c>
      <c r="C1427" s="16">
        <f>IF(AND(ISNUMBER($A1427),ISNUMBER(BBG_Data!C1427)),BBG_Data!C1427,NA())</f>
        <v/>
      </c>
      <c r="D1427" s="17">
        <f>IF(AND(ISNUMBER($A1427),ISNUMBER(BBG_Data!D1427)),BBG_Data!D1427,NA())</f>
        <v/>
      </c>
      <c r="E1427" s="17">
        <f>IF(AND(ISNUMBER($A1427),ISNUMBER(BBG_Data!E1427)),BBG_Data!E1427,NA())</f>
        <v/>
      </c>
      <c r="F1427" s="18">
        <f>IF(AND(ISNUMBER(B1427),ISNUMBER(B1426)),(B1427-B1426)*100,"")</f>
        <v/>
      </c>
      <c r="G1427" s="18">
        <f>IF(AND(ISNUMBER(C1427),ISNUMBER(C1426)),(C1427-C1426)*100,"")</f>
        <v/>
      </c>
      <c r="H1427" s="18">
        <f>IF(OR(NOT(ISNUMBER($A1427)),ROW()-2&lt;Settings!$B$11),NA(),IF(COUNT(OFFSET(F1427,1-Settings!$B$11,0,Settings!$B$11,1))&lt;Settings!$B$11,NA(),STDEV(OFFSET(F1427,1-Settings!$B$11,0,Settings!$B$11,1))*SQRT(Settings!$B$13)))</f>
        <v/>
      </c>
      <c r="I1427" s="18">
        <f>IF(OR(NOT(ISNUMBER($A1427)),ROW()-2&lt;Settings!$B$12),NA(),IF(COUNT(OFFSET(F1427,1-Settings!$B$12,0,Settings!$B$12,1))&lt;Settings!$B$12,NA(),STDEV(OFFSET(F1427,1-Settings!$B$12,0,Settings!$B$12,1))*SQRT(Settings!$B$13)))</f>
        <v/>
      </c>
      <c r="J1427" s="18">
        <f>IF(OR(NOT(ISNUMBER($A1427)),ROW()-2&lt;Settings!$B$11),NA(),IF(COUNT(OFFSET(G1427,1-Settings!$B$11,0,Settings!$B$11,1))&lt;Settings!$B$11,NA(),STDEV(OFFSET(G1427,1-Settings!$B$11,0,Settings!$B$11,1))*SQRT(Settings!$B$13)))</f>
        <v/>
      </c>
      <c r="K1427" s="18">
        <f>IF(OR(NOT(ISNUMBER($A1427)),ROW()-2&lt;Settings!$B$12),NA(),IF(COUNT(OFFSET(G1427,1-Settings!$B$12,0,Settings!$B$12,1))&lt;Settings!$B$12,NA(),STDEV(OFFSET(G1427,1-Settings!$B$12,0,Settings!$B$12,1))*SQRT(Settings!$B$13)))</f>
        <v/>
      </c>
      <c r="L1427" s="18">
        <f>IF(AND(ISNUMBER(D1427),ISNUMBER(H1427)),D1427-H1427,NA())</f>
        <v/>
      </c>
      <c r="M1427" s="18">
        <f>IF(AND(ISNUMBER(E1427),ISNUMBER(K1427)),E1427-K1427,NA())</f>
        <v/>
      </c>
      <c r="N1427" s="18">
        <f>IF(NOT(ISNUMBER($A1427)),NA(),IF(COUNT(OFFSET(G1427,1,0,Settings!$B$12,1))&lt;Settings!$B$12,NA(),STDEV(OFFSET(G1427,1,0,Settings!$B$12,1))*SQRT(Settings!$B$13)))</f>
        <v/>
      </c>
      <c r="O1427" s="18">
        <f>IF(AND(ISNUMBER(E1427),ISNUMBER(N1427)),E1427-N1427,NA())</f>
        <v/>
      </c>
      <c r="P1427" s="17">
        <f>IF(NOT(ISNUMBER($A1427)),NA(),IF(OR($A1427&lt;MIN(KW_TP!$A$2:$A$2501),$A1427&gt;MAX(KW_TP!$A$2:$A$2501)),NA(),INDEX(KW_TP!$C$2:$C$2501,MATCH($A1427,KW_TP!$A$2:$A$2501,1))))</f>
        <v/>
      </c>
    </row>
    <row r="1428">
      <c r="A1428" s="15">
        <f>IF(ISNUMBER(BBG_Data!A1428),BBG_Data!A1428,"")</f>
        <v/>
      </c>
      <c r="B1428" s="16">
        <f>IF(AND(ISNUMBER($A1428),ISNUMBER(BBG_Data!B1428)),BBG_Data!B1428,NA())</f>
        <v/>
      </c>
      <c r="C1428" s="16">
        <f>IF(AND(ISNUMBER($A1428),ISNUMBER(BBG_Data!C1428)),BBG_Data!C1428,NA())</f>
        <v/>
      </c>
      <c r="D1428" s="17">
        <f>IF(AND(ISNUMBER($A1428),ISNUMBER(BBG_Data!D1428)),BBG_Data!D1428,NA())</f>
        <v/>
      </c>
      <c r="E1428" s="17">
        <f>IF(AND(ISNUMBER($A1428),ISNUMBER(BBG_Data!E1428)),BBG_Data!E1428,NA())</f>
        <v/>
      </c>
      <c r="F1428" s="18">
        <f>IF(AND(ISNUMBER(B1428),ISNUMBER(B1427)),(B1428-B1427)*100,"")</f>
        <v/>
      </c>
      <c r="G1428" s="18">
        <f>IF(AND(ISNUMBER(C1428),ISNUMBER(C1427)),(C1428-C1427)*100,"")</f>
        <v/>
      </c>
      <c r="H1428" s="18">
        <f>IF(OR(NOT(ISNUMBER($A1428)),ROW()-2&lt;Settings!$B$11),NA(),IF(COUNT(OFFSET(F1428,1-Settings!$B$11,0,Settings!$B$11,1))&lt;Settings!$B$11,NA(),STDEV(OFFSET(F1428,1-Settings!$B$11,0,Settings!$B$11,1))*SQRT(Settings!$B$13)))</f>
        <v/>
      </c>
      <c r="I1428" s="18">
        <f>IF(OR(NOT(ISNUMBER($A1428)),ROW()-2&lt;Settings!$B$12),NA(),IF(COUNT(OFFSET(F1428,1-Settings!$B$12,0,Settings!$B$12,1))&lt;Settings!$B$12,NA(),STDEV(OFFSET(F1428,1-Settings!$B$12,0,Settings!$B$12,1))*SQRT(Settings!$B$13)))</f>
        <v/>
      </c>
      <c r="J1428" s="18">
        <f>IF(OR(NOT(ISNUMBER($A1428)),ROW()-2&lt;Settings!$B$11),NA(),IF(COUNT(OFFSET(G1428,1-Settings!$B$11,0,Settings!$B$11,1))&lt;Settings!$B$11,NA(),STDEV(OFFSET(G1428,1-Settings!$B$11,0,Settings!$B$11,1))*SQRT(Settings!$B$13)))</f>
        <v/>
      </c>
      <c r="K1428" s="18">
        <f>IF(OR(NOT(ISNUMBER($A1428)),ROW()-2&lt;Settings!$B$12),NA(),IF(COUNT(OFFSET(G1428,1-Settings!$B$12,0,Settings!$B$12,1))&lt;Settings!$B$12,NA(),STDEV(OFFSET(G1428,1-Settings!$B$12,0,Settings!$B$12,1))*SQRT(Settings!$B$13)))</f>
        <v/>
      </c>
      <c r="L1428" s="18">
        <f>IF(AND(ISNUMBER(D1428),ISNUMBER(H1428)),D1428-H1428,NA())</f>
        <v/>
      </c>
      <c r="M1428" s="18">
        <f>IF(AND(ISNUMBER(E1428),ISNUMBER(K1428)),E1428-K1428,NA())</f>
        <v/>
      </c>
      <c r="N1428" s="18">
        <f>IF(NOT(ISNUMBER($A1428)),NA(),IF(COUNT(OFFSET(G1428,1,0,Settings!$B$12,1))&lt;Settings!$B$12,NA(),STDEV(OFFSET(G1428,1,0,Settings!$B$12,1))*SQRT(Settings!$B$13)))</f>
        <v/>
      </c>
      <c r="O1428" s="18">
        <f>IF(AND(ISNUMBER(E1428),ISNUMBER(N1428)),E1428-N1428,NA())</f>
        <v/>
      </c>
      <c r="P1428" s="17">
        <f>IF(NOT(ISNUMBER($A1428)),NA(),IF(OR($A1428&lt;MIN(KW_TP!$A$2:$A$2501),$A1428&gt;MAX(KW_TP!$A$2:$A$2501)),NA(),INDEX(KW_TP!$C$2:$C$2501,MATCH($A1428,KW_TP!$A$2:$A$2501,1))))</f>
        <v/>
      </c>
    </row>
    <row r="1429">
      <c r="A1429" s="15">
        <f>IF(ISNUMBER(BBG_Data!A1429),BBG_Data!A1429,"")</f>
        <v/>
      </c>
      <c r="B1429" s="16">
        <f>IF(AND(ISNUMBER($A1429),ISNUMBER(BBG_Data!B1429)),BBG_Data!B1429,NA())</f>
        <v/>
      </c>
      <c r="C1429" s="16">
        <f>IF(AND(ISNUMBER($A1429),ISNUMBER(BBG_Data!C1429)),BBG_Data!C1429,NA())</f>
        <v/>
      </c>
      <c r="D1429" s="17">
        <f>IF(AND(ISNUMBER($A1429),ISNUMBER(BBG_Data!D1429)),BBG_Data!D1429,NA())</f>
        <v/>
      </c>
      <c r="E1429" s="17">
        <f>IF(AND(ISNUMBER($A1429),ISNUMBER(BBG_Data!E1429)),BBG_Data!E1429,NA())</f>
        <v/>
      </c>
      <c r="F1429" s="18">
        <f>IF(AND(ISNUMBER(B1429),ISNUMBER(B1428)),(B1429-B1428)*100,"")</f>
        <v/>
      </c>
      <c r="G1429" s="18">
        <f>IF(AND(ISNUMBER(C1429),ISNUMBER(C1428)),(C1429-C1428)*100,"")</f>
        <v/>
      </c>
      <c r="H1429" s="18">
        <f>IF(OR(NOT(ISNUMBER($A1429)),ROW()-2&lt;Settings!$B$11),NA(),IF(COUNT(OFFSET(F1429,1-Settings!$B$11,0,Settings!$B$11,1))&lt;Settings!$B$11,NA(),STDEV(OFFSET(F1429,1-Settings!$B$11,0,Settings!$B$11,1))*SQRT(Settings!$B$13)))</f>
        <v/>
      </c>
      <c r="I1429" s="18">
        <f>IF(OR(NOT(ISNUMBER($A1429)),ROW()-2&lt;Settings!$B$12),NA(),IF(COUNT(OFFSET(F1429,1-Settings!$B$12,0,Settings!$B$12,1))&lt;Settings!$B$12,NA(),STDEV(OFFSET(F1429,1-Settings!$B$12,0,Settings!$B$12,1))*SQRT(Settings!$B$13)))</f>
        <v/>
      </c>
      <c r="J1429" s="18">
        <f>IF(OR(NOT(ISNUMBER($A1429)),ROW()-2&lt;Settings!$B$11),NA(),IF(COUNT(OFFSET(G1429,1-Settings!$B$11,0,Settings!$B$11,1))&lt;Settings!$B$11,NA(),STDEV(OFFSET(G1429,1-Settings!$B$11,0,Settings!$B$11,1))*SQRT(Settings!$B$13)))</f>
        <v/>
      </c>
      <c r="K1429" s="18">
        <f>IF(OR(NOT(ISNUMBER($A1429)),ROW()-2&lt;Settings!$B$12),NA(),IF(COUNT(OFFSET(G1429,1-Settings!$B$12,0,Settings!$B$12,1))&lt;Settings!$B$12,NA(),STDEV(OFFSET(G1429,1-Settings!$B$12,0,Settings!$B$12,1))*SQRT(Settings!$B$13)))</f>
        <v/>
      </c>
      <c r="L1429" s="18">
        <f>IF(AND(ISNUMBER(D1429),ISNUMBER(H1429)),D1429-H1429,NA())</f>
        <v/>
      </c>
      <c r="M1429" s="18">
        <f>IF(AND(ISNUMBER(E1429),ISNUMBER(K1429)),E1429-K1429,NA())</f>
        <v/>
      </c>
      <c r="N1429" s="18">
        <f>IF(NOT(ISNUMBER($A1429)),NA(),IF(COUNT(OFFSET(G1429,1,0,Settings!$B$12,1))&lt;Settings!$B$12,NA(),STDEV(OFFSET(G1429,1,0,Settings!$B$12,1))*SQRT(Settings!$B$13)))</f>
        <v/>
      </c>
      <c r="O1429" s="18">
        <f>IF(AND(ISNUMBER(E1429),ISNUMBER(N1429)),E1429-N1429,NA())</f>
        <v/>
      </c>
      <c r="P1429" s="17">
        <f>IF(NOT(ISNUMBER($A1429)),NA(),IF(OR($A1429&lt;MIN(KW_TP!$A$2:$A$2501),$A1429&gt;MAX(KW_TP!$A$2:$A$2501)),NA(),INDEX(KW_TP!$C$2:$C$2501,MATCH($A1429,KW_TP!$A$2:$A$2501,1))))</f>
        <v/>
      </c>
    </row>
    <row r="1430">
      <c r="A1430" s="15">
        <f>IF(ISNUMBER(BBG_Data!A1430),BBG_Data!A1430,"")</f>
        <v/>
      </c>
      <c r="B1430" s="16">
        <f>IF(AND(ISNUMBER($A1430),ISNUMBER(BBG_Data!B1430)),BBG_Data!B1430,NA())</f>
        <v/>
      </c>
      <c r="C1430" s="16">
        <f>IF(AND(ISNUMBER($A1430),ISNUMBER(BBG_Data!C1430)),BBG_Data!C1430,NA())</f>
        <v/>
      </c>
      <c r="D1430" s="17">
        <f>IF(AND(ISNUMBER($A1430),ISNUMBER(BBG_Data!D1430)),BBG_Data!D1430,NA())</f>
        <v/>
      </c>
      <c r="E1430" s="17">
        <f>IF(AND(ISNUMBER($A1430),ISNUMBER(BBG_Data!E1430)),BBG_Data!E1430,NA())</f>
        <v/>
      </c>
      <c r="F1430" s="18">
        <f>IF(AND(ISNUMBER(B1430),ISNUMBER(B1429)),(B1430-B1429)*100,"")</f>
        <v/>
      </c>
      <c r="G1430" s="18">
        <f>IF(AND(ISNUMBER(C1430),ISNUMBER(C1429)),(C1430-C1429)*100,"")</f>
        <v/>
      </c>
      <c r="H1430" s="18">
        <f>IF(OR(NOT(ISNUMBER($A1430)),ROW()-2&lt;Settings!$B$11),NA(),IF(COUNT(OFFSET(F1430,1-Settings!$B$11,0,Settings!$B$11,1))&lt;Settings!$B$11,NA(),STDEV(OFFSET(F1430,1-Settings!$B$11,0,Settings!$B$11,1))*SQRT(Settings!$B$13)))</f>
        <v/>
      </c>
      <c r="I1430" s="18">
        <f>IF(OR(NOT(ISNUMBER($A1430)),ROW()-2&lt;Settings!$B$12),NA(),IF(COUNT(OFFSET(F1430,1-Settings!$B$12,0,Settings!$B$12,1))&lt;Settings!$B$12,NA(),STDEV(OFFSET(F1430,1-Settings!$B$12,0,Settings!$B$12,1))*SQRT(Settings!$B$13)))</f>
        <v/>
      </c>
      <c r="J1430" s="18">
        <f>IF(OR(NOT(ISNUMBER($A1430)),ROW()-2&lt;Settings!$B$11),NA(),IF(COUNT(OFFSET(G1430,1-Settings!$B$11,0,Settings!$B$11,1))&lt;Settings!$B$11,NA(),STDEV(OFFSET(G1430,1-Settings!$B$11,0,Settings!$B$11,1))*SQRT(Settings!$B$13)))</f>
        <v/>
      </c>
      <c r="K1430" s="18">
        <f>IF(OR(NOT(ISNUMBER($A1430)),ROW()-2&lt;Settings!$B$12),NA(),IF(COUNT(OFFSET(G1430,1-Settings!$B$12,0,Settings!$B$12,1))&lt;Settings!$B$12,NA(),STDEV(OFFSET(G1430,1-Settings!$B$12,0,Settings!$B$12,1))*SQRT(Settings!$B$13)))</f>
        <v/>
      </c>
      <c r="L1430" s="18">
        <f>IF(AND(ISNUMBER(D1430),ISNUMBER(H1430)),D1430-H1430,NA())</f>
        <v/>
      </c>
      <c r="M1430" s="18">
        <f>IF(AND(ISNUMBER(E1430),ISNUMBER(K1430)),E1430-K1430,NA())</f>
        <v/>
      </c>
      <c r="N1430" s="18">
        <f>IF(NOT(ISNUMBER($A1430)),NA(),IF(COUNT(OFFSET(G1430,1,0,Settings!$B$12,1))&lt;Settings!$B$12,NA(),STDEV(OFFSET(G1430,1,0,Settings!$B$12,1))*SQRT(Settings!$B$13)))</f>
        <v/>
      </c>
      <c r="O1430" s="18">
        <f>IF(AND(ISNUMBER(E1430),ISNUMBER(N1430)),E1430-N1430,NA())</f>
        <v/>
      </c>
      <c r="P1430" s="17">
        <f>IF(NOT(ISNUMBER($A1430)),NA(),IF(OR($A1430&lt;MIN(KW_TP!$A$2:$A$2501),$A1430&gt;MAX(KW_TP!$A$2:$A$2501)),NA(),INDEX(KW_TP!$C$2:$C$2501,MATCH($A1430,KW_TP!$A$2:$A$2501,1))))</f>
        <v/>
      </c>
    </row>
    <row r="1431">
      <c r="A1431" s="15">
        <f>IF(ISNUMBER(BBG_Data!A1431),BBG_Data!A1431,"")</f>
        <v/>
      </c>
      <c r="B1431" s="16">
        <f>IF(AND(ISNUMBER($A1431),ISNUMBER(BBG_Data!B1431)),BBG_Data!B1431,NA())</f>
        <v/>
      </c>
      <c r="C1431" s="16">
        <f>IF(AND(ISNUMBER($A1431),ISNUMBER(BBG_Data!C1431)),BBG_Data!C1431,NA())</f>
        <v/>
      </c>
      <c r="D1431" s="17">
        <f>IF(AND(ISNUMBER($A1431),ISNUMBER(BBG_Data!D1431)),BBG_Data!D1431,NA())</f>
        <v/>
      </c>
      <c r="E1431" s="17">
        <f>IF(AND(ISNUMBER($A1431),ISNUMBER(BBG_Data!E1431)),BBG_Data!E1431,NA())</f>
        <v/>
      </c>
      <c r="F1431" s="18">
        <f>IF(AND(ISNUMBER(B1431),ISNUMBER(B1430)),(B1431-B1430)*100,"")</f>
        <v/>
      </c>
      <c r="G1431" s="18">
        <f>IF(AND(ISNUMBER(C1431),ISNUMBER(C1430)),(C1431-C1430)*100,"")</f>
        <v/>
      </c>
      <c r="H1431" s="18">
        <f>IF(OR(NOT(ISNUMBER($A1431)),ROW()-2&lt;Settings!$B$11),NA(),IF(COUNT(OFFSET(F1431,1-Settings!$B$11,0,Settings!$B$11,1))&lt;Settings!$B$11,NA(),STDEV(OFFSET(F1431,1-Settings!$B$11,0,Settings!$B$11,1))*SQRT(Settings!$B$13)))</f>
        <v/>
      </c>
      <c r="I1431" s="18">
        <f>IF(OR(NOT(ISNUMBER($A1431)),ROW()-2&lt;Settings!$B$12),NA(),IF(COUNT(OFFSET(F1431,1-Settings!$B$12,0,Settings!$B$12,1))&lt;Settings!$B$12,NA(),STDEV(OFFSET(F1431,1-Settings!$B$12,0,Settings!$B$12,1))*SQRT(Settings!$B$13)))</f>
        <v/>
      </c>
      <c r="J1431" s="18">
        <f>IF(OR(NOT(ISNUMBER($A1431)),ROW()-2&lt;Settings!$B$11),NA(),IF(COUNT(OFFSET(G1431,1-Settings!$B$11,0,Settings!$B$11,1))&lt;Settings!$B$11,NA(),STDEV(OFFSET(G1431,1-Settings!$B$11,0,Settings!$B$11,1))*SQRT(Settings!$B$13)))</f>
        <v/>
      </c>
      <c r="K1431" s="18">
        <f>IF(OR(NOT(ISNUMBER($A1431)),ROW()-2&lt;Settings!$B$12),NA(),IF(COUNT(OFFSET(G1431,1-Settings!$B$12,0,Settings!$B$12,1))&lt;Settings!$B$12,NA(),STDEV(OFFSET(G1431,1-Settings!$B$12,0,Settings!$B$12,1))*SQRT(Settings!$B$13)))</f>
        <v/>
      </c>
      <c r="L1431" s="18">
        <f>IF(AND(ISNUMBER(D1431),ISNUMBER(H1431)),D1431-H1431,NA())</f>
        <v/>
      </c>
      <c r="M1431" s="18">
        <f>IF(AND(ISNUMBER(E1431),ISNUMBER(K1431)),E1431-K1431,NA())</f>
        <v/>
      </c>
      <c r="N1431" s="18">
        <f>IF(NOT(ISNUMBER($A1431)),NA(),IF(COUNT(OFFSET(G1431,1,0,Settings!$B$12,1))&lt;Settings!$B$12,NA(),STDEV(OFFSET(G1431,1,0,Settings!$B$12,1))*SQRT(Settings!$B$13)))</f>
        <v/>
      </c>
      <c r="O1431" s="18">
        <f>IF(AND(ISNUMBER(E1431),ISNUMBER(N1431)),E1431-N1431,NA())</f>
        <v/>
      </c>
      <c r="P1431" s="17">
        <f>IF(NOT(ISNUMBER($A1431)),NA(),IF(OR($A1431&lt;MIN(KW_TP!$A$2:$A$2501),$A1431&gt;MAX(KW_TP!$A$2:$A$2501)),NA(),INDEX(KW_TP!$C$2:$C$2501,MATCH($A1431,KW_TP!$A$2:$A$2501,1))))</f>
        <v/>
      </c>
    </row>
    <row r="1432">
      <c r="A1432" s="15">
        <f>IF(ISNUMBER(BBG_Data!A1432),BBG_Data!A1432,"")</f>
        <v/>
      </c>
      <c r="B1432" s="16">
        <f>IF(AND(ISNUMBER($A1432),ISNUMBER(BBG_Data!B1432)),BBG_Data!B1432,NA())</f>
        <v/>
      </c>
      <c r="C1432" s="16">
        <f>IF(AND(ISNUMBER($A1432),ISNUMBER(BBG_Data!C1432)),BBG_Data!C1432,NA())</f>
        <v/>
      </c>
      <c r="D1432" s="17">
        <f>IF(AND(ISNUMBER($A1432),ISNUMBER(BBG_Data!D1432)),BBG_Data!D1432,NA())</f>
        <v/>
      </c>
      <c r="E1432" s="17">
        <f>IF(AND(ISNUMBER($A1432),ISNUMBER(BBG_Data!E1432)),BBG_Data!E1432,NA())</f>
        <v/>
      </c>
      <c r="F1432" s="18">
        <f>IF(AND(ISNUMBER(B1432),ISNUMBER(B1431)),(B1432-B1431)*100,"")</f>
        <v/>
      </c>
      <c r="G1432" s="18">
        <f>IF(AND(ISNUMBER(C1432),ISNUMBER(C1431)),(C1432-C1431)*100,"")</f>
        <v/>
      </c>
      <c r="H1432" s="18">
        <f>IF(OR(NOT(ISNUMBER($A1432)),ROW()-2&lt;Settings!$B$11),NA(),IF(COUNT(OFFSET(F1432,1-Settings!$B$11,0,Settings!$B$11,1))&lt;Settings!$B$11,NA(),STDEV(OFFSET(F1432,1-Settings!$B$11,0,Settings!$B$11,1))*SQRT(Settings!$B$13)))</f>
        <v/>
      </c>
      <c r="I1432" s="18">
        <f>IF(OR(NOT(ISNUMBER($A1432)),ROW()-2&lt;Settings!$B$12),NA(),IF(COUNT(OFFSET(F1432,1-Settings!$B$12,0,Settings!$B$12,1))&lt;Settings!$B$12,NA(),STDEV(OFFSET(F1432,1-Settings!$B$12,0,Settings!$B$12,1))*SQRT(Settings!$B$13)))</f>
        <v/>
      </c>
      <c r="J1432" s="18">
        <f>IF(OR(NOT(ISNUMBER($A1432)),ROW()-2&lt;Settings!$B$11),NA(),IF(COUNT(OFFSET(G1432,1-Settings!$B$11,0,Settings!$B$11,1))&lt;Settings!$B$11,NA(),STDEV(OFFSET(G1432,1-Settings!$B$11,0,Settings!$B$11,1))*SQRT(Settings!$B$13)))</f>
        <v/>
      </c>
      <c r="K1432" s="18">
        <f>IF(OR(NOT(ISNUMBER($A1432)),ROW()-2&lt;Settings!$B$12),NA(),IF(COUNT(OFFSET(G1432,1-Settings!$B$12,0,Settings!$B$12,1))&lt;Settings!$B$12,NA(),STDEV(OFFSET(G1432,1-Settings!$B$12,0,Settings!$B$12,1))*SQRT(Settings!$B$13)))</f>
        <v/>
      </c>
      <c r="L1432" s="18">
        <f>IF(AND(ISNUMBER(D1432),ISNUMBER(H1432)),D1432-H1432,NA())</f>
        <v/>
      </c>
      <c r="M1432" s="18">
        <f>IF(AND(ISNUMBER(E1432),ISNUMBER(K1432)),E1432-K1432,NA())</f>
        <v/>
      </c>
      <c r="N1432" s="18">
        <f>IF(NOT(ISNUMBER($A1432)),NA(),IF(COUNT(OFFSET(G1432,1,0,Settings!$B$12,1))&lt;Settings!$B$12,NA(),STDEV(OFFSET(G1432,1,0,Settings!$B$12,1))*SQRT(Settings!$B$13)))</f>
        <v/>
      </c>
      <c r="O1432" s="18">
        <f>IF(AND(ISNUMBER(E1432),ISNUMBER(N1432)),E1432-N1432,NA())</f>
        <v/>
      </c>
      <c r="P1432" s="17">
        <f>IF(NOT(ISNUMBER($A1432)),NA(),IF(OR($A1432&lt;MIN(KW_TP!$A$2:$A$2501),$A1432&gt;MAX(KW_TP!$A$2:$A$2501)),NA(),INDEX(KW_TP!$C$2:$C$2501,MATCH($A1432,KW_TP!$A$2:$A$2501,1))))</f>
        <v/>
      </c>
    </row>
    <row r="1433">
      <c r="A1433" s="15">
        <f>IF(ISNUMBER(BBG_Data!A1433),BBG_Data!A1433,"")</f>
        <v/>
      </c>
      <c r="B1433" s="16">
        <f>IF(AND(ISNUMBER($A1433),ISNUMBER(BBG_Data!B1433)),BBG_Data!B1433,NA())</f>
        <v/>
      </c>
      <c r="C1433" s="16">
        <f>IF(AND(ISNUMBER($A1433),ISNUMBER(BBG_Data!C1433)),BBG_Data!C1433,NA())</f>
        <v/>
      </c>
      <c r="D1433" s="17">
        <f>IF(AND(ISNUMBER($A1433),ISNUMBER(BBG_Data!D1433)),BBG_Data!D1433,NA())</f>
        <v/>
      </c>
      <c r="E1433" s="17">
        <f>IF(AND(ISNUMBER($A1433),ISNUMBER(BBG_Data!E1433)),BBG_Data!E1433,NA())</f>
        <v/>
      </c>
      <c r="F1433" s="18">
        <f>IF(AND(ISNUMBER(B1433),ISNUMBER(B1432)),(B1433-B1432)*100,"")</f>
        <v/>
      </c>
      <c r="G1433" s="18">
        <f>IF(AND(ISNUMBER(C1433),ISNUMBER(C1432)),(C1433-C1432)*100,"")</f>
        <v/>
      </c>
      <c r="H1433" s="18">
        <f>IF(OR(NOT(ISNUMBER($A1433)),ROW()-2&lt;Settings!$B$11),NA(),IF(COUNT(OFFSET(F1433,1-Settings!$B$11,0,Settings!$B$11,1))&lt;Settings!$B$11,NA(),STDEV(OFFSET(F1433,1-Settings!$B$11,0,Settings!$B$11,1))*SQRT(Settings!$B$13)))</f>
        <v/>
      </c>
      <c r="I1433" s="18">
        <f>IF(OR(NOT(ISNUMBER($A1433)),ROW()-2&lt;Settings!$B$12),NA(),IF(COUNT(OFFSET(F1433,1-Settings!$B$12,0,Settings!$B$12,1))&lt;Settings!$B$12,NA(),STDEV(OFFSET(F1433,1-Settings!$B$12,0,Settings!$B$12,1))*SQRT(Settings!$B$13)))</f>
        <v/>
      </c>
      <c r="J1433" s="18">
        <f>IF(OR(NOT(ISNUMBER($A1433)),ROW()-2&lt;Settings!$B$11),NA(),IF(COUNT(OFFSET(G1433,1-Settings!$B$11,0,Settings!$B$11,1))&lt;Settings!$B$11,NA(),STDEV(OFFSET(G1433,1-Settings!$B$11,0,Settings!$B$11,1))*SQRT(Settings!$B$13)))</f>
        <v/>
      </c>
      <c r="K1433" s="18">
        <f>IF(OR(NOT(ISNUMBER($A1433)),ROW()-2&lt;Settings!$B$12),NA(),IF(COUNT(OFFSET(G1433,1-Settings!$B$12,0,Settings!$B$12,1))&lt;Settings!$B$12,NA(),STDEV(OFFSET(G1433,1-Settings!$B$12,0,Settings!$B$12,1))*SQRT(Settings!$B$13)))</f>
        <v/>
      </c>
      <c r="L1433" s="18">
        <f>IF(AND(ISNUMBER(D1433),ISNUMBER(H1433)),D1433-H1433,NA())</f>
        <v/>
      </c>
      <c r="M1433" s="18">
        <f>IF(AND(ISNUMBER(E1433),ISNUMBER(K1433)),E1433-K1433,NA())</f>
        <v/>
      </c>
      <c r="N1433" s="18">
        <f>IF(NOT(ISNUMBER($A1433)),NA(),IF(COUNT(OFFSET(G1433,1,0,Settings!$B$12,1))&lt;Settings!$B$12,NA(),STDEV(OFFSET(G1433,1,0,Settings!$B$12,1))*SQRT(Settings!$B$13)))</f>
        <v/>
      </c>
      <c r="O1433" s="18">
        <f>IF(AND(ISNUMBER(E1433),ISNUMBER(N1433)),E1433-N1433,NA())</f>
        <v/>
      </c>
      <c r="P1433" s="17">
        <f>IF(NOT(ISNUMBER($A1433)),NA(),IF(OR($A1433&lt;MIN(KW_TP!$A$2:$A$2501),$A1433&gt;MAX(KW_TP!$A$2:$A$2501)),NA(),INDEX(KW_TP!$C$2:$C$2501,MATCH($A1433,KW_TP!$A$2:$A$2501,1))))</f>
        <v/>
      </c>
    </row>
    <row r="1434">
      <c r="A1434" s="15">
        <f>IF(ISNUMBER(BBG_Data!A1434),BBG_Data!A1434,"")</f>
        <v/>
      </c>
      <c r="B1434" s="16">
        <f>IF(AND(ISNUMBER($A1434),ISNUMBER(BBG_Data!B1434)),BBG_Data!B1434,NA())</f>
        <v/>
      </c>
      <c r="C1434" s="16">
        <f>IF(AND(ISNUMBER($A1434),ISNUMBER(BBG_Data!C1434)),BBG_Data!C1434,NA())</f>
        <v/>
      </c>
      <c r="D1434" s="17">
        <f>IF(AND(ISNUMBER($A1434),ISNUMBER(BBG_Data!D1434)),BBG_Data!D1434,NA())</f>
        <v/>
      </c>
      <c r="E1434" s="17">
        <f>IF(AND(ISNUMBER($A1434),ISNUMBER(BBG_Data!E1434)),BBG_Data!E1434,NA())</f>
        <v/>
      </c>
      <c r="F1434" s="18">
        <f>IF(AND(ISNUMBER(B1434),ISNUMBER(B1433)),(B1434-B1433)*100,"")</f>
        <v/>
      </c>
      <c r="G1434" s="18">
        <f>IF(AND(ISNUMBER(C1434),ISNUMBER(C1433)),(C1434-C1433)*100,"")</f>
        <v/>
      </c>
      <c r="H1434" s="18">
        <f>IF(OR(NOT(ISNUMBER($A1434)),ROW()-2&lt;Settings!$B$11),NA(),IF(COUNT(OFFSET(F1434,1-Settings!$B$11,0,Settings!$B$11,1))&lt;Settings!$B$11,NA(),STDEV(OFFSET(F1434,1-Settings!$B$11,0,Settings!$B$11,1))*SQRT(Settings!$B$13)))</f>
        <v/>
      </c>
      <c r="I1434" s="18">
        <f>IF(OR(NOT(ISNUMBER($A1434)),ROW()-2&lt;Settings!$B$12),NA(),IF(COUNT(OFFSET(F1434,1-Settings!$B$12,0,Settings!$B$12,1))&lt;Settings!$B$12,NA(),STDEV(OFFSET(F1434,1-Settings!$B$12,0,Settings!$B$12,1))*SQRT(Settings!$B$13)))</f>
        <v/>
      </c>
      <c r="J1434" s="18">
        <f>IF(OR(NOT(ISNUMBER($A1434)),ROW()-2&lt;Settings!$B$11),NA(),IF(COUNT(OFFSET(G1434,1-Settings!$B$11,0,Settings!$B$11,1))&lt;Settings!$B$11,NA(),STDEV(OFFSET(G1434,1-Settings!$B$11,0,Settings!$B$11,1))*SQRT(Settings!$B$13)))</f>
        <v/>
      </c>
      <c r="K1434" s="18">
        <f>IF(OR(NOT(ISNUMBER($A1434)),ROW()-2&lt;Settings!$B$12),NA(),IF(COUNT(OFFSET(G1434,1-Settings!$B$12,0,Settings!$B$12,1))&lt;Settings!$B$12,NA(),STDEV(OFFSET(G1434,1-Settings!$B$12,0,Settings!$B$12,1))*SQRT(Settings!$B$13)))</f>
        <v/>
      </c>
      <c r="L1434" s="18">
        <f>IF(AND(ISNUMBER(D1434),ISNUMBER(H1434)),D1434-H1434,NA())</f>
        <v/>
      </c>
      <c r="M1434" s="18">
        <f>IF(AND(ISNUMBER(E1434),ISNUMBER(K1434)),E1434-K1434,NA())</f>
        <v/>
      </c>
      <c r="N1434" s="18">
        <f>IF(NOT(ISNUMBER($A1434)),NA(),IF(COUNT(OFFSET(G1434,1,0,Settings!$B$12,1))&lt;Settings!$B$12,NA(),STDEV(OFFSET(G1434,1,0,Settings!$B$12,1))*SQRT(Settings!$B$13)))</f>
        <v/>
      </c>
      <c r="O1434" s="18">
        <f>IF(AND(ISNUMBER(E1434),ISNUMBER(N1434)),E1434-N1434,NA())</f>
        <v/>
      </c>
      <c r="P1434" s="17">
        <f>IF(NOT(ISNUMBER($A1434)),NA(),IF(OR($A1434&lt;MIN(KW_TP!$A$2:$A$2501),$A1434&gt;MAX(KW_TP!$A$2:$A$2501)),NA(),INDEX(KW_TP!$C$2:$C$2501,MATCH($A1434,KW_TP!$A$2:$A$2501,1))))</f>
        <v/>
      </c>
    </row>
    <row r="1435">
      <c r="A1435" s="15">
        <f>IF(ISNUMBER(BBG_Data!A1435),BBG_Data!A1435,"")</f>
        <v/>
      </c>
      <c r="B1435" s="16">
        <f>IF(AND(ISNUMBER($A1435),ISNUMBER(BBG_Data!B1435)),BBG_Data!B1435,NA())</f>
        <v/>
      </c>
      <c r="C1435" s="16">
        <f>IF(AND(ISNUMBER($A1435),ISNUMBER(BBG_Data!C1435)),BBG_Data!C1435,NA())</f>
        <v/>
      </c>
      <c r="D1435" s="17">
        <f>IF(AND(ISNUMBER($A1435),ISNUMBER(BBG_Data!D1435)),BBG_Data!D1435,NA())</f>
        <v/>
      </c>
      <c r="E1435" s="17">
        <f>IF(AND(ISNUMBER($A1435),ISNUMBER(BBG_Data!E1435)),BBG_Data!E1435,NA())</f>
        <v/>
      </c>
      <c r="F1435" s="18">
        <f>IF(AND(ISNUMBER(B1435),ISNUMBER(B1434)),(B1435-B1434)*100,"")</f>
        <v/>
      </c>
      <c r="G1435" s="18">
        <f>IF(AND(ISNUMBER(C1435),ISNUMBER(C1434)),(C1435-C1434)*100,"")</f>
        <v/>
      </c>
      <c r="H1435" s="18">
        <f>IF(OR(NOT(ISNUMBER($A1435)),ROW()-2&lt;Settings!$B$11),NA(),IF(COUNT(OFFSET(F1435,1-Settings!$B$11,0,Settings!$B$11,1))&lt;Settings!$B$11,NA(),STDEV(OFFSET(F1435,1-Settings!$B$11,0,Settings!$B$11,1))*SQRT(Settings!$B$13)))</f>
        <v/>
      </c>
      <c r="I1435" s="18">
        <f>IF(OR(NOT(ISNUMBER($A1435)),ROW()-2&lt;Settings!$B$12),NA(),IF(COUNT(OFFSET(F1435,1-Settings!$B$12,0,Settings!$B$12,1))&lt;Settings!$B$12,NA(),STDEV(OFFSET(F1435,1-Settings!$B$12,0,Settings!$B$12,1))*SQRT(Settings!$B$13)))</f>
        <v/>
      </c>
      <c r="J1435" s="18">
        <f>IF(OR(NOT(ISNUMBER($A1435)),ROW()-2&lt;Settings!$B$11),NA(),IF(COUNT(OFFSET(G1435,1-Settings!$B$11,0,Settings!$B$11,1))&lt;Settings!$B$11,NA(),STDEV(OFFSET(G1435,1-Settings!$B$11,0,Settings!$B$11,1))*SQRT(Settings!$B$13)))</f>
        <v/>
      </c>
      <c r="K1435" s="18">
        <f>IF(OR(NOT(ISNUMBER($A1435)),ROW()-2&lt;Settings!$B$12),NA(),IF(COUNT(OFFSET(G1435,1-Settings!$B$12,0,Settings!$B$12,1))&lt;Settings!$B$12,NA(),STDEV(OFFSET(G1435,1-Settings!$B$12,0,Settings!$B$12,1))*SQRT(Settings!$B$13)))</f>
        <v/>
      </c>
      <c r="L1435" s="18">
        <f>IF(AND(ISNUMBER(D1435),ISNUMBER(H1435)),D1435-H1435,NA())</f>
        <v/>
      </c>
      <c r="M1435" s="18">
        <f>IF(AND(ISNUMBER(E1435),ISNUMBER(K1435)),E1435-K1435,NA())</f>
        <v/>
      </c>
      <c r="N1435" s="18">
        <f>IF(NOT(ISNUMBER($A1435)),NA(),IF(COUNT(OFFSET(G1435,1,0,Settings!$B$12,1))&lt;Settings!$B$12,NA(),STDEV(OFFSET(G1435,1,0,Settings!$B$12,1))*SQRT(Settings!$B$13)))</f>
        <v/>
      </c>
      <c r="O1435" s="18">
        <f>IF(AND(ISNUMBER(E1435),ISNUMBER(N1435)),E1435-N1435,NA())</f>
        <v/>
      </c>
      <c r="P1435" s="17">
        <f>IF(NOT(ISNUMBER($A1435)),NA(),IF(OR($A1435&lt;MIN(KW_TP!$A$2:$A$2501),$A1435&gt;MAX(KW_TP!$A$2:$A$2501)),NA(),INDEX(KW_TP!$C$2:$C$2501,MATCH($A1435,KW_TP!$A$2:$A$2501,1))))</f>
        <v/>
      </c>
    </row>
    <row r="1436">
      <c r="A1436" s="15">
        <f>IF(ISNUMBER(BBG_Data!A1436),BBG_Data!A1436,"")</f>
        <v/>
      </c>
      <c r="B1436" s="16">
        <f>IF(AND(ISNUMBER($A1436),ISNUMBER(BBG_Data!B1436)),BBG_Data!B1436,NA())</f>
        <v/>
      </c>
      <c r="C1436" s="16">
        <f>IF(AND(ISNUMBER($A1436),ISNUMBER(BBG_Data!C1436)),BBG_Data!C1436,NA())</f>
        <v/>
      </c>
      <c r="D1436" s="17">
        <f>IF(AND(ISNUMBER($A1436),ISNUMBER(BBG_Data!D1436)),BBG_Data!D1436,NA())</f>
        <v/>
      </c>
      <c r="E1436" s="17">
        <f>IF(AND(ISNUMBER($A1436),ISNUMBER(BBG_Data!E1436)),BBG_Data!E1436,NA())</f>
        <v/>
      </c>
      <c r="F1436" s="18">
        <f>IF(AND(ISNUMBER(B1436),ISNUMBER(B1435)),(B1436-B1435)*100,"")</f>
        <v/>
      </c>
      <c r="G1436" s="18">
        <f>IF(AND(ISNUMBER(C1436),ISNUMBER(C1435)),(C1436-C1435)*100,"")</f>
        <v/>
      </c>
      <c r="H1436" s="18">
        <f>IF(OR(NOT(ISNUMBER($A1436)),ROW()-2&lt;Settings!$B$11),NA(),IF(COUNT(OFFSET(F1436,1-Settings!$B$11,0,Settings!$B$11,1))&lt;Settings!$B$11,NA(),STDEV(OFFSET(F1436,1-Settings!$B$11,0,Settings!$B$11,1))*SQRT(Settings!$B$13)))</f>
        <v/>
      </c>
      <c r="I1436" s="18">
        <f>IF(OR(NOT(ISNUMBER($A1436)),ROW()-2&lt;Settings!$B$12),NA(),IF(COUNT(OFFSET(F1436,1-Settings!$B$12,0,Settings!$B$12,1))&lt;Settings!$B$12,NA(),STDEV(OFFSET(F1436,1-Settings!$B$12,0,Settings!$B$12,1))*SQRT(Settings!$B$13)))</f>
        <v/>
      </c>
      <c r="J1436" s="18">
        <f>IF(OR(NOT(ISNUMBER($A1436)),ROW()-2&lt;Settings!$B$11),NA(),IF(COUNT(OFFSET(G1436,1-Settings!$B$11,0,Settings!$B$11,1))&lt;Settings!$B$11,NA(),STDEV(OFFSET(G1436,1-Settings!$B$11,0,Settings!$B$11,1))*SQRT(Settings!$B$13)))</f>
        <v/>
      </c>
      <c r="K1436" s="18">
        <f>IF(OR(NOT(ISNUMBER($A1436)),ROW()-2&lt;Settings!$B$12),NA(),IF(COUNT(OFFSET(G1436,1-Settings!$B$12,0,Settings!$B$12,1))&lt;Settings!$B$12,NA(),STDEV(OFFSET(G1436,1-Settings!$B$12,0,Settings!$B$12,1))*SQRT(Settings!$B$13)))</f>
        <v/>
      </c>
      <c r="L1436" s="18">
        <f>IF(AND(ISNUMBER(D1436),ISNUMBER(H1436)),D1436-H1436,NA())</f>
        <v/>
      </c>
      <c r="M1436" s="18">
        <f>IF(AND(ISNUMBER(E1436),ISNUMBER(K1436)),E1436-K1436,NA())</f>
        <v/>
      </c>
      <c r="N1436" s="18">
        <f>IF(NOT(ISNUMBER($A1436)),NA(),IF(COUNT(OFFSET(G1436,1,0,Settings!$B$12,1))&lt;Settings!$B$12,NA(),STDEV(OFFSET(G1436,1,0,Settings!$B$12,1))*SQRT(Settings!$B$13)))</f>
        <v/>
      </c>
      <c r="O1436" s="18">
        <f>IF(AND(ISNUMBER(E1436),ISNUMBER(N1436)),E1436-N1436,NA())</f>
        <v/>
      </c>
      <c r="P1436" s="17">
        <f>IF(NOT(ISNUMBER($A1436)),NA(),IF(OR($A1436&lt;MIN(KW_TP!$A$2:$A$2501),$A1436&gt;MAX(KW_TP!$A$2:$A$2501)),NA(),INDEX(KW_TP!$C$2:$C$2501,MATCH($A1436,KW_TP!$A$2:$A$2501,1))))</f>
        <v/>
      </c>
    </row>
    <row r="1437">
      <c r="A1437" s="15">
        <f>IF(ISNUMBER(BBG_Data!A1437),BBG_Data!A1437,"")</f>
        <v/>
      </c>
      <c r="B1437" s="16">
        <f>IF(AND(ISNUMBER($A1437),ISNUMBER(BBG_Data!B1437)),BBG_Data!B1437,NA())</f>
        <v/>
      </c>
      <c r="C1437" s="16">
        <f>IF(AND(ISNUMBER($A1437),ISNUMBER(BBG_Data!C1437)),BBG_Data!C1437,NA())</f>
        <v/>
      </c>
      <c r="D1437" s="17">
        <f>IF(AND(ISNUMBER($A1437),ISNUMBER(BBG_Data!D1437)),BBG_Data!D1437,NA())</f>
        <v/>
      </c>
      <c r="E1437" s="17">
        <f>IF(AND(ISNUMBER($A1437),ISNUMBER(BBG_Data!E1437)),BBG_Data!E1437,NA())</f>
        <v/>
      </c>
      <c r="F1437" s="18">
        <f>IF(AND(ISNUMBER(B1437),ISNUMBER(B1436)),(B1437-B1436)*100,"")</f>
        <v/>
      </c>
      <c r="G1437" s="18">
        <f>IF(AND(ISNUMBER(C1437),ISNUMBER(C1436)),(C1437-C1436)*100,"")</f>
        <v/>
      </c>
      <c r="H1437" s="18">
        <f>IF(OR(NOT(ISNUMBER($A1437)),ROW()-2&lt;Settings!$B$11),NA(),IF(COUNT(OFFSET(F1437,1-Settings!$B$11,0,Settings!$B$11,1))&lt;Settings!$B$11,NA(),STDEV(OFFSET(F1437,1-Settings!$B$11,0,Settings!$B$11,1))*SQRT(Settings!$B$13)))</f>
        <v/>
      </c>
      <c r="I1437" s="18">
        <f>IF(OR(NOT(ISNUMBER($A1437)),ROW()-2&lt;Settings!$B$12),NA(),IF(COUNT(OFFSET(F1437,1-Settings!$B$12,0,Settings!$B$12,1))&lt;Settings!$B$12,NA(),STDEV(OFFSET(F1437,1-Settings!$B$12,0,Settings!$B$12,1))*SQRT(Settings!$B$13)))</f>
        <v/>
      </c>
      <c r="J1437" s="18">
        <f>IF(OR(NOT(ISNUMBER($A1437)),ROW()-2&lt;Settings!$B$11),NA(),IF(COUNT(OFFSET(G1437,1-Settings!$B$11,0,Settings!$B$11,1))&lt;Settings!$B$11,NA(),STDEV(OFFSET(G1437,1-Settings!$B$11,0,Settings!$B$11,1))*SQRT(Settings!$B$13)))</f>
        <v/>
      </c>
      <c r="K1437" s="18">
        <f>IF(OR(NOT(ISNUMBER($A1437)),ROW()-2&lt;Settings!$B$12),NA(),IF(COUNT(OFFSET(G1437,1-Settings!$B$12,0,Settings!$B$12,1))&lt;Settings!$B$12,NA(),STDEV(OFFSET(G1437,1-Settings!$B$12,0,Settings!$B$12,1))*SQRT(Settings!$B$13)))</f>
        <v/>
      </c>
      <c r="L1437" s="18">
        <f>IF(AND(ISNUMBER(D1437),ISNUMBER(H1437)),D1437-H1437,NA())</f>
        <v/>
      </c>
      <c r="M1437" s="18">
        <f>IF(AND(ISNUMBER(E1437),ISNUMBER(K1437)),E1437-K1437,NA())</f>
        <v/>
      </c>
      <c r="N1437" s="18">
        <f>IF(NOT(ISNUMBER($A1437)),NA(),IF(COUNT(OFFSET(G1437,1,0,Settings!$B$12,1))&lt;Settings!$B$12,NA(),STDEV(OFFSET(G1437,1,0,Settings!$B$12,1))*SQRT(Settings!$B$13)))</f>
        <v/>
      </c>
      <c r="O1437" s="18">
        <f>IF(AND(ISNUMBER(E1437),ISNUMBER(N1437)),E1437-N1437,NA())</f>
        <v/>
      </c>
      <c r="P1437" s="17">
        <f>IF(NOT(ISNUMBER($A1437)),NA(),IF(OR($A1437&lt;MIN(KW_TP!$A$2:$A$2501),$A1437&gt;MAX(KW_TP!$A$2:$A$2501)),NA(),INDEX(KW_TP!$C$2:$C$2501,MATCH($A1437,KW_TP!$A$2:$A$2501,1))))</f>
        <v/>
      </c>
    </row>
    <row r="1438">
      <c r="A1438" s="15">
        <f>IF(ISNUMBER(BBG_Data!A1438),BBG_Data!A1438,"")</f>
        <v/>
      </c>
      <c r="B1438" s="16">
        <f>IF(AND(ISNUMBER($A1438),ISNUMBER(BBG_Data!B1438)),BBG_Data!B1438,NA())</f>
        <v/>
      </c>
      <c r="C1438" s="16">
        <f>IF(AND(ISNUMBER($A1438),ISNUMBER(BBG_Data!C1438)),BBG_Data!C1438,NA())</f>
        <v/>
      </c>
      <c r="D1438" s="17">
        <f>IF(AND(ISNUMBER($A1438),ISNUMBER(BBG_Data!D1438)),BBG_Data!D1438,NA())</f>
        <v/>
      </c>
      <c r="E1438" s="17">
        <f>IF(AND(ISNUMBER($A1438),ISNUMBER(BBG_Data!E1438)),BBG_Data!E1438,NA())</f>
        <v/>
      </c>
      <c r="F1438" s="18">
        <f>IF(AND(ISNUMBER(B1438),ISNUMBER(B1437)),(B1438-B1437)*100,"")</f>
        <v/>
      </c>
      <c r="G1438" s="18">
        <f>IF(AND(ISNUMBER(C1438),ISNUMBER(C1437)),(C1438-C1437)*100,"")</f>
        <v/>
      </c>
      <c r="H1438" s="18">
        <f>IF(OR(NOT(ISNUMBER($A1438)),ROW()-2&lt;Settings!$B$11),NA(),IF(COUNT(OFFSET(F1438,1-Settings!$B$11,0,Settings!$B$11,1))&lt;Settings!$B$11,NA(),STDEV(OFFSET(F1438,1-Settings!$B$11,0,Settings!$B$11,1))*SQRT(Settings!$B$13)))</f>
        <v/>
      </c>
      <c r="I1438" s="18">
        <f>IF(OR(NOT(ISNUMBER($A1438)),ROW()-2&lt;Settings!$B$12),NA(),IF(COUNT(OFFSET(F1438,1-Settings!$B$12,0,Settings!$B$12,1))&lt;Settings!$B$12,NA(),STDEV(OFFSET(F1438,1-Settings!$B$12,0,Settings!$B$12,1))*SQRT(Settings!$B$13)))</f>
        <v/>
      </c>
      <c r="J1438" s="18">
        <f>IF(OR(NOT(ISNUMBER($A1438)),ROW()-2&lt;Settings!$B$11),NA(),IF(COUNT(OFFSET(G1438,1-Settings!$B$11,0,Settings!$B$11,1))&lt;Settings!$B$11,NA(),STDEV(OFFSET(G1438,1-Settings!$B$11,0,Settings!$B$11,1))*SQRT(Settings!$B$13)))</f>
        <v/>
      </c>
      <c r="K1438" s="18">
        <f>IF(OR(NOT(ISNUMBER($A1438)),ROW()-2&lt;Settings!$B$12),NA(),IF(COUNT(OFFSET(G1438,1-Settings!$B$12,0,Settings!$B$12,1))&lt;Settings!$B$12,NA(),STDEV(OFFSET(G1438,1-Settings!$B$12,0,Settings!$B$12,1))*SQRT(Settings!$B$13)))</f>
        <v/>
      </c>
      <c r="L1438" s="18">
        <f>IF(AND(ISNUMBER(D1438),ISNUMBER(H1438)),D1438-H1438,NA())</f>
        <v/>
      </c>
      <c r="M1438" s="18">
        <f>IF(AND(ISNUMBER(E1438),ISNUMBER(K1438)),E1438-K1438,NA())</f>
        <v/>
      </c>
      <c r="N1438" s="18">
        <f>IF(NOT(ISNUMBER($A1438)),NA(),IF(COUNT(OFFSET(G1438,1,0,Settings!$B$12,1))&lt;Settings!$B$12,NA(),STDEV(OFFSET(G1438,1,0,Settings!$B$12,1))*SQRT(Settings!$B$13)))</f>
        <v/>
      </c>
      <c r="O1438" s="18">
        <f>IF(AND(ISNUMBER(E1438),ISNUMBER(N1438)),E1438-N1438,NA())</f>
        <v/>
      </c>
      <c r="P1438" s="17">
        <f>IF(NOT(ISNUMBER($A1438)),NA(),IF(OR($A1438&lt;MIN(KW_TP!$A$2:$A$2501),$A1438&gt;MAX(KW_TP!$A$2:$A$2501)),NA(),INDEX(KW_TP!$C$2:$C$2501,MATCH($A1438,KW_TP!$A$2:$A$2501,1))))</f>
        <v/>
      </c>
    </row>
    <row r="1439">
      <c r="A1439" s="15">
        <f>IF(ISNUMBER(BBG_Data!A1439),BBG_Data!A1439,"")</f>
        <v/>
      </c>
      <c r="B1439" s="16">
        <f>IF(AND(ISNUMBER($A1439),ISNUMBER(BBG_Data!B1439)),BBG_Data!B1439,NA())</f>
        <v/>
      </c>
      <c r="C1439" s="16">
        <f>IF(AND(ISNUMBER($A1439),ISNUMBER(BBG_Data!C1439)),BBG_Data!C1439,NA())</f>
        <v/>
      </c>
      <c r="D1439" s="17">
        <f>IF(AND(ISNUMBER($A1439),ISNUMBER(BBG_Data!D1439)),BBG_Data!D1439,NA())</f>
        <v/>
      </c>
      <c r="E1439" s="17">
        <f>IF(AND(ISNUMBER($A1439),ISNUMBER(BBG_Data!E1439)),BBG_Data!E1439,NA())</f>
        <v/>
      </c>
      <c r="F1439" s="18">
        <f>IF(AND(ISNUMBER(B1439),ISNUMBER(B1438)),(B1439-B1438)*100,"")</f>
        <v/>
      </c>
      <c r="G1439" s="18">
        <f>IF(AND(ISNUMBER(C1439),ISNUMBER(C1438)),(C1439-C1438)*100,"")</f>
        <v/>
      </c>
      <c r="H1439" s="18">
        <f>IF(OR(NOT(ISNUMBER($A1439)),ROW()-2&lt;Settings!$B$11),NA(),IF(COUNT(OFFSET(F1439,1-Settings!$B$11,0,Settings!$B$11,1))&lt;Settings!$B$11,NA(),STDEV(OFFSET(F1439,1-Settings!$B$11,0,Settings!$B$11,1))*SQRT(Settings!$B$13)))</f>
        <v/>
      </c>
      <c r="I1439" s="18">
        <f>IF(OR(NOT(ISNUMBER($A1439)),ROW()-2&lt;Settings!$B$12),NA(),IF(COUNT(OFFSET(F1439,1-Settings!$B$12,0,Settings!$B$12,1))&lt;Settings!$B$12,NA(),STDEV(OFFSET(F1439,1-Settings!$B$12,0,Settings!$B$12,1))*SQRT(Settings!$B$13)))</f>
        <v/>
      </c>
      <c r="J1439" s="18">
        <f>IF(OR(NOT(ISNUMBER($A1439)),ROW()-2&lt;Settings!$B$11),NA(),IF(COUNT(OFFSET(G1439,1-Settings!$B$11,0,Settings!$B$11,1))&lt;Settings!$B$11,NA(),STDEV(OFFSET(G1439,1-Settings!$B$11,0,Settings!$B$11,1))*SQRT(Settings!$B$13)))</f>
        <v/>
      </c>
      <c r="K1439" s="18">
        <f>IF(OR(NOT(ISNUMBER($A1439)),ROW()-2&lt;Settings!$B$12),NA(),IF(COUNT(OFFSET(G1439,1-Settings!$B$12,0,Settings!$B$12,1))&lt;Settings!$B$12,NA(),STDEV(OFFSET(G1439,1-Settings!$B$12,0,Settings!$B$12,1))*SQRT(Settings!$B$13)))</f>
        <v/>
      </c>
      <c r="L1439" s="18">
        <f>IF(AND(ISNUMBER(D1439),ISNUMBER(H1439)),D1439-H1439,NA())</f>
        <v/>
      </c>
      <c r="M1439" s="18">
        <f>IF(AND(ISNUMBER(E1439),ISNUMBER(K1439)),E1439-K1439,NA())</f>
        <v/>
      </c>
      <c r="N1439" s="18">
        <f>IF(NOT(ISNUMBER($A1439)),NA(),IF(COUNT(OFFSET(G1439,1,0,Settings!$B$12,1))&lt;Settings!$B$12,NA(),STDEV(OFFSET(G1439,1,0,Settings!$B$12,1))*SQRT(Settings!$B$13)))</f>
        <v/>
      </c>
      <c r="O1439" s="18">
        <f>IF(AND(ISNUMBER(E1439),ISNUMBER(N1439)),E1439-N1439,NA())</f>
        <v/>
      </c>
      <c r="P1439" s="17">
        <f>IF(NOT(ISNUMBER($A1439)),NA(),IF(OR($A1439&lt;MIN(KW_TP!$A$2:$A$2501),$A1439&gt;MAX(KW_TP!$A$2:$A$2501)),NA(),INDEX(KW_TP!$C$2:$C$2501,MATCH($A1439,KW_TP!$A$2:$A$2501,1))))</f>
        <v/>
      </c>
    </row>
    <row r="1440">
      <c r="A1440" s="15">
        <f>IF(ISNUMBER(BBG_Data!A1440),BBG_Data!A1440,"")</f>
        <v/>
      </c>
      <c r="B1440" s="16">
        <f>IF(AND(ISNUMBER($A1440),ISNUMBER(BBG_Data!B1440)),BBG_Data!B1440,NA())</f>
        <v/>
      </c>
      <c r="C1440" s="16">
        <f>IF(AND(ISNUMBER($A1440),ISNUMBER(BBG_Data!C1440)),BBG_Data!C1440,NA())</f>
        <v/>
      </c>
      <c r="D1440" s="17">
        <f>IF(AND(ISNUMBER($A1440),ISNUMBER(BBG_Data!D1440)),BBG_Data!D1440,NA())</f>
        <v/>
      </c>
      <c r="E1440" s="17">
        <f>IF(AND(ISNUMBER($A1440),ISNUMBER(BBG_Data!E1440)),BBG_Data!E1440,NA())</f>
        <v/>
      </c>
      <c r="F1440" s="18">
        <f>IF(AND(ISNUMBER(B1440),ISNUMBER(B1439)),(B1440-B1439)*100,"")</f>
        <v/>
      </c>
      <c r="G1440" s="18">
        <f>IF(AND(ISNUMBER(C1440),ISNUMBER(C1439)),(C1440-C1439)*100,"")</f>
        <v/>
      </c>
      <c r="H1440" s="18">
        <f>IF(OR(NOT(ISNUMBER($A1440)),ROW()-2&lt;Settings!$B$11),NA(),IF(COUNT(OFFSET(F1440,1-Settings!$B$11,0,Settings!$B$11,1))&lt;Settings!$B$11,NA(),STDEV(OFFSET(F1440,1-Settings!$B$11,0,Settings!$B$11,1))*SQRT(Settings!$B$13)))</f>
        <v/>
      </c>
      <c r="I1440" s="18">
        <f>IF(OR(NOT(ISNUMBER($A1440)),ROW()-2&lt;Settings!$B$12),NA(),IF(COUNT(OFFSET(F1440,1-Settings!$B$12,0,Settings!$B$12,1))&lt;Settings!$B$12,NA(),STDEV(OFFSET(F1440,1-Settings!$B$12,0,Settings!$B$12,1))*SQRT(Settings!$B$13)))</f>
        <v/>
      </c>
      <c r="J1440" s="18">
        <f>IF(OR(NOT(ISNUMBER($A1440)),ROW()-2&lt;Settings!$B$11),NA(),IF(COUNT(OFFSET(G1440,1-Settings!$B$11,0,Settings!$B$11,1))&lt;Settings!$B$11,NA(),STDEV(OFFSET(G1440,1-Settings!$B$11,0,Settings!$B$11,1))*SQRT(Settings!$B$13)))</f>
        <v/>
      </c>
      <c r="K1440" s="18">
        <f>IF(OR(NOT(ISNUMBER($A1440)),ROW()-2&lt;Settings!$B$12),NA(),IF(COUNT(OFFSET(G1440,1-Settings!$B$12,0,Settings!$B$12,1))&lt;Settings!$B$12,NA(),STDEV(OFFSET(G1440,1-Settings!$B$12,0,Settings!$B$12,1))*SQRT(Settings!$B$13)))</f>
        <v/>
      </c>
      <c r="L1440" s="18">
        <f>IF(AND(ISNUMBER(D1440),ISNUMBER(H1440)),D1440-H1440,NA())</f>
        <v/>
      </c>
      <c r="M1440" s="18">
        <f>IF(AND(ISNUMBER(E1440),ISNUMBER(K1440)),E1440-K1440,NA())</f>
        <v/>
      </c>
      <c r="N1440" s="18">
        <f>IF(NOT(ISNUMBER($A1440)),NA(),IF(COUNT(OFFSET(G1440,1,0,Settings!$B$12,1))&lt;Settings!$B$12,NA(),STDEV(OFFSET(G1440,1,0,Settings!$B$12,1))*SQRT(Settings!$B$13)))</f>
        <v/>
      </c>
      <c r="O1440" s="18">
        <f>IF(AND(ISNUMBER(E1440),ISNUMBER(N1440)),E1440-N1440,NA())</f>
        <v/>
      </c>
      <c r="P1440" s="17">
        <f>IF(NOT(ISNUMBER($A1440)),NA(),IF(OR($A1440&lt;MIN(KW_TP!$A$2:$A$2501),$A1440&gt;MAX(KW_TP!$A$2:$A$2501)),NA(),INDEX(KW_TP!$C$2:$C$2501,MATCH($A1440,KW_TP!$A$2:$A$2501,1))))</f>
        <v/>
      </c>
    </row>
    <row r="1441">
      <c r="A1441" s="15">
        <f>IF(ISNUMBER(BBG_Data!A1441),BBG_Data!A1441,"")</f>
        <v/>
      </c>
      <c r="B1441" s="16">
        <f>IF(AND(ISNUMBER($A1441),ISNUMBER(BBG_Data!B1441)),BBG_Data!B1441,NA())</f>
        <v/>
      </c>
      <c r="C1441" s="16">
        <f>IF(AND(ISNUMBER($A1441),ISNUMBER(BBG_Data!C1441)),BBG_Data!C1441,NA())</f>
        <v/>
      </c>
      <c r="D1441" s="17">
        <f>IF(AND(ISNUMBER($A1441),ISNUMBER(BBG_Data!D1441)),BBG_Data!D1441,NA())</f>
        <v/>
      </c>
      <c r="E1441" s="17">
        <f>IF(AND(ISNUMBER($A1441),ISNUMBER(BBG_Data!E1441)),BBG_Data!E1441,NA())</f>
        <v/>
      </c>
      <c r="F1441" s="18">
        <f>IF(AND(ISNUMBER(B1441),ISNUMBER(B1440)),(B1441-B1440)*100,"")</f>
        <v/>
      </c>
      <c r="G1441" s="18">
        <f>IF(AND(ISNUMBER(C1441),ISNUMBER(C1440)),(C1441-C1440)*100,"")</f>
        <v/>
      </c>
      <c r="H1441" s="18">
        <f>IF(OR(NOT(ISNUMBER($A1441)),ROW()-2&lt;Settings!$B$11),NA(),IF(COUNT(OFFSET(F1441,1-Settings!$B$11,0,Settings!$B$11,1))&lt;Settings!$B$11,NA(),STDEV(OFFSET(F1441,1-Settings!$B$11,0,Settings!$B$11,1))*SQRT(Settings!$B$13)))</f>
        <v/>
      </c>
      <c r="I1441" s="18">
        <f>IF(OR(NOT(ISNUMBER($A1441)),ROW()-2&lt;Settings!$B$12),NA(),IF(COUNT(OFFSET(F1441,1-Settings!$B$12,0,Settings!$B$12,1))&lt;Settings!$B$12,NA(),STDEV(OFFSET(F1441,1-Settings!$B$12,0,Settings!$B$12,1))*SQRT(Settings!$B$13)))</f>
        <v/>
      </c>
      <c r="J1441" s="18">
        <f>IF(OR(NOT(ISNUMBER($A1441)),ROW()-2&lt;Settings!$B$11),NA(),IF(COUNT(OFFSET(G1441,1-Settings!$B$11,0,Settings!$B$11,1))&lt;Settings!$B$11,NA(),STDEV(OFFSET(G1441,1-Settings!$B$11,0,Settings!$B$11,1))*SQRT(Settings!$B$13)))</f>
        <v/>
      </c>
      <c r="K1441" s="18">
        <f>IF(OR(NOT(ISNUMBER($A1441)),ROW()-2&lt;Settings!$B$12),NA(),IF(COUNT(OFFSET(G1441,1-Settings!$B$12,0,Settings!$B$12,1))&lt;Settings!$B$12,NA(),STDEV(OFFSET(G1441,1-Settings!$B$12,0,Settings!$B$12,1))*SQRT(Settings!$B$13)))</f>
        <v/>
      </c>
      <c r="L1441" s="18">
        <f>IF(AND(ISNUMBER(D1441),ISNUMBER(H1441)),D1441-H1441,NA())</f>
        <v/>
      </c>
      <c r="M1441" s="18">
        <f>IF(AND(ISNUMBER(E1441),ISNUMBER(K1441)),E1441-K1441,NA())</f>
        <v/>
      </c>
      <c r="N1441" s="18">
        <f>IF(NOT(ISNUMBER($A1441)),NA(),IF(COUNT(OFFSET(G1441,1,0,Settings!$B$12,1))&lt;Settings!$B$12,NA(),STDEV(OFFSET(G1441,1,0,Settings!$B$12,1))*SQRT(Settings!$B$13)))</f>
        <v/>
      </c>
      <c r="O1441" s="18">
        <f>IF(AND(ISNUMBER(E1441),ISNUMBER(N1441)),E1441-N1441,NA())</f>
        <v/>
      </c>
      <c r="P1441" s="17">
        <f>IF(NOT(ISNUMBER($A1441)),NA(),IF(OR($A1441&lt;MIN(KW_TP!$A$2:$A$2501),$A1441&gt;MAX(KW_TP!$A$2:$A$2501)),NA(),INDEX(KW_TP!$C$2:$C$2501,MATCH($A1441,KW_TP!$A$2:$A$2501,1))))</f>
        <v/>
      </c>
    </row>
    <row r="1442">
      <c r="A1442" s="15">
        <f>IF(ISNUMBER(BBG_Data!A1442),BBG_Data!A1442,"")</f>
        <v/>
      </c>
      <c r="B1442" s="16">
        <f>IF(AND(ISNUMBER($A1442),ISNUMBER(BBG_Data!B1442)),BBG_Data!B1442,NA())</f>
        <v/>
      </c>
      <c r="C1442" s="16">
        <f>IF(AND(ISNUMBER($A1442),ISNUMBER(BBG_Data!C1442)),BBG_Data!C1442,NA())</f>
        <v/>
      </c>
      <c r="D1442" s="17">
        <f>IF(AND(ISNUMBER($A1442),ISNUMBER(BBG_Data!D1442)),BBG_Data!D1442,NA())</f>
        <v/>
      </c>
      <c r="E1442" s="17">
        <f>IF(AND(ISNUMBER($A1442),ISNUMBER(BBG_Data!E1442)),BBG_Data!E1442,NA())</f>
        <v/>
      </c>
      <c r="F1442" s="18">
        <f>IF(AND(ISNUMBER(B1442),ISNUMBER(B1441)),(B1442-B1441)*100,"")</f>
        <v/>
      </c>
      <c r="G1442" s="18">
        <f>IF(AND(ISNUMBER(C1442),ISNUMBER(C1441)),(C1442-C1441)*100,"")</f>
        <v/>
      </c>
      <c r="H1442" s="18">
        <f>IF(OR(NOT(ISNUMBER($A1442)),ROW()-2&lt;Settings!$B$11),NA(),IF(COUNT(OFFSET(F1442,1-Settings!$B$11,0,Settings!$B$11,1))&lt;Settings!$B$11,NA(),STDEV(OFFSET(F1442,1-Settings!$B$11,0,Settings!$B$11,1))*SQRT(Settings!$B$13)))</f>
        <v/>
      </c>
      <c r="I1442" s="18">
        <f>IF(OR(NOT(ISNUMBER($A1442)),ROW()-2&lt;Settings!$B$12),NA(),IF(COUNT(OFFSET(F1442,1-Settings!$B$12,0,Settings!$B$12,1))&lt;Settings!$B$12,NA(),STDEV(OFFSET(F1442,1-Settings!$B$12,0,Settings!$B$12,1))*SQRT(Settings!$B$13)))</f>
        <v/>
      </c>
      <c r="J1442" s="18">
        <f>IF(OR(NOT(ISNUMBER($A1442)),ROW()-2&lt;Settings!$B$11),NA(),IF(COUNT(OFFSET(G1442,1-Settings!$B$11,0,Settings!$B$11,1))&lt;Settings!$B$11,NA(),STDEV(OFFSET(G1442,1-Settings!$B$11,0,Settings!$B$11,1))*SQRT(Settings!$B$13)))</f>
        <v/>
      </c>
      <c r="K1442" s="18">
        <f>IF(OR(NOT(ISNUMBER($A1442)),ROW()-2&lt;Settings!$B$12),NA(),IF(COUNT(OFFSET(G1442,1-Settings!$B$12,0,Settings!$B$12,1))&lt;Settings!$B$12,NA(),STDEV(OFFSET(G1442,1-Settings!$B$12,0,Settings!$B$12,1))*SQRT(Settings!$B$13)))</f>
        <v/>
      </c>
      <c r="L1442" s="18">
        <f>IF(AND(ISNUMBER(D1442),ISNUMBER(H1442)),D1442-H1442,NA())</f>
        <v/>
      </c>
      <c r="M1442" s="18">
        <f>IF(AND(ISNUMBER(E1442),ISNUMBER(K1442)),E1442-K1442,NA())</f>
        <v/>
      </c>
      <c r="N1442" s="18">
        <f>IF(NOT(ISNUMBER($A1442)),NA(),IF(COUNT(OFFSET(G1442,1,0,Settings!$B$12,1))&lt;Settings!$B$12,NA(),STDEV(OFFSET(G1442,1,0,Settings!$B$12,1))*SQRT(Settings!$B$13)))</f>
        <v/>
      </c>
      <c r="O1442" s="18">
        <f>IF(AND(ISNUMBER(E1442),ISNUMBER(N1442)),E1442-N1442,NA())</f>
        <v/>
      </c>
      <c r="P1442" s="17">
        <f>IF(NOT(ISNUMBER($A1442)),NA(),IF(OR($A1442&lt;MIN(KW_TP!$A$2:$A$2501),$A1442&gt;MAX(KW_TP!$A$2:$A$2501)),NA(),INDEX(KW_TP!$C$2:$C$2501,MATCH($A1442,KW_TP!$A$2:$A$2501,1))))</f>
        <v/>
      </c>
    </row>
    <row r="1443">
      <c r="A1443" s="15">
        <f>IF(ISNUMBER(BBG_Data!A1443),BBG_Data!A1443,"")</f>
        <v/>
      </c>
      <c r="B1443" s="16">
        <f>IF(AND(ISNUMBER($A1443),ISNUMBER(BBG_Data!B1443)),BBG_Data!B1443,NA())</f>
        <v/>
      </c>
      <c r="C1443" s="16">
        <f>IF(AND(ISNUMBER($A1443),ISNUMBER(BBG_Data!C1443)),BBG_Data!C1443,NA())</f>
        <v/>
      </c>
      <c r="D1443" s="17">
        <f>IF(AND(ISNUMBER($A1443),ISNUMBER(BBG_Data!D1443)),BBG_Data!D1443,NA())</f>
        <v/>
      </c>
      <c r="E1443" s="17">
        <f>IF(AND(ISNUMBER($A1443),ISNUMBER(BBG_Data!E1443)),BBG_Data!E1443,NA())</f>
        <v/>
      </c>
      <c r="F1443" s="18">
        <f>IF(AND(ISNUMBER(B1443),ISNUMBER(B1442)),(B1443-B1442)*100,"")</f>
        <v/>
      </c>
      <c r="G1443" s="18">
        <f>IF(AND(ISNUMBER(C1443),ISNUMBER(C1442)),(C1443-C1442)*100,"")</f>
        <v/>
      </c>
      <c r="H1443" s="18">
        <f>IF(OR(NOT(ISNUMBER($A1443)),ROW()-2&lt;Settings!$B$11),NA(),IF(COUNT(OFFSET(F1443,1-Settings!$B$11,0,Settings!$B$11,1))&lt;Settings!$B$11,NA(),STDEV(OFFSET(F1443,1-Settings!$B$11,0,Settings!$B$11,1))*SQRT(Settings!$B$13)))</f>
        <v/>
      </c>
      <c r="I1443" s="18">
        <f>IF(OR(NOT(ISNUMBER($A1443)),ROW()-2&lt;Settings!$B$12),NA(),IF(COUNT(OFFSET(F1443,1-Settings!$B$12,0,Settings!$B$12,1))&lt;Settings!$B$12,NA(),STDEV(OFFSET(F1443,1-Settings!$B$12,0,Settings!$B$12,1))*SQRT(Settings!$B$13)))</f>
        <v/>
      </c>
      <c r="J1443" s="18">
        <f>IF(OR(NOT(ISNUMBER($A1443)),ROW()-2&lt;Settings!$B$11),NA(),IF(COUNT(OFFSET(G1443,1-Settings!$B$11,0,Settings!$B$11,1))&lt;Settings!$B$11,NA(),STDEV(OFFSET(G1443,1-Settings!$B$11,0,Settings!$B$11,1))*SQRT(Settings!$B$13)))</f>
        <v/>
      </c>
      <c r="K1443" s="18">
        <f>IF(OR(NOT(ISNUMBER($A1443)),ROW()-2&lt;Settings!$B$12),NA(),IF(COUNT(OFFSET(G1443,1-Settings!$B$12,0,Settings!$B$12,1))&lt;Settings!$B$12,NA(),STDEV(OFFSET(G1443,1-Settings!$B$12,0,Settings!$B$12,1))*SQRT(Settings!$B$13)))</f>
        <v/>
      </c>
      <c r="L1443" s="18">
        <f>IF(AND(ISNUMBER(D1443),ISNUMBER(H1443)),D1443-H1443,NA())</f>
        <v/>
      </c>
      <c r="M1443" s="18">
        <f>IF(AND(ISNUMBER(E1443),ISNUMBER(K1443)),E1443-K1443,NA())</f>
        <v/>
      </c>
      <c r="N1443" s="18">
        <f>IF(NOT(ISNUMBER($A1443)),NA(),IF(COUNT(OFFSET(G1443,1,0,Settings!$B$12,1))&lt;Settings!$B$12,NA(),STDEV(OFFSET(G1443,1,0,Settings!$B$12,1))*SQRT(Settings!$B$13)))</f>
        <v/>
      </c>
      <c r="O1443" s="18">
        <f>IF(AND(ISNUMBER(E1443),ISNUMBER(N1443)),E1443-N1443,NA())</f>
        <v/>
      </c>
      <c r="P1443" s="17">
        <f>IF(NOT(ISNUMBER($A1443)),NA(),IF(OR($A1443&lt;MIN(KW_TP!$A$2:$A$2501),$A1443&gt;MAX(KW_TP!$A$2:$A$2501)),NA(),INDEX(KW_TP!$C$2:$C$2501,MATCH($A1443,KW_TP!$A$2:$A$2501,1))))</f>
        <v/>
      </c>
    </row>
    <row r="1444">
      <c r="A1444" s="15">
        <f>IF(ISNUMBER(BBG_Data!A1444),BBG_Data!A1444,"")</f>
        <v/>
      </c>
      <c r="B1444" s="16">
        <f>IF(AND(ISNUMBER($A1444),ISNUMBER(BBG_Data!B1444)),BBG_Data!B1444,NA())</f>
        <v/>
      </c>
      <c r="C1444" s="16">
        <f>IF(AND(ISNUMBER($A1444),ISNUMBER(BBG_Data!C1444)),BBG_Data!C1444,NA())</f>
        <v/>
      </c>
      <c r="D1444" s="17">
        <f>IF(AND(ISNUMBER($A1444),ISNUMBER(BBG_Data!D1444)),BBG_Data!D1444,NA())</f>
        <v/>
      </c>
      <c r="E1444" s="17">
        <f>IF(AND(ISNUMBER($A1444),ISNUMBER(BBG_Data!E1444)),BBG_Data!E1444,NA())</f>
        <v/>
      </c>
      <c r="F1444" s="18">
        <f>IF(AND(ISNUMBER(B1444),ISNUMBER(B1443)),(B1444-B1443)*100,"")</f>
        <v/>
      </c>
      <c r="G1444" s="18">
        <f>IF(AND(ISNUMBER(C1444),ISNUMBER(C1443)),(C1444-C1443)*100,"")</f>
        <v/>
      </c>
      <c r="H1444" s="18">
        <f>IF(OR(NOT(ISNUMBER($A1444)),ROW()-2&lt;Settings!$B$11),NA(),IF(COUNT(OFFSET(F1444,1-Settings!$B$11,0,Settings!$B$11,1))&lt;Settings!$B$11,NA(),STDEV(OFFSET(F1444,1-Settings!$B$11,0,Settings!$B$11,1))*SQRT(Settings!$B$13)))</f>
        <v/>
      </c>
      <c r="I1444" s="18">
        <f>IF(OR(NOT(ISNUMBER($A1444)),ROW()-2&lt;Settings!$B$12),NA(),IF(COUNT(OFFSET(F1444,1-Settings!$B$12,0,Settings!$B$12,1))&lt;Settings!$B$12,NA(),STDEV(OFFSET(F1444,1-Settings!$B$12,0,Settings!$B$12,1))*SQRT(Settings!$B$13)))</f>
        <v/>
      </c>
      <c r="J1444" s="18">
        <f>IF(OR(NOT(ISNUMBER($A1444)),ROW()-2&lt;Settings!$B$11),NA(),IF(COUNT(OFFSET(G1444,1-Settings!$B$11,0,Settings!$B$11,1))&lt;Settings!$B$11,NA(),STDEV(OFFSET(G1444,1-Settings!$B$11,0,Settings!$B$11,1))*SQRT(Settings!$B$13)))</f>
        <v/>
      </c>
      <c r="K1444" s="18">
        <f>IF(OR(NOT(ISNUMBER($A1444)),ROW()-2&lt;Settings!$B$12),NA(),IF(COUNT(OFFSET(G1444,1-Settings!$B$12,0,Settings!$B$12,1))&lt;Settings!$B$12,NA(),STDEV(OFFSET(G1444,1-Settings!$B$12,0,Settings!$B$12,1))*SQRT(Settings!$B$13)))</f>
        <v/>
      </c>
      <c r="L1444" s="18">
        <f>IF(AND(ISNUMBER(D1444),ISNUMBER(H1444)),D1444-H1444,NA())</f>
        <v/>
      </c>
      <c r="M1444" s="18">
        <f>IF(AND(ISNUMBER(E1444),ISNUMBER(K1444)),E1444-K1444,NA())</f>
        <v/>
      </c>
      <c r="N1444" s="18">
        <f>IF(NOT(ISNUMBER($A1444)),NA(),IF(COUNT(OFFSET(G1444,1,0,Settings!$B$12,1))&lt;Settings!$B$12,NA(),STDEV(OFFSET(G1444,1,0,Settings!$B$12,1))*SQRT(Settings!$B$13)))</f>
        <v/>
      </c>
      <c r="O1444" s="18">
        <f>IF(AND(ISNUMBER(E1444),ISNUMBER(N1444)),E1444-N1444,NA())</f>
        <v/>
      </c>
      <c r="P1444" s="17">
        <f>IF(NOT(ISNUMBER($A1444)),NA(),IF(OR($A1444&lt;MIN(KW_TP!$A$2:$A$2501),$A1444&gt;MAX(KW_TP!$A$2:$A$2501)),NA(),INDEX(KW_TP!$C$2:$C$2501,MATCH($A1444,KW_TP!$A$2:$A$2501,1))))</f>
        <v/>
      </c>
    </row>
    <row r="1445">
      <c r="A1445" s="15">
        <f>IF(ISNUMBER(BBG_Data!A1445),BBG_Data!A1445,"")</f>
        <v/>
      </c>
      <c r="B1445" s="16">
        <f>IF(AND(ISNUMBER($A1445),ISNUMBER(BBG_Data!B1445)),BBG_Data!B1445,NA())</f>
        <v/>
      </c>
      <c r="C1445" s="16">
        <f>IF(AND(ISNUMBER($A1445),ISNUMBER(BBG_Data!C1445)),BBG_Data!C1445,NA())</f>
        <v/>
      </c>
      <c r="D1445" s="17">
        <f>IF(AND(ISNUMBER($A1445),ISNUMBER(BBG_Data!D1445)),BBG_Data!D1445,NA())</f>
        <v/>
      </c>
      <c r="E1445" s="17">
        <f>IF(AND(ISNUMBER($A1445),ISNUMBER(BBG_Data!E1445)),BBG_Data!E1445,NA())</f>
        <v/>
      </c>
      <c r="F1445" s="18">
        <f>IF(AND(ISNUMBER(B1445),ISNUMBER(B1444)),(B1445-B1444)*100,"")</f>
        <v/>
      </c>
      <c r="G1445" s="18">
        <f>IF(AND(ISNUMBER(C1445),ISNUMBER(C1444)),(C1445-C1444)*100,"")</f>
        <v/>
      </c>
      <c r="H1445" s="18">
        <f>IF(OR(NOT(ISNUMBER($A1445)),ROW()-2&lt;Settings!$B$11),NA(),IF(COUNT(OFFSET(F1445,1-Settings!$B$11,0,Settings!$B$11,1))&lt;Settings!$B$11,NA(),STDEV(OFFSET(F1445,1-Settings!$B$11,0,Settings!$B$11,1))*SQRT(Settings!$B$13)))</f>
        <v/>
      </c>
      <c r="I1445" s="18">
        <f>IF(OR(NOT(ISNUMBER($A1445)),ROW()-2&lt;Settings!$B$12),NA(),IF(COUNT(OFFSET(F1445,1-Settings!$B$12,0,Settings!$B$12,1))&lt;Settings!$B$12,NA(),STDEV(OFFSET(F1445,1-Settings!$B$12,0,Settings!$B$12,1))*SQRT(Settings!$B$13)))</f>
        <v/>
      </c>
      <c r="J1445" s="18">
        <f>IF(OR(NOT(ISNUMBER($A1445)),ROW()-2&lt;Settings!$B$11),NA(),IF(COUNT(OFFSET(G1445,1-Settings!$B$11,0,Settings!$B$11,1))&lt;Settings!$B$11,NA(),STDEV(OFFSET(G1445,1-Settings!$B$11,0,Settings!$B$11,1))*SQRT(Settings!$B$13)))</f>
        <v/>
      </c>
      <c r="K1445" s="18">
        <f>IF(OR(NOT(ISNUMBER($A1445)),ROW()-2&lt;Settings!$B$12),NA(),IF(COUNT(OFFSET(G1445,1-Settings!$B$12,0,Settings!$B$12,1))&lt;Settings!$B$12,NA(),STDEV(OFFSET(G1445,1-Settings!$B$12,0,Settings!$B$12,1))*SQRT(Settings!$B$13)))</f>
        <v/>
      </c>
      <c r="L1445" s="18">
        <f>IF(AND(ISNUMBER(D1445),ISNUMBER(H1445)),D1445-H1445,NA())</f>
        <v/>
      </c>
      <c r="M1445" s="18">
        <f>IF(AND(ISNUMBER(E1445),ISNUMBER(K1445)),E1445-K1445,NA())</f>
        <v/>
      </c>
      <c r="N1445" s="18">
        <f>IF(NOT(ISNUMBER($A1445)),NA(),IF(COUNT(OFFSET(G1445,1,0,Settings!$B$12,1))&lt;Settings!$B$12,NA(),STDEV(OFFSET(G1445,1,0,Settings!$B$12,1))*SQRT(Settings!$B$13)))</f>
        <v/>
      </c>
      <c r="O1445" s="18">
        <f>IF(AND(ISNUMBER(E1445),ISNUMBER(N1445)),E1445-N1445,NA())</f>
        <v/>
      </c>
      <c r="P1445" s="17">
        <f>IF(NOT(ISNUMBER($A1445)),NA(),IF(OR($A1445&lt;MIN(KW_TP!$A$2:$A$2501),$A1445&gt;MAX(KW_TP!$A$2:$A$2501)),NA(),INDEX(KW_TP!$C$2:$C$2501,MATCH($A1445,KW_TP!$A$2:$A$2501,1))))</f>
        <v/>
      </c>
    </row>
    <row r="1446">
      <c r="A1446" s="15">
        <f>IF(ISNUMBER(BBG_Data!A1446),BBG_Data!A1446,"")</f>
        <v/>
      </c>
      <c r="B1446" s="16">
        <f>IF(AND(ISNUMBER($A1446),ISNUMBER(BBG_Data!B1446)),BBG_Data!B1446,NA())</f>
        <v/>
      </c>
      <c r="C1446" s="16">
        <f>IF(AND(ISNUMBER($A1446),ISNUMBER(BBG_Data!C1446)),BBG_Data!C1446,NA())</f>
        <v/>
      </c>
      <c r="D1446" s="17">
        <f>IF(AND(ISNUMBER($A1446),ISNUMBER(BBG_Data!D1446)),BBG_Data!D1446,NA())</f>
        <v/>
      </c>
      <c r="E1446" s="17">
        <f>IF(AND(ISNUMBER($A1446),ISNUMBER(BBG_Data!E1446)),BBG_Data!E1446,NA())</f>
        <v/>
      </c>
      <c r="F1446" s="18">
        <f>IF(AND(ISNUMBER(B1446),ISNUMBER(B1445)),(B1446-B1445)*100,"")</f>
        <v/>
      </c>
      <c r="G1446" s="18">
        <f>IF(AND(ISNUMBER(C1446),ISNUMBER(C1445)),(C1446-C1445)*100,"")</f>
        <v/>
      </c>
      <c r="H1446" s="18">
        <f>IF(OR(NOT(ISNUMBER($A1446)),ROW()-2&lt;Settings!$B$11),NA(),IF(COUNT(OFFSET(F1446,1-Settings!$B$11,0,Settings!$B$11,1))&lt;Settings!$B$11,NA(),STDEV(OFFSET(F1446,1-Settings!$B$11,0,Settings!$B$11,1))*SQRT(Settings!$B$13)))</f>
        <v/>
      </c>
      <c r="I1446" s="18">
        <f>IF(OR(NOT(ISNUMBER($A1446)),ROW()-2&lt;Settings!$B$12),NA(),IF(COUNT(OFFSET(F1446,1-Settings!$B$12,0,Settings!$B$12,1))&lt;Settings!$B$12,NA(),STDEV(OFFSET(F1446,1-Settings!$B$12,0,Settings!$B$12,1))*SQRT(Settings!$B$13)))</f>
        <v/>
      </c>
      <c r="J1446" s="18">
        <f>IF(OR(NOT(ISNUMBER($A1446)),ROW()-2&lt;Settings!$B$11),NA(),IF(COUNT(OFFSET(G1446,1-Settings!$B$11,0,Settings!$B$11,1))&lt;Settings!$B$11,NA(),STDEV(OFFSET(G1446,1-Settings!$B$11,0,Settings!$B$11,1))*SQRT(Settings!$B$13)))</f>
        <v/>
      </c>
      <c r="K1446" s="18">
        <f>IF(OR(NOT(ISNUMBER($A1446)),ROW()-2&lt;Settings!$B$12),NA(),IF(COUNT(OFFSET(G1446,1-Settings!$B$12,0,Settings!$B$12,1))&lt;Settings!$B$12,NA(),STDEV(OFFSET(G1446,1-Settings!$B$12,0,Settings!$B$12,1))*SQRT(Settings!$B$13)))</f>
        <v/>
      </c>
      <c r="L1446" s="18">
        <f>IF(AND(ISNUMBER(D1446),ISNUMBER(H1446)),D1446-H1446,NA())</f>
        <v/>
      </c>
      <c r="M1446" s="18">
        <f>IF(AND(ISNUMBER(E1446),ISNUMBER(K1446)),E1446-K1446,NA())</f>
        <v/>
      </c>
      <c r="N1446" s="18">
        <f>IF(NOT(ISNUMBER($A1446)),NA(),IF(COUNT(OFFSET(G1446,1,0,Settings!$B$12,1))&lt;Settings!$B$12,NA(),STDEV(OFFSET(G1446,1,0,Settings!$B$12,1))*SQRT(Settings!$B$13)))</f>
        <v/>
      </c>
      <c r="O1446" s="18">
        <f>IF(AND(ISNUMBER(E1446),ISNUMBER(N1446)),E1446-N1446,NA())</f>
        <v/>
      </c>
      <c r="P1446" s="17">
        <f>IF(NOT(ISNUMBER($A1446)),NA(),IF(OR($A1446&lt;MIN(KW_TP!$A$2:$A$2501),$A1446&gt;MAX(KW_TP!$A$2:$A$2501)),NA(),INDEX(KW_TP!$C$2:$C$2501,MATCH($A1446,KW_TP!$A$2:$A$2501,1))))</f>
        <v/>
      </c>
    </row>
    <row r="1447">
      <c r="A1447" s="15">
        <f>IF(ISNUMBER(BBG_Data!A1447),BBG_Data!A1447,"")</f>
        <v/>
      </c>
      <c r="B1447" s="16">
        <f>IF(AND(ISNUMBER($A1447),ISNUMBER(BBG_Data!B1447)),BBG_Data!B1447,NA())</f>
        <v/>
      </c>
      <c r="C1447" s="16">
        <f>IF(AND(ISNUMBER($A1447),ISNUMBER(BBG_Data!C1447)),BBG_Data!C1447,NA())</f>
        <v/>
      </c>
      <c r="D1447" s="17">
        <f>IF(AND(ISNUMBER($A1447),ISNUMBER(BBG_Data!D1447)),BBG_Data!D1447,NA())</f>
        <v/>
      </c>
      <c r="E1447" s="17">
        <f>IF(AND(ISNUMBER($A1447),ISNUMBER(BBG_Data!E1447)),BBG_Data!E1447,NA())</f>
        <v/>
      </c>
      <c r="F1447" s="18">
        <f>IF(AND(ISNUMBER(B1447),ISNUMBER(B1446)),(B1447-B1446)*100,"")</f>
        <v/>
      </c>
      <c r="G1447" s="18">
        <f>IF(AND(ISNUMBER(C1447),ISNUMBER(C1446)),(C1447-C1446)*100,"")</f>
        <v/>
      </c>
      <c r="H1447" s="18">
        <f>IF(OR(NOT(ISNUMBER($A1447)),ROW()-2&lt;Settings!$B$11),NA(),IF(COUNT(OFFSET(F1447,1-Settings!$B$11,0,Settings!$B$11,1))&lt;Settings!$B$11,NA(),STDEV(OFFSET(F1447,1-Settings!$B$11,0,Settings!$B$11,1))*SQRT(Settings!$B$13)))</f>
        <v/>
      </c>
      <c r="I1447" s="18">
        <f>IF(OR(NOT(ISNUMBER($A1447)),ROW()-2&lt;Settings!$B$12),NA(),IF(COUNT(OFFSET(F1447,1-Settings!$B$12,0,Settings!$B$12,1))&lt;Settings!$B$12,NA(),STDEV(OFFSET(F1447,1-Settings!$B$12,0,Settings!$B$12,1))*SQRT(Settings!$B$13)))</f>
        <v/>
      </c>
      <c r="J1447" s="18">
        <f>IF(OR(NOT(ISNUMBER($A1447)),ROW()-2&lt;Settings!$B$11),NA(),IF(COUNT(OFFSET(G1447,1-Settings!$B$11,0,Settings!$B$11,1))&lt;Settings!$B$11,NA(),STDEV(OFFSET(G1447,1-Settings!$B$11,0,Settings!$B$11,1))*SQRT(Settings!$B$13)))</f>
        <v/>
      </c>
      <c r="K1447" s="18">
        <f>IF(OR(NOT(ISNUMBER($A1447)),ROW()-2&lt;Settings!$B$12),NA(),IF(COUNT(OFFSET(G1447,1-Settings!$B$12,0,Settings!$B$12,1))&lt;Settings!$B$12,NA(),STDEV(OFFSET(G1447,1-Settings!$B$12,0,Settings!$B$12,1))*SQRT(Settings!$B$13)))</f>
        <v/>
      </c>
      <c r="L1447" s="18">
        <f>IF(AND(ISNUMBER(D1447),ISNUMBER(H1447)),D1447-H1447,NA())</f>
        <v/>
      </c>
      <c r="M1447" s="18">
        <f>IF(AND(ISNUMBER(E1447),ISNUMBER(K1447)),E1447-K1447,NA())</f>
        <v/>
      </c>
      <c r="N1447" s="18">
        <f>IF(NOT(ISNUMBER($A1447)),NA(),IF(COUNT(OFFSET(G1447,1,0,Settings!$B$12,1))&lt;Settings!$B$12,NA(),STDEV(OFFSET(G1447,1,0,Settings!$B$12,1))*SQRT(Settings!$B$13)))</f>
        <v/>
      </c>
      <c r="O1447" s="18">
        <f>IF(AND(ISNUMBER(E1447),ISNUMBER(N1447)),E1447-N1447,NA())</f>
        <v/>
      </c>
      <c r="P1447" s="17">
        <f>IF(NOT(ISNUMBER($A1447)),NA(),IF(OR($A1447&lt;MIN(KW_TP!$A$2:$A$2501),$A1447&gt;MAX(KW_TP!$A$2:$A$2501)),NA(),INDEX(KW_TP!$C$2:$C$2501,MATCH($A1447,KW_TP!$A$2:$A$2501,1))))</f>
        <v/>
      </c>
    </row>
    <row r="1448">
      <c r="A1448" s="15">
        <f>IF(ISNUMBER(BBG_Data!A1448),BBG_Data!A1448,"")</f>
        <v/>
      </c>
      <c r="B1448" s="16">
        <f>IF(AND(ISNUMBER($A1448),ISNUMBER(BBG_Data!B1448)),BBG_Data!B1448,NA())</f>
        <v/>
      </c>
      <c r="C1448" s="16">
        <f>IF(AND(ISNUMBER($A1448),ISNUMBER(BBG_Data!C1448)),BBG_Data!C1448,NA())</f>
        <v/>
      </c>
      <c r="D1448" s="17">
        <f>IF(AND(ISNUMBER($A1448),ISNUMBER(BBG_Data!D1448)),BBG_Data!D1448,NA())</f>
        <v/>
      </c>
      <c r="E1448" s="17">
        <f>IF(AND(ISNUMBER($A1448),ISNUMBER(BBG_Data!E1448)),BBG_Data!E1448,NA())</f>
        <v/>
      </c>
      <c r="F1448" s="18">
        <f>IF(AND(ISNUMBER(B1448),ISNUMBER(B1447)),(B1448-B1447)*100,"")</f>
        <v/>
      </c>
      <c r="G1448" s="18">
        <f>IF(AND(ISNUMBER(C1448),ISNUMBER(C1447)),(C1448-C1447)*100,"")</f>
        <v/>
      </c>
      <c r="H1448" s="18">
        <f>IF(OR(NOT(ISNUMBER($A1448)),ROW()-2&lt;Settings!$B$11),NA(),IF(COUNT(OFFSET(F1448,1-Settings!$B$11,0,Settings!$B$11,1))&lt;Settings!$B$11,NA(),STDEV(OFFSET(F1448,1-Settings!$B$11,0,Settings!$B$11,1))*SQRT(Settings!$B$13)))</f>
        <v/>
      </c>
      <c r="I1448" s="18">
        <f>IF(OR(NOT(ISNUMBER($A1448)),ROW()-2&lt;Settings!$B$12),NA(),IF(COUNT(OFFSET(F1448,1-Settings!$B$12,0,Settings!$B$12,1))&lt;Settings!$B$12,NA(),STDEV(OFFSET(F1448,1-Settings!$B$12,0,Settings!$B$12,1))*SQRT(Settings!$B$13)))</f>
        <v/>
      </c>
      <c r="J1448" s="18">
        <f>IF(OR(NOT(ISNUMBER($A1448)),ROW()-2&lt;Settings!$B$11),NA(),IF(COUNT(OFFSET(G1448,1-Settings!$B$11,0,Settings!$B$11,1))&lt;Settings!$B$11,NA(),STDEV(OFFSET(G1448,1-Settings!$B$11,0,Settings!$B$11,1))*SQRT(Settings!$B$13)))</f>
        <v/>
      </c>
      <c r="K1448" s="18">
        <f>IF(OR(NOT(ISNUMBER($A1448)),ROW()-2&lt;Settings!$B$12),NA(),IF(COUNT(OFFSET(G1448,1-Settings!$B$12,0,Settings!$B$12,1))&lt;Settings!$B$12,NA(),STDEV(OFFSET(G1448,1-Settings!$B$12,0,Settings!$B$12,1))*SQRT(Settings!$B$13)))</f>
        <v/>
      </c>
      <c r="L1448" s="18">
        <f>IF(AND(ISNUMBER(D1448),ISNUMBER(H1448)),D1448-H1448,NA())</f>
        <v/>
      </c>
      <c r="M1448" s="18">
        <f>IF(AND(ISNUMBER(E1448),ISNUMBER(K1448)),E1448-K1448,NA())</f>
        <v/>
      </c>
      <c r="N1448" s="18">
        <f>IF(NOT(ISNUMBER($A1448)),NA(),IF(COUNT(OFFSET(G1448,1,0,Settings!$B$12,1))&lt;Settings!$B$12,NA(),STDEV(OFFSET(G1448,1,0,Settings!$B$12,1))*SQRT(Settings!$B$13)))</f>
        <v/>
      </c>
      <c r="O1448" s="18">
        <f>IF(AND(ISNUMBER(E1448),ISNUMBER(N1448)),E1448-N1448,NA())</f>
        <v/>
      </c>
      <c r="P1448" s="17">
        <f>IF(NOT(ISNUMBER($A1448)),NA(),IF(OR($A1448&lt;MIN(KW_TP!$A$2:$A$2501),$A1448&gt;MAX(KW_TP!$A$2:$A$2501)),NA(),INDEX(KW_TP!$C$2:$C$2501,MATCH($A1448,KW_TP!$A$2:$A$2501,1))))</f>
        <v/>
      </c>
    </row>
    <row r="1449">
      <c r="A1449" s="15">
        <f>IF(ISNUMBER(BBG_Data!A1449),BBG_Data!A1449,"")</f>
        <v/>
      </c>
      <c r="B1449" s="16">
        <f>IF(AND(ISNUMBER($A1449),ISNUMBER(BBG_Data!B1449)),BBG_Data!B1449,NA())</f>
        <v/>
      </c>
      <c r="C1449" s="16">
        <f>IF(AND(ISNUMBER($A1449),ISNUMBER(BBG_Data!C1449)),BBG_Data!C1449,NA())</f>
        <v/>
      </c>
      <c r="D1449" s="17">
        <f>IF(AND(ISNUMBER($A1449),ISNUMBER(BBG_Data!D1449)),BBG_Data!D1449,NA())</f>
        <v/>
      </c>
      <c r="E1449" s="17">
        <f>IF(AND(ISNUMBER($A1449),ISNUMBER(BBG_Data!E1449)),BBG_Data!E1449,NA())</f>
        <v/>
      </c>
      <c r="F1449" s="18">
        <f>IF(AND(ISNUMBER(B1449),ISNUMBER(B1448)),(B1449-B1448)*100,"")</f>
        <v/>
      </c>
      <c r="G1449" s="18">
        <f>IF(AND(ISNUMBER(C1449),ISNUMBER(C1448)),(C1449-C1448)*100,"")</f>
        <v/>
      </c>
      <c r="H1449" s="18">
        <f>IF(OR(NOT(ISNUMBER($A1449)),ROW()-2&lt;Settings!$B$11),NA(),IF(COUNT(OFFSET(F1449,1-Settings!$B$11,0,Settings!$B$11,1))&lt;Settings!$B$11,NA(),STDEV(OFFSET(F1449,1-Settings!$B$11,0,Settings!$B$11,1))*SQRT(Settings!$B$13)))</f>
        <v/>
      </c>
      <c r="I1449" s="18">
        <f>IF(OR(NOT(ISNUMBER($A1449)),ROW()-2&lt;Settings!$B$12),NA(),IF(COUNT(OFFSET(F1449,1-Settings!$B$12,0,Settings!$B$12,1))&lt;Settings!$B$12,NA(),STDEV(OFFSET(F1449,1-Settings!$B$12,0,Settings!$B$12,1))*SQRT(Settings!$B$13)))</f>
        <v/>
      </c>
      <c r="J1449" s="18">
        <f>IF(OR(NOT(ISNUMBER($A1449)),ROW()-2&lt;Settings!$B$11),NA(),IF(COUNT(OFFSET(G1449,1-Settings!$B$11,0,Settings!$B$11,1))&lt;Settings!$B$11,NA(),STDEV(OFFSET(G1449,1-Settings!$B$11,0,Settings!$B$11,1))*SQRT(Settings!$B$13)))</f>
        <v/>
      </c>
      <c r="K1449" s="18">
        <f>IF(OR(NOT(ISNUMBER($A1449)),ROW()-2&lt;Settings!$B$12),NA(),IF(COUNT(OFFSET(G1449,1-Settings!$B$12,0,Settings!$B$12,1))&lt;Settings!$B$12,NA(),STDEV(OFFSET(G1449,1-Settings!$B$12,0,Settings!$B$12,1))*SQRT(Settings!$B$13)))</f>
        <v/>
      </c>
      <c r="L1449" s="18">
        <f>IF(AND(ISNUMBER(D1449),ISNUMBER(H1449)),D1449-H1449,NA())</f>
        <v/>
      </c>
      <c r="M1449" s="18">
        <f>IF(AND(ISNUMBER(E1449),ISNUMBER(K1449)),E1449-K1449,NA())</f>
        <v/>
      </c>
      <c r="N1449" s="18">
        <f>IF(NOT(ISNUMBER($A1449)),NA(),IF(COUNT(OFFSET(G1449,1,0,Settings!$B$12,1))&lt;Settings!$B$12,NA(),STDEV(OFFSET(G1449,1,0,Settings!$B$12,1))*SQRT(Settings!$B$13)))</f>
        <v/>
      </c>
      <c r="O1449" s="18">
        <f>IF(AND(ISNUMBER(E1449),ISNUMBER(N1449)),E1449-N1449,NA())</f>
        <v/>
      </c>
      <c r="P1449" s="17">
        <f>IF(NOT(ISNUMBER($A1449)),NA(),IF(OR($A1449&lt;MIN(KW_TP!$A$2:$A$2501),$A1449&gt;MAX(KW_TP!$A$2:$A$2501)),NA(),INDEX(KW_TP!$C$2:$C$2501,MATCH($A1449,KW_TP!$A$2:$A$2501,1))))</f>
        <v/>
      </c>
    </row>
    <row r="1450">
      <c r="A1450" s="15">
        <f>IF(ISNUMBER(BBG_Data!A1450),BBG_Data!A1450,"")</f>
        <v/>
      </c>
      <c r="B1450" s="16">
        <f>IF(AND(ISNUMBER($A1450),ISNUMBER(BBG_Data!B1450)),BBG_Data!B1450,NA())</f>
        <v/>
      </c>
      <c r="C1450" s="16">
        <f>IF(AND(ISNUMBER($A1450),ISNUMBER(BBG_Data!C1450)),BBG_Data!C1450,NA())</f>
        <v/>
      </c>
      <c r="D1450" s="17">
        <f>IF(AND(ISNUMBER($A1450),ISNUMBER(BBG_Data!D1450)),BBG_Data!D1450,NA())</f>
        <v/>
      </c>
      <c r="E1450" s="17">
        <f>IF(AND(ISNUMBER($A1450),ISNUMBER(BBG_Data!E1450)),BBG_Data!E1450,NA())</f>
        <v/>
      </c>
      <c r="F1450" s="18">
        <f>IF(AND(ISNUMBER(B1450),ISNUMBER(B1449)),(B1450-B1449)*100,"")</f>
        <v/>
      </c>
      <c r="G1450" s="18">
        <f>IF(AND(ISNUMBER(C1450),ISNUMBER(C1449)),(C1450-C1449)*100,"")</f>
        <v/>
      </c>
      <c r="H1450" s="18">
        <f>IF(OR(NOT(ISNUMBER($A1450)),ROW()-2&lt;Settings!$B$11),NA(),IF(COUNT(OFFSET(F1450,1-Settings!$B$11,0,Settings!$B$11,1))&lt;Settings!$B$11,NA(),STDEV(OFFSET(F1450,1-Settings!$B$11,0,Settings!$B$11,1))*SQRT(Settings!$B$13)))</f>
        <v/>
      </c>
      <c r="I1450" s="18">
        <f>IF(OR(NOT(ISNUMBER($A1450)),ROW()-2&lt;Settings!$B$12),NA(),IF(COUNT(OFFSET(F1450,1-Settings!$B$12,0,Settings!$B$12,1))&lt;Settings!$B$12,NA(),STDEV(OFFSET(F1450,1-Settings!$B$12,0,Settings!$B$12,1))*SQRT(Settings!$B$13)))</f>
        <v/>
      </c>
      <c r="J1450" s="18">
        <f>IF(OR(NOT(ISNUMBER($A1450)),ROW()-2&lt;Settings!$B$11),NA(),IF(COUNT(OFFSET(G1450,1-Settings!$B$11,0,Settings!$B$11,1))&lt;Settings!$B$11,NA(),STDEV(OFFSET(G1450,1-Settings!$B$11,0,Settings!$B$11,1))*SQRT(Settings!$B$13)))</f>
        <v/>
      </c>
      <c r="K1450" s="18">
        <f>IF(OR(NOT(ISNUMBER($A1450)),ROW()-2&lt;Settings!$B$12),NA(),IF(COUNT(OFFSET(G1450,1-Settings!$B$12,0,Settings!$B$12,1))&lt;Settings!$B$12,NA(),STDEV(OFFSET(G1450,1-Settings!$B$12,0,Settings!$B$12,1))*SQRT(Settings!$B$13)))</f>
        <v/>
      </c>
      <c r="L1450" s="18">
        <f>IF(AND(ISNUMBER(D1450),ISNUMBER(H1450)),D1450-H1450,NA())</f>
        <v/>
      </c>
      <c r="M1450" s="18">
        <f>IF(AND(ISNUMBER(E1450),ISNUMBER(K1450)),E1450-K1450,NA())</f>
        <v/>
      </c>
      <c r="N1450" s="18">
        <f>IF(NOT(ISNUMBER($A1450)),NA(),IF(COUNT(OFFSET(G1450,1,0,Settings!$B$12,1))&lt;Settings!$B$12,NA(),STDEV(OFFSET(G1450,1,0,Settings!$B$12,1))*SQRT(Settings!$B$13)))</f>
        <v/>
      </c>
      <c r="O1450" s="18">
        <f>IF(AND(ISNUMBER(E1450),ISNUMBER(N1450)),E1450-N1450,NA())</f>
        <v/>
      </c>
      <c r="P1450" s="17">
        <f>IF(NOT(ISNUMBER($A1450)),NA(),IF(OR($A1450&lt;MIN(KW_TP!$A$2:$A$2501),$A1450&gt;MAX(KW_TP!$A$2:$A$2501)),NA(),INDEX(KW_TP!$C$2:$C$2501,MATCH($A1450,KW_TP!$A$2:$A$2501,1))))</f>
        <v/>
      </c>
    </row>
    <row r="1451">
      <c r="A1451" s="15">
        <f>IF(ISNUMBER(BBG_Data!A1451),BBG_Data!A1451,"")</f>
        <v/>
      </c>
      <c r="B1451" s="16">
        <f>IF(AND(ISNUMBER($A1451),ISNUMBER(BBG_Data!B1451)),BBG_Data!B1451,NA())</f>
        <v/>
      </c>
      <c r="C1451" s="16">
        <f>IF(AND(ISNUMBER($A1451),ISNUMBER(BBG_Data!C1451)),BBG_Data!C1451,NA())</f>
        <v/>
      </c>
      <c r="D1451" s="17">
        <f>IF(AND(ISNUMBER($A1451),ISNUMBER(BBG_Data!D1451)),BBG_Data!D1451,NA())</f>
        <v/>
      </c>
      <c r="E1451" s="17">
        <f>IF(AND(ISNUMBER($A1451),ISNUMBER(BBG_Data!E1451)),BBG_Data!E1451,NA())</f>
        <v/>
      </c>
      <c r="F1451" s="18">
        <f>IF(AND(ISNUMBER(B1451),ISNUMBER(B1450)),(B1451-B1450)*100,"")</f>
        <v/>
      </c>
      <c r="G1451" s="18">
        <f>IF(AND(ISNUMBER(C1451),ISNUMBER(C1450)),(C1451-C1450)*100,"")</f>
        <v/>
      </c>
      <c r="H1451" s="18">
        <f>IF(OR(NOT(ISNUMBER($A1451)),ROW()-2&lt;Settings!$B$11),NA(),IF(COUNT(OFFSET(F1451,1-Settings!$B$11,0,Settings!$B$11,1))&lt;Settings!$B$11,NA(),STDEV(OFFSET(F1451,1-Settings!$B$11,0,Settings!$B$11,1))*SQRT(Settings!$B$13)))</f>
        <v/>
      </c>
      <c r="I1451" s="18">
        <f>IF(OR(NOT(ISNUMBER($A1451)),ROW()-2&lt;Settings!$B$12),NA(),IF(COUNT(OFFSET(F1451,1-Settings!$B$12,0,Settings!$B$12,1))&lt;Settings!$B$12,NA(),STDEV(OFFSET(F1451,1-Settings!$B$12,0,Settings!$B$12,1))*SQRT(Settings!$B$13)))</f>
        <v/>
      </c>
      <c r="J1451" s="18">
        <f>IF(OR(NOT(ISNUMBER($A1451)),ROW()-2&lt;Settings!$B$11),NA(),IF(COUNT(OFFSET(G1451,1-Settings!$B$11,0,Settings!$B$11,1))&lt;Settings!$B$11,NA(),STDEV(OFFSET(G1451,1-Settings!$B$11,0,Settings!$B$11,1))*SQRT(Settings!$B$13)))</f>
        <v/>
      </c>
      <c r="K1451" s="18">
        <f>IF(OR(NOT(ISNUMBER($A1451)),ROW()-2&lt;Settings!$B$12),NA(),IF(COUNT(OFFSET(G1451,1-Settings!$B$12,0,Settings!$B$12,1))&lt;Settings!$B$12,NA(),STDEV(OFFSET(G1451,1-Settings!$B$12,0,Settings!$B$12,1))*SQRT(Settings!$B$13)))</f>
        <v/>
      </c>
      <c r="L1451" s="18">
        <f>IF(AND(ISNUMBER(D1451),ISNUMBER(H1451)),D1451-H1451,NA())</f>
        <v/>
      </c>
      <c r="M1451" s="18">
        <f>IF(AND(ISNUMBER(E1451),ISNUMBER(K1451)),E1451-K1451,NA())</f>
        <v/>
      </c>
      <c r="N1451" s="18">
        <f>IF(NOT(ISNUMBER($A1451)),NA(),IF(COUNT(OFFSET(G1451,1,0,Settings!$B$12,1))&lt;Settings!$B$12,NA(),STDEV(OFFSET(G1451,1,0,Settings!$B$12,1))*SQRT(Settings!$B$13)))</f>
        <v/>
      </c>
      <c r="O1451" s="18">
        <f>IF(AND(ISNUMBER(E1451),ISNUMBER(N1451)),E1451-N1451,NA())</f>
        <v/>
      </c>
      <c r="P1451" s="17">
        <f>IF(NOT(ISNUMBER($A1451)),NA(),IF(OR($A1451&lt;MIN(KW_TP!$A$2:$A$2501),$A1451&gt;MAX(KW_TP!$A$2:$A$2501)),NA(),INDEX(KW_TP!$C$2:$C$2501,MATCH($A1451,KW_TP!$A$2:$A$2501,1))))</f>
        <v/>
      </c>
    </row>
    <row r="1452">
      <c r="A1452" s="15">
        <f>IF(ISNUMBER(BBG_Data!A1452),BBG_Data!A1452,"")</f>
        <v/>
      </c>
      <c r="B1452" s="16">
        <f>IF(AND(ISNUMBER($A1452),ISNUMBER(BBG_Data!B1452)),BBG_Data!B1452,NA())</f>
        <v/>
      </c>
      <c r="C1452" s="16">
        <f>IF(AND(ISNUMBER($A1452),ISNUMBER(BBG_Data!C1452)),BBG_Data!C1452,NA())</f>
        <v/>
      </c>
      <c r="D1452" s="17">
        <f>IF(AND(ISNUMBER($A1452),ISNUMBER(BBG_Data!D1452)),BBG_Data!D1452,NA())</f>
        <v/>
      </c>
      <c r="E1452" s="17">
        <f>IF(AND(ISNUMBER($A1452),ISNUMBER(BBG_Data!E1452)),BBG_Data!E1452,NA())</f>
        <v/>
      </c>
      <c r="F1452" s="18">
        <f>IF(AND(ISNUMBER(B1452),ISNUMBER(B1451)),(B1452-B1451)*100,"")</f>
        <v/>
      </c>
      <c r="G1452" s="18">
        <f>IF(AND(ISNUMBER(C1452),ISNUMBER(C1451)),(C1452-C1451)*100,"")</f>
        <v/>
      </c>
      <c r="H1452" s="18">
        <f>IF(OR(NOT(ISNUMBER($A1452)),ROW()-2&lt;Settings!$B$11),NA(),IF(COUNT(OFFSET(F1452,1-Settings!$B$11,0,Settings!$B$11,1))&lt;Settings!$B$11,NA(),STDEV(OFFSET(F1452,1-Settings!$B$11,0,Settings!$B$11,1))*SQRT(Settings!$B$13)))</f>
        <v/>
      </c>
      <c r="I1452" s="18">
        <f>IF(OR(NOT(ISNUMBER($A1452)),ROW()-2&lt;Settings!$B$12),NA(),IF(COUNT(OFFSET(F1452,1-Settings!$B$12,0,Settings!$B$12,1))&lt;Settings!$B$12,NA(),STDEV(OFFSET(F1452,1-Settings!$B$12,0,Settings!$B$12,1))*SQRT(Settings!$B$13)))</f>
        <v/>
      </c>
      <c r="J1452" s="18">
        <f>IF(OR(NOT(ISNUMBER($A1452)),ROW()-2&lt;Settings!$B$11),NA(),IF(COUNT(OFFSET(G1452,1-Settings!$B$11,0,Settings!$B$11,1))&lt;Settings!$B$11,NA(),STDEV(OFFSET(G1452,1-Settings!$B$11,0,Settings!$B$11,1))*SQRT(Settings!$B$13)))</f>
        <v/>
      </c>
      <c r="K1452" s="18">
        <f>IF(OR(NOT(ISNUMBER($A1452)),ROW()-2&lt;Settings!$B$12),NA(),IF(COUNT(OFFSET(G1452,1-Settings!$B$12,0,Settings!$B$12,1))&lt;Settings!$B$12,NA(),STDEV(OFFSET(G1452,1-Settings!$B$12,0,Settings!$B$12,1))*SQRT(Settings!$B$13)))</f>
        <v/>
      </c>
      <c r="L1452" s="18">
        <f>IF(AND(ISNUMBER(D1452),ISNUMBER(H1452)),D1452-H1452,NA())</f>
        <v/>
      </c>
      <c r="M1452" s="18">
        <f>IF(AND(ISNUMBER(E1452),ISNUMBER(K1452)),E1452-K1452,NA())</f>
        <v/>
      </c>
      <c r="N1452" s="18">
        <f>IF(NOT(ISNUMBER($A1452)),NA(),IF(COUNT(OFFSET(G1452,1,0,Settings!$B$12,1))&lt;Settings!$B$12,NA(),STDEV(OFFSET(G1452,1,0,Settings!$B$12,1))*SQRT(Settings!$B$13)))</f>
        <v/>
      </c>
      <c r="O1452" s="18">
        <f>IF(AND(ISNUMBER(E1452),ISNUMBER(N1452)),E1452-N1452,NA())</f>
        <v/>
      </c>
      <c r="P1452" s="17">
        <f>IF(NOT(ISNUMBER($A1452)),NA(),IF(OR($A1452&lt;MIN(KW_TP!$A$2:$A$2501),$A1452&gt;MAX(KW_TP!$A$2:$A$2501)),NA(),INDEX(KW_TP!$C$2:$C$2501,MATCH($A1452,KW_TP!$A$2:$A$2501,1))))</f>
        <v/>
      </c>
    </row>
    <row r="1453">
      <c r="A1453" s="15">
        <f>IF(ISNUMBER(BBG_Data!A1453),BBG_Data!A1453,"")</f>
        <v/>
      </c>
      <c r="B1453" s="16">
        <f>IF(AND(ISNUMBER($A1453),ISNUMBER(BBG_Data!B1453)),BBG_Data!B1453,NA())</f>
        <v/>
      </c>
      <c r="C1453" s="16">
        <f>IF(AND(ISNUMBER($A1453),ISNUMBER(BBG_Data!C1453)),BBG_Data!C1453,NA())</f>
        <v/>
      </c>
      <c r="D1453" s="17">
        <f>IF(AND(ISNUMBER($A1453),ISNUMBER(BBG_Data!D1453)),BBG_Data!D1453,NA())</f>
        <v/>
      </c>
      <c r="E1453" s="17">
        <f>IF(AND(ISNUMBER($A1453),ISNUMBER(BBG_Data!E1453)),BBG_Data!E1453,NA())</f>
        <v/>
      </c>
      <c r="F1453" s="18">
        <f>IF(AND(ISNUMBER(B1453),ISNUMBER(B1452)),(B1453-B1452)*100,"")</f>
        <v/>
      </c>
      <c r="G1453" s="18">
        <f>IF(AND(ISNUMBER(C1453),ISNUMBER(C1452)),(C1453-C1452)*100,"")</f>
        <v/>
      </c>
      <c r="H1453" s="18">
        <f>IF(OR(NOT(ISNUMBER($A1453)),ROW()-2&lt;Settings!$B$11),NA(),IF(COUNT(OFFSET(F1453,1-Settings!$B$11,0,Settings!$B$11,1))&lt;Settings!$B$11,NA(),STDEV(OFFSET(F1453,1-Settings!$B$11,0,Settings!$B$11,1))*SQRT(Settings!$B$13)))</f>
        <v/>
      </c>
      <c r="I1453" s="18">
        <f>IF(OR(NOT(ISNUMBER($A1453)),ROW()-2&lt;Settings!$B$12),NA(),IF(COUNT(OFFSET(F1453,1-Settings!$B$12,0,Settings!$B$12,1))&lt;Settings!$B$12,NA(),STDEV(OFFSET(F1453,1-Settings!$B$12,0,Settings!$B$12,1))*SQRT(Settings!$B$13)))</f>
        <v/>
      </c>
      <c r="J1453" s="18">
        <f>IF(OR(NOT(ISNUMBER($A1453)),ROW()-2&lt;Settings!$B$11),NA(),IF(COUNT(OFFSET(G1453,1-Settings!$B$11,0,Settings!$B$11,1))&lt;Settings!$B$11,NA(),STDEV(OFFSET(G1453,1-Settings!$B$11,0,Settings!$B$11,1))*SQRT(Settings!$B$13)))</f>
        <v/>
      </c>
      <c r="K1453" s="18">
        <f>IF(OR(NOT(ISNUMBER($A1453)),ROW()-2&lt;Settings!$B$12),NA(),IF(COUNT(OFFSET(G1453,1-Settings!$B$12,0,Settings!$B$12,1))&lt;Settings!$B$12,NA(),STDEV(OFFSET(G1453,1-Settings!$B$12,0,Settings!$B$12,1))*SQRT(Settings!$B$13)))</f>
        <v/>
      </c>
      <c r="L1453" s="18">
        <f>IF(AND(ISNUMBER(D1453),ISNUMBER(H1453)),D1453-H1453,NA())</f>
        <v/>
      </c>
      <c r="M1453" s="18">
        <f>IF(AND(ISNUMBER(E1453),ISNUMBER(K1453)),E1453-K1453,NA())</f>
        <v/>
      </c>
      <c r="N1453" s="18">
        <f>IF(NOT(ISNUMBER($A1453)),NA(),IF(COUNT(OFFSET(G1453,1,0,Settings!$B$12,1))&lt;Settings!$B$12,NA(),STDEV(OFFSET(G1453,1,0,Settings!$B$12,1))*SQRT(Settings!$B$13)))</f>
        <v/>
      </c>
      <c r="O1453" s="18">
        <f>IF(AND(ISNUMBER(E1453),ISNUMBER(N1453)),E1453-N1453,NA())</f>
        <v/>
      </c>
      <c r="P1453" s="17">
        <f>IF(NOT(ISNUMBER($A1453)),NA(),IF(OR($A1453&lt;MIN(KW_TP!$A$2:$A$2501),$A1453&gt;MAX(KW_TP!$A$2:$A$2501)),NA(),INDEX(KW_TP!$C$2:$C$2501,MATCH($A1453,KW_TP!$A$2:$A$2501,1))))</f>
        <v/>
      </c>
    </row>
    <row r="1454">
      <c r="A1454" s="15">
        <f>IF(ISNUMBER(BBG_Data!A1454),BBG_Data!A1454,"")</f>
        <v/>
      </c>
      <c r="B1454" s="16">
        <f>IF(AND(ISNUMBER($A1454),ISNUMBER(BBG_Data!B1454)),BBG_Data!B1454,NA())</f>
        <v/>
      </c>
      <c r="C1454" s="16">
        <f>IF(AND(ISNUMBER($A1454),ISNUMBER(BBG_Data!C1454)),BBG_Data!C1454,NA())</f>
        <v/>
      </c>
      <c r="D1454" s="17">
        <f>IF(AND(ISNUMBER($A1454),ISNUMBER(BBG_Data!D1454)),BBG_Data!D1454,NA())</f>
        <v/>
      </c>
      <c r="E1454" s="17">
        <f>IF(AND(ISNUMBER($A1454),ISNUMBER(BBG_Data!E1454)),BBG_Data!E1454,NA())</f>
        <v/>
      </c>
      <c r="F1454" s="18">
        <f>IF(AND(ISNUMBER(B1454),ISNUMBER(B1453)),(B1454-B1453)*100,"")</f>
        <v/>
      </c>
      <c r="G1454" s="18">
        <f>IF(AND(ISNUMBER(C1454),ISNUMBER(C1453)),(C1454-C1453)*100,"")</f>
        <v/>
      </c>
      <c r="H1454" s="18">
        <f>IF(OR(NOT(ISNUMBER($A1454)),ROW()-2&lt;Settings!$B$11),NA(),IF(COUNT(OFFSET(F1454,1-Settings!$B$11,0,Settings!$B$11,1))&lt;Settings!$B$11,NA(),STDEV(OFFSET(F1454,1-Settings!$B$11,0,Settings!$B$11,1))*SQRT(Settings!$B$13)))</f>
        <v/>
      </c>
      <c r="I1454" s="18">
        <f>IF(OR(NOT(ISNUMBER($A1454)),ROW()-2&lt;Settings!$B$12),NA(),IF(COUNT(OFFSET(F1454,1-Settings!$B$12,0,Settings!$B$12,1))&lt;Settings!$B$12,NA(),STDEV(OFFSET(F1454,1-Settings!$B$12,0,Settings!$B$12,1))*SQRT(Settings!$B$13)))</f>
        <v/>
      </c>
      <c r="J1454" s="18">
        <f>IF(OR(NOT(ISNUMBER($A1454)),ROW()-2&lt;Settings!$B$11),NA(),IF(COUNT(OFFSET(G1454,1-Settings!$B$11,0,Settings!$B$11,1))&lt;Settings!$B$11,NA(),STDEV(OFFSET(G1454,1-Settings!$B$11,0,Settings!$B$11,1))*SQRT(Settings!$B$13)))</f>
        <v/>
      </c>
      <c r="K1454" s="18">
        <f>IF(OR(NOT(ISNUMBER($A1454)),ROW()-2&lt;Settings!$B$12),NA(),IF(COUNT(OFFSET(G1454,1-Settings!$B$12,0,Settings!$B$12,1))&lt;Settings!$B$12,NA(),STDEV(OFFSET(G1454,1-Settings!$B$12,0,Settings!$B$12,1))*SQRT(Settings!$B$13)))</f>
        <v/>
      </c>
      <c r="L1454" s="18">
        <f>IF(AND(ISNUMBER(D1454),ISNUMBER(H1454)),D1454-H1454,NA())</f>
        <v/>
      </c>
      <c r="M1454" s="18">
        <f>IF(AND(ISNUMBER(E1454),ISNUMBER(K1454)),E1454-K1454,NA())</f>
        <v/>
      </c>
      <c r="N1454" s="18">
        <f>IF(NOT(ISNUMBER($A1454)),NA(),IF(COUNT(OFFSET(G1454,1,0,Settings!$B$12,1))&lt;Settings!$B$12,NA(),STDEV(OFFSET(G1454,1,0,Settings!$B$12,1))*SQRT(Settings!$B$13)))</f>
        <v/>
      </c>
      <c r="O1454" s="18">
        <f>IF(AND(ISNUMBER(E1454),ISNUMBER(N1454)),E1454-N1454,NA())</f>
        <v/>
      </c>
      <c r="P1454" s="17">
        <f>IF(NOT(ISNUMBER($A1454)),NA(),IF(OR($A1454&lt;MIN(KW_TP!$A$2:$A$2501),$A1454&gt;MAX(KW_TP!$A$2:$A$2501)),NA(),INDEX(KW_TP!$C$2:$C$2501,MATCH($A1454,KW_TP!$A$2:$A$2501,1))))</f>
        <v/>
      </c>
    </row>
    <row r="1455">
      <c r="A1455" s="15">
        <f>IF(ISNUMBER(BBG_Data!A1455),BBG_Data!A1455,"")</f>
        <v/>
      </c>
      <c r="B1455" s="16">
        <f>IF(AND(ISNUMBER($A1455),ISNUMBER(BBG_Data!B1455)),BBG_Data!B1455,NA())</f>
        <v/>
      </c>
      <c r="C1455" s="16">
        <f>IF(AND(ISNUMBER($A1455),ISNUMBER(BBG_Data!C1455)),BBG_Data!C1455,NA())</f>
        <v/>
      </c>
      <c r="D1455" s="17">
        <f>IF(AND(ISNUMBER($A1455),ISNUMBER(BBG_Data!D1455)),BBG_Data!D1455,NA())</f>
        <v/>
      </c>
      <c r="E1455" s="17">
        <f>IF(AND(ISNUMBER($A1455),ISNUMBER(BBG_Data!E1455)),BBG_Data!E1455,NA())</f>
        <v/>
      </c>
      <c r="F1455" s="18">
        <f>IF(AND(ISNUMBER(B1455),ISNUMBER(B1454)),(B1455-B1454)*100,"")</f>
        <v/>
      </c>
      <c r="G1455" s="18">
        <f>IF(AND(ISNUMBER(C1455),ISNUMBER(C1454)),(C1455-C1454)*100,"")</f>
        <v/>
      </c>
      <c r="H1455" s="18">
        <f>IF(OR(NOT(ISNUMBER($A1455)),ROW()-2&lt;Settings!$B$11),NA(),IF(COUNT(OFFSET(F1455,1-Settings!$B$11,0,Settings!$B$11,1))&lt;Settings!$B$11,NA(),STDEV(OFFSET(F1455,1-Settings!$B$11,0,Settings!$B$11,1))*SQRT(Settings!$B$13)))</f>
        <v/>
      </c>
      <c r="I1455" s="18">
        <f>IF(OR(NOT(ISNUMBER($A1455)),ROW()-2&lt;Settings!$B$12),NA(),IF(COUNT(OFFSET(F1455,1-Settings!$B$12,0,Settings!$B$12,1))&lt;Settings!$B$12,NA(),STDEV(OFFSET(F1455,1-Settings!$B$12,0,Settings!$B$12,1))*SQRT(Settings!$B$13)))</f>
        <v/>
      </c>
      <c r="J1455" s="18">
        <f>IF(OR(NOT(ISNUMBER($A1455)),ROW()-2&lt;Settings!$B$11),NA(),IF(COUNT(OFFSET(G1455,1-Settings!$B$11,0,Settings!$B$11,1))&lt;Settings!$B$11,NA(),STDEV(OFFSET(G1455,1-Settings!$B$11,0,Settings!$B$11,1))*SQRT(Settings!$B$13)))</f>
        <v/>
      </c>
      <c r="K1455" s="18">
        <f>IF(OR(NOT(ISNUMBER($A1455)),ROW()-2&lt;Settings!$B$12),NA(),IF(COUNT(OFFSET(G1455,1-Settings!$B$12,0,Settings!$B$12,1))&lt;Settings!$B$12,NA(),STDEV(OFFSET(G1455,1-Settings!$B$12,0,Settings!$B$12,1))*SQRT(Settings!$B$13)))</f>
        <v/>
      </c>
      <c r="L1455" s="18">
        <f>IF(AND(ISNUMBER(D1455),ISNUMBER(H1455)),D1455-H1455,NA())</f>
        <v/>
      </c>
      <c r="M1455" s="18">
        <f>IF(AND(ISNUMBER(E1455),ISNUMBER(K1455)),E1455-K1455,NA())</f>
        <v/>
      </c>
      <c r="N1455" s="18">
        <f>IF(NOT(ISNUMBER($A1455)),NA(),IF(COUNT(OFFSET(G1455,1,0,Settings!$B$12,1))&lt;Settings!$B$12,NA(),STDEV(OFFSET(G1455,1,0,Settings!$B$12,1))*SQRT(Settings!$B$13)))</f>
        <v/>
      </c>
      <c r="O1455" s="18">
        <f>IF(AND(ISNUMBER(E1455),ISNUMBER(N1455)),E1455-N1455,NA())</f>
        <v/>
      </c>
      <c r="P1455" s="17">
        <f>IF(NOT(ISNUMBER($A1455)),NA(),IF(OR($A1455&lt;MIN(KW_TP!$A$2:$A$2501),$A1455&gt;MAX(KW_TP!$A$2:$A$2501)),NA(),INDEX(KW_TP!$C$2:$C$2501,MATCH($A1455,KW_TP!$A$2:$A$2501,1))))</f>
        <v/>
      </c>
    </row>
    <row r="1456">
      <c r="A1456" s="15">
        <f>IF(ISNUMBER(BBG_Data!A1456),BBG_Data!A1456,"")</f>
        <v/>
      </c>
      <c r="B1456" s="16">
        <f>IF(AND(ISNUMBER($A1456),ISNUMBER(BBG_Data!B1456)),BBG_Data!B1456,NA())</f>
        <v/>
      </c>
      <c r="C1456" s="16">
        <f>IF(AND(ISNUMBER($A1456),ISNUMBER(BBG_Data!C1456)),BBG_Data!C1456,NA())</f>
        <v/>
      </c>
      <c r="D1456" s="17">
        <f>IF(AND(ISNUMBER($A1456),ISNUMBER(BBG_Data!D1456)),BBG_Data!D1456,NA())</f>
        <v/>
      </c>
      <c r="E1456" s="17">
        <f>IF(AND(ISNUMBER($A1456),ISNUMBER(BBG_Data!E1456)),BBG_Data!E1456,NA())</f>
        <v/>
      </c>
      <c r="F1456" s="18">
        <f>IF(AND(ISNUMBER(B1456),ISNUMBER(B1455)),(B1456-B1455)*100,"")</f>
        <v/>
      </c>
      <c r="G1456" s="18">
        <f>IF(AND(ISNUMBER(C1456),ISNUMBER(C1455)),(C1456-C1455)*100,"")</f>
        <v/>
      </c>
      <c r="H1456" s="18">
        <f>IF(OR(NOT(ISNUMBER($A1456)),ROW()-2&lt;Settings!$B$11),NA(),IF(COUNT(OFFSET(F1456,1-Settings!$B$11,0,Settings!$B$11,1))&lt;Settings!$B$11,NA(),STDEV(OFFSET(F1456,1-Settings!$B$11,0,Settings!$B$11,1))*SQRT(Settings!$B$13)))</f>
        <v/>
      </c>
      <c r="I1456" s="18">
        <f>IF(OR(NOT(ISNUMBER($A1456)),ROW()-2&lt;Settings!$B$12),NA(),IF(COUNT(OFFSET(F1456,1-Settings!$B$12,0,Settings!$B$12,1))&lt;Settings!$B$12,NA(),STDEV(OFFSET(F1456,1-Settings!$B$12,0,Settings!$B$12,1))*SQRT(Settings!$B$13)))</f>
        <v/>
      </c>
      <c r="J1456" s="18">
        <f>IF(OR(NOT(ISNUMBER($A1456)),ROW()-2&lt;Settings!$B$11),NA(),IF(COUNT(OFFSET(G1456,1-Settings!$B$11,0,Settings!$B$11,1))&lt;Settings!$B$11,NA(),STDEV(OFFSET(G1456,1-Settings!$B$11,0,Settings!$B$11,1))*SQRT(Settings!$B$13)))</f>
        <v/>
      </c>
      <c r="K1456" s="18">
        <f>IF(OR(NOT(ISNUMBER($A1456)),ROW()-2&lt;Settings!$B$12),NA(),IF(COUNT(OFFSET(G1456,1-Settings!$B$12,0,Settings!$B$12,1))&lt;Settings!$B$12,NA(),STDEV(OFFSET(G1456,1-Settings!$B$12,0,Settings!$B$12,1))*SQRT(Settings!$B$13)))</f>
        <v/>
      </c>
      <c r="L1456" s="18">
        <f>IF(AND(ISNUMBER(D1456),ISNUMBER(H1456)),D1456-H1456,NA())</f>
        <v/>
      </c>
      <c r="M1456" s="18">
        <f>IF(AND(ISNUMBER(E1456),ISNUMBER(K1456)),E1456-K1456,NA())</f>
        <v/>
      </c>
      <c r="N1456" s="18">
        <f>IF(NOT(ISNUMBER($A1456)),NA(),IF(COUNT(OFFSET(G1456,1,0,Settings!$B$12,1))&lt;Settings!$B$12,NA(),STDEV(OFFSET(G1456,1,0,Settings!$B$12,1))*SQRT(Settings!$B$13)))</f>
        <v/>
      </c>
      <c r="O1456" s="18">
        <f>IF(AND(ISNUMBER(E1456),ISNUMBER(N1456)),E1456-N1456,NA())</f>
        <v/>
      </c>
      <c r="P1456" s="17">
        <f>IF(NOT(ISNUMBER($A1456)),NA(),IF(OR($A1456&lt;MIN(KW_TP!$A$2:$A$2501),$A1456&gt;MAX(KW_TP!$A$2:$A$2501)),NA(),INDEX(KW_TP!$C$2:$C$2501,MATCH($A1456,KW_TP!$A$2:$A$2501,1))))</f>
        <v/>
      </c>
    </row>
    <row r="1457">
      <c r="A1457" s="15">
        <f>IF(ISNUMBER(BBG_Data!A1457),BBG_Data!A1457,"")</f>
        <v/>
      </c>
      <c r="B1457" s="16">
        <f>IF(AND(ISNUMBER($A1457),ISNUMBER(BBG_Data!B1457)),BBG_Data!B1457,NA())</f>
        <v/>
      </c>
      <c r="C1457" s="16">
        <f>IF(AND(ISNUMBER($A1457),ISNUMBER(BBG_Data!C1457)),BBG_Data!C1457,NA())</f>
        <v/>
      </c>
      <c r="D1457" s="17">
        <f>IF(AND(ISNUMBER($A1457),ISNUMBER(BBG_Data!D1457)),BBG_Data!D1457,NA())</f>
        <v/>
      </c>
      <c r="E1457" s="17">
        <f>IF(AND(ISNUMBER($A1457),ISNUMBER(BBG_Data!E1457)),BBG_Data!E1457,NA())</f>
        <v/>
      </c>
      <c r="F1457" s="18">
        <f>IF(AND(ISNUMBER(B1457),ISNUMBER(B1456)),(B1457-B1456)*100,"")</f>
        <v/>
      </c>
      <c r="G1457" s="18">
        <f>IF(AND(ISNUMBER(C1457),ISNUMBER(C1456)),(C1457-C1456)*100,"")</f>
        <v/>
      </c>
      <c r="H1457" s="18">
        <f>IF(OR(NOT(ISNUMBER($A1457)),ROW()-2&lt;Settings!$B$11),NA(),IF(COUNT(OFFSET(F1457,1-Settings!$B$11,0,Settings!$B$11,1))&lt;Settings!$B$11,NA(),STDEV(OFFSET(F1457,1-Settings!$B$11,0,Settings!$B$11,1))*SQRT(Settings!$B$13)))</f>
        <v/>
      </c>
      <c r="I1457" s="18">
        <f>IF(OR(NOT(ISNUMBER($A1457)),ROW()-2&lt;Settings!$B$12),NA(),IF(COUNT(OFFSET(F1457,1-Settings!$B$12,0,Settings!$B$12,1))&lt;Settings!$B$12,NA(),STDEV(OFFSET(F1457,1-Settings!$B$12,0,Settings!$B$12,1))*SQRT(Settings!$B$13)))</f>
        <v/>
      </c>
      <c r="J1457" s="18">
        <f>IF(OR(NOT(ISNUMBER($A1457)),ROW()-2&lt;Settings!$B$11),NA(),IF(COUNT(OFFSET(G1457,1-Settings!$B$11,0,Settings!$B$11,1))&lt;Settings!$B$11,NA(),STDEV(OFFSET(G1457,1-Settings!$B$11,0,Settings!$B$11,1))*SQRT(Settings!$B$13)))</f>
        <v/>
      </c>
      <c r="K1457" s="18">
        <f>IF(OR(NOT(ISNUMBER($A1457)),ROW()-2&lt;Settings!$B$12),NA(),IF(COUNT(OFFSET(G1457,1-Settings!$B$12,0,Settings!$B$12,1))&lt;Settings!$B$12,NA(),STDEV(OFFSET(G1457,1-Settings!$B$12,0,Settings!$B$12,1))*SQRT(Settings!$B$13)))</f>
        <v/>
      </c>
      <c r="L1457" s="18">
        <f>IF(AND(ISNUMBER(D1457),ISNUMBER(H1457)),D1457-H1457,NA())</f>
        <v/>
      </c>
      <c r="M1457" s="18">
        <f>IF(AND(ISNUMBER(E1457),ISNUMBER(K1457)),E1457-K1457,NA())</f>
        <v/>
      </c>
      <c r="N1457" s="18">
        <f>IF(NOT(ISNUMBER($A1457)),NA(),IF(COUNT(OFFSET(G1457,1,0,Settings!$B$12,1))&lt;Settings!$B$12,NA(),STDEV(OFFSET(G1457,1,0,Settings!$B$12,1))*SQRT(Settings!$B$13)))</f>
        <v/>
      </c>
      <c r="O1457" s="18">
        <f>IF(AND(ISNUMBER(E1457),ISNUMBER(N1457)),E1457-N1457,NA())</f>
        <v/>
      </c>
      <c r="P1457" s="17">
        <f>IF(NOT(ISNUMBER($A1457)),NA(),IF(OR($A1457&lt;MIN(KW_TP!$A$2:$A$2501),$A1457&gt;MAX(KW_TP!$A$2:$A$2501)),NA(),INDEX(KW_TP!$C$2:$C$2501,MATCH($A1457,KW_TP!$A$2:$A$2501,1))))</f>
        <v/>
      </c>
    </row>
    <row r="1458">
      <c r="A1458" s="15">
        <f>IF(ISNUMBER(BBG_Data!A1458),BBG_Data!A1458,"")</f>
        <v/>
      </c>
      <c r="B1458" s="16">
        <f>IF(AND(ISNUMBER($A1458),ISNUMBER(BBG_Data!B1458)),BBG_Data!B1458,NA())</f>
        <v/>
      </c>
      <c r="C1458" s="16">
        <f>IF(AND(ISNUMBER($A1458),ISNUMBER(BBG_Data!C1458)),BBG_Data!C1458,NA())</f>
        <v/>
      </c>
      <c r="D1458" s="17">
        <f>IF(AND(ISNUMBER($A1458),ISNUMBER(BBG_Data!D1458)),BBG_Data!D1458,NA())</f>
        <v/>
      </c>
      <c r="E1458" s="17">
        <f>IF(AND(ISNUMBER($A1458),ISNUMBER(BBG_Data!E1458)),BBG_Data!E1458,NA())</f>
        <v/>
      </c>
      <c r="F1458" s="18">
        <f>IF(AND(ISNUMBER(B1458),ISNUMBER(B1457)),(B1458-B1457)*100,"")</f>
        <v/>
      </c>
      <c r="G1458" s="18">
        <f>IF(AND(ISNUMBER(C1458),ISNUMBER(C1457)),(C1458-C1457)*100,"")</f>
        <v/>
      </c>
      <c r="H1458" s="18">
        <f>IF(OR(NOT(ISNUMBER($A1458)),ROW()-2&lt;Settings!$B$11),NA(),IF(COUNT(OFFSET(F1458,1-Settings!$B$11,0,Settings!$B$11,1))&lt;Settings!$B$11,NA(),STDEV(OFFSET(F1458,1-Settings!$B$11,0,Settings!$B$11,1))*SQRT(Settings!$B$13)))</f>
        <v/>
      </c>
      <c r="I1458" s="18">
        <f>IF(OR(NOT(ISNUMBER($A1458)),ROW()-2&lt;Settings!$B$12),NA(),IF(COUNT(OFFSET(F1458,1-Settings!$B$12,0,Settings!$B$12,1))&lt;Settings!$B$12,NA(),STDEV(OFFSET(F1458,1-Settings!$B$12,0,Settings!$B$12,1))*SQRT(Settings!$B$13)))</f>
        <v/>
      </c>
      <c r="J1458" s="18">
        <f>IF(OR(NOT(ISNUMBER($A1458)),ROW()-2&lt;Settings!$B$11),NA(),IF(COUNT(OFFSET(G1458,1-Settings!$B$11,0,Settings!$B$11,1))&lt;Settings!$B$11,NA(),STDEV(OFFSET(G1458,1-Settings!$B$11,0,Settings!$B$11,1))*SQRT(Settings!$B$13)))</f>
        <v/>
      </c>
      <c r="K1458" s="18">
        <f>IF(OR(NOT(ISNUMBER($A1458)),ROW()-2&lt;Settings!$B$12),NA(),IF(COUNT(OFFSET(G1458,1-Settings!$B$12,0,Settings!$B$12,1))&lt;Settings!$B$12,NA(),STDEV(OFFSET(G1458,1-Settings!$B$12,0,Settings!$B$12,1))*SQRT(Settings!$B$13)))</f>
        <v/>
      </c>
      <c r="L1458" s="18">
        <f>IF(AND(ISNUMBER(D1458),ISNUMBER(H1458)),D1458-H1458,NA())</f>
        <v/>
      </c>
      <c r="M1458" s="18">
        <f>IF(AND(ISNUMBER(E1458),ISNUMBER(K1458)),E1458-K1458,NA())</f>
        <v/>
      </c>
      <c r="N1458" s="18">
        <f>IF(NOT(ISNUMBER($A1458)),NA(),IF(COUNT(OFFSET(G1458,1,0,Settings!$B$12,1))&lt;Settings!$B$12,NA(),STDEV(OFFSET(G1458,1,0,Settings!$B$12,1))*SQRT(Settings!$B$13)))</f>
        <v/>
      </c>
      <c r="O1458" s="18">
        <f>IF(AND(ISNUMBER(E1458),ISNUMBER(N1458)),E1458-N1458,NA())</f>
        <v/>
      </c>
      <c r="P1458" s="17">
        <f>IF(NOT(ISNUMBER($A1458)),NA(),IF(OR($A1458&lt;MIN(KW_TP!$A$2:$A$2501),$A1458&gt;MAX(KW_TP!$A$2:$A$2501)),NA(),INDEX(KW_TP!$C$2:$C$2501,MATCH($A1458,KW_TP!$A$2:$A$2501,1))))</f>
        <v/>
      </c>
    </row>
    <row r="1459">
      <c r="A1459" s="15">
        <f>IF(ISNUMBER(BBG_Data!A1459),BBG_Data!A1459,"")</f>
        <v/>
      </c>
      <c r="B1459" s="16">
        <f>IF(AND(ISNUMBER($A1459),ISNUMBER(BBG_Data!B1459)),BBG_Data!B1459,NA())</f>
        <v/>
      </c>
      <c r="C1459" s="16">
        <f>IF(AND(ISNUMBER($A1459),ISNUMBER(BBG_Data!C1459)),BBG_Data!C1459,NA())</f>
        <v/>
      </c>
      <c r="D1459" s="17">
        <f>IF(AND(ISNUMBER($A1459),ISNUMBER(BBG_Data!D1459)),BBG_Data!D1459,NA())</f>
        <v/>
      </c>
      <c r="E1459" s="17">
        <f>IF(AND(ISNUMBER($A1459),ISNUMBER(BBG_Data!E1459)),BBG_Data!E1459,NA())</f>
        <v/>
      </c>
      <c r="F1459" s="18">
        <f>IF(AND(ISNUMBER(B1459),ISNUMBER(B1458)),(B1459-B1458)*100,"")</f>
        <v/>
      </c>
      <c r="G1459" s="18">
        <f>IF(AND(ISNUMBER(C1459),ISNUMBER(C1458)),(C1459-C1458)*100,"")</f>
        <v/>
      </c>
      <c r="H1459" s="18">
        <f>IF(OR(NOT(ISNUMBER($A1459)),ROW()-2&lt;Settings!$B$11),NA(),IF(COUNT(OFFSET(F1459,1-Settings!$B$11,0,Settings!$B$11,1))&lt;Settings!$B$11,NA(),STDEV(OFFSET(F1459,1-Settings!$B$11,0,Settings!$B$11,1))*SQRT(Settings!$B$13)))</f>
        <v/>
      </c>
      <c r="I1459" s="18">
        <f>IF(OR(NOT(ISNUMBER($A1459)),ROW()-2&lt;Settings!$B$12),NA(),IF(COUNT(OFFSET(F1459,1-Settings!$B$12,0,Settings!$B$12,1))&lt;Settings!$B$12,NA(),STDEV(OFFSET(F1459,1-Settings!$B$12,0,Settings!$B$12,1))*SQRT(Settings!$B$13)))</f>
        <v/>
      </c>
      <c r="J1459" s="18">
        <f>IF(OR(NOT(ISNUMBER($A1459)),ROW()-2&lt;Settings!$B$11),NA(),IF(COUNT(OFFSET(G1459,1-Settings!$B$11,0,Settings!$B$11,1))&lt;Settings!$B$11,NA(),STDEV(OFFSET(G1459,1-Settings!$B$11,0,Settings!$B$11,1))*SQRT(Settings!$B$13)))</f>
        <v/>
      </c>
      <c r="K1459" s="18">
        <f>IF(OR(NOT(ISNUMBER($A1459)),ROW()-2&lt;Settings!$B$12),NA(),IF(COUNT(OFFSET(G1459,1-Settings!$B$12,0,Settings!$B$12,1))&lt;Settings!$B$12,NA(),STDEV(OFFSET(G1459,1-Settings!$B$12,0,Settings!$B$12,1))*SQRT(Settings!$B$13)))</f>
        <v/>
      </c>
      <c r="L1459" s="18">
        <f>IF(AND(ISNUMBER(D1459),ISNUMBER(H1459)),D1459-H1459,NA())</f>
        <v/>
      </c>
      <c r="M1459" s="18">
        <f>IF(AND(ISNUMBER(E1459),ISNUMBER(K1459)),E1459-K1459,NA())</f>
        <v/>
      </c>
      <c r="N1459" s="18">
        <f>IF(NOT(ISNUMBER($A1459)),NA(),IF(COUNT(OFFSET(G1459,1,0,Settings!$B$12,1))&lt;Settings!$B$12,NA(),STDEV(OFFSET(G1459,1,0,Settings!$B$12,1))*SQRT(Settings!$B$13)))</f>
        <v/>
      </c>
      <c r="O1459" s="18">
        <f>IF(AND(ISNUMBER(E1459),ISNUMBER(N1459)),E1459-N1459,NA())</f>
        <v/>
      </c>
      <c r="P1459" s="17">
        <f>IF(NOT(ISNUMBER($A1459)),NA(),IF(OR($A1459&lt;MIN(KW_TP!$A$2:$A$2501),$A1459&gt;MAX(KW_TP!$A$2:$A$2501)),NA(),INDEX(KW_TP!$C$2:$C$2501,MATCH($A1459,KW_TP!$A$2:$A$2501,1))))</f>
        <v/>
      </c>
    </row>
    <row r="1460">
      <c r="A1460" s="15">
        <f>IF(ISNUMBER(BBG_Data!A1460),BBG_Data!A1460,"")</f>
        <v/>
      </c>
      <c r="B1460" s="16">
        <f>IF(AND(ISNUMBER($A1460),ISNUMBER(BBG_Data!B1460)),BBG_Data!B1460,NA())</f>
        <v/>
      </c>
      <c r="C1460" s="16">
        <f>IF(AND(ISNUMBER($A1460),ISNUMBER(BBG_Data!C1460)),BBG_Data!C1460,NA())</f>
        <v/>
      </c>
      <c r="D1460" s="17">
        <f>IF(AND(ISNUMBER($A1460),ISNUMBER(BBG_Data!D1460)),BBG_Data!D1460,NA())</f>
        <v/>
      </c>
      <c r="E1460" s="17">
        <f>IF(AND(ISNUMBER($A1460),ISNUMBER(BBG_Data!E1460)),BBG_Data!E1460,NA())</f>
        <v/>
      </c>
      <c r="F1460" s="18">
        <f>IF(AND(ISNUMBER(B1460),ISNUMBER(B1459)),(B1460-B1459)*100,"")</f>
        <v/>
      </c>
      <c r="G1460" s="18">
        <f>IF(AND(ISNUMBER(C1460),ISNUMBER(C1459)),(C1460-C1459)*100,"")</f>
        <v/>
      </c>
      <c r="H1460" s="18">
        <f>IF(OR(NOT(ISNUMBER($A1460)),ROW()-2&lt;Settings!$B$11),NA(),IF(COUNT(OFFSET(F1460,1-Settings!$B$11,0,Settings!$B$11,1))&lt;Settings!$B$11,NA(),STDEV(OFFSET(F1460,1-Settings!$B$11,0,Settings!$B$11,1))*SQRT(Settings!$B$13)))</f>
        <v/>
      </c>
      <c r="I1460" s="18">
        <f>IF(OR(NOT(ISNUMBER($A1460)),ROW()-2&lt;Settings!$B$12),NA(),IF(COUNT(OFFSET(F1460,1-Settings!$B$12,0,Settings!$B$12,1))&lt;Settings!$B$12,NA(),STDEV(OFFSET(F1460,1-Settings!$B$12,0,Settings!$B$12,1))*SQRT(Settings!$B$13)))</f>
        <v/>
      </c>
      <c r="J1460" s="18">
        <f>IF(OR(NOT(ISNUMBER($A1460)),ROW()-2&lt;Settings!$B$11),NA(),IF(COUNT(OFFSET(G1460,1-Settings!$B$11,0,Settings!$B$11,1))&lt;Settings!$B$11,NA(),STDEV(OFFSET(G1460,1-Settings!$B$11,0,Settings!$B$11,1))*SQRT(Settings!$B$13)))</f>
        <v/>
      </c>
      <c r="K1460" s="18">
        <f>IF(OR(NOT(ISNUMBER($A1460)),ROW()-2&lt;Settings!$B$12),NA(),IF(COUNT(OFFSET(G1460,1-Settings!$B$12,0,Settings!$B$12,1))&lt;Settings!$B$12,NA(),STDEV(OFFSET(G1460,1-Settings!$B$12,0,Settings!$B$12,1))*SQRT(Settings!$B$13)))</f>
        <v/>
      </c>
      <c r="L1460" s="18">
        <f>IF(AND(ISNUMBER(D1460),ISNUMBER(H1460)),D1460-H1460,NA())</f>
        <v/>
      </c>
      <c r="M1460" s="18">
        <f>IF(AND(ISNUMBER(E1460),ISNUMBER(K1460)),E1460-K1460,NA())</f>
        <v/>
      </c>
      <c r="N1460" s="18">
        <f>IF(NOT(ISNUMBER($A1460)),NA(),IF(COUNT(OFFSET(G1460,1,0,Settings!$B$12,1))&lt;Settings!$B$12,NA(),STDEV(OFFSET(G1460,1,0,Settings!$B$12,1))*SQRT(Settings!$B$13)))</f>
        <v/>
      </c>
      <c r="O1460" s="18">
        <f>IF(AND(ISNUMBER(E1460),ISNUMBER(N1460)),E1460-N1460,NA())</f>
        <v/>
      </c>
      <c r="P1460" s="17">
        <f>IF(NOT(ISNUMBER($A1460)),NA(),IF(OR($A1460&lt;MIN(KW_TP!$A$2:$A$2501),$A1460&gt;MAX(KW_TP!$A$2:$A$2501)),NA(),INDEX(KW_TP!$C$2:$C$2501,MATCH($A1460,KW_TP!$A$2:$A$2501,1))))</f>
        <v/>
      </c>
    </row>
    <row r="1461">
      <c r="A1461" s="15">
        <f>IF(ISNUMBER(BBG_Data!A1461),BBG_Data!A1461,"")</f>
        <v/>
      </c>
      <c r="B1461" s="16">
        <f>IF(AND(ISNUMBER($A1461),ISNUMBER(BBG_Data!B1461)),BBG_Data!B1461,NA())</f>
        <v/>
      </c>
      <c r="C1461" s="16">
        <f>IF(AND(ISNUMBER($A1461),ISNUMBER(BBG_Data!C1461)),BBG_Data!C1461,NA())</f>
        <v/>
      </c>
      <c r="D1461" s="17">
        <f>IF(AND(ISNUMBER($A1461),ISNUMBER(BBG_Data!D1461)),BBG_Data!D1461,NA())</f>
        <v/>
      </c>
      <c r="E1461" s="17">
        <f>IF(AND(ISNUMBER($A1461),ISNUMBER(BBG_Data!E1461)),BBG_Data!E1461,NA())</f>
        <v/>
      </c>
      <c r="F1461" s="18">
        <f>IF(AND(ISNUMBER(B1461),ISNUMBER(B1460)),(B1461-B1460)*100,"")</f>
        <v/>
      </c>
      <c r="G1461" s="18">
        <f>IF(AND(ISNUMBER(C1461),ISNUMBER(C1460)),(C1461-C1460)*100,"")</f>
        <v/>
      </c>
      <c r="H1461" s="18">
        <f>IF(OR(NOT(ISNUMBER($A1461)),ROW()-2&lt;Settings!$B$11),NA(),IF(COUNT(OFFSET(F1461,1-Settings!$B$11,0,Settings!$B$11,1))&lt;Settings!$B$11,NA(),STDEV(OFFSET(F1461,1-Settings!$B$11,0,Settings!$B$11,1))*SQRT(Settings!$B$13)))</f>
        <v/>
      </c>
      <c r="I1461" s="18">
        <f>IF(OR(NOT(ISNUMBER($A1461)),ROW()-2&lt;Settings!$B$12),NA(),IF(COUNT(OFFSET(F1461,1-Settings!$B$12,0,Settings!$B$12,1))&lt;Settings!$B$12,NA(),STDEV(OFFSET(F1461,1-Settings!$B$12,0,Settings!$B$12,1))*SQRT(Settings!$B$13)))</f>
        <v/>
      </c>
      <c r="J1461" s="18">
        <f>IF(OR(NOT(ISNUMBER($A1461)),ROW()-2&lt;Settings!$B$11),NA(),IF(COUNT(OFFSET(G1461,1-Settings!$B$11,0,Settings!$B$11,1))&lt;Settings!$B$11,NA(),STDEV(OFFSET(G1461,1-Settings!$B$11,0,Settings!$B$11,1))*SQRT(Settings!$B$13)))</f>
        <v/>
      </c>
      <c r="K1461" s="18">
        <f>IF(OR(NOT(ISNUMBER($A1461)),ROW()-2&lt;Settings!$B$12),NA(),IF(COUNT(OFFSET(G1461,1-Settings!$B$12,0,Settings!$B$12,1))&lt;Settings!$B$12,NA(),STDEV(OFFSET(G1461,1-Settings!$B$12,0,Settings!$B$12,1))*SQRT(Settings!$B$13)))</f>
        <v/>
      </c>
      <c r="L1461" s="18">
        <f>IF(AND(ISNUMBER(D1461),ISNUMBER(H1461)),D1461-H1461,NA())</f>
        <v/>
      </c>
      <c r="M1461" s="18">
        <f>IF(AND(ISNUMBER(E1461),ISNUMBER(K1461)),E1461-K1461,NA())</f>
        <v/>
      </c>
      <c r="N1461" s="18">
        <f>IF(NOT(ISNUMBER($A1461)),NA(),IF(COUNT(OFFSET(G1461,1,0,Settings!$B$12,1))&lt;Settings!$B$12,NA(),STDEV(OFFSET(G1461,1,0,Settings!$B$12,1))*SQRT(Settings!$B$13)))</f>
        <v/>
      </c>
      <c r="O1461" s="18">
        <f>IF(AND(ISNUMBER(E1461),ISNUMBER(N1461)),E1461-N1461,NA())</f>
        <v/>
      </c>
      <c r="P1461" s="17">
        <f>IF(NOT(ISNUMBER($A1461)),NA(),IF(OR($A1461&lt;MIN(KW_TP!$A$2:$A$2501),$A1461&gt;MAX(KW_TP!$A$2:$A$2501)),NA(),INDEX(KW_TP!$C$2:$C$2501,MATCH($A1461,KW_TP!$A$2:$A$2501,1))))</f>
        <v/>
      </c>
    </row>
    <row r="1462">
      <c r="A1462" s="15">
        <f>IF(ISNUMBER(BBG_Data!A1462),BBG_Data!A1462,"")</f>
        <v/>
      </c>
      <c r="B1462" s="16">
        <f>IF(AND(ISNUMBER($A1462),ISNUMBER(BBG_Data!B1462)),BBG_Data!B1462,NA())</f>
        <v/>
      </c>
      <c r="C1462" s="16">
        <f>IF(AND(ISNUMBER($A1462),ISNUMBER(BBG_Data!C1462)),BBG_Data!C1462,NA())</f>
        <v/>
      </c>
      <c r="D1462" s="17">
        <f>IF(AND(ISNUMBER($A1462),ISNUMBER(BBG_Data!D1462)),BBG_Data!D1462,NA())</f>
        <v/>
      </c>
      <c r="E1462" s="17">
        <f>IF(AND(ISNUMBER($A1462),ISNUMBER(BBG_Data!E1462)),BBG_Data!E1462,NA())</f>
        <v/>
      </c>
      <c r="F1462" s="18">
        <f>IF(AND(ISNUMBER(B1462),ISNUMBER(B1461)),(B1462-B1461)*100,"")</f>
        <v/>
      </c>
      <c r="G1462" s="18">
        <f>IF(AND(ISNUMBER(C1462),ISNUMBER(C1461)),(C1462-C1461)*100,"")</f>
        <v/>
      </c>
      <c r="H1462" s="18">
        <f>IF(OR(NOT(ISNUMBER($A1462)),ROW()-2&lt;Settings!$B$11),NA(),IF(COUNT(OFFSET(F1462,1-Settings!$B$11,0,Settings!$B$11,1))&lt;Settings!$B$11,NA(),STDEV(OFFSET(F1462,1-Settings!$B$11,0,Settings!$B$11,1))*SQRT(Settings!$B$13)))</f>
        <v/>
      </c>
      <c r="I1462" s="18">
        <f>IF(OR(NOT(ISNUMBER($A1462)),ROW()-2&lt;Settings!$B$12),NA(),IF(COUNT(OFFSET(F1462,1-Settings!$B$12,0,Settings!$B$12,1))&lt;Settings!$B$12,NA(),STDEV(OFFSET(F1462,1-Settings!$B$12,0,Settings!$B$12,1))*SQRT(Settings!$B$13)))</f>
        <v/>
      </c>
      <c r="J1462" s="18">
        <f>IF(OR(NOT(ISNUMBER($A1462)),ROW()-2&lt;Settings!$B$11),NA(),IF(COUNT(OFFSET(G1462,1-Settings!$B$11,0,Settings!$B$11,1))&lt;Settings!$B$11,NA(),STDEV(OFFSET(G1462,1-Settings!$B$11,0,Settings!$B$11,1))*SQRT(Settings!$B$13)))</f>
        <v/>
      </c>
      <c r="K1462" s="18">
        <f>IF(OR(NOT(ISNUMBER($A1462)),ROW()-2&lt;Settings!$B$12),NA(),IF(COUNT(OFFSET(G1462,1-Settings!$B$12,0,Settings!$B$12,1))&lt;Settings!$B$12,NA(),STDEV(OFFSET(G1462,1-Settings!$B$12,0,Settings!$B$12,1))*SQRT(Settings!$B$13)))</f>
        <v/>
      </c>
      <c r="L1462" s="18">
        <f>IF(AND(ISNUMBER(D1462),ISNUMBER(H1462)),D1462-H1462,NA())</f>
        <v/>
      </c>
      <c r="M1462" s="18">
        <f>IF(AND(ISNUMBER(E1462),ISNUMBER(K1462)),E1462-K1462,NA())</f>
        <v/>
      </c>
      <c r="N1462" s="18">
        <f>IF(NOT(ISNUMBER($A1462)),NA(),IF(COUNT(OFFSET(G1462,1,0,Settings!$B$12,1))&lt;Settings!$B$12,NA(),STDEV(OFFSET(G1462,1,0,Settings!$B$12,1))*SQRT(Settings!$B$13)))</f>
        <v/>
      </c>
      <c r="O1462" s="18">
        <f>IF(AND(ISNUMBER(E1462),ISNUMBER(N1462)),E1462-N1462,NA())</f>
        <v/>
      </c>
      <c r="P1462" s="17">
        <f>IF(NOT(ISNUMBER($A1462)),NA(),IF(OR($A1462&lt;MIN(KW_TP!$A$2:$A$2501),$A1462&gt;MAX(KW_TP!$A$2:$A$2501)),NA(),INDEX(KW_TP!$C$2:$C$2501,MATCH($A1462,KW_TP!$A$2:$A$2501,1))))</f>
        <v/>
      </c>
    </row>
    <row r="1463">
      <c r="A1463" s="15">
        <f>IF(ISNUMBER(BBG_Data!A1463),BBG_Data!A1463,"")</f>
        <v/>
      </c>
      <c r="B1463" s="16">
        <f>IF(AND(ISNUMBER($A1463),ISNUMBER(BBG_Data!B1463)),BBG_Data!B1463,NA())</f>
        <v/>
      </c>
      <c r="C1463" s="16">
        <f>IF(AND(ISNUMBER($A1463),ISNUMBER(BBG_Data!C1463)),BBG_Data!C1463,NA())</f>
        <v/>
      </c>
      <c r="D1463" s="17">
        <f>IF(AND(ISNUMBER($A1463),ISNUMBER(BBG_Data!D1463)),BBG_Data!D1463,NA())</f>
        <v/>
      </c>
      <c r="E1463" s="17">
        <f>IF(AND(ISNUMBER($A1463),ISNUMBER(BBG_Data!E1463)),BBG_Data!E1463,NA())</f>
        <v/>
      </c>
      <c r="F1463" s="18">
        <f>IF(AND(ISNUMBER(B1463),ISNUMBER(B1462)),(B1463-B1462)*100,"")</f>
        <v/>
      </c>
      <c r="G1463" s="18">
        <f>IF(AND(ISNUMBER(C1463),ISNUMBER(C1462)),(C1463-C1462)*100,"")</f>
        <v/>
      </c>
      <c r="H1463" s="18">
        <f>IF(OR(NOT(ISNUMBER($A1463)),ROW()-2&lt;Settings!$B$11),NA(),IF(COUNT(OFFSET(F1463,1-Settings!$B$11,0,Settings!$B$11,1))&lt;Settings!$B$11,NA(),STDEV(OFFSET(F1463,1-Settings!$B$11,0,Settings!$B$11,1))*SQRT(Settings!$B$13)))</f>
        <v/>
      </c>
      <c r="I1463" s="18">
        <f>IF(OR(NOT(ISNUMBER($A1463)),ROW()-2&lt;Settings!$B$12),NA(),IF(COUNT(OFFSET(F1463,1-Settings!$B$12,0,Settings!$B$12,1))&lt;Settings!$B$12,NA(),STDEV(OFFSET(F1463,1-Settings!$B$12,0,Settings!$B$12,1))*SQRT(Settings!$B$13)))</f>
        <v/>
      </c>
      <c r="J1463" s="18">
        <f>IF(OR(NOT(ISNUMBER($A1463)),ROW()-2&lt;Settings!$B$11),NA(),IF(COUNT(OFFSET(G1463,1-Settings!$B$11,0,Settings!$B$11,1))&lt;Settings!$B$11,NA(),STDEV(OFFSET(G1463,1-Settings!$B$11,0,Settings!$B$11,1))*SQRT(Settings!$B$13)))</f>
        <v/>
      </c>
      <c r="K1463" s="18">
        <f>IF(OR(NOT(ISNUMBER($A1463)),ROW()-2&lt;Settings!$B$12),NA(),IF(COUNT(OFFSET(G1463,1-Settings!$B$12,0,Settings!$B$12,1))&lt;Settings!$B$12,NA(),STDEV(OFFSET(G1463,1-Settings!$B$12,0,Settings!$B$12,1))*SQRT(Settings!$B$13)))</f>
        <v/>
      </c>
      <c r="L1463" s="18">
        <f>IF(AND(ISNUMBER(D1463),ISNUMBER(H1463)),D1463-H1463,NA())</f>
        <v/>
      </c>
      <c r="M1463" s="18">
        <f>IF(AND(ISNUMBER(E1463),ISNUMBER(K1463)),E1463-K1463,NA())</f>
        <v/>
      </c>
      <c r="N1463" s="18">
        <f>IF(NOT(ISNUMBER($A1463)),NA(),IF(COUNT(OFFSET(G1463,1,0,Settings!$B$12,1))&lt;Settings!$B$12,NA(),STDEV(OFFSET(G1463,1,0,Settings!$B$12,1))*SQRT(Settings!$B$13)))</f>
        <v/>
      </c>
      <c r="O1463" s="18">
        <f>IF(AND(ISNUMBER(E1463),ISNUMBER(N1463)),E1463-N1463,NA())</f>
        <v/>
      </c>
      <c r="P1463" s="17">
        <f>IF(NOT(ISNUMBER($A1463)),NA(),IF(OR($A1463&lt;MIN(KW_TP!$A$2:$A$2501),$A1463&gt;MAX(KW_TP!$A$2:$A$2501)),NA(),INDEX(KW_TP!$C$2:$C$2501,MATCH($A1463,KW_TP!$A$2:$A$2501,1))))</f>
        <v/>
      </c>
    </row>
    <row r="1464">
      <c r="A1464" s="15">
        <f>IF(ISNUMBER(BBG_Data!A1464),BBG_Data!A1464,"")</f>
        <v/>
      </c>
      <c r="B1464" s="16">
        <f>IF(AND(ISNUMBER($A1464),ISNUMBER(BBG_Data!B1464)),BBG_Data!B1464,NA())</f>
        <v/>
      </c>
      <c r="C1464" s="16">
        <f>IF(AND(ISNUMBER($A1464),ISNUMBER(BBG_Data!C1464)),BBG_Data!C1464,NA())</f>
        <v/>
      </c>
      <c r="D1464" s="17">
        <f>IF(AND(ISNUMBER($A1464),ISNUMBER(BBG_Data!D1464)),BBG_Data!D1464,NA())</f>
        <v/>
      </c>
      <c r="E1464" s="17">
        <f>IF(AND(ISNUMBER($A1464),ISNUMBER(BBG_Data!E1464)),BBG_Data!E1464,NA())</f>
        <v/>
      </c>
      <c r="F1464" s="18">
        <f>IF(AND(ISNUMBER(B1464),ISNUMBER(B1463)),(B1464-B1463)*100,"")</f>
        <v/>
      </c>
      <c r="G1464" s="18">
        <f>IF(AND(ISNUMBER(C1464),ISNUMBER(C1463)),(C1464-C1463)*100,"")</f>
        <v/>
      </c>
      <c r="H1464" s="18">
        <f>IF(OR(NOT(ISNUMBER($A1464)),ROW()-2&lt;Settings!$B$11),NA(),IF(COUNT(OFFSET(F1464,1-Settings!$B$11,0,Settings!$B$11,1))&lt;Settings!$B$11,NA(),STDEV(OFFSET(F1464,1-Settings!$B$11,0,Settings!$B$11,1))*SQRT(Settings!$B$13)))</f>
        <v/>
      </c>
      <c r="I1464" s="18">
        <f>IF(OR(NOT(ISNUMBER($A1464)),ROW()-2&lt;Settings!$B$12),NA(),IF(COUNT(OFFSET(F1464,1-Settings!$B$12,0,Settings!$B$12,1))&lt;Settings!$B$12,NA(),STDEV(OFFSET(F1464,1-Settings!$B$12,0,Settings!$B$12,1))*SQRT(Settings!$B$13)))</f>
        <v/>
      </c>
      <c r="J1464" s="18">
        <f>IF(OR(NOT(ISNUMBER($A1464)),ROW()-2&lt;Settings!$B$11),NA(),IF(COUNT(OFFSET(G1464,1-Settings!$B$11,0,Settings!$B$11,1))&lt;Settings!$B$11,NA(),STDEV(OFFSET(G1464,1-Settings!$B$11,0,Settings!$B$11,1))*SQRT(Settings!$B$13)))</f>
        <v/>
      </c>
      <c r="K1464" s="18">
        <f>IF(OR(NOT(ISNUMBER($A1464)),ROW()-2&lt;Settings!$B$12),NA(),IF(COUNT(OFFSET(G1464,1-Settings!$B$12,0,Settings!$B$12,1))&lt;Settings!$B$12,NA(),STDEV(OFFSET(G1464,1-Settings!$B$12,0,Settings!$B$12,1))*SQRT(Settings!$B$13)))</f>
        <v/>
      </c>
      <c r="L1464" s="18">
        <f>IF(AND(ISNUMBER(D1464),ISNUMBER(H1464)),D1464-H1464,NA())</f>
        <v/>
      </c>
      <c r="M1464" s="18">
        <f>IF(AND(ISNUMBER(E1464),ISNUMBER(K1464)),E1464-K1464,NA())</f>
        <v/>
      </c>
      <c r="N1464" s="18">
        <f>IF(NOT(ISNUMBER($A1464)),NA(),IF(COUNT(OFFSET(G1464,1,0,Settings!$B$12,1))&lt;Settings!$B$12,NA(),STDEV(OFFSET(G1464,1,0,Settings!$B$12,1))*SQRT(Settings!$B$13)))</f>
        <v/>
      </c>
      <c r="O1464" s="18">
        <f>IF(AND(ISNUMBER(E1464),ISNUMBER(N1464)),E1464-N1464,NA())</f>
        <v/>
      </c>
      <c r="P1464" s="17">
        <f>IF(NOT(ISNUMBER($A1464)),NA(),IF(OR($A1464&lt;MIN(KW_TP!$A$2:$A$2501),$A1464&gt;MAX(KW_TP!$A$2:$A$2501)),NA(),INDEX(KW_TP!$C$2:$C$2501,MATCH($A1464,KW_TP!$A$2:$A$2501,1))))</f>
        <v/>
      </c>
    </row>
    <row r="1465">
      <c r="A1465" s="15">
        <f>IF(ISNUMBER(BBG_Data!A1465),BBG_Data!A1465,"")</f>
        <v/>
      </c>
      <c r="B1465" s="16">
        <f>IF(AND(ISNUMBER($A1465),ISNUMBER(BBG_Data!B1465)),BBG_Data!B1465,NA())</f>
        <v/>
      </c>
      <c r="C1465" s="16">
        <f>IF(AND(ISNUMBER($A1465),ISNUMBER(BBG_Data!C1465)),BBG_Data!C1465,NA())</f>
        <v/>
      </c>
      <c r="D1465" s="17">
        <f>IF(AND(ISNUMBER($A1465),ISNUMBER(BBG_Data!D1465)),BBG_Data!D1465,NA())</f>
        <v/>
      </c>
      <c r="E1465" s="17">
        <f>IF(AND(ISNUMBER($A1465),ISNUMBER(BBG_Data!E1465)),BBG_Data!E1465,NA())</f>
        <v/>
      </c>
      <c r="F1465" s="18">
        <f>IF(AND(ISNUMBER(B1465),ISNUMBER(B1464)),(B1465-B1464)*100,"")</f>
        <v/>
      </c>
      <c r="G1465" s="18">
        <f>IF(AND(ISNUMBER(C1465),ISNUMBER(C1464)),(C1465-C1464)*100,"")</f>
        <v/>
      </c>
      <c r="H1465" s="18">
        <f>IF(OR(NOT(ISNUMBER($A1465)),ROW()-2&lt;Settings!$B$11),NA(),IF(COUNT(OFFSET(F1465,1-Settings!$B$11,0,Settings!$B$11,1))&lt;Settings!$B$11,NA(),STDEV(OFFSET(F1465,1-Settings!$B$11,0,Settings!$B$11,1))*SQRT(Settings!$B$13)))</f>
        <v/>
      </c>
      <c r="I1465" s="18">
        <f>IF(OR(NOT(ISNUMBER($A1465)),ROW()-2&lt;Settings!$B$12),NA(),IF(COUNT(OFFSET(F1465,1-Settings!$B$12,0,Settings!$B$12,1))&lt;Settings!$B$12,NA(),STDEV(OFFSET(F1465,1-Settings!$B$12,0,Settings!$B$12,1))*SQRT(Settings!$B$13)))</f>
        <v/>
      </c>
      <c r="J1465" s="18">
        <f>IF(OR(NOT(ISNUMBER($A1465)),ROW()-2&lt;Settings!$B$11),NA(),IF(COUNT(OFFSET(G1465,1-Settings!$B$11,0,Settings!$B$11,1))&lt;Settings!$B$11,NA(),STDEV(OFFSET(G1465,1-Settings!$B$11,0,Settings!$B$11,1))*SQRT(Settings!$B$13)))</f>
        <v/>
      </c>
      <c r="K1465" s="18">
        <f>IF(OR(NOT(ISNUMBER($A1465)),ROW()-2&lt;Settings!$B$12),NA(),IF(COUNT(OFFSET(G1465,1-Settings!$B$12,0,Settings!$B$12,1))&lt;Settings!$B$12,NA(),STDEV(OFFSET(G1465,1-Settings!$B$12,0,Settings!$B$12,1))*SQRT(Settings!$B$13)))</f>
        <v/>
      </c>
      <c r="L1465" s="18">
        <f>IF(AND(ISNUMBER(D1465),ISNUMBER(H1465)),D1465-H1465,NA())</f>
        <v/>
      </c>
      <c r="M1465" s="18">
        <f>IF(AND(ISNUMBER(E1465),ISNUMBER(K1465)),E1465-K1465,NA())</f>
        <v/>
      </c>
      <c r="N1465" s="18">
        <f>IF(NOT(ISNUMBER($A1465)),NA(),IF(COUNT(OFFSET(G1465,1,0,Settings!$B$12,1))&lt;Settings!$B$12,NA(),STDEV(OFFSET(G1465,1,0,Settings!$B$12,1))*SQRT(Settings!$B$13)))</f>
        <v/>
      </c>
      <c r="O1465" s="18">
        <f>IF(AND(ISNUMBER(E1465),ISNUMBER(N1465)),E1465-N1465,NA())</f>
        <v/>
      </c>
      <c r="P1465" s="17">
        <f>IF(NOT(ISNUMBER($A1465)),NA(),IF(OR($A1465&lt;MIN(KW_TP!$A$2:$A$2501),$A1465&gt;MAX(KW_TP!$A$2:$A$2501)),NA(),INDEX(KW_TP!$C$2:$C$2501,MATCH($A1465,KW_TP!$A$2:$A$2501,1))))</f>
        <v/>
      </c>
    </row>
    <row r="1466">
      <c r="A1466" s="15">
        <f>IF(ISNUMBER(BBG_Data!A1466),BBG_Data!A1466,"")</f>
        <v/>
      </c>
      <c r="B1466" s="16">
        <f>IF(AND(ISNUMBER($A1466),ISNUMBER(BBG_Data!B1466)),BBG_Data!B1466,NA())</f>
        <v/>
      </c>
      <c r="C1466" s="16">
        <f>IF(AND(ISNUMBER($A1466),ISNUMBER(BBG_Data!C1466)),BBG_Data!C1466,NA())</f>
        <v/>
      </c>
      <c r="D1466" s="17">
        <f>IF(AND(ISNUMBER($A1466),ISNUMBER(BBG_Data!D1466)),BBG_Data!D1466,NA())</f>
        <v/>
      </c>
      <c r="E1466" s="17">
        <f>IF(AND(ISNUMBER($A1466),ISNUMBER(BBG_Data!E1466)),BBG_Data!E1466,NA())</f>
        <v/>
      </c>
      <c r="F1466" s="18">
        <f>IF(AND(ISNUMBER(B1466),ISNUMBER(B1465)),(B1466-B1465)*100,"")</f>
        <v/>
      </c>
      <c r="G1466" s="18">
        <f>IF(AND(ISNUMBER(C1466),ISNUMBER(C1465)),(C1466-C1465)*100,"")</f>
        <v/>
      </c>
      <c r="H1466" s="18">
        <f>IF(OR(NOT(ISNUMBER($A1466)),ROW()-2&lt;Settings!$B$11),NA(),IF(COUNT(OFFSET(F1466,1-Settings!$B$11,0,Settings!$B$11,1))&lt;Settings!$B$11,NA(),STDEV(OFFSET(F1466,1-Settings!$B$11,0,Settings!$B$11,1))*SQRT(Settings!$B$13)))</f>
        <v/>
      </c>
      <c r="I1466" s="18">
        <f>IF(OR(NOT(ISNUMBER($A1466)),ROW()-2&lt;Settings!$B$12),NA(),IF(COUNT(OFFSET(F1466,1-Settings!$B$12,0,Settings!$B$12,1))&lt;Settings!$B$12,NA(),STDEV(OFFSET(F1466,1-Settings!$B$12,0,Settings!$B$12,1))*SQRT(Settings!$B$13)))</f>
        <v/>
      </c>
      <c r="J1466" s="18">
        <f>IF(OR(NOT(ISNUMBER($A1466)),ROW()-2&lt;Settings!$B$11),NA(),IF(COUNT(OFFSET(G1466,1-Settings!$B$11,0,Settings!$B$11,1))&lt;Settings!$B$11,NA(),STDEV(OFFSET(G1466,1-Settings!$B$11,0,Settings!$B$11,1))*SQRT(Settings!$B$13)))</f>
        <v/>
      </c>
      <c r="K1466" s="18">
        <f>IF(OR(NOT(ISNUMBER($A1466)),ROW()-2&lt;Settings!$B$12),NA(),IF(COUNT(OFFSET(G1466,1-Settings!$B$12,0,Settings!$B$12,1))&lt;Settings!$B$12,NA(),STDEV(OFFSET(G1466,1-Settings!$B$12,0,Settings!$B$12,1))*SQRT(Settings!$B$13)))</f>
        <v/>
      </c>
      <c r="L1466" s="18">
        <f>IF(AND(ISNUMBER(D1466),ISNUMBER(H1466)),D1466-H1466,NA())</f>
        <v/>
      </c>
      <c r="M1466" s="18">
        <f>IF(AND(ISNUMBER(E1466),ISNUMBER(K1466)),E1466-K1466,NA())</f>
        <v/>
      </c>
      <c r="N1466" s="18">
        <f>IF(NOT(ISNUMBER($A1466)),NA(),IF(COUNT(OFFSET(G1466,1,0,Settings!$B$12,1))&lt;Settings!$B$12,NA(),STDEV(OFFSET(G1466,1,0,Settings!$B$12,1))*SQRT(Settings!$B$13)))</f>
        <v/>
      </c>
      <c r="O1466" s="18">
        <f>IF(AND(ISNUMBER(E1466),ISNUMBER(N1466)),E1466-N1466,NA())</f>
        <v/>
      </c>
      <c r="P1466" s="17">
        <f>IF(NOT(ISNUMBER($A1466)),NA(),IF(OR($A1466&lt;MIN(KW_TP!$A$2:$A$2501),$A1466&gt;MAX(KW_TP!$A$2:$A$2501)),NA(),INDEX(KW_TP!$C$2:$C$2501,MATCH($A1466,KW_TP!$A$2:$A$2501,1))))</f>
        <v/>
      </c>
    </row>
    <row r="1467">
      <c r="A1467" s="15">
        <f>IF(ISNUMBER(BBG_Data!A1467),BBG_Data!A1467,"")</f>
        <v/>
      </c>
      <c r="B1467" s="16">
        <f>IF(AND(ISNUMBER($A1467),ISNUMBER(BBG_Data!B1467)),BBG_Data!B1467,NA())</f>
        <v/>
      </c>
      <c r="C1467" s="16">
        <f>IF(AND(ISNUMBER($A1467),ISNUMBER(BBG_Data!C1467)),BBG_Data!C1467,NA())</f>
        <v/>
      </c>
      <c r="D1467" s="17">
        <f>IF(AND(ISNUMBER($A1467),ISNUMBER(BBG_Data!D1467)),BBG_Data!D1467,NA())</f>
        <v/>
      </c>
      <c r="E1467" s="17">
        <f>IF(AND(ISNUMBER($A1467),ISNUMBER(BBG_Data!E1467)),BBG_Data!E1467,NA())</f>
        <v/>
      </c>
      <c r="F1467" s="18">
        <f>IF(AND(ISNUMBER(B1467),ISNUMBER(B1466)),(B1467-B1466)*100,"")</f>
        <v/>
      </c>
      <c r="G1467" s="18">
        <f>IF(AND(ISNUMBER(C1467),ISNUMBER(C1466)),(C1467-C1466)*100,"")</f>
        <v/>
      </c>
      <c r="H1467" s="18">
        <f>IF(OR(NOT(ISNUMBER($A1467)),ROW()-2&lt;Settings!$B$11),NA(),IF(COUNT(OFFSET(F1467,1-Settings!$B$11,0,Settings!$B$11,1))&lt;Settings!$B$11,NA(),STDEV(OFFSET(F1467,1-Settings!$B$11,0,Settings!$B$11,1))*SQRT(Settings!$B$13)))</f>
        <v/>
      </c>
      <c r="I1467" s="18">
        <f>IF(OR(NOT(ISNUMBER($A1467)),ROW()-2&lt;Settings!$B$12),NA(),IF(COUNT(OFFSET(F1467,1-Settings!$B$12,0,Settings!$B$12,1))&lt;Settings!$B$12,NA(),STDEV(OFFSET(F1467,1-Settings!$B$12,0,Settings!$B$12,1))*SQRT(Settings!$B$13)))</f>
        <v/>
      </c>
      <c r="J1467" s="18">
        <f>IF(OR(NOT(ISNUMBER($A1467)),ROW()-2&lt;Settings!$B$11),NA(),IF(COUNT(OFFSET(G1467,1-Settings!$B$11,0,Settings!$B$11,1))&lt;Settings!$B$11,NA(),STDEV(OFFSET(G1467,1-Settings!$B$11,0,Settings!$B$11,1))*SQRT(Settings!$B$13)))</f>
        <v/>
      </c>
      <c r="K1467" s="18">
        <f>IF(OR(NOT(ISNUMBER($A1467)),ROW()-2&lt;Settings!$B$12),NA(),IF(COUNT(OFFSET(G1467,1-Settings!$B$12,0,Settings!$B$12,1))&lt;Settings!$B$12,NA(),STDEV(OFFSET(G1467,1-Settings!$B$12,0,Settings!$B$12,1))*SQRT(Settings!$B$13)))</f>
        <v/>
      </c>
      <c r="L1467" s="18">
        <f>IF(AND(ISNUMBER(D1467),ISNUMBER(H1467)),D1467-H1467,NA())</f>
        <v/>
      </c>
      <c r="M1467" s="18">
        <f>IF(AND(ISNUMBER(E1467),ISNUMBER(K1467)),E1467-K1467,NA())</f>
        <v/>
      </c>
      <c r="N1467" s="18">
        <f>IF(NOT(ISNUMBER($A1467)),NA(),IF(COUNT(OFFSET(G1467,1,0,Settings!$B$12,1))&lt;Settings!$B$12,NA(),STDEV(OFFSET(G1467,1,0,Settings!$B$12,1))*SQRT(Settings!$B$13)))</f>
        <v/>
      </c>
      <c r="O1467" s="18">
        <f>IF(AND(ISNUMBER(E1467),ISNUMBER(N1467)),E1467-N1467,NA())</f>
        <v/>
      </c>
      <c r="P1467" s="17">
        <f>IF(NOT(ISNUMBER($A1467)),NA(),IF(OR($A1467&lt;MIN(KW_TP!$A$2:$A$2501),$A1467&gt;MAX(KW_TP!$A$2:$A$2501)),NA(),INDEX(KW_TP!$C$2:$C$2501,MATCH($A1467,KW_TP!$A$2:$A$2501,1))))</f>
        <v/>
      </c>
    </row>
    <row r="1468">
      <c r="A1468" s="15">
        <f>IF(ISNUMBER(BBG_Data!A1468),BBG_Data!A1468,"")</f>
        <v/>
      </c>
      <c r="B1468" s="16">
        <f>IF(AND(ISNUMBER($A1468),ISNUMBER(BBG_Data!B1468)),BBG_Data!B1468,NA())</f>
        <v/>
      </c>
      <c r="C1468" s="16">
        <f>IF(AND(ISNUMBER($A1468),ISNUMBER(BBG_Data!C1468)),BBG_Data!C1468,NA())</f>
        <v/>
      </c>
      <c r="D1468" s="17">
        <f>IF(AND(ISNUMBER($A1468),ISNUMBER(BBG_Data!D1468)),BBG_Data!D1468,NA())</f>
        <v/>
      </c>
      <c r="E1468" s="17">
        <f>IF(AND(ISNUMBER($A1468),ISNUMBER(BBG_Data!E1468)),BBG_Data!E1468,NA())</f>
        <v/>
      </c>
      <c r="F1468" s="18">
        <f>IF(AND(ISNUMBER(B1468),ISNUMBER(B1467)),(B1468-B1467)*100,"")</f>
        <v/>
      </c>
      <c r="G1468" s="18">
        <f>IF(AND(ISNUMBER(C1468),ISNUMBER(C1467)),(C1468-C1467)*100,"")</f>
        <v/>
      </c>
      <c r="H1468" s="18">
        <f>IF(OR(NOT(ISNUMBER($A1468)),ROW()-2&lt;Settings!$B$11),NA(),IF(COUNT(OFFSET(F1468,1-Settings!$B$11,0,Settings!$B$11,1))&lt;Settings!$B$11,NA(),STDEV(OFFSET(F1468,1-Settings!$B$11,0,Settings!$B$11,1))*SQRT(Settings!$B$13)))</f>
        <v/>
      </c>
      <c r="I1468" s="18">
        <f>IF(OR(NOT(ISNUMBER($A1468)),ROW()-2&lt;Settings!$B$12),NA(),IF(COUNT(OFFSET(F1468,1-Settings!$B$12,0,Settings!$B$12,1))&lt;Settings!$B$12,NA(),STDEV(OFFSET(F1468,1-Settings!$B$12,0,Settings!$B$12,1))*SQRT(Settings!$B$13)))</f>
        <v/>
      </c>
      <c r="J1468" s="18">
        <f>IF(OR(NOT(ISNUMBER($A1468)),ROW()-2&lt;Settings!$B$11),NA(),IF(COUNT(OFFSET(G1468,1-Settings!$B$11,0,Settings!$B$11,1))&lt;Settings!$B$11,NA(),STDEV(OFFSET(G1468,1-Settings!$B$11,0,Settings!$B$11,1))*SQRT(Settings!$B$13)))</f>
        <v/>
      </c>
      <c r="K1468" s="18">
        <f>IF(OR(NOT(ISNUMBER($A1468)),ROW()-2&lt;Settings!$B$12),NA(),IF(COUNT(OFFSET(G1468,1-Settings!$B$12,0,Settings!$B$12,1))&lt;Settings!$B$12,NA(),STDEV(OFFSET(G1468,1-Settings!$B$12,0,Settings!$B$12,1))*SQRT(Settings!$B$13)))</f>
        <v/>
      </c>
      <c r="L1468" s="18">
        <f>IF(AND(ISNUMBER(D1468),ISNUMBER(H1468)),D1468-H1468,NA())</f>
        <v/>
      </c>
      <c r="M1468" s="18">
        <f>IF(AND(ISNUMBER(E1468),ISNUMBER(K1468)),E1468-K1468,NA())</f>
        <v/>
      </c>
      <c r="N1468" s="18">
        <f>IF(NOT(ISNUMBER($A1468)),NA(),IF(COUNT(OFFSET(G1468,1,0,Settings!$B$12,1))&lt;Settings!$B$12,NA(),STDEV(OFFSET(G1468,1,0,Settings!$B$12,1))*SQRT(Settings!$B$13)))</f>
        <v/>
      </c>
      <c r="O1468" s="18">
        <f>IF(AND(ISNUMBER(E1468),ISNUMBER(N1468)),E1468-N1468,NA())</f>
        <v/>
      </c>
      <c r="P1468" s="17">
        <f>IF(NOT(ISNUMBER($A1468)),NA(),IF(OR($A1468&lt;MIN(KW_TP!$A$2:$A$2501),$A1468&gt;MAX(KW_TP!$A$2:$A$2501)),NA(),INDEX(KW_TP!$C$2:$C$2501,MATCH($A1468,KW_TP!$A$2:$A$2501,1))))</f>
        <v/>
      </c>
    </row>
    <row r="1469">
      <c r="A1469" s="15">
        <f>IF(ISNUMBER(BBG_Data!A1469),BBG_Data!A1469,"")</f>
        <v/>
      </c>
      <c r="B1469" s="16">
        <f>IF(AND(ISNUMBER($A1469),ISNUMBER(BBG_Data!B1469)),BBG_Data!B1469,NA())</f>
        <v/>
      </c>
      <c r="C1469" s="16">
        <f>IF(AND(ISNUMBER($A1469),ISNUMBER(BBG_Data!C1469)),BBG_Data!C1469,NA())</f>
        <v/>
      </c>
      <c r="D1469" s="17">
        <f>IF(AND(ISNUMBER($A1469),ISNUMBER(BBG_Data!D1469)),BBG_Data!D1469,NA())</f>
        <v/>
      </c>
      <c r="E1469" s="17">
        <f>IF(AND(ISNUMBER($A1469),ISNUMBER(BBG_Data!E1469)),BBG_Data!E1469,NA())</f>
        <v/>
      </c>
      <c r="F1469" s="18">
        <f>IF(AND(ISNUMBER(B1469),ISNUMBER(B1468)),(B1469-B1468)*100,"")</f>
        <v/>
      </c>
      <c r="G1469" s="18">
        <f>IF(AND(ISNUMBER(C1469),ISNUMBER(C1468)),(C1469-C1468)*100,"")</f>
        <v/>
      </c>
      <c r="H1469" s="18">
        <f>IF(OR(NOT(ISNUMBER($A1469)),ROW()-2&lt;Settings!$B$11),NA(),IF(COUNT(OFFSET(F1469,1-Settings!$B$11,0,Settings!$B$11,1))&lt;Settings!$B$11,NA(),STDEV(OFFSET(F1469,1-Settings!$B$11,0,Settings!$B$11,1))*SQRT(Settings!$B$13)))</f>
        <v/>
      </c>
      <c r="I1469" s="18">
        <f>IF(OR(NOT(ISNUMBER($A1469)),ROW()-2&lt;Settings!$B$12),NA(),IF(COUNT(OFFSET(F1469,1-Settings!$B$12,0,Settings!$B$12,1))&lt;Settings!$B$12,NA(),STDEV(OFFSET(F1469,1-Settings!$B$12,0,Settings!$B$12,1))*SQRT(Settings!$B$13)))</f>
        <v/>
      </c>
      <c r="J1469" s="18">
        <f>IF(OR(NOT(ISNUMBER($A1469)),ROW()-2&lt;Settings!$B$11),NA(),IF(COUNT(OFFSET(G1469,1-Settings!$B$11,0,Settings!$B$11,1))&lt;Settings!$B$11,NA(),STDEV(OFFSET(G1469,1-Settings!$B$11,0,Settings!$B$11,1))*SQRT(Settings!$B$13)))</f>
        <v/>
      </c>
      <c r="K1469" s="18">
        <f>IF(OR(NOT(ISNUMBER($A1469)),ROW()-2&lt;Settings!$B$12),NA(),IF(COUNT(OFFSET(G1469,1-Settings!$B$12,0,Settings!$B$12,1))&lt;Settings!$B$12,NA(),STDEV(OFFSET(G1469,1-Settings!$B$12,0,Settings!$B$12,1))*SQRT(Settings!$B$13)))</f>
        <v/>
      </c>
      <c r="L1469" s="18">
        <f>IF(AND(ISNUMBER(D1469),ISNUMBER(H1469)),D1469-H1469,NA())</f>
        <v/>
      </c>
      <c r="M1469" s="18">
        <f>IF(AND(ISNUMBER(E1469),ISNUMBER(K1469)),E1469-K1469,NA())</f>
        <v/>
      </c>
      <c r="N1469" s="18">
        <f>IF(NOT(ISNUMBER($A1469)),NA(),IF(COUNT(OFFSET(G1469,1,0,Settings!$B$12,1))&lt;Settings!$B$12,NA(),STDEV(OFFSET(G1469,1,0,Settings!$B$12,1))*SQRT(Settings!$B$13)))</f>
        <v/>
      </c>
      <c r="O1469" s="18">
        <f>IF(AND(ISNUMBER(E1469),ISNUMBER(N1469)),E1469-N1469,NA())</f>
        <v/>
      </c>
      <c r="P1469" s="17">
        <f>IF(NOT(ISNUMBER($A1469)),NA(),IF(OR($A1469&lt;MIN(KW_TP!$A$2:$A$2501),$A1469&gt;MAX(KW_TP!$A$2:$A$2501)),NA(),INDEX(KW_TP!$C$2:$C$2501,MATCH($A1469,KW_TP!$A$2:$A$2501,1))))</f>
        <v/>
      </c>
    </row>
    <row r="1470">
      <c r="A1470" s="15">
        <f>IF(ISNUMBER(BBG_Data!A1470),BBG_Data!A1470,"")</f>
        <v/>
      </c>
      <c r="B1470" s="16">
        <f>IF(AND(ISNUMBER($A1470),ISNUMBER(BBG_Data!B1470)),BBG_Data!B1470,NA())</f>
        <v/>
      </c>
      <c r="C1470" s="16">
        <f>IF(AND(ISNUMBER($A1470),ISNUMBER(BBG_Data!C1470)),BBG_Data!C1470,NA())</f>
        <v/>
      </c>
      <c r="D1470" s="17">
        <f>IF(AND(ISNUMBER($A1470),ISNUMBER(BBG_Data!D1470)),BBG_Data!D1470,NA())</f>
        <v/>
      </c>
      <c r="E1470" s="17">
        <f>IF(AND(ISNUMBER($A1470),ISNUMBER(BBG_Data!E1470)),BBG_Data!E1470,NA())</f>
        <v/>
      </c>
      <c r="F1470" s="18">
        <f>IF(AND(ISNUMBER(B1470),ISNUMBER(B1469)),(B1470-B1469)*100,"")</f>
        <v/>
      </c>
      <c r="G1470" s="18">
        <f>IF(AND(ISNUMBER(C1470),ISNUMBER(C1469)),(C1470-C1469)*100,"")</f>
        <v/>
      </c>
      <c r="H1470" s="18">
        <f>IF(OR(NOT(ISNUMBER($A1470)),ROW()-2&lt;Settings!$B$11),NA(),IF(COUNT(OFFSET(F1470,1-Settings!$B$11,0,Settings!$B$11,1))&lt;Settings!$B$11,NA(),STDEV(OFFSET(F1470,1-Settings!$B$11,0,Settings!$B$11,1))*SQRT(Settings!$B$13)))</f>
        <v/>
      </c>
      <c r="I1470" s="18">
        <f>IF(OR(NOT(ISNUMBER($A1470)),ROW()-2&lt;Settings!$B$12),NA(),IF(COUNT(OFFSET(F1470,1-Settings!$B$12,0,Settings!$B$12,1))&lt;Settings!$B$12,NA(),STDEV(OFFSET(F1470,1-Settings!$B$12,0,Settings!$B$12,1))*SQRT(Settings!$B$13)))</f>
        <v/>
      </c>
      <c r="J1470" s="18">
        <f>IF(OR(NOT(ISNUMBER($A1470)),ROW()-2&lt;Settings!$B$11),NA(),IF(COUNT(OFFSET(G1470,1-Settings!$B$11,0,Settings!$B$11,1))&lt;Settings!$B$11,NA(),STDEV(OFFSET(G1470,1-Settings!$B$11,0,Settings!$B$11,1))*SQRT(Settings!$B$13)))</f>
        <v/>
      </c>
      <c r="K1470" s="18">
        <f>IF(OR(NOT(ISNUMBER($A1470)),ROW()-2&lt;Settings!$B$12),NA(),IF(COUNT(OFFSET(G1470,1-Settings!$B$12,0,Settings!$B$12,1))&lt;Settings!$B$12,NA(),STDEV(OFFSET(G1470,1-Settings!$B$12,0,Settings!$B$12,1))*SQRT(Settings!$B$13)))</f>
        <v/>
      </c>
      <c r="L1470" s="18">
        <f>IF(AND(ISNUMBER(D1470),ISNUMBER(H1470)),D1470-H1470,NA())</f>
        <v/>
      </c>
      <c r="M1470" s="18">
        <f>IF(AND(ISNUMBER(E1470),ISNUMBER(K1470)),E1470-K1470,NA())</f>
        <v/>
      </c>
      <c r="N1470" s="18">
        <f>IF(NOT(ISNUMBER($A1470)),NA(),IF(COUNT(OFFSET(G1470,1,0,Settings!$B$12,1))&lt;Settings!$B$12,NA(),STDEV(OFFSET(G1470,1,0,Settings!$B$12,1))*SQRT(Settings!$B$13)))</f>
        <v/>
      </c>
      <c r="O1470" s="18">
        <f>IF(AND(ISNUMBER(E1470),ISNUMBER(N1470)),E1470-N1470,NA())</f>
        <v/>
      </c>
      <c r="P1470" s="17">
        <f>IF(NOT(ISNUMBER($A1470)),NA(),IF(OR($A1470&lt;MIN(KW_TP!$A$2:$A$2501),$A1470&gt;MAX(KW_TP!$A$2:$A$2501)),NA(),INDEX(KW_TP!$C$2:$C$2501,MATCH($A1470,KW_TP!$A$2:$A$2501,1))))</f>
        <v/>
      </c>
    </row>
    <row r="1471">
      <c r="A1471" s="15">
        <f>IF(ISNUMBER(BBG_Data!A1471),BBG_Data!A1471,"")</f>
        <v/>
      </c>
      <c r="B1471" s="16">
        <f>IF(AND(ISNUMBER($A1471),ISNUMBER(BBG_Data!B1471)),BBG_Data!B1471,NA())</f>
        <v/>
      </c>
      <c r="C1471" s="16">
        <f>IF(AND(ISNUMBER($A1471),ISNUMBER(BBG_Data!C1471)),BBG_Data!C1471,NA())</f>
        <v/>
      </c>
      <c r="D1471" s="17">
        <f>IF(AND(ISNUMBER($A1471),ISNUMBER(BBG_Data!D1471)),BBG_Data!D1471,NA())</f>
        <v/>
      </c>
      <c r="E1471" s="17">
        <f>IF(AND(ISNUMBER($A1471),ISNUMBER(BBG_Data!E1471)),BBG_Data!E1471,NA())</f>
        <v/>
      </c>
      <c r="F1471" s="18">
        <f>IF(AND(ISNUMBER(B1471),ISNUMBER(B1470)),(B1471-B1470)*100,"")</f>
        <v/>
      </c>
      <c r="G1471" s="18">
        <f>IF(AND(ISNUMBER(C1471),ISNUMBER(C1470)),(C1471-C1470)*100,"")</f>
        <v/>
      </c>
      <c r="H1471" s="18">
        <f>IF(OR(NOT(ISNUMBER($A1471)),ROW()-2&lt;Settings!$B$11),NA(),IF(COUNT(OFFSET(F1471,1-Settings!$B$11,0,Settings!$B$11,1))&lt;Settings!$B$11,NA(),STDEV(OFFSET(F1471,1-Settings!$B$11,0,Settings!$B$11,1))*SQRT(Settings!$B$13)))</f>
        <v/>
      </c>
      <c r="I1471" s="18">
        <f>IF(OR(NOT(ISNUMBER($A1471)),ROW()-2&lt;Settings!$B$12),NA(),IF(COUNT(OFFSET(F1471,1-Settings!$B$12,0,Settings!$B$12,1))&lt;Settings!$B$12,NA(),STDEV(OFFSET(F1471,1-Settings!$B$12,0,Settings!$B$12,1))*SQRT(Settings!$B$13)))</f>
        <v/>
      </c>
      <c r="J1471" s="18">
        <f>IF(OR(NOT(ISNUMBER($A1471)),ROW()-2&lt;Settings!$B$11),NA(),IF(COUNT(OFFSET(G1471,1-Settings!$B$11,0,Settings!$B$11,1))&lt;Settings!$B$11,NA(),STDEV(OFFSET(G1471,1-Settings!$B$11,0,Settings!$B$11,1))*SQRT(Settings!$B$13)))</f>
        <v/>
      </c>
      <c r="K1471" s="18">
        <f>IF(OR(NOT(ISNUMBER($A1471)),ROW()-2&lt;Settings!$B$12),NA(),IF(COUNT(OFFSET(G1471,1-Settings!$B$12,0,Settings!$B$12,1))&lt;Settings!$B$12,NA(),STDEV(OFFSET(G1471,1-Settings!$B$12,0,Settings!$B$12,1))*SQRT(Settings!$B$13)))</f>
        <v/>
      </c>
      <c r="L1471" s="18">
        <f>IF(AND(ISNUMBER(D1471),ISNUMBER(H1471)),D1471-H1471,NA())</f>
        <v/>
      </c>
      <c r="M1471" s="18">
        <f>IF(AND(ISNUMBER(E1471),ISNUMBER(K1471)),E1471-K1471,NA())</f>
        <v/>
      </c>
      <c r="N1471" s="18">
        <f>IF(NOT(ISNUMBER($A1471)),NA(),IF(COUNT(OFFSET(G1471,1,0,Settings!$B$12,1))&lt;Settings!$B$12,NA(),STDEV(OFFSET(G1471,1,0,Settings!$B$12,1))*SQRT(Settings!$B$13)))</f>
        <v/>
      </c>
      <c r="O1471" s="18">
        <f>IF(AND(ISNUMBER(E1471),ISNUMBER(N1471)),E1471-N1471,NA())</f>
        <v/>
      </c>
      <c r="P1471" s="17">
        <f>IF(NOT(ISNUMBER($A1471)),NA(),IF(OR($A1471&lt;MIN(KW_TP!$A$2:$A$2501),$A1471&gt;MAX(KW_TP!$A$2:$A$2501)),NA(),INDEX(KW_TP!$C$2:$C$2501,MATCH($A1471,KW_TP!$A$2:$A$2501,1))))</f>
        <v/>
      </c>
    </row>
    <row r="1472">
      <c r="A1472" s="15">
        <f>IF(ISNUMBER(BBG_Data!A1472),BBG_Data!A1472,"")</f>
        <v/>
      </c>
      <c r="B1472" s="16">
        <f>IF(AND(ISNUMBER($A1472),ISNUMBER(BBG_Data!B1472)),BBG_Data!B1472,NA())</f>
        <v/>
      </c>
      <c r="C1472" s="16">
        <f>IF(AND(ISNUMBER($A1472),ISNUMBER(BBG_Data!C1472)),BBG_Data!C1472,NA())</f>
        <v/>
      </c>
      <c r="D1472" s="17">
        <f>IF(AND(ISNUMBER($A1472),ISNUMBER(BBG_Data!D1472)),BBG_Data!D1472,NA())</f>
        <v/>
      </c>
      <c r="E1472" s="17">
        <f>IF(AND(ISNUMBER($A1472),ISNUMBER(BBG_Data!E1472)),BBG_Data!E1472,NA())</f>
        <v/>
      </c>
      <c r="F1472" s="18">
        <f>IF(AND(ISNUMBER(B1472),ISNUMBER(B1471)),(B1472-B1471)*100,"")</f>
        <v/>
      </c>
      <c r="G1472" s="18">
        <f>IF(AND(ISNUMBER(C1472),ISNUMBER(C1471)),(C1472-C1471)*100,"")</f>
        <v/>
      </c>
      <c r="H1472" s="18">
        <f>IF(OR(NOT(ISNUMBER($A1472)),ROW()-2&lt;Settings!$B$11),NA(),IF(COUNT(OFFSET(F1472,1-Settings!$B$11,0,Settings!$B$11,1))&lt;Settings!$B$11,NA(),STDEV(OFFSET(F1472,1-Settings!$B$11,0,Settings!$B$11,1))*SQRT(Settings!$B$13)))</f>
        <v/>
      </c>
      <c r="I1472" s="18">
        <f>IF(OR(NOT(ISNUMBER($A1472)),ROW()-2&lt;Settings!$B$12),NA(),IF(COUNT(OFFSET(F1472,1-Settings!$B$12,0,Settings!$B$12,1))&lt;Settings!$B$12,NA(),STDEV(OFFSET(F1472,1-Settings!$B$12,0,Settings!$B$12,1))*SQRT(Settings!$B$13)))</f>
        <v/>
      </c>
      <c r="J1472" s="18">
        <f>IF(OR(NOT(ISNUMBER($A1472)),ROW()-2&lt;Settings!$B$11),NA(),IF(COUNT(OFFSET(G1472,1-Settings!$B$11,0,Settings!$B$11,1))&lt;Settings!$B$11,NA(),STDEV(OFFSET(G1472,1-Settings!$B$11,0,Settings!$B$11,1))*SQRT(Settings!$B$13)))</f>
        <v/>
      </c>
      <c r="K1472" s="18">
        <f>IF(OR(NOT(ISNUMBER($A1472)),ROW()-2&lt;Settings!$B$12),NA(),IF(COUNT(OFFSET(G1472,1-Settings!$B$12,0,Settings!$B$12,1))&lt;Settings!$B$12,NA(),STDEV(OFFSET(G1472,1-Settings!$B$12,0,Settings!$B$12,1))*SQRT(Settings!$B$13)))</f>
        <v/>
      </c>
      <c r="L1472" s="18">
        <f>IF(AND(ISNUMBER(D1472),ISNUMBER(H1472)),D1472-H1472,NA())</f>
        <v/>
      </c>
      <c r="M1472" s="18">
        <f>IF(AND(ISNUMBER(E1472),ISNUMBER(K1472)),E1472-K1472,NA())</f>
        <v/>
      </c>
      <c r="N1472" s="18">
        <f>IF(NOT(ISNUMBER($A1472)),NA(),IF(COUNT(OFFSET(G1472,1,0,Settings!$B$12,1))&lt;Settings!$B$12,NA(),STDEV(OFFSET(G1472,1,0,Settings!$B$12,1))*SQRT(Settings!$B$13)))</f>
        <v/>
      </c>
      <c r="O1472" s="18">
        <f>IF(AND(ISNUMBER(E1472),ISNUMBER(N1472)),E1472-N1472,NA())</f>
        <v/>
      </c>
      <c r="P1472" s="17">
        <f>IF(NOT(ISNUMBER($A1472)),NA(),IF(OR($A1472&lt;MIN(KW_TP!$A$2:$A$2501),$A1472&gt;MAX(KW_TP!$A$2:$A$2501)),NA(),INDEX(KW_TP!$C$2:$C$2501,MATCH($A1472,KW_TP!$A$2:$A$2501,1))))</f>
        <v/>
      </c>
    </row>
    <row r="1473">
      <c r="A1473" s="15">
        <f>IF(ISNUMBER(BBG_Data!A1473),BBG_Data!A1473,"")</f>
        <v/>
      </c>
      <c r="B1473" s="16">
        <f>IF(AND(ISNUMBER($A1473),ISNUMBER(BBG_Data!B1473)),BBG_Data!B1473,NA())</f>
        <v/>
      </c>
      <c r="C1473" s="16">
        <f>IF(AND(ISNUMBER($A1473),ISNUMBER(BBG_Data!C1473)),BBG_Data!C1473,NA())</f>
        <v/>
      </c>
      <c r="D1473" s="17">
        <f>IF(AND(ISNUMBER($A1473),ISNUMBER(BBG_Data!D1473)),BBG_Data!D1473,NA())</f>
        <v/>
      </c>
      <c r="E1473" s="17">
        <f>IF(AND(ISNUMBER($A1473),ISNUMBER(BBG_Data!E1473)),BBG_Data!E1473,NA())</f>
        <v/>
      </c>
      <c r="F1473" s="18">
        <f>IF(AND(ISNUMBER(B1473),ISNUMBER(B1472)),(B1473-B1472)*100,"")</f>
        <v/>
      </c>
      <c r="G1473" s="18">
        <f>IF(AND(ISNUMBER(C1473),ISNUMBER(C1472)),(C1473-C1472)*100,"")</f>
        <v/>
      </c>
      <c r="H1473" s="18">
        <f>IF(OR(NOT(ISNUMBER($A1473)),ROW()-2&lt;Settings!$B$11),NA(),IF(COUNT(OFFSET(F1473,1-Settings!$B$11,0,Settings!$B$11,1))&lt;Settings!$B$11,NA(),STDEV(OFFSET(F1473,1-Settings!$B$11,0,Settings!$B$11,1))*SQRT(Settings!$B$13)))</f>
        <v/>
      </c>
      <c r="I1473" s="18">
        <f>IF(OR(NOT(ISNUMBER($A1473)),ROW()-2&lt;Settings!$B$12),NA(),IF(COUNT(OFFSET(F1473,1-Settings!$B$12,0,Settings!$B$12,1))&lt;Settings!$B$12,NA(),STDEV(OFFSET(F1473,1-Settings!$B$12,0,Settings!$B$12,1))*SQRT(Settings!$B$13)))</f>
        <v/>
      </c>
      <c r="J1473" s="18">
        <f>IF(OR(NOT(ISNUMBER($A1473)),ROW()-2&lt;Settings!$B$11),NA(),IF(COUNT(OFFSET(G1473,1-Settings!$B$11,0,Settings!$B$11,1))&lt;Settings!$B$11,NA(),STDEV(OFFSET(G1473,1-Settings!$B$11,0,Settings!$B$11,1))*SQRT(Settings!$B$13)))</f>
        <v/>
      </c>
      <c r="K1473" s="18">
        <f>IF(OR(NOT(ISNUMBER($A1473)),ROW()-2&lt;Settings!$B$12),NA(),IF(COUNT(OFFSET(G1473,1-Settings!$B$12,0,Settings!$B$12,1))&lt;Settings!$B$12,NA(),STDEV(OFFSET(G1473,1-Settings!$B$12,0,Settings!$B$12,1))*SQRT(Settings!$B$13)))</f>
        <v/>
      </c>
      <c r="L1473" s="18">
        <f>IF(AND(ISNUMBER(D1473),ISNUMBER(H1473)),D1473-H1473,NA())</f>
        <v/>
      </c>
      <c r="M1473" s="18">
        <f>IF(AND(ISNUMBER(E1473),ISNUMBER(K1473)),E1473-K1473,NA())</f>
        <v/>
      </c>
      <c r="N1473" s="18">
        <f>IF(NOT(ISNUMBER($A1473)),NA(),IF(COUNT(OFFSET(G1473,1,0,Settings!$B$12,1))&lt;Settings!$B$12,NA(),STDEV(OFFSET(G1473,1,0,Settings!$B$12,1))*SQRT(Settings!$B$13)))</f>
        <v/>
      </c>
      <c r="O1473" s="18">
        <f>IF(AND(ISNUMBER(E1473),ISNUMBER(N1473)),E1473-N1473,NA())</f>
        <v/>
      </c>
      <c r="P1473" s="17">
        <f>IF(NOT(ISNUMBER($A1473)),NA(),IF(OR($A1473&lt;MIN(KW_TP!$A$2:$A$2501),$A1473&gt;MAX(KW_TP!$A$2:$A$2501)),NA(),INDEX(KW_TP!$C$2:$C$2501,MATCH($A1473,KW_TP!$A$2:$A$2501,1))))</f>
        <v/>
      </c>
    </row>
    <row r="1474">
      <c r="A1474" s="15">
        <f>IF(ISNUMBER(BBG_Data!A1474),BBG_Data!A1474,"")</f>
        <v/>
      </c>
      <c r="B1474" s="16">
        <f>IF(AND(ISNUMBER($A1474),ISNUMBER(BBG_Data!B1474)),BBG_Data!B1474,NA())</f>
        <v/>
      </c>
      <c r="C1474" s="16">
        <f>IF(AND(ISNUMBER($A1474),ISNUMBER(BBG_Data!C1474)),BBG_Data!C1474,NA())</f>
        <v/>
      </c>
      <c r="D1474" s="17">
        <f>IF(AND(ISNUMBER($A1474),ISNUMBER(BBG_Data!D1474)),BBG_Data!D1474,NA())</f>
        <v/>
      </c>
      <c r="E1474" s="17">
        <f>IF(AND(ISNUMBER($A1474),ISNUMBER(BBG_Data!E1474)),BBG_Data!E1474,NA())</f>
        <v/>
      </c>
      <c r="F1474" s="18">
        <f>IF(AND(ISNUMBER(B1474),ISNUMBER(B1473)),(B1474-B1473)*100,"")</f>
        <v/>
      </c>
      <c r="G1474" s="18">
        <f>IF(AND(ISNUMBER(C1474),ISNUMBER(C1473)),(C1474-C1473)*100,"")</f>
        <v/>
      </c>
      <c r="H1474" s="18">
        <f>IF(OR(NOT(ISNUMBER($A1474)),ROW()-2&lt;Settings!$B$11),NA(),IF(COUNT(OFFSET(F1474,1-Settings!$B$11,0,Settings!$B$11,1))&lt;Settings!$B$11,NA(),STDEV(OFFSET(F1474,1-Settings!$B$11,0,Settings!$B$11,1))*SQRT(Settings!$B$13)))</f>
        <v/>
      </c>
      <c r="I1474" s="18">
        <f>IF(OR(NOT(ISNUMBER($A1474)),ROW()-2&lt;Settings!$B$12),NA(),IF(COUNT(OFFSET(F1474,1-Settings!$B$12,0,Settings!$B$12,1))&lt;Settings!$B$12,NA(),STDEV(OFFSET(F1474,1-Settings!$B$12,0,Settings!$B$12,1))*SQRT(Settings!$B$13)))</f>
        <v/>
      </c>
      <c r="J1474" s="18">
        <f>IF(OR(NOT(ISNUMBER($A1474)),ROW()-2&lt;Settings!$B$11),NA(),IF(COUNT(OFFSET(G1474,1-Settings!$B$11,0,Settings!$B$11,1))&lt;Settings!$B$11,NA(),STDEV(OFFSET(G1474,1-Settings!$B$11,0,Settings!$B$11,1))*SQRT(Settings!$B$13)))</f>
        <v/>
      </c>
      <c r="K1474" s="18">
        <f>IF(OR(NOT(ISNUMBER($A1474)),ROW()-2&lt;Settings!$B$12),NA(),IF(COUNT(OFFSET(G1474,1-Settings!$B$12,0,Settings!$B$12,1))&lt;Settings!$B$12,NA(),STDEV(OFFSET(G1474,1-Settings!$B$12,0,Settings!$B$12,1))*SQRT(Settings!$B$13)))</f>
        <v/>
      </c>
      <c r="L1474" s="18">
        <f>IF(AND(ISNUMBER(D1474),ISNUMBER(H1474)),D1474-H1474,NA())</f>
        <v/>
      </c>
      <c r="M1474" s="18">
        <f>IF(AND(ISNUMBER(E1474),ISNUMBER(K1474)),E1474-K1474,NA())</f>
        <v/>
      </c>
      <c r="N1474" s="18">
        <f>IF(NOT(ISNUMBER($A1474)),NA(),IF(COUNT(OFFSET(G1474,1,0,Settings!$B$12,1))&lt;Settings!$B$12,NA(),STDEV(OFFSET(G1474,1,0,Settings!$B$12,1))*SQRT(Settings!$B$13)))</f>
        <v/>
      </c>
      <c r="O1474" s="18">
        <f>IF(AND(ISNUMBER(E1474),ISNUMBER(N1474)),E1474-N1474,NA())</f>
        <v/>
      </c>
      <c r="P1474" s="17">
        <f>IF(NOT(ISNUMBER($A1474)),NA(),IF(OR($A1474&lt;MIN(KW_TP!$A$2:$A$2501),$A1474&gt;MAX(KW_TP!$A$2:$A$2501)),NA(),INDEX(KW_TP!$C$2:$C$2501,MATCH($A1474,KW_TP!$A$2:$A$2501,1))))</f>
        <v/>
      </c>
    </row>
    <row r="1475">
      <c r="A1475" s="15">
        <f>IF(ISNUMBER(BBG_Data!A1475),BBG_Data!A1475,"")</f>
        <v/>
      </c>
      <c r="B1475" s="16">
        <f>IF(AND(ISNUMBER($A1475),ISNUMBER(BBG_Data!B1475)),BBG_Data!B1475,NA())</f>
        <v/>
      </c>
      <c r="C1475" s="16">
        <f>IF(AND(ISNUMBER($A1475),ISNUMBER(BBG_Data!C1475)),BBG_Data!C1475,NA())</f>
        <v/>
      </c>
      <c r="D1475" s="17">
        <f>IF(AND(ISNUMBER($A1475),ISNUMBER(BBG_Data!D1475)),BBG_Data!D1475,NA())</f>
        <v/>
      </c>
      <c r="E1475" s="17">
        <f>IF(AND(ISNUMBER($A1475),ISNUMBER(BBG_Data!E1475)),BBG_Data!E1475,NA())</f>
        <v/>
      </c>
      <c r="F1475" s="18">
        <f>IF(AND(ISNUMBER(B1475),ISNUMBER(B1474)),(B1475-B1474)*100,"")</f>
        <v/>
      </c>
      <c r="G1475" s="18">
        <f>IF(AND(ISNUMBER(C1475),ISNUMBER(C1474)),(C1475-C1474)*100,"")</f>
        <v/>
      </c>
      <c r="H1475" s="18">
        <f>IF(OR(NOT(ISNUMBER($A1475)),ROW()-2&lt;Settings!$B$11),NA(),IF(COUNT(OFFSET(F1475,1-Settings!$B$11,0,Settings!$B$11,1))&lt;Settings!$B$11,NA(),STDEV(OFFSET(F1475,1-Settings!$B$11,0,Settings!$B$11,1))*SQRT(Settings!$B$13)))</f>
        <v/>
      </c>
      <c r="I1475" s="18">
        <f>IF(OR(NOT(ISNUMBER($A1475)),ROW()-2&lt;Settings!$B$12),NA(),IF(COUNT(OFFSET(F1475,1-Settings!$B$12,0,Settings!$B$12,1))&lt;Settings!$B$12,NA(),STDEV(OFFSET(F1475,1-Settings!$B$12,0,Settings!$B$12,1))*SQRT(Settings!$B$13)))</f>
        <v/>
      </c>
      <c r="J1475" s="18">
        <f>IF(OR(NOT(ISNUMBER($A1475)),ROW()-2&lt;Settings!$B$11),NA(),IF(COUNT(OFFSET(G1475,1-Settings!$B$11,0,Settings!$B$11,1))&lt;Settings!$B$11,NA(),STDEV(OFFSET(G1475,1-Settings!$B$11,0,Settings!$B$11,1))*SQRT(Settings!$B$13)))</f>
        <v/>
      </c>
      <c r="K1475" s="18">
        <f>IF(OR(NOT(ISNUMBER($A1475)),ROW()-2&lt;Settings!$B$12),NA(),IF(COUNT(OFFSET(G1475,1-Settings!$B$12,0,Settings!$B$12,1))&lt;Settings!$B$12,NA(),STDEV(OFFSET(G1475,1-Settings!$B$12,0,Settings!$B$12,1))*SQRT(Settings!$B$13)))</f>
        <v/>
      </c>
      <c r="L1475" s="18">
        <f>IF(AND(ISNUMBER(D1475),ISNUMBER(H1475)),D1475-H1475,NA())</f>
        <v/>
      </c>
      <c r="M1475" s="18">
        <f>IF(AND(ISNUMBER(E1475),ISNUMBER(K1475)),E1475-K1475,NA())</f>
        <v/>
      </c>
      <c r="N1475" s="18">
        <f>IF(NOT(ISNUMBER($A1475)),NA(),IF(COUNT(OFFSET(G1475,1,0,Settings!$B$12,1))&lt;Settings!$B$12,NA(),STDEV(OFFSET(G1475,1,0,Settings!$B$12,1))*SQRT(Settings!$B$13)))</f>
        <v/>
      </c>
      <c r="O1475" s="18">
        <f>IF(AND(ISNUMBER(E1475),ISNUMBER(N1475)),E1475-N1475,NA())</f>
        <v/>
      </c>
      <c r="P1475" s="17">
        <f>IF(NOT(ISNUMBER($A1475)),NA(),IF(OR($A1475&lt;MIN(KW_TP!$A$2:$A$2501),$A1475&gt;MAX(KW_TP!$A$2:$A$2501)),NA(),INDEX(KW_TP!$C$2:$C$2501,MATCH($A1475,KW_TP!$A$2:$A$2501,1))))</f>
        <v/>
      </c>
    </row>
    <row r="1476">
      <c r="A1476" s="15">
        <f>IF(ISNUMBER(BBG_Data!A1476),BBG_Data!A1476,"")</f>
        <v/>
      </c>
      <c r="B1476" s="16">
        <f>IF(AND(ISNUMBER($A1476),ISNUMBER(BBG_Data!B1476)),BBG_Data!B1476,NA())</f>
        <v/>
      </c>
      <c r="C1476" s="16">
        <f>IF(AND(ISNUMBER($A1476),ISNUMBER(BBG_Data!C1476)),BBG_Data!C1476,NA())</f>
        <v/>
      </c>
      <c r="D1476" s="17">
        <f>IF(AND(ISNUMBER($A1476),ISNUMBER(BBG_Data!D1476)),BBG_Data!D1476,NA())</f>
        <v/>
      </c>
      <c r="E1476" s="17">
        <f>IF(AND(ISNUMBER($A1476),ISNUMBER(BBG_Data!E1476)),BBG_Data!E1476,NA())</f>
        <v/>
      </c>
      <c r="F1476" s="18">
        <f>IF(AND(ISNUMBER(B1476),ISNUMBER(B1475)),(B1476-B1475)*100,"")</f>
        <v/>
      </c>
      <c r="G1476" s="18">
        <f>IF(AND(ISNUMBER(C1476),ISNUMBER(C1475)),(C1476-C1475)*100,"")</f>
        <v/>
      </c>
      <c r="H1476" s="18">
        <f>IF(OR(NOT(ISNUMBER($A1476)),ROW()-2&lt;Settings!$B$11),NA(),IF(COUNT(OFFSET(F1476,1-Settings!$B$11,0,Settings!$B$11,1))&lt;Settings!$B$11,NA(),STDEV(OFFSET(F1476,1-Settings!$B$11,0,Settings!$B$11,1))*SQRT(Settings!$B$13)))</f>
        <v/>
      </c>
      <c r="I1476" s="18">
        <f>IF(OR(NOT(ISNUMBER($A1476)),ROW()-2&lt;Settings!$B$12),NA(),IF(COUNT(OFFSET(F1476,1-Settings!$B$12,0,Settings!$B$12,1))&lt;Settings!$B$12,NA(),STDEV(OFFSET(F1476,1-Settings!$B$12,0,Settings!$B$12,1))*SQRT(Settings!$B$13)))</f>
        <v/>
      </c>
      <c r="J1476" s="18">
        <f>IF(OR(NOT(ISNUMBER($A1476)),ROW()-2&lt;Settings!$B$11),NA(),IF(COUNT(OFFSET(G1476,1-Settings!$B$11,0,Settings!$B$11,1))&lt;Settings!$B$11,NA(),STDEV(OFFSET(G1476,1-Settings!$B$11,0,Settings!$B$11,1))*SQRT(Settings!$B$13)))</f>
        <v/>
      </c>
      <c r="K1476" s="18">
        <f>IF(OR(NOT(ISNUMBER($A1476)),ROW()-2&lt;Settings!$B$12),NA(),IF(COUNT(OFFSET(G1476,1-Settings!$B$12,0,Settings!$B$12,1))&lt;Settings!$B$12,NA(),STDEV(OFFSET(G1476,1-Settings!$B$12,0,Settings!$B$12,1))*SQRT(Settings!$B$13)))</f>
        <v/>
      </c>
      <c r="L1476" s="18">
        <f>IF(AND(ISNUMBER(D1476),ISNUMBER(H1476)),D1476-H1476,NA())</f>
        <v/>
      </c>
      <c r="M1476" s="18">
        <f>IF(AND(ISNUMBER(E1476),ISNUMBER(K1476)),E1476-K1476,NA())</f>
        <v/>
      </c>
      <c r="N1476" s="18">
        <f>IF(NOT(ISNUMBER($A1476)),NA(),IF(COUNT(OFFSET(G1476,1,0,Settings!$B$12,1))&lt;Settings!$B$12,NA(),STDEV(OFFSET(G1476,1,0,Settings!$B$12,1))*SQRT(Settings!$B$13)))</f>
        <v/>
      </c>
      <c r="O1476" s="18">
        <f>IF(AND(ISNUMBER(E1476),ISNUMBER(N1476)),E1476-N1476,NA())</f>
        <v/>
      </c>
      <c r="P1476" s="17">
        <f>IF(NOT(ISNUMBER($A1476)),NA(),IF(OR($A1476&lt;MIN(KW_TP!$A$2:$A$2501),$A1476&gt;MAX(KW_TP!$A$2:$A$2501)),NA(),INDEX(KW_TP!$C$2:$C$2501,MATCH($A1476,KW_TP!$A$2:$A$2501,1))))</f>
        <v/>
      </c>
    </row>
    <row r="1477">
      <c r="A1477" s="15">
        <f>IF(ISNUMBER(BBG_Data!A1477),BBG_Data!A1477,"")</f>
        <v/>
      </c>
      <c r="B1477" s="16">
        <f>IF(AND(ISNUMBER($A1477),ISNUMBER(BBG_Data!B1477)),BBG_Data!B1477,NA())</f>
        <v/>
      </c>
      <c r="C1477" s="16">
        <f>IF(AND(ISNUMBER($A1477),ISNUMBER(BBG_Data!C1477)),BBG_Data!C1477,NA())</f>
        <v/>
      </c>
      <c r="D1477" s="17">
        <f>IF(AND(ISNUMBER($A1477),ISNUMBER(BBG_Data!D1477)),BBG_Data!D1477,NA())</f>
        <v/>
      </c>
      <c r="E1477" s="17">
        <f>IF(AND(ISNUMBER($A1477),ISNUMBER(BBG_Data!E1477)),BBG_Data!E1477,NA())</f>
        <v/>
      </c>
      <c r="F1477" s="18">
        <f>IF(AND(ISNUMBER(B1477),ISNUMBER(B1476)),(B1477-B1476)*100,"")</f>
        <v/>
      </c>
      <c r="G1477" s="18">
        <f>IF(AND(ISNUMBER(C1477),ISNUMBER(C1476)),(C1477-C1476)*100,"")</f>
        <v/>
      </c>
      <c r="H1477" s="18">
        <f>IF(OR(NOT(ISNUMBER($A1477)),ROW()-2&lt;Settings!$B$11),NA(),IF(COUNT(OFFSET(F1477,1-Settings!$B$11,0,Settings!$B$11,1))&lt;Settings!$B$11,NA(),STDEV(OFFSET(F1477,1-Settings!$B$11,0,Settings!$B$11,1))*SQRT(Settings!$B$13)))</f>
        <v/>
      </c>
      <c r="I1477" s="18">
        <f>IF(OR(NOT(ISNUMBER($A1477)),ROW()-2&lt;Settings!$B$12),NA(),IF(COUNT(OFFSET(F1477,1-Settings!$B$12,0,Settings!$B$12,1))&lt;Settings!$B$12,NA(),STDEV(OFFSET(F1477,1-Settings!$B$12,0,Settings!$B$12,1))*SQRT(Settings!$B$13)))</f>
        <v/>
      </c>
      <c r="J1477" s="18">
        <f>IF(OR(NOT(ISNUMBER($A1477)),ROW()-2&lt;Settings!$B$11),NA(),IF(COUNT(OFFSET(G1477,1-Settings!$B$11,0,Settings!$B$11,1))&lt;Settings!$B$11,NA(),STDEV(OFFSET(G1477,1-Settings!$B$11,0,Settings!$B$11,1))*SQRT(Settings!$B$13)))</f>
        <v/>
      </c>
      <c r="K1477" s="18">
        <f>IF(OR(NOT(ISNUMBER($A1477)),ROW()-2&lt;Settings!$B$12),NA(),IF(COUNT(OFFSET(G1477,1-Settings!$B$12,0,Settings!$B$12,1))&lt;Settings!$B$12,NA(),STDEV(OFFSET(G1477,1-Settings!$B$12,0,Settings!$B$12,1))*SQRT(Settings!$B$13)))</f>
        <v/>
      </c>
      <c r="L1477" s="18">
        <f>IF(AND(ISNUMBER(D1477),ISNUMBER(H1477)),D1477-H1477,NA())</f>
        <v/>
      </c>
      <c r="M1477" s="18">
        <f>IF(AND(ISNUMBER(E1477),ISNUMBER(K1477)),E1477-K1477,NA())</f>
        <v/>
      </c>
      <c r="N1477" s="18">
        <f>IF(NOT(ISNUMBER($A1477)),NA(),IF(COUNT(OFFSET(G1477,1,0,Settings!$B$12,1))&lt;Settings!$B$12,NA(),STDEV(OFFSET(G1477,1,0,Settings!$B$12,1))*SQRT(Settings!$B$13)))</f>
        <v/>
      </c>
      <c r="O1477" s="18">
        <f>IF(AND(ISNUMBER(E1477),ISNUMBER(N1477)),E1477-N1477,NA())</f>
        <v/>
      </c>
      <c r="P1477" s="17">
        <f>IF(NOT(ISNUMBER($A1477)),NA(),IF(OR($A1477&lt;MIN(KW_TP!$A$2:$A$2501),$A1477&gt;MAX(KW_TP!$A$2:$A$2501)),NA(),INDEX(KW_TP!$C$2:$C$2501,MATCH($A1477,KW_TP!$A$2:$A$2501,1))))</f>
        <v/>
      </c>
    </row>
    <row r="1478">
      <c r="A1478" s="15">
        <f>IF(ISNUMBER(BBG_Data!A1478),BBG_Data!A1478,"")</f>
        <v/>
      </c>
      <c r="B1478" s="16">
        <f>IF(AND(ISNUMBER($A1478),ISNUMBER(BBG_Data!B1478)),BBG_Data!B1478,NA())</f>
        <v/>
      </c>
      <c r="C1478" s="16">
        <f>IF(AND(ISNUMBER($A1478),ISNUMBER(BBG_Data!C1478)),BBG_Data!C1478,NA())</f>
        <v/>
      </c>
      <c r="D1478" s="17">
        <f>IF(AND(ISNUMBER($A1478),ISNUMBER(BBG_Data!D1478)),BBG_Data!D1478,NA())</f>
        <v/>
      </c>
      <c r="E1478" s="17">
        <f>IF(AND(ISNUMBER($A1478),ISNUMBER(BBG_Data!E1478)),BBG_Data!E1478,NA())</f>
        <v/>
      </c>
      <c r="F1478" s="18">
        <f>IF(AND(ISNUMBER(B1478),ISNUMBER(B1477)),(B1478-B1477)*100,"")</f>
        <v/>
      </c>
      <c r="G1478" s="18">
        <f>IF(AND(ISNUMBER(C1478),ISNUMBER(C1477)),(C1478-C1477)*100,"")</f>
        <v/>
      </c>
      <c r="H1478" s="18">
        <f>IF(OR(NOT(ISNUMBER($A1478)),ROW()-2&lt;Settings!$B$11),NA(),IF(COUNT(OFFSET(F1478,1-Settings!$B$11,0,Settings!$B$11,1))&lt;Settings!$B$11,NA(),STDEV(OFFSET(F1478,1-Settings!$B$11,0,Settings!$B$11,1))*SQRT(Settings!$B$13)))</f>
        <v/>
      </c>
      <c r="I1478" s="18">
        <f>IF(OR(NOT(ISNUMBER($A1478)),ROW()-2&lt;Settings!$B$12),NA(),IF(COUNT(OFFSET(F1478,1-Settings!$B$12,0,Settings!$B$12,1))&lt;Settings!$B$12,NA(),STDEV(OFFSET(F1478,1-Settings!$B$12,0,Settings!$B$12,1))*SQRT(Settings!$B$13)))</f>
        <v/>
      </c>
      <c r="J1478" s="18">
        <f>IF(OR(NOT(ISNUMBER($A1478)),ROW()-2&lt;Settings!$B$11),NA(),IF(COUNT(OFFSET(G1478,1-Settings!$B$11,0,Settings!$B$11,1))&lt;Settings!$B$11,NA(),STDEV(OFFSET(G1478,1-Settings!$B$11,0,Settings!$B$11,1))*SQRT(Settings!$B$13)))</f>
        <v/>
      </c>
      <c r="K1478" s="18">
        <f>IF(OR(NOT(ISNUMBER($A1478)),ROW()-2&lt;Settings!$B$12),NA(),IF(COUNT(OFFSET(G1478,1-Settings!$B$12,0,Settings!$B$12,1))&lt;Settings!$B$12,NA(),STDEV(OFFSET(G1478,1-Settings!$B$12,0,Settings!$B$12,1))*SQRT(Settings!$B$13)))</f>
        <v/>
      </c>
      <c r="L1478" s="18">
        <f>IF(AND(ISNUMBER(D1478),ISNUMBER(H1478)),D1478-H1478,NA())</f>
        <v/>
      </c>
      <c r="M1478" s="18">
        <f>IF(AND(ISNUMBER(E1478),ISNUMBER(K1478)),E1478-K1478,NA())</f>
        <v/>
      </c>
      <c r="N1478" s="18">
        <f>IF(NOT(ISNUMBER($A1478)),NA(),IF(COUNT(OFFSET(G1478,1,0,Settings!$B$12,1))&lt;Settings!$B$12,NA(),STDEV(OFFSET(G1478,1,0,Settings!$B$12,1))*SQRT(Settings!$B$13)))</f>
        <v/>
      </c>
      <c r="O1478" s="18">
        <f>IF(AND(ISNUMBER(E1478),ISNUMBER(N1478)),E1478-N1478,NA())</f>
        <v/>
      </c>
      <c r="P1478" s="17">
        <f>IF(NOT(ISNUMBER($A1478)),NA(),IF(OR($A1478&lt;MIN(KW_TP!$A$2:$A$2501),$A1478&gt;MAX(KW_TP!$A$2:$A$2501)),NA(),INDEX(KW_TP!$C$2:$C$2501,MATCH($A1478,KW_TP!$A$2:$A$2501,1))))</f>
        <v/>
      </c>
    </row>
    <row r="1479">
      <c r="A1479" s="15">
        <f>IF(ISNUMBER(BBG_Data!A1479),BBG_Data!A1479,"")</f>
        <v/>
      </c>
      <c r="B1479" s="16">
        <f>IF(AND(ISNUMBER($A1479),ISNUMBER(BBG_Data!B1479)),BBG_Data!B1479,NA())</f>
        <v/>
      </c>
      <c r="C1479" s="16">
        <f>IF(AND(ISNUMBER($A1479),ISNUMBER(BBG_Data!C1479)),BBG_Data!C1479,NA())</f>
        <v/>
      </c>
      <c r="D1479" s="17">
        <f>IF(AND(ISNUMBER($A1479),ISNUMBER(BBG_Data!D1479)),BBG_Data!D1479,NA())</f>
        <v/>
      </c>
      <c r="E1479" s="17">
        <f>IF(AND(ISNUMBER($A1479),ISNUMBER(BBG_Data!E1479)),BBG_Data!E1479,NA())</f>
        <v/>
      </c>
      <c r="F1479" s="18">
        <f>IF(AND(ISNUMBER(B1479),ISNUMBER(B1478)),(B1479-B1478)*100,"")</f>
        <v/>
      </c>
      <c r="G1479" s="18">
        <f>IF(AND(ISNUMBER(C1479),ISNUMBER(C1478)),(C1479-C1478)*100,"")</f>
        <v/>
      </c>
      <c r="H1479" s="18">
        <f>IF(OR(NOT(ISNUMBER($A1479)),ROW()-2&lt;Settings!$B$11),NA(),IF(COUNT(OFFSET(F1479,1-Settings!$B$11,0,Settings!$B$11,1))&lt;Settings!$B$11,NA(),STDEV(OFFSET(F1479,1-Settings!$B$11,0,Settings!$B$11,1))*SQRT(Settings!$B$13)))</f>
        <v/>
      </c>
      <c r="I1479" s="18">
        <f>IF(OR(NOT(ISNUMBER($A1479)),ROW()-2&lt;Settings!$B$12),NA(),IF(COUNT(OFFSET(F1479,1-Settings!$B$12,0,Settings!$B$12,1))&lt;Settings!$B$12,NA(),STDEV(OFFSET(F1479,1-Settings!$B$12,0,Settings!$B$12,1))*SQRT(Settings!$B$13)))</f>
        <v/>
      </c>
      <c r="J1479" s="18">
        <f>IF(OR(NOT(ISNUMBER($A1479)),ROW()-2&lt;Settings!$B$11),NA(),IF(COUNT(OFFSET(G1479,1-Settings!$B$11,0,Settings!$B$11,1))&lt;Settings!$B$11,NA(),STDEV(OFFSET(G1479,1-Settings!$B$11,0,Settings!$B$11,1))*SQRT(Settings!$B$13)))</f>
        <v/>
      </c>
      <c r="K1479" s="18">
        <f>IF(OR(NOT(ISNUMBER($A1479)),ROW()-2&lt;Settings!$B$12),NA(),IF(COUNT(OFFSET(G1479,1-Settings!$B$12,0,Settings!$B$12,1))&lt;Settings!$B$12,NA(),STDEV(OFFSET(G1479,1-Settings!$B$12,0,Settings!$B$12,1))*SQRT(Settings!$B$13)))</f>
        <v/>
      </c>
      <c r="L1479" s="18">
        <f>IF(AND(ISNUMBER(D1479),ISNUMBER(H1479)),D1479-H1479,NA())</f>
        <v/>
      </c>
      <c r="M1479" s="18">
        <f>IF(AND(ISNUMBER(E1479),ISNUMBER(K1479)),E1479-K1479,NA())</f>
        <v/>
      </c>
      <c r="N1479" s="18">
        <f>IF(NOT(ISNUMBER($A1479)),NA(),IF(COUNT(OFFSET(G1479,1,0,Settings!$B$12,1))&lt;Settings!$B$12,NA(),STDEV(OFFSET(G1479,1,0,Settings!$B$12,1))*SQRT(Settings!$B$13)))</f>
        <v/>
      </c>
      <c r="O1479" s="18">
        <f>IF(AND(ISNUMBER(E1479),ISNUMBER(N1479)),E1479-N1479,NA())</f>
        <v/>
      </c>
      <c r="P1479" s="17">
        <f>IF(NOT(ISNUMBER($A1479)),NA(),IF(OR($A1479&lt;MIN(KW_TP!$A$2:$A$2501),$A1479&gt;MAX(KW_TP!$A$2:$A$2501)),NA(),INDEX(KW_TP!$C$2:$C$2501,MATCH($A1479,KW_TP!$A$2:$A$2501,1))))</f>
        <v/>
      </c>
    </row>
    <row r="1480">
      <c r="A1480" s="15">
        <f>IF(ISNUMBER(BBG_Data!A1480),BBG_Data!A1480,"")</f>
        <v/>
      </c>
      <c r="B1480" s="16">
        <f>IF(AND(ISNUMBER($A1480),ISNUMBER(BBG_Data!B1480)),BBG_Data!B1480,NA())</f>
        <v/>
      </c>
      <c r="C1480" s="16">
        <f>IF(AND(ISNUMBER($A1480),ISNUMBER(BBG_Data!C1480)),BBG_Data!C1480,NA())</f>
        <v/>
      </c>
      <c r="D1480" s="17">
        <f>IF(AND(ISNUMBER($A1480),ISNUMBER(BBG_Data!D1480)),BBG_Data!D1480,NA())</f>
        <v/>
      </c>
      <c r="E1480" s="17">
        <f>IF(AND(ISNUMBER($A1480),ISNUMBER(BBG_Data!E1480)),BBG_Data!E1480,NA())</f>
        <v/>
      </c>
      <c r="F1480" s="18">
        <f>IF(AND(ISNUMBER(B1480),ISNUMBER(B1479)),(B1480-B1479)*100,"")</f>
        <v/>
      </c>
      <c r="G1480" s="18">
        <f>IF(AND(ISNUMBER(C1480),ISNUMBER(C1479)),(C1480-C1479)*100,"")</f>
        <v/>
      </c>
      <c r="H1480" s="18">
        <f>IF(OR(NOT(ISNUMBER($A1480)),ROW()-2&lt;Settings!$B$11),NA(),IF(COUNT(OFFSET(F1480,1-Settings!$B$11,0,Settings!$B$11,1))&lt;Settings!$B$11,NA(),STDEV(OFFSET(F1480,1-Settings!$B$11,0,Settings!$B$11,1))*SQRT(Settings!$B$13)))</f>
        <v/>
      </c>
      <c r="I1480" s="18">
        <f>IF(OR(NOT(ISNUMBER($A1480)),ROW()-2&lt;Settings!$B$12),NA(),IF(COUNT(OFFSET(F1480,1-Settings!$B$12,0,Settings!$B$12,1))&lt;Settings!$B$12,NA(),STDEV(OFFSET(F1480,1-Settings!$B$12,0,Settings!$B$12,1))*SQRT(Settings!$B$13)))</f>
        <v/>
      </c>
      <c r="J1480" s="18">
        <f>IF(OR(NOT(ISNUMBER($A1480)),ROW()-2&lt;Settings!$B$11),NA(),IF(COUNT(OFFSET(G1480,1-Settings!$B$11,0,Settings!$B$11,1))&lt;Settings!$B$11,NA(),STDEV(OFFSET(G1480,1-Settings!$B$11,0,Settings!$B$11,1))*SQRT(Settings!$B$13)))</f>
        <v/>
      </c>
      <c r="K1480" s="18">
        <f>IF(OR(NOT(ISNUMBER($A1480)),ROW()-2&lt;Settings!$B$12),NA(),IF(COUNT(OFFSET(G1480,1-Settings!$B$12,0,Settings!$B$12,1))&lt;Settings!$B$12,NA(),STDEV(OFFSET(G1480,1-Settings!$B$12,0,Settings!$B$12,1))*SQRT(Settings!$B$13)))</f>
        <v/>
      </c>
      <c r="L1480" s="18">
        <f>IF(AND(ISNUMBER(D1480),ISNUMBER(H1480)),D1480-H1480,NA())</f>
        <v/>
      </c>
      <c r="M1480" s="18">
        <f>IF(AND(ISNUMBER(E1480),ISNUMBER(K1480)),E1480-K1480,NA())</f>
        <v/>
      </c>
      <c r="N1480" s="18">
        <f>IF(NOT(ISNUMBER($A1480)),NA(),IF(COUNT(OFFSET(G1480,1,0,Settings!$B$12,1))&lt;Settings!$B$12,NA(),STDEV(OFFSET(G1480,1,0,Settings!$B$12,1))*SQRT(Settings!$B$13)))</f>
        <v/>
      </c>
      <c r="O1480" s="18">
        <f>IF(AND(ISNUMBER(E1480),ISNUMBER(N1480)),E1480-N1480,NA())</f>
        <v/>
      </c>
      <c r="P1480" s="17">
        <f>IF(NOT(ISNUMBER($A1480)),NA(),IF(OR($A1480&lt;MIN(KW_TP!$A$2:$A$2501),$A1480&gt;MAX(KW_TP!$A$2:$A$2501)),NA(),INDEX(KW_TP!$C$2:$C$2501,MATCH($A1480,KW_TP!$A$2:$A$2501,1))))</f>
        <v/>
      </c>
    </row>
    <row r="1481">
      <c r="A1481" s="15">
        <f>IF(ISNUMBER(BBG_Data!A1481),BBG_Data!A1481,"")</f>
        <v/>
      </c>
      <c r="B1481" s="16">
        <f>IF(AND(ISNUMBER($A1481),ISNUMBER(BBG_Data!B1481)),BBG_Data!B1481,NA())</f>
        <v/>
      </c>
      <c r="C1481" s="16">
        <f>IF(AND(ISNUMBER($A1481),ISNUMBER(BBG_Data!C1481)),BBG_Data!C1481,NA())</f>
        <v/>
      </c>
      <c r="D1481" s="17">
        <f>IF(AND(ISNUMBER($A1481),ISNUMBER(BBG_Data!D1481)),BBG_Data!D1481,NA())</f>
        <v/>
      </c>
      <c r="E1481" s="17">
        <f>IF(AND(ISNUMBER($A1481),ISNUMBER(BBG_Data!E1481)),BBG_Data!E1481,NA())</f>
        <v/>
      </c>
      <c r="F1481" s="18">
        <f>IF(AND(ISNUMBER(B1481),ISNUMBER(B1480)),(B1481-B1480)*100,"")</f>
        <v/>
      </c>
      <c r="G1481" s="18">
        <f>IF(AND(ISNUMBER(C1481),ISNUMBER(C1480)),(C1481-C1480)*100,"")</f>
        <v/>
      </c>
      <c r="H1481" s="18">
        <f>IF(OR(NOT(ISNUMBER($A1481)),ROW()-2&lt;Settings!$B$11),NA(),IF(COUNT(OFFSET(F1481,1-Settings!$B$11,0,Settings!$B$11,1))&lt;Settings!$B$11,NA(),STDEV(OFFSET(F1481,1-Settings!$B$11,0,Settings!$B$11,1))*SQRT(Settings!$B$13)))</f>
        <v/>
      </c>
      <c r="I1481" s="18">
        <f>IF(OR(NOT(ISNUMBER($A1481)),ROW()-2&lt;Settings!$B$12),NA(),IF(COUNT(OFFSET(F1481,1-Settings!$B$12,0,Settings!$B$12,1))&lt;Settings!$B$12,NA(),STDEV(OFFSET(F1481,1-Settings!$B$12,0,Settings!$B$12,1))*SQRT(Settings!$B$13)))</f>
        <v/>
      </c>
      <c r="J1481" s="18">
        <f>IF(OR(NOT(ISNUMBER($A1481)),ROW()-2&lt;Settings!$B$11),NA(),IF(COUNT(OFFSET(G1481,1-Settings!$B$11,0,Settings!$B$11,1))&lt;Settings!$B$11,NA(),STDEV(OFFSET(G1481,1-Settings!$B$11,0,Settings!$B$11,1))*SQRT(Settings!$B$13)))</f>
        <v/>
      </c>
      <c r="K1481" s="18">
        <f>IF(OR(NOT(ISNUMBER($A1481)),ROW()-2&lt;Settings!$B$12),NA(),IF(COUNT(OFFSET(G1481,1-Settings!$B$12,0,Settings!$B$12,1))&lt;Settings!$B$12,NA(),STDEV(OFFSET(G1481,1-Settings!$B$12,0,Settings!$B$12,1))*SQRT(Settings!$B$13)))</f>
        <v/>
      </c>
      <c r="L1481" s="18">
        <f>IF(AND(ISNUMBER(D1481),ISNUMBER(H1481)),D1481-H1481,NA())</f>
        <v/>
      </c>
      <c r="M1481" s="18">
        <f>IF(AND(ISNUMBER(E1481),ISNUMBER(K1481)),E1481-K1481,NA())</f>
        <v/>
      </c>
      <c r="N1481" s="18">
        <f>IF(NOT(ISNUMBER($A1481)),NA(),IF(COUNT(OFFSET(G1481,1,0,Settings!$B$12,1))&lt;Settings!$B$12,NA(),STDEV(OFFSET(G1481,1,0,Settings!$B$12,1))*SQRT(Settings!$B$13)))</f>
        <v/>
      </c>
      <c r="O1481" s="18">
        <f>IF(AND(ISNUMBER(E1481),ISNUMBER(N1481)),E1481-N1481,NA())</f>
        <v/>
      </c>
      <c r="P1481" s="17">
        <f>IF(NOT(ISNUMBER($A1481)),NA(),IF(OR($A1481&lt;MIN(KW_TP!$A$2:$A$2501),$A1481&gt;MAX(KW_TP!$A$2:$A$2501)),NA(),INDEX(KW_TP!$C$2:$C$2501,MATCH($A1481,KW_TP!$A$2:$A$2501,1))))</f>
        <v/>
      </c>
    </row>
    <row r="1482">
      <c r="A1482" s="15">
        <f>IF(ISNUMBER(BBG_Data!A1482),BBG_Data!A1482,"")</f>
        <v/>
      </c>
      <c r="B1482" s="16">
        <f>IF(AND(ISNUMBER($A1482),ISNUMBER(BBG_Data!B1482)),BBG_Data!B1482,NA())</f>
        <v/>
      </c>
      <c r="C1482" s="16">
        <f>IF(AND(ISNUMBER($A1482),ISNUMBER(BBG_Data!C1482)),BBG_Data!C1482,NA())</f>
        <v/>
      </c>
      <c r="D1482" s="17">
        <f>IF(AND(ISNUMBER($A1482),ISNUMBER(BBG_Data!D1482)),BBG_Data!D1482,NA())</f>
        <v/>
      </c>
      <c r="E1482" s="17">
        <f>IF(AND(ISNUMBER($A1482),ISNUMBER(BBG_Data!E1482)),BBG_Data!E1482,NA())</f>
        <v/>
      </c>
      <c r="F1482" s="18">
        <f>IF(AND(ISNUMBER(B1482),ISNUMBER(B1481)),(B1482-B1481)*100,"")</f>
        <v/>
      </c>
      <c r="G1482" s="18">
        <f>IF(AND(ISNUMBER(C1482),ISNUMBER(C1481)),(C1482-C1481)*100,"")</f>
        <v/>
      </c>
      <c r="H1482" s="18">
        <f>IF(OR(NOT(ISNUMBER($A1482)),ROW()-2&lt;Settings!$B$11),NA(),IF(COUNT(OFFSET(F1482,1-Settings!$B$11,0,Settings!$B$11,1))&lt;Settings!$B$11,NA(),STDEV(OFFSET(F1482,1-Settings!$B$11,0,Settings!$B$11,1))*SQRT(Settings!$B$13)))</f>
        <v/>
      </c>
      <c r="I1482" s="18">
        <f>IF(OR(NOT(ISNUMBER($A1482)),ROW()-2&lt;Settings!$B$12),NA(),IF(COUNT(OFFSET(F1482,1-Settings!$B$12,0,Settings!$B$12,1))&lt;Settings!$B$12,NA(),STDEV(OFFSET(F1482,1-Settings!$B$12,0,Settings!$B$12,1))*SQRT(Settings!$B$13)))</f>
        <v/>
      </c>
      <c r="J1482" s="18">
        <f>IF(OR(NOT(ISNUMBER($A1482)),ROW()-2&lt;Settings!$B$11),NA(),IF(COUNT(OFFSET(G1482,1-Settings!$B$11,0,Settings!$B$11,1))&lt;Settings!$B$11,NA(),STDEV(OFFSET(G1482,1-Settings!$B$11,0,Settings!$B$11,1))*SQRT(Settings!$B$13)))</f>
        <v/>
      </c>
      <c r="K1482" s="18">
        <f>IF(OR(NOT(ISNUMBER($A1482)),ROW()-2&lt;Settings!$B$12),NA(),IF(COUNT(OFFSET(G1482,1-Settings!$B$12,0,Settings!$B$12,1))&lt;Settings!$B$12,NA(),STDEV(OFFSET(G1482,1-Settings!$B$12,0,Settings!$B$12,1))*SQRT(Settings!$B$13)))</f>
        <v/>
      </c>
      <c r="L1482" s="18">
        <f>IF(AND(ISNUMBER(D1482),ISNUMBER(H1482)),D1482-H1482,NA())</f>
        <v/>
      </c>
      <c r="M1482" s="18">
        <f>IF(AND(ISNUMBER(E1482),ISNUMBER(K1482)),E1482-K1482,NA())</f>
        <v/>
      </c>
      <c r="N1482" s="18">
        <f>IF(NOT(ISNUMBER($A1482)),NA(),IF(COUNT(OFFSET(G1482,1,0,Settings!$B$12,1))&lt;Settings!$B$12,NA(),STDEV(OFFSET(G1482,1,0,Settings!$B$12,1))*SQRT(Settings!$B$13)))</f>
        <v/>
      </c>
      <c r="O1482" s="18">
        <f>IF(AND(ISNUMBER(E1482),ISNUMBER(N1482)),E1482-N1482,NA())</f>
        <v/>
      </c>
      <c r="P1482" s="17">
        <f>IF(NOT(ISNUMBER($A1482)),NA(),IF(OR($A1482&lt;MIN(KW_TP!$A$2:$A$2501),$A1482&gt;MAX(KW_TP!$A$2:$A$2501)),NA(),INDEX(KW_TP!$C$2:$C$2501,MATCH($A1482,KW_TP!$A$2:$A$2501,1))))</f>
        <v/>
      </c>
    </row>
    <row r="1483">
      <c r="A1483" s="15">
        <f>IF(ISNUMBER(BBG_Data!A1483),BBG_Data!A1483,"")</f>
        <v/>
      </c>
      <c r="B1483" s="16">
        <f>IF(AND(ISNUMBER($A1483),ISNUMBER(BBG_Data!B1483)),BBG_Data!B1483,NA())</f>
        <v/>
      </c>
      <c r="C1483" s="16">
        <f>IF(AND(ISNUMBER($A1483),ISNUMBER(BBG_Data!C1483)),BBG_Data!C1483,NA())</f>
        <v/>
      </c>
      <c r="D1483" s="17">
        <f>IF(AND(ISNUMBER($A1483),ISNUMBER(BBG_Data!D1483)),BBG_Data!D1483,NA())</f>
        <v/>
      </c>
      <c r="E1483" s="17">
        <f>IF(AND(ISNUMBER($A1483),ISNUMBER(BBG_Data!E1483)),BBG_Data!E1483,NA())</f>
        <v/>
      </c>
      <c r="F1483" s="18">
        <f>IF(AND(ISNUMBER(B1483),ISNUMBER(B1482)),(B1483-B1482)*100,"")</f>
        <v/>
      </c>
      <c r="G1483" s="18">
        <f>IF(AND(ISNUMBER(C1483),ISNUMBER(C1482)),(C1483-C1482)*100,"")</f>
        <v/>
      </c>
      <c r="H1483" s="18">
        <f>IF(OR(NOT(ISNUMBER($A1483)),ROW()-2&lt;Settings!$B$11),NA(),IF(COUNT(OFFSET(F1483,1-Settings!$B$11,0,Settings!$B$11,1))&lt;Settings!$B$11,NA(),STDEV(OFFSET(F1483,1-Settings!$B$11,0,Settings!$B$11,1))*SQRT(Settings!$B$13)))</f>
        <v/>
      </c>
      <c r="I1483" s="18">
        <f>IF(OR(NOT(ISNUMBER($A1483)),ROW()-2&lt;Settings!$B$12),NA(),IF(COUNT(OFFSET(F1483,1-Settings!$B$12,0,Settings!$B$12,1))&lt;Settings!$B$12,NA(),STDEV(OFFSET(F1483,1-Settings!$B$12,0,Settings!$B$12,1))*SQRT(Settings!$B$13)))</f>
        <v/>
      </c>
      <c r="J1483" s="18">
        <f>IF(OR(NOT(ISNUMBER($A1483)),ROW()-2&lt;Settings!$B$11),NA(),IF(COUNT(OFFSET(G1483,1-Settings!$B$11,0,Settings!$B$11,1))&lt;Settings!$B$11,NA(),STDEV(OFFSET(G1483,1-Settings!$B$11,0,Settings!$B$11,1))*SQRT(Settings!$B$13)))</f>
        <v/>
      </c>
      <c r="K1483" s="18">
        <f>IF(OR(NOT(ISNUMBER($A1483)),ROW()-2&lt;Settings!$B$12),NA(),IF(COUNT(OFFSET(G1483,1-Settings!$B$12,0,Settings!$B$12,1))&lt;Settings!$B$12,NA(),STDEV(OFFSET(G1483,1-Settings!$B$12,0,Settings!$B$12,1))*SQRT(Settings!$B$13)))</f>
        <v/>
      </c>
      <c r="L1483" s="18">
        <f>IF(AND(ISNUMBER(D1483),ISNUMBER(H1483)),D1483-H1483,NA())</f>
        <v/>
      </c>
      <c r="M1483" s="18">
        <f>IF(AND(ISNUMBER(E1483),ISNUMBER(K1483)),E1483-K1483,NA())</f>
        <v/>
      </c>
      <c r="N1483" s="18">
        <f>IF(NOT(ISNUMBER($A1483)),NA(),IF(COUNT(OFFSET(G1483,1,0,Settings!$B$12,1))&lt;Settings!$B$12,NA(),STDEV(OFFSET(G1483,1,0,Settings!$B$12,1))*SQRT(Settings!$B$13)))</f>
        <v/>
      </c>
      <c r="O1483" s="18">
        <f>IF(AND(ISNUMBER(E1483),ISNUMBER(N1483)),E1483-N1483,NA())</f>
        <v/>
      </c>
      <c r="P1483" s="17">
        <f>IF(NOT(ISNUMBER($A1483)),NA(),IF(OR($A1483&lt;MIN(KW_TP!$A$2:$A$2501),$A1483&gt;MAX(KW_TP!$A$2:$A$2501)),NA(),INDEX(KW_TP!$C$2:$C$2501,MATCH($A1483,KW_TP!$A$2:$A$2501,1))))</f>
        <v/>
      </c>
    </row>
    <row r="1484">
      <c r="A1484" s="15">
        <f>IF(ISNUMBER(BBG_Data!A1484),BBG_Data!A1484,"")</f>
        <v/>
      </c>
      <c r="B1484" s="16">
        <f>IF(AND(ISNUMBER($A1484),ISNUMBER(BBG_Data!B1484)),BBG_Data!B1484,NA())</f>
        <v/>
      </c>
      <c r="C1484" s="16">
        <f>IF(AND(ISNUMBER($A1484),ISNUMBER(BBG_Data!C1484)),BBG_Data!C1484,NA())</f>
        <v/>
      </c>
      <c r="D1484" s="17">
        <f>IF(AND(ISNUMBER($A1484),ISNUMBER(BBG_Data!D1484)),BBG_Data!D1484,NA())</f>
        <v/>
      </c>
      <c r="E1484" s="17">
        <f>IF(AND(ISNUMBER($A1484),ISNUMBER(BBG_Data!E1484)),BBG_Data!E1484,NA())</f>
        <v/>
      </c>
      <c r="F1484" s="18">
        <f>IF(AND(ISNUMBER(B1484),ISNUMBER(B1483)),(B1484-B1483)*100,"")</f>
        <v/>
      </c>
      <c r="G1484" s="18">
        <f>IF(AND(ISNUMBER(C1484),ISNUMBER(C1483)),(C1484-C1483)*100,"")</f>
        <v/>
      </c>
      <c r="H1484" s="18">
        <f>IF(OR(NOT(ISNUMBER($A1484)),ROW()-2&lt;Settings!$B$11),NA(),IF(COUNT(OFFSET(F1484,1-Settings!$B$11,0,Settings!$B$11,1))&lt;Settings!$B$11,NA(),STDEV(OFFSET(F1484,1-Settings!$B$11,0,Settings!$B$11,1))*SQRT(Settings!$B$13)))</f>
        <v/>
      </c>
      <c r="I1484" s="18">
        <f>IF(OR(NOT(ISNUMBER($A1484)),ROW()-2&lt;Settings!$B$12),NA(),IF(COUNT(OFFSET(F1484,1-Settings!$B$12,0,Settings!$B$12,1))&lt;Settings!$B$12,NA(),STDEV(OFFSET(F1484,1-Settings!$B$12,0,Settings!$B$12,1))*SQRT(Settings!$B$13)))</f>
        <v/>
      </c>
      <c r="J1484" s="18">
        <f>IF(OR(NOT(ISNUMBER($A1484)),ROW()-2&lt;Settings!$B$11),NA(),IF(COUNT(OFFSET(G1484,1-Settings!$B$11,0,Settings!$B$11,1))&lt;Settings!$B$11,NA(),STDEV(OFFSET(G1484,1-Settings!$B$11,0,Settings!$B$11,1))*SQRT(Settings!$B$13)))</f>
        <v/>
      </c>
      <c r="K1484" s="18">
        <f>IF(OR(NOT(ISNUMBER($A1484)),ROW()-2&lt;Settings!$B$12),NA(),IF(COUNT(OFFSET(G1484,1-Settings!$B$12,0,Settings!$B$12,1))&lt;Settings!$B$12,NA(),STDEV(OFFSET(G1484,1-Settings!$B$12,0,Settings!$B$12,1))*SQRT(Settings!$B$13)))</f>
        <v/>
      </c>
      <c r="L1484" s="18">
        <f>IF(AND(ISNUMBER(D1484),ISNUMBER(H1484)),D1484-H1484,NA())</f>
        <v/>
      </c>
      <c r="M1484" s="18">
        <f>IF(AND(ISNUMBER(E1484),ISNUMBER(K1484)),E1484-K1484,NA())</f>
        <v/>
      </c>
      <c r="N1484" s="18">
        <f>IF(NOT(ISNUMBER($A1484)),NA(),IF(COUNT(OFFSET(G1484,1,0,Settings!$B$12,1))&lt;Settings!$B$12,NA(),STDEV(OFFSET(G1484,1,0,Settings!$B$12,1))*SQRT(Settings!$B$13)))</f>
        <v/>
      </c>
      <c r="O1484" s="18">
        <f>IF(AND(ISNUMBER(E1484),ISNUMBER(N1484)),E1484-N1484,NA())</f>
        <v/>
      </c>
      <c r="P1484" s="17">
        <f>IF(NOT(ISNUMBER($A1484)),NA(),IF(OR($A1484&lt;MIN(KW_TP!$A$2:$A$2501),$A1484&gt;MAX(KW_TP!$A$2:$A$2501)),NA(),INDEX(KW_TP!$C$2:$C$2501,MATCH($A1484,KW_TP!$A$2:$A$2501,1))))</f>
        <v/>
      </c>
    </row>
    <row r="1485">
      <c r="A1485" s="15">
        <f>IF(ISNUMBER(BBG_Data!A1485),BBG_Data!A1485,"")</f>
        <v/>
      </c>
      <c r="B1485" s="16">
        <f>IF(AND(ISNUMBER($A1485),ISNUMBER(BBG_Data!B1485)),BBG_Data!B1485,NA())</f>
        <v/>
      </c>
      <c r="C1485" s="16">
        <f>IF(AND(ISNUMBER($A1485),ISNUMBER(BBG_Data!C1485)),BBG_Data!C1485,NA())</f>
        <v/>
      </c>
      <c r="D1485" s="17">
        <f>IF(AND(ISNUMBER($A1485),ISNUMBER(BBG_Data!D1485)),BBG_Data!D1485,NA())</f>
        <v/>
      </c>
      <c r="E1485" s="17">
        <f>IF(AND(ISNUMBER($A1485),ISNUMBER(BBG_Data!E1485)),BBG_Data!E1485,NA())</f>
        <v/>
      </c>
      <c r="F1485" s="18">
        <f>IF(AND(ISNUMBER(B1485),ISNUMBER(B1484)),(B1485-B1484)*100,"")</f>
        <v/>
      </c>
      <c r="G1485" s="18">
        <f>IF(AND(ISNUMBER(C1485),ISNUMBER(C1484)),(C1485-C1484)*100,"")</f>
        <v/>
      </c>
      <c r="H1485" s="18">
        <f>IF(OR(NOT(ISNUMBER($A1485)),ROW()-2&lt;Settings!$B$11),NA(),IF(COUNT(OFFSET(F1485,1-Settings!$B$11,0,Settings!$B$11,1))&lt;Settings!$B$11,NA(),STDEV(OFFSET(F1485,1-Settings!$B$11,0,Settings!$B$11,1))*SQRT(Settings!$B$13)))</f>
        <v/>
      </c>
      <c r="I1485" s="18">
        <f>IF(OR(NOT(ISNUMBER($A1485)),ROW()-2&lt;Settings!$B$12),NA(),IF(COUNT(OFFSET(F1485,1-Settings!$B$12,0,Settings!$B$12,1))&lt;Settings!$B$12,NA(),STDEV(OFFSET(F1485,1-Settings!$B$12,0,Settings!$B$12,1))*SQRT(Settings!$B$13)))</f>
        <v/>
      </c>
      <c r="J1485" s="18">
        <f>IF(OR(NOT(ISNUMBER($A1485)),ROW()-2&lt;Settings!$B$11),NA(),IF(COUNT(OFFSET(G1485,1-Settings!$B$11,0,Settings!$B$11,1))&lt;Settings!$B$11,NA(),STDEV(OFFSET(G1485,1-Settings!$B$11,0,Settings!$B$11,1))*SQRT(Settings!$B$13)))</f>
        <v/>
      </c>
      <c r="K1485" s="18">
        <f>IF(OR(NOT(ISNUMBER($A1485)),ROW()-2&lt;Settings!$B$12),NA(),IF(COUNT(OFFSET(G1485,1-Settings!$B$12,0,Settings!$B$12,1))&lt;Settings!$B$12,NA(),STDEV(OFFSET(G1485,1-Settings!$B$12,0,Settings!$B$12,1))*SQRT(Settings!$B$13)))</f>
        <v/>
      </c>
      <c r="L1485" s="18">
        <f>IF(AND(ISNUMBER(D1485),ISNUMBER(H1485)),D1485-H1485,NA())</f>
        <v/>
      </c>
      <c r="M1485" s="18">
        <f>IF(AND(ISNUMBER(E1485),ISNUMBER(K1485)),E1485-K1485,NA())</f>
        <v/>
      </c>
      <c r="N1485" s="18">
        <f>IF(NOT(ISNUMBER($A1485)),NA(),IF(COUNT(OFFSET(G1485,1,0,Settings!$B$12,1))&lt;Settings!$B$12,NA(),STDEV(OFFSET(G1485,1,0,Settings!$B$12,1))*SQRT(Settings!$B$13)))</f>
        <v/>
      </c>
      <c r="O1485" s="18">
        <f>IF(AND(ISNUMBER(E1485),ISNUMBER(N1485)),E1485-N1485,NA())</f>
        <v/>
      </c>
      <c r="P1485" s="17">
        <f>IF(NOT(ISNUMBER($A1485)),NA(),IF(OR($A1485&lt;MIN(KW_TP!$A$2:$A$2501),$A1485&gt;MAX(KW_TP!$A$2:$A$2501)),NA(),INDEX(KW_TP!$C$2:$C$2501,MATCH($A1485,KW_TP!$A$2:$A$2501,1))))</f>
        <v/>
      </c>
    </row>
    <row r="1486">
      <c r="A1486" s="15">
        <f>IF(ISNUMBER(BBG_Data!A1486),BBG_Data!A1486,"")</f>
        <v/>
      </c>
      <c r="B1486" s="16">
        <f>IF(AND(ISNUMBER($A1486),ISNUMBER(BBG_Data!B1486)),BBG_Data!B1486,NA())</f>
        <v/>
      </c>
      <c r="C1486" s="16">
        <f>IF(AND(ISNUMBER($A1486),ISNUMBER(BBG_Data!C1486)),BBG_Data!C1486,NA())</f>
        <v/>
      </c>
      <c r="D1486" s="17">
        <f>IF(AND(ISNUMBER($A1486),ISNUMBER(BBG_Data!D1486)),BBG_Data!D1486,NA())</f>
        <v/>
      </c>
      <c r="E1486" s="17">
        <f>IF(AND(ISNUMBER($A1486),ISNUMBER(BBG_Data!E1486)),BBG_Data!E1486,NA())</f>
        <v/>
      </c>
      <c r="F1486" s="18">
        <f>IF(AND(ISNUMBER(B1486),ISNUMBER(B1485)),(B1486-B1485)*100,"")</f>
        <v/>
      </c>
      <c r="G1486" s="18">
        <f>IF(AND(ISNUMBER(C1486),ISNUMBER(C1485)),(C1486-C1485)*100,"")</f>
        <v/>
      </c>
      <c r="H1486" s="18">
        <f>IF(OR(NOT(ISNUMBER($A1486)),ROW()-2&lt;Settings!$B$11),NA(),IF(COUNT(OFFSET(F1486,1-Settings!$B$11,0,Settings!$B$11,1))&lt;Settings!$B$11,NA(),STDEV(OFFSET(F1486,1-Settings!$B$11,0,Settings!$B$11,1))*SQRT(Settings!$B$13)))</f>
        <v/>
      </c>
      <c r="I1486" s="18">
        <f>IF(OR(NOT(ISNUMBER($A1486)),ROW()-2&lt;Settings!$B$12),NA(),IF(COUNT(OFFSET(F1486,1-Settings!$B$12,0,Settings!$B$12,1))&lt;Settings!$B$12,NA(),STDEV(OFFSET(F1486,1-Settings!$B$12,0,Settings!$B$12,1))*SQRT(Settings!$B$13)))</f>
        <v/>
      </c>
      <c r="J1486" s="18">
        <f>IF(OR(NOT(ISNUMBER($A1486)),ROW()-2&lt;Settings!$B$11),NA(),IF(COUNT(OFFSET(G1486,1-Settings!$B$11,0,Settings!$B$11,1))&lt;Settings!$B$11,NA(),STDEV(OFFSET(G1486,1-Settings!$B$11,0,Settings!$B$11,1))*SQRT(Settings!$B$13)))</f>
        <v/>
      </c>
      <c r="K1486" s="18">
        <f>IF(OR(NOT(ISNUMBER($A1486)),ROW()-2&lt;Settings!$B$12),NA(),IF(COUNT(OFFSET(G1486,1-Settings!$B$12,0,Settings!$B$12,1))&lt;Settings!$B$12,NA(),STDEV(OFFSET(G1486,1-Settings!$B$12,0,Settings!$B$12,1))*SQRT(Settings!$B$13)))</f>
        <v/>
      </c>
      <c r="L1486" s="18">
        <f>IF(AND(ISNUMBER(D1486),ISNUMBER(H1486)),D1486-H1486,NA())</f>
        <v/>
      </c>
      <c r="M1486" s="18">
        <f>IF(AND(ISNUMBER(E1486),ISNUMBER(K1486)),E1486-K1486,NA())</f>
        <v/>
      </c>
      <c r="N1486" s="18">
        <f>IF(NOT(ISNUMBER($A1486)),NA(),IF(COUNT(OFFSET(G1486,1,0,Settings!$B$12,1))&lt;Settings!$B$12,NA(),STDEV(OFFSET(G1486,1,0,Settings!$B$12,1))*SQRT(Settings!$B$13)))</f>
        <v/>
      </c>
      <c r="O1486" s="18">
        <f>IF(AND(ISNUMBER(E1486),ISNUMBER(N1486)),E1486-N1486,NA())</f>
        <v/>
      </c>
      <c r="P1486" s="17">
        <f>IF(NOT(ISNUMBER($A1486)),NA(),IF(OR($A1486&lt;MIN(KW_TP!$A$2:$A$2501),$A1486&gt;MAX(KW_TP!$A$2:$A$2501)),NA(),INDEX(KW_TP!$C$2:$C$2501,MATCH($A1486,KW_TP!$A$2:$A$2501,1))))</f>
        <v/>
      </c>
    </row>
    <row r="1487">
      <c r="A1487" s="15">
        <f>IF(ISNUMBER(BBG_Data!A1487),BBG_Data!A1487,"")</f>
        <v/>
      </c>
      <c r="B1487" s="16">
        <f>IF(AND(ISNUMBER($A1487),ISNUMBER(BBG_Data!B1487)),BBG_Data!B1487,NA())</f>
        <v/>
      </c>
      <c r="C1487" s="16">
        <f>IF(AND(ISNUMBER($A1487),ISNUMBER(BBG_Data!C1487)),BBG_Data!C1487,NA())</f>
        <v/>
      </c>
      <c r="D1487" s="17">
        <f>IF(AND(ISNUMBER($A1487),ISNUMBER(BBG_Data!D1487)),BBG_Data!D1487,NA())</f>
        <v/>
      </c>
      <c r="E1487" s="17">
        <f>IF(AND(ISNUMBER($A1487),ISNUMBER(BBG_Data!E1487)),BBG_Data!E1487,NA())</f>
        <v/>
      </c>
      <c r="F1487" s="18">
        <f>IF(AND(ISNUMBER(B1487),ISNUMBER(B1486)),(B1487-B1486)*100,"")</f>
        <v/>
      </c>
      <c r="G1487" s="18">
        <f>IF(AND(ISNUMBER(C1487),ISNUMBER(C1486)),(C1487-C1486)*100,"")</f>
        <v/>
      </c>
      <c r="H1487" s="18">
        <f>IF(OR(NOT(ISNUMBER($A1487)),ROW()-2&lt;Settings!$B$11),NA(),IF(COUNT(OFFSET(F1487,1-Settings!$B$11,0,Settings!$B$11,1))&lt;Settings!$B$11,NA(),STDEV(OFFSET(F1487,1-Settings!$B$11,0,Settings!$B$11,1))*SQRT(Settings!$B$13)))</f>
        <v/>
      </c>
      <c r="I1487" s="18">
        <f>IF(OR(NOT(ISNUMBER($A1487)),ROW()-2&lt;Settings!$B$12),NA(),IF(COUNT(OFFSET(F1487,1-Settings!$B$12,0,Settings!$B$12,1))&lt;Settings!$B$12,NA(),STDEV(OFFSET(F1487,1-Settings!$B$12,0,Settings!$B$12,1))*SQRT(Settings!$B$13)))</f>
        <v/>
      </c>
      <c r="J1487" s="18">
        <f>IF(OR(NOT(ISNUMBER($A1487)),ROW()-2&lt;Settings!$B$11),NA(),IF(COUNT(OFFSET(G1487,1-Settings!$B$11,0,Settings!$B$11,1))&lt;Settings!$B$11,NA(),STDEV(OFFSET(G1487,1-Settings!$B$11,0,Settings!$B$11,1))*SQRT(Settings!$B$13)))</f>
        <v/>
      </c>
      <c r="K1487" s="18">
        <f>IF(OR(NOT(ISNUMBER($A1487)),ROW()-2&lt;Settings!$B$12),NA(),IF(COUNT(OFFSET(G1487,1-Settings!$B$12,0,Settings!$B$12,1))&lt;Settings!$B$12,NA(),STDEV(OFFSET(G1487,1-Settings!$B$12,0,Settings!$B$12,1))*SQRT(Settings!$B$13)))</f>
        <v/>
      </c>
      <c r="L1487" s="18">
        <f>IF(AND(ISNUMBER(D1487),ISNUMBER(H1487)),D1487-H1487,NA())</f>
        <v/>
      </c>
      <c r="M1487" s="18">
        <f>IF(AND(ISNUMBER(E1487),ISNUMBER(K1487)),E1487-K1487,NA())</f>
        <v/>
      </c>
      <c r="N1487" s="18">
        <f>IF(NOT(ISNUMBER($A1487)),NA(),IF(COUNT(OFFSET(G1487,1,0,Settings!$B$12,1))&lt;Settings!$B$12,NA(),STDEV(OFFSET(G1487,1,0,Settings!$B$12,1))*SQRT(Settings!$B$13)))</f>
        <v/>
      </c>
      <c r="O1487" s="18">
        <f>IF(AND(ISNUMBER(E1487),ISNUMBER(N1487)),E1487-N1487,NA())</f>
        <v/>
      </c>
      <c r="P1487" s="17">
        <f>IF(NOT(ISNUMBER($A1487)),NA(),IF(OR($A1487&lt;MIN(KW_TP!$A$2:$A$2501),$A1487&gt;MAX(KW_TP!$A$2:$A$2501)),NA(),INDEX(KW_TP!$C$2:$C$2501,MATCH($A1487,KW_TP!$A$2:$A$2501,1))))</f>
        <v/>
      </c>
    </row>
    <row r="1488">
      <c r="A1488" s="15">
        <f>IF(ISNUMBER(BBG_Data!A1488),BBG_Data!A1488,"")</f>
        <v/>
      </c>
      <c r="B1488" s="16">
        <f>IF(AND(ISNUMBER($A1488),ISNUMBER(BBG_Data!B1488)),BBG_Data!B1488,NA())</f>
        <v/>
      </c>
      <c r="C1488" s="16">
        <f>IF(AND(ISNUMBER($A1488),ISNUMBER(BBG_Data!C1488)),BBG_Data!C1488,NA())</f>
        <v/>
      </c>
      <c r="D1488" s="17">
        <f>IF(AND(ISNUMBER($A1488),ISNUMBER(BBG_Data!D1488)),BBG_Data!D1488,NA())</f>
        <v/>
      </c>
      <c r="E1488" s="17">
        <f>IF(AND(ISNUMBER($A1488),ISNUMBER(BBG_Data!E1488)),BBG_Data!E1488,NA())</f>
        <v/>
      </c>
      <c r="F1488" s="18">
        <f>IF(AND(ISNUMBER(B1488),ISNUMBER(B1487)),(B1488-B1487)*100,"")</f>
        <v/>
      </c>
      <c r="G1488" s="18">
        <f>IF(AND(ISNUMBER(C1488),ISNUMBER(C1487)),(C1488-C1487)*100,"")</f>
        <v/>
      </c>
      <c r="H1488" s="18">
        <f>IF(OR(NOT(ISNUMBER($A1488)),ROW()-2&lt;Settings!$B$11),NA(),IF(COUNT(OFFSET(F1488,1-Settings!$B$11,0,Settings!$B$11,1))&lt;Settings!$B$11,NA(),STDEV(OFFSET(F1488,1-Settings!$B$11,0,Settings!$B$11,1))*SQRT(Settings!$B$13)))</f>
        <v/>
      </c>
      <c r="I1488" s="18">
        <f>IF(OR(NOT(ISNUMBER($A1488)),ROW()-2&lt;Settings!$B$12),NA(),IF(COUNT(OFFSET(F1488,1-Settings!$B$12,0,Settings!$B$12,1))&lt;Settings!$B$12,NA(),STDEV(OFFSET(F1488,1-Settings!$B$12,0,Settings!$B$12,1))*SQRT(Settings!$B$13)))</f>
        <v/>
      </c>
      <c r="J1488" s="18">
        <f>IF(OR(NOT(ISNUMBER($A1488)),ROW()-2&lt;Settings!$B$11),NA(),IF(COUNT(OFFSET(G1488,1-Settings!$B$11,0,Settings!$B$11,1))&lt;Settings!$B$11,NA(),STDEV(OFFSET(G1488,1-Settings!$B$11,0,Settings!$B$11,1))*SQRT(Settings!$B$13)))</f>
        <v/>
      </c>
      <c r="K1488" s="18">
        <f>IF(OR(NOT(ISNUMBER($A1488)),ROW()-2&lt;Settings!$B$12),NA(),IF(COUNT(OFFSET(G1488,1-Settings!$B$12,0,Settings!$B$12,1))&lt;Settings!$B$12,NA(),STDEV(OFFSET(G1488,1-Settings!$B$12,0,Settings!$B$12,1))*SQRT(Settings!$B$13)))</f>
        <v/>
      </c>
      <c r="L1488" s="18">
        <f>IF(AND(ISNUMBER(D1488),ISNUMBER(H1488)),D1488-H1488,NA())</f>
        <v/>
      </c>
      <c r="M1488" s="18">
        <f>IF(AND(ISNUMBER(E1488),ISNUMBER(K1488)),E1488-K1488,NA())</f>
        <v/>
      </c>
      <c r="N1488" s="18">
        <f>IF(NOT(ISNUMBER($A1488)),NA(),IF(COUNT(OFFSET(G1488,1,0,Settings!$B$12,1))&lt;Settings!$B$12,NA(),STDEV(OFFSET(G1488,1,0,Settings!$B$12,1))*SQRT(Settings!$B$13)))</f>
        <v/>
      </c>
      <c r="O1488" s="18">
        <f>IF(AND(ISNUMBER(E1488),ISNUMBER(N1488)),E1488-N1488,NA())</f>
        <v/>
      </c>
      <c r="P1488" s="17">
        <f>IF(NOT(ISNUMBER($A1488)),NA(),IF(OR($A1488&lt;MIN(KW_TP!$A$2:$A$2501),$A1488&gt;MAX(KW_TP!$A$2:$A$2501)),NA(),INDEX(KW_TP!$C$2:$C$2501,MATCH($A1488,KW_TP!$A$2:$A$2501,1))))</f>
        <v/>
      </c>
    </row>
    <row r="1489">
      <c r="A1489" s="15">
        <f>IF(ISNUMBER(BBG_Data!A1489),BBG_Data!A1489,"")</f>
        <v/>
      </c>
      <c r="B1489" s="16">
        <f>IF(AND(ISNUMBER($A1489),ISNUMBER(BBG_Data!B1489)),BBG_Data!B1489,NA())</f>
        <v/>
      </c>
      <c r="C1489" s="16">
        <f>IF(AND(ISNUMBER($A1489),ISNUMBER(BBG_Data!C1489)),BBG_Data!C1489,NA())</f>
        <v/>
      </c>
      <c r="D1489" s="17">
        <f>IF(AND(ISNUMBER($A1489),ISNUMBER(BBG_Data!D1489)),BBG_Data!D1489,NA())</f>
        <v/>
      </c>
      <c r="E1489" s="17">
        <f>IF(AND(ISNUMBER($A1489),ISNUMBER(BBG_Data!E1489)),BBG_Data!E1489,NA())</f>
        <v/>
      </c>
      <c r="F1489" s="18">
        <f>IF(AND(ISNUMBER(B1489),ISNUMBER(B1488)),(B1489-B1488)*100,"")</f>
        <v/>
      </c>
      <c r="G1489" s="18">
        <f>IF(AND(ISNUMBER(C1489),ISNUMBER(C1488)),(C1489-C1488)*100,"")</f>
        <v/>
      </c>
      <c r="H1489" s="18">
        <f>IF(OR(NOT(ISNUMBER($A1489)),ROW()-2&lt;Settings!$B$11),NA(),IF(COUNT(OFFSET(F1489,1-Settings!$B$11,0,Settings!$B$11,1))&lt;Settings!$B$11,NA(),STDEV(OFFSET(F1489,1-Settings!$B$11,0,Settings!$B$11,1))*SQRT(Settings!$B$13)))</f>
        <v/>
      </c>
      <c r="I1489" s="18">
        <f>IF(OR(NOT(ISNUMBER($A1489)),ROW()-2&lt;Settings!$B$12),NA(),IF(COUNT(OFFSET(F1489,1-Settings!$B$12,0,Settings!$B$12,1))&lt;Settings!$B$12,NA(),STDEV(OFFSET(F1489,1-Settings!$B$12,0,Settings!$B$12,1))*SQRT(Settings!$B$13)))</f>
        <v/>
      </c>
      <c r="J1489" s="18">
        <f>IF(OR(NOT(ISNUMBER($A1489)),ROW()-2&lt;Settings!$B$11),NA(),IF(COUNT(OFFSET(G1489,1-Settings!$B$11,0,Settings!$B$11,1))&lt;Settings!$B$11,NA(),STDEV(OFFSET(G1489,1-Settings!$B$11,0,Settings!$B$11,1))*SQRT(Settings!$B$13)))</f>
        <v/>
      </c>
      <c r="K1489" s="18">
        <f>IF(OR(NOT(ISNUMBER($A1489)),ROW()-2&lt;Settings!$B$12),NA(),IF(COUNT(OFFSET(G1489,1-Settings!$B$12,0,Settings!$B$12,1))&lt;Settings!$B$12,NA(),STDEV(OFFSET(G1489,1-Settings!$B$12,0,Settings!$B$12,1))*SQRT(Settings!$B$13)))</f>
        <v/>
      </c>
      <c r="L1489" s="18">
        <f>IF(AND(ISNUMBER(D1489),ISNUMBER(H1489)),D1489-H1489,NA())</f>
        <v/>
      </c>
      <c r="M1489" s="18">
        <f>IF(AND(ISNUMBER(E1489),ISNUMBER(K1489)),E1489-K1489,NA())</f>
        <v/>
      </c>
      <c r="N1489" s="18">
        <f>IF(NOT(ISNUMBER($A1489)),NA(),IF(COUNT(OFFSET(G1489,1,0,Settings!$B$12,1))&lt;Settings!$B$12,NA(),STDEV(OFFSET(G1489,1,0,Settings!$B$12,1))*SQRT(Settings!$B$13)))</f>
        <v/>
      </c>
      <c r="O1489" s="18">
        <f>IF(AND(ISNUMBER(E1489),ISNUMBER(N1489)),E1489-N1489,NA())</f>
        <v/>
      </c>
      <c r="P1489" s="17">
        <f>IF(NOT(ISNUMBER($A1489)),NA(),IF(OR($A1489&lt;MIN(KW_TP!$A$2:$A$2501),$A1489&gt;MAX(KW_TP!$A$2:$A$2501)),NA(),INDEX(KW_TP!$C$2:$C$2501,MATCH($A1489,KW_TP!$A$2:$A$2501,1))))</f>
        <v/>
      </c>
    </row>
    <row r="1490">
      <c r="A1490" s="15">
        <f>IF(ISNUMBER(BBG_Data!A1490),BBG_Data!A1490,"")</f>
        <v/>
      </c>
      <c r="B1490" s="16">
        <f>IF(AND(ISNUMBER($A1490),ISNUMBER(BBG_Data!B1490)),BBG_Data!B1490,NA())</f>
        <v/>
      </c>
      <c r="C1490" s="16">
        <f>IF(AND(ISNUMBER($A1490),ISNUMBER(BBG_Data!C1490)),BBG_Data!C1490,NA())</f>
        <v/>
      </c>
      <c r="D1490" s="17">
        <f>IF(AND(ISNUMBER($A1490),ISNUMBER(BBG_Data!D1490)),BBG_Data!D1490,NA())</f>
        <v/>
      </c>
      <c r="E1490" s="17">
        <f>IF(AND(ISNUMBER($A1490),ISNUMBER(BBG_Data!E1490)),BBG_Data!E1490,NA())</f>
        <v/>
      </c>
      <c r="F1490" s="18">
        <f>IF(AND(ISNUMBER(B1490),ISNUMBER(B1489)),(B1490-B1489)*100,"")</f>
        <v/>
      </c>
      <c r="G1490" s="18">
        <f>IF(AND(ISNUMBER(C1490),ISNUMBER(C1489)),(C1490-C1489)*100,"")</f>
        <v/>
      </c>
      <c r="H1490" s="18">
        <f>IF(OR(NOT(ISNUMBER($A1490)),ROW()-2&lt;Settings!$B$11),NA(),IF(COUNT(OFFSET(F1490,1-Settings!$B$11,0,Settings!$B$11,1))&lt;Settings!$B$11,NA(),STDEV(OFFSET(F1490,1-Settings!$B$11,0,Settings!$B$11,1))*SQRT(Settings!$B$13)))</f>
        <v/>
      </c>
      <c r="I1490" s="18">
        <f>IF(OR(NOT(ISNUMBER($A1490)),ROW()-2&lt;Settings!$B$12),NA(),IF(COUNT(OFFSET(F1490,1-Settings!$B$12,0,Settings!$B$12,1))&lt;Settings!$B$12,NA(),STDEV(OFFSET(F1490,1-Settings!$B$12,0,Settings!$B$12,1))*SQRT(Settings!$B$13)))</f>
        <v/>
      </c>
      <c r="J1490" s="18">
        <f>IF(OR(NOT(ISNUMBER($A1490)),ROW()-2&lt;Settings!$B$11),NA(),IF(COUNT(OFFSET(G1490,1-Settings!$B$11,0,Settings!$B$11,1))&lt;Settings!$B$11,NA(),STDEV(OFFSET(G1490,1-Settings!$B$11,0,Settings!$B$11,1))*SQRT(Settings!$B$13)))</f>
        <v/>
      </c>
      <c r="K1490" s="18">
        <f>IF(OR(NOT(ISNUMBER($A1490)),ROW()-2&lt;Settings!$B$12),NA(),IF(COUNT(OFFSET(G1490,1-Settings!$B$12,0,Settings!$B$12,1))&lt;Settings!$B$12,NA(),STDEV(OFFSET(G1490,1-Settings!$B$12,0,Settings!$B$12,1))*SQRT(Settings!$B$13)))</f>
        <v/>
      </c>
      <c r="L1490" s="18">
        <f>IF(AND(ISNUMBER(D1490),ISNUMBER(H1490)),D1490-H1490,NA())</f>
        <v/>
      </c>
      <c r="M1490" s="18">
        <f>IF(AND(ISNUMBER(E1490),ISNUMBER(K1490)),E1490-K1490,NA())</f>
        <v/>
      </c>
      <c r="N1490" s="18">
        <f>IF(NOT(ISNUMBER($A1490)),NA(),IF(COUNT(OFFSET(G1490,1,0,Settings!$B$12,1))&lt;Settings!$B$12,NA(),STDEV(OFFSET(G1490,1,0,Settings!$B$12,1))*SQRT(Settings!$B$13)))</f>
        <v/>
      </c>
      <c r="O1490" s="18">
        <f>IF(AND(ISNUMBER(E1490),ISNUMBER(N1490)),E1490-N1490,NA())</f>
        <v/>
      </c>
      <c r="P1490" s="17">
        <f>IF(NOT(ISNUMBER($A1490)),NA(),IF(OR($A1490&lt;MIN(KW_TP!$A$2:$A$2501),$A1490&gt;MAX(KW_TP!$A$2:$A$2501)),NA(),INDEX(KW_TP!$C$2:$C$2501,MATCH($A1490,KW_TP!$A$2:$A$2501,1))))</f>
        <v/>
      </c>
    </row>
    <row r="1491">
      <c r="A1491" s="15">
        <f>IF(ISNUMBER(BBG_Data!A1491),BBG_Data!A1491,"")</f>
        <v/>
      </c>
      <c r="B1491" s="16">
        <f>IF(AND(ISNUMBER($A1491),ISNUMBER(BBG_Data!B1491)),BBG_Data!B1491,NA())</f>
        <v/>
      </c>
      <c r="C1491" s="16">
        <f>IF(AND(ISNUMBER($A1491),ISNUMBER(BBG_Data!C1491)),BBG_Data!C1491,NA())</f>
        <v/>
      </c>
      <c r="D1491" s="17">
        <f>IF(AND(ISNUMBER($A1491),ISNUMBER(BBG_Data!D1491)),BBG_Data!D1491,NA())</f>
        <v/>
      </c>
      <c r="E1491" s="17">
        <f>IF(AND(ISNUMBER($A1491),ISNUMBER(BBG_Data!E1491)),BBG_Data!E1491,NA())</f>
        <v/>
      </c>
      <c r="F1491" s="18">
        <f>IF(AND(ISNUMBER(B1491),ISNUMBER(B1490)),(B1491-B1490)*100,"")</f>
        <v/>
      </c>
      <c r="G1491" s="18">
        <f>IF(AND(ISNUMBER(C1491),ISNUMBER(C1490)),(C1491-C1490)*100,"")</f>
        <v/>
      </c>
      <c r="H1491" s="18">
        <f>IF(OR(NOT(ISNUMBER($A1491)),ROW()-2&lt;Settings!$B$11),NA(),IF(COUNT(OFFSET(F1491,1-Settings!$B$11,0,Settings!$B$11,1))&lt;Settings!$B$11,NA(),STDEV(OFFSET(F1491,1-Settings!$B$11,0,Settings!$B$11,1))*SQRT(Settings!$B$13)))</f>
        <v/>
      </c>
      <c r="I1491" s="18">
        <f>IF(OR(NOT(ISNUMBER($A1491)),ROW()-2&lt;Settings!$B$12),NA(),IF(COUNT(OFFSET(F1491,1-Settings!$B$12,0,Settings!$B$12,1))&lt;Settings!$B$12,NA(),STDEV(OFFSET(F1491,1-Settings!$B$12,0,Settings!$B$12,1))*SQRT(Settings!$B$13)))</f>
        <v/>
      </c>
      <c r="J1491" s="18">
        <f>IF(OR(NOT(ISNUMBER($A1491)),ROW()-2&lt;Settings!$B$11),NA(),IF(COUNT(OFFSET(G1491,1-Settings!$B$11,0,Settings!$B$11,1))&lt;Settings!$B$11,NA(),STDEV(OFFSET(G1491,1-Settings!$B$11,0,Settings!$B$11,1))*SQRT(Settings!$B$13)))</f>
        <v/>
      </c>
      <c r="K1491" s="18">
        <f>IF(OR(NOT(ISNUMBER($A1491)),ROW()-2&lt;Settings!$B$12),NA(),IF(COUNT(OFFSET(G1491,1-Settings!$B$12,0,Settings!$B$12,1))&lt;Settings!$B$12,NA(),STDEV(OFFSET(G1491,1-Settings!$B$12,0,Settings!$B$12,1))*SQRT(Settings!$B$13)))</f>
        <v/>
      </c>
      <c r="L1491" s="18">
        <f>IF(AND(ISNUMBER(D1491),ISNUMBER(H1491)),D1491-H1491,NA())</f>
        <v/>
      </c>
      <c r="M1491" s="18">
        <f>IF(AND(ISNUMBER(E1491),ISNUMBER(K1491)),E1491-K1491,NA())</f>
        <v/>
      </c>
      <c r="N1491" s="18">
        <f>IF(NOT(ISNUMBER($A1491)),NA(),IF(COUNT(OFFSET(G1491,1,0,Settings!$B$12,1))&lt;Settings!$B$12,NA(),STDEV(OFFSET(G1491,1,0,Settings!$B$12,1))*SQRT(Settings!$B$13)))</f>
        <v/>
      </c>
      <c r="O1491" s="18">
        <f>IF(AND(ISNUMBER(E1491),ISNUMBER(N1491)),E1491-N1491,NA())</f>
        <v/>
      </c>
      <c r="P1491" s="17">
        <f>IF(NOT(ISNUMBER($A1491)),NA(),IF(OR($A1491&lt;MIN(KW_TP!$A$2:$A$2501),$A1491&gt;MAX(KW_TP!$A$2:$A$2501)),NA(),INDEX(KW_TP!$C$2:$C$2501,MATCH($A1491,KW_TP!$A$2:$A$2501,1))))</f>
        <v/>
      </c>
    </row>
    <row r="1492">
      <c r="A1492" s="15">
        <f>IF(ISNUMBER(BBG_Data!A1492),BBG_Data!A1492,"")</f>
        <v/>
      </c>
      <c r="B1492" s="16">
        <f>IF(AND(ISNUMBER($A1492),ISNUMBER(BBG_Data!B1492)),BBG_Data!B1492,NA())</f>
        <v/>
      </c>
      <c r="C1492" s="16">
        <f>IF(AND(ISNUMBER($A1492),ISNUMBER(BBG_Data!C1492)),BBG_Data!C1492,NA())</f>
        <v/>
      </c>
      <c r="D1492" s="17">
        <f>IF(AND(ISNUMBER($A1492),ISNUMBER(BBG_Data!D1492)),BBG_Data!D1492,NA())</f>
        <v/>
      </c>
      <c r="E1492" s="17">
        <f>IF(AND(ISNUMBER($A1492),ISNUMBER(BBG_Data!E1492)),BBG_Data!E1492,NA())</f>
        <v/>
      </c>
      <c r="F1492" s="18">
        <f>IF(AND(ISNUMBER(B1492),ISNUMBER(B1491)),(B1492-B1491)*100,"")</f>
        <v/>
      </c>
      <c r="G1492" s="18">
        <f>IF(AND(ISNUMBER(C1492),ISNUMBER(C1491)),(C1492-C1491)*100,"")</f>
        <v/>
      </c>
      <c r="H1492" s="18">
        <f>IF(OR(NOT(ISNUMBER($A1492)),ROW()-2&lt;Settings!$B$11),NA(),IF(COUNT(OFFSET(F1492,1-Settings!$B$11,0,Settings!$B$11,1))&lt;Settings!$B$11,NA(),STDEV(OFFSET(F1492,1-Settings!$B$11,0,Settings!$B$11,1))*SQRT(Settings!$B$13)))</f>
        <v/>
      </c>
      <c r="I1492" s="18">
        <f>IF(OR(NOT(ISNUMBER($A1492)),ROW()-2&lt;Settings!$B$12),NA(),IF(COUNT(OFFSET(F1492,1-Settings!$B$12,0,Settings!$B$12,1))&lt;Settings!$B$12,NA(),STDEV(OFFSET(F1492,1-Settings!$B$12,0,Settings!$B$12,1))*SQRT(Settings!$B$13)))</f>
        <v/>
      </c>
      <c r="J1492" s="18">
        <f>IF(OR(NOT(ISNUMBER($A1492)),ROW()-2&lt;Settings!$B$11),NA(),IF(COUNT(OFFSET(G1492,1-Settings!$B$11,0,Settings!$B$11,1))&lt;Settings!$B$11,NA(),STDEV(OFFSET(G1492,1-Settings!$B$11,0,Settings!$B$11,1))*SQRT(Settings!$B$13)))</f>
        <v/>
      </c>
      <c r="K1492" s="18">
        <f>IF(OR(NOT(ISNUMBER($A1492)),ROW()-2&lt;Settings!$B$12),NA(),IF(COUNT(OFFSET(G1492,1-Settings!$B$12,0,Settings!$B$12,1))&lt;Settings!$B$12,NA(),STDEV(OFFSET(G1492,1-Settings!$B$12,0,Settings!$B$12,1))*SQRT(Settings!$B$13)))</f>
        <v/>
      </c>
      <c r="L1492" s="18">
        <f>IF(AND(ISNUMBER(D1492),ISNUMBER(H1492)),D1492-H1492,NA())</f>
        <v/>
      </c>
      <c r="M1492" s="18">
        <f>IF(AND(ISNUMBER(E1492),ISNUMBER(K1492)),E1492-K1492,NA())</f>
        <v/>
      </c>
      <c r="N1492" s="18">
        <f>IF(NOT(ISNUMBER($A1492)),NA(),IF(COUNT(OFFSET(G1492,1,0,Settings!$B$12,1))&lt;Settings!$B$12,NA(),STDEV(OFFSET(G1492,1,0,Settings!$B$12,1))*SQRT(Settings!$B$13)))</f>
        <v/>
      </c>
      <c r="O1492" s="18">
        <f>IF(AND(ISNUMBER(E1492),ISNUMBER(N1492)),E1492-N1492,NA())</f>
        <v/>
      </c>
      <c r="P1492" s="17">
        <f>IF(NOT(ISNUMBER($A1492)),NA(),IF(OR($A1492&lt;MIN(KW_TP!$A$2:$A$2501),$A1492&gt;MAX(KW_TP!$A$2:$A$2501)),NA(),INDEX(KW_TP!$C$2:$C$2501,MATCH($A1492,KW_TP!$A$2:$A$2501,1))))</f>
        <v/>
      </c>
    </row>
    <row r="1493">
      <c r="A1493" s="15">
        <f>IF(ISNUMBER(BBG_Data!A1493),BBG_Data!A1493,"")</f>
        <v/>
      </c>
      <c r="B1493" s="16">
        <f>IF(AND(ISNUMBER($A1493),ISNUMBER(BBG_Data!B1493)),BBG_Data!B1493,NA())</f>
        <v/>
      </c>
      <c r="C1493" s="16">
        <f>IF(AND(ISNUMBER($A1493),ISNUMBER(BBG_Data!C1493)),BBG_Data!C1493,NA())</f>
        <v/>
      </c>
      <c r="D1493" s="17">
        <f>IF(AND(ISNUMBER($A1493),ISNUMBER(BBG_Data!D1493)),BBG_Data!D1493,NA())</f>
        <v/>
      </c>
      <c r="E1493" s="17">
        <f>IF(AND(ISNUMBER($A1493),ISNUMBER(BBG_Data!E1493)),BBG_Data!E1493,NA())</f>
        <v/>
      </c>
      <c r="F1493" s="18">
        <f>IF(AND(ISNUMBER(B1493),ISNUMBER(B1492)),(B1493-B1492)*100,"")</f>
        <v/>
      </c>
      <c r="G1493" s="18">
        <f>IF(AND(ISNUMBER(C1493),ISNUMBER(C1492)),(C1493-C1492)*100,"")</f>
        <v/>
      </c>
      <c r="H1493" s="18">
        <f>IF(OR(NOT(ISNUMBER($A1493)),ROW()-2&lt;Settings!$B$11),NA(),IF(COUNT(OFFSET(F1493,1-Settings!$B$11,0,Settings!$B$11,1))&lt;Settings!$B$11,NA(),STDEV(OFFSET(F1493,1-Settings!$B$11,0,Settings!$B$11,1))*SQRT(Settings!$B$13)))</f>
        <v/>
      </c>
      <c r="I1493" s="18">
        <f>IF(OR(NOT(ISNUMBER($A1493)),ROW()-2&lt;Settings!$B$12),NA(),IF(COUNT(OFFSET(F1493,1-Settings!$B$12,0,Settings!$B$12,1))&lt;Settings!$B$12,NA(),STDEV(OFFSET(F1493,1-Settings!$B$12,0,Settings!$B$12,1))*SQRT(Settings!$B$13)))</f>
        <v/>
      </c>
      <c r="J1493" s="18">
        <f>IF(OR(NOT(ISNUMBER($A1493)),ROW()-2&lt;Settings!$B$11),NA(),IF(COUNT(OFFSET(G1493,1-Settings!$B$11,0,Settings!$B$11,1))&lt;Settings!$B$11,NA(),STDEV(OFFSET(G1493,1-Settings!$B$11,0,Settings!$B$11,1))*SQRT(Settings!$B$13)))</f>
        <v/>
      </c>
      <c r="K1493" s="18">
        <f>IF(OR(NOT(ISNUMBER($A1493)),ROW()-2&lt;Settings!$B$12),NA(),IF(COUNT(OFFSET(G1493,1-Settings!$B$12,0,Settings!$B$12,1))&lt;Settings!$B$12,NA(),STDEV(OFFSET(G1493,1-Settings!$B$12,0,Settings!$B$12,1))*SQRT(Settings!$B$13)))</f>
        <v/>
      </c>
      <c r="L1493" s="18">
        <f>IF(AND(ISNUMBER(D1493),ISNUMBER(H1493)),D1493-H1493,NA())</f>
        <v/>
      </c>
      <c r="M1493" s="18">
        <f>IF(AND(ISNUMBER(E1493),ISNUMBER(K1493)),E1493-K1493,NA())</f>
        <v/>
      </c>
      <c r="N1493" s="18">
        <f>IF(NOT(ISNUMBER($A1493)),NA(),IF(COUNT(OFFSET(G1493,1,0,Settings!$B$12,1))&lt;Settings!$B$12,NA(),STDEV(OFFSET(G1493,1,0,Settings!$B$12,1))*SQRT(Settings!$B$13)))</f>
        <v/>
      </c>
      <c r="O1493" s="18">
        <f>IF(AND(ISNUMBER(E1493),ISNUMBER(N1493)),E1493-N1493,NA())</f>
        <v/>
      </c>
      <c r="P1493" s="17">
        <f>IF(NOT(ISNUMBER($A1493)),NA(),IF(OR($A1493&lt;MIN(KW_TP!$A$2:$A$2501),$A1493&gt;MAX(KW_TP!$A$2:$A$2501)),NA(),INDEX(KW_TP!$C$2:$C$2501,MATCH($A1493,KW_TP!$A$2:$A$2501,1))))</f>
        <v/>
      </c>
    </row>
    <row r="1494">
      <c r="A1494" s="15">
        <f>IF(ISNUMBER(BBG_Data!A1494),BBG_Data!A1494,"")</f>
        <v/>
      </c>
      <c r="B1494" s="16">
        <f>IF(AND(ISNUMBER($A1494),ISNUMBER(BBG_Data!B1494)),BBG_Data!B1494,NA())</f>
        <v/>
      </c>
      <c r="C1494" s="16">
        <f>IF(AND(ISNUMBER($A1494),ISNUMBER(BBG_Data!C1494)),BBG_Data!C1494,NA())</f>
        <v/>
      </c>
      <c r="D1494" s="17">
        <f>IF(AND(ISNUMBER($A1494),ISNUMBER(BBG_Data!D1494)),BBG_Data!D1494,NA())</f>
        <v/>
      </c>
      <c r="E1494" s="17">
        <f>IF(AND(ISNUMBER($A1494),ISNUMBER(BBG_Data!E1494)),BBG_Data!E1494,NA())</f>
        <v/>
      </c>
      <c r="F1494" s="18">
        <f>IF(AND(ISNUMBER(B1494),ISNUMBER(B1493)),(B1494-B1493)*100,"")</f>
        <v/>
      </c>
      <c r="G1494" s="18">
        <f>IF(AND(ISNUMBER(C1494),ISNUMBER(C1493)),(C1494-C1493)*100,"")</f>
        <v/>
      </c>
      <c r="H1494" s="18">
        <f>IF(OR(NOT(ISNUMBER($A1494)),ROW()-2&lt;Settings!$B$11),NA(),IF(COUNT(OFFSET(F1494,1-Settings!$B$11,0,Settings!$B$11,1))&lt;Settings!$B$11,NA(),STDEV(OFFSET(F1494,1-Settings!$B$11,0,Settings!$B$11,1))*SQRT(Settings!$B$13)))</f>
        <v/>
      </c>
      <c r="I1494" s="18">
        <f>IF(OR(NOT(ISNUMBER($A1494)),ROW()-2&lt;Settings!$B$12),NA(),IF(COUNT(OFFSET(F1494,1-Settings!$B$12,0,Settings!$B$12,1))&lt;Settings!$B$12,NA(),STDEV(OFFSET(F1494,1-Settings!$B$12,0,Settings!$B$12,1))*SQRT(Settings!$B$13)))</f>
        <v/>
      </c>
      <c r="J1494" s="18">
        <f>IF(OR(NOT(ISNUMBER($A1494)),ROW()-2&lt;Settings!$B$11),NA(),IF(COUNT(OFFSET(G1494,1-Settings!$B$11,0,Settings!$B$11,1))&lt;Settings!$B$11,NA(),STDEV(OFFSET(G1494,1-Settings!$B$11,0,Settings!$B$11,1))*SQRT(Settings!$B$13)))</f>
        <v/>
      </c>
      <c r="K1494" s="18">
        <f>IF(OR(NOT(ISNUMBER($A1494)),ROW()-2&lt;Settings!$B$12),NA(),IF(COUNT(OFFSET(G1494,1-Settings!$B$12,0,Settings!$B$12,1))&lt;Settings!$B$12,NA(),STDEV(OFFSET(G1494,1-Settings!$B$12,0,Settings!$B$12,1))*SQRT(Settings!$B$13)))</f>
        <v/>
      </c>
      <c r="L1494" s="18">
        <f>IF(AND(ISNUMBER(D1494),ISNUMBER(H1494)),D1494-H1494,NA())</f>
        <v/>
      </c>
      <c r="M1494" s="18">
        <f>IF(AND(ISNUMBER(E1494),ISNUMBER(K1494)),E1494-K1494,NA())</f>
        <v/>
      </c>
      <c r="N1494" s="18">
        <f>IF(NOT(ISNUMBER($A1494)),NA(),IF(COUNT(OFFSET(G1494,1,0,Settings!$B$12,1))&lt;Settings!$B$12,NA(),STDEV(OFFSET(G1494,1,0,Settings!$B$12,1))*SQRT(Settings!$B$13)))</f>
        <v/>
      </c>
      <c r="O1494" s="18">
        <f>IF(AND(ISNUMBER(E1494),ISNUMBER(N1494)),E1494-N1494,NA())</f>
        <v/>
      </c>
      <c r="P1494" s="17">
        <f>IF(NOT(ISNUMBER($A1494)),NA(),IF(OR($A1494&lt;MIN(KW_TP!$A$2:$A$2501),$A1494&gt;MAX(KW_TP!$A$2:$A$2501)),NA(),INDEX(KW_TP!$C$2:$C$2501,MATCH($A1494,KW_TP!$A$2:$A$2501,1))))</f>
        <v/>
      </c>
    </row>
    <row r="1495">
      <c r="A1495" s="15">
        <f>IF(ISNUMBER(BBG_Data!A1495),BBG_Data!A1495,"")</f>
        <v/>
      </c>
      <c r="B1495" s="16">
        <f>IF(AND(ISNUMBER($A1495),ISNUMBER(BBG_Data!B1495)),BBG_Data!B1495,NA())</f>
        <v/>
      </c>
      <c r="C1495" s="16">
        <f>IF(AND(ISNUMBER($A1495),ISNUMBER(BBG_Data!C1495)),BBG_Data!C1495,NA())</f>
        <v/>
      </c>
      <c r="D1495" s="17">
        <f>IF(AND(ISNUMBER($A1495),ISNUMBER(BBG_Data!D1495)),BBG_Data!D1495,NA())</f>
        <v/>
      </c>
      <c r="E1495" s="17">
        <f>IF(AND(ISNUMBER($A1495),ISNUMBER(BBG_Data!E1495)),BBG_Data!E1495,NA())</f>
        <v/>
      </c>
      <c r="F1495" s="18">
        <f>IF(AND(ISNUMBER(B1495),ISNUMBER(B1494)),(B1495-B1494)*100,"")</f>
        <v/>
      </c>
      <c r="G1495" s="18">
        <f>IF(AND(ISNUMBER(C1495),ISNUMBER(C1494)),(C1495-C1494)*100,"")</f>
        <v/>
      </c>
      <c r="H1495" s="18">
        <f>IF(OR(NOT(ISNUMBER($A1495)),ROW()-2&lt;Settings!$B$11),NA(),IF(COUNT(OFFSET(F1495,1-Settings!$B$11,0,Settings!$B$11,1))&lt;Settings!$B$11,NA(),STDEV(OFFSET(F1495,1-Settings!$B$11,0,Settings!$B$11,1))*SQRT(Settings!$B$13)))</f>
        <v/>
      </c>
      <c r="I1495" s="18">
        <f>IF(OR(NOT(ISNUMBER($A1495)),ROW()-2&lt;Settings!$B$12),NA(),IF(COUNT(OFFSET(F1495,1-Settings!$B$12,0,Settings!$B$12,1))&lt;Settings!$B$12,NA(),STDEV(OFFSET(F1495,1-Settings!$B$12,0,Settings!$B$12,1))*SQRT(Settings!$B$13)))</f>
        <v/>
      </c>
      <c r="J1495" s="18">
        <f>IF(OR(NOT(ISNUMBER($A1495)),ROW()-2&lt;Settings!$B$11),NA(),IF(COUNT(OFFSET(G1495,1-Settings!$B$11,0,Settings!$B$11,1))&lt;Settings!$B$11,NA(),STDEV(OFFSET(G1495,1-Settings!$B$11,0,Settings!$B$11,1))*SQRT(Settings!$B$13)))</f>
        <v/>
      </c>
      <c r="K1495" s="18">
        <f>IF(OR(NOT(ISNUMBER($A1495)),ROW()-2&lt;Settings!$B$12),NA(),IF(COUNT(OFFSET(G1495,1-Settings!$B$12,0,Settings!$B$12,1))&lt;Settings!$B$12,NA(),STDEV(OFFSET(G1495,1-Settings!$B$12,0,Settings!$B$12,1))*SQRT(Settings!$B$13)))</f>
        <v/>
      </c>
      <c r="L1495" s="18">
        <f>IF(AND(ISNUMBER(D1495),ISNUMBER(H1495)),D1495-H1495,NA())</f>
        <v/>
      </c>
      <c r="M1495" s="18">
        <f>IF(AND(ISNUMBER(E1495),ISNUMBER(K1495)),E1495-K1495,NA())</f>
        <v/>
      </c>
      <c r="N1495" s="18">
        <f>IF(NOT(ISNUMBER($A1495)),NA(),IF(COUNT(OFFSET(G1495,1,0,Settings!$B$12,1))&lt;Settings!$B$12,NA(),STDEV(OFFSET(G1495,1,0,Settings!$B$12,1))*SQRT(Settings!$B$13)))</f>
        <v/>
      </c>
      <c r="O1495" s="18">
        <f>IF(AND(ISNUMBER(E1495),ISNUMBER(N1495)),E1495-N1495,NA())</f>
        <v/>
      </c>
      <c r="P1495" s="17">
        <f>IF(NOT(ISNUMBER($A1495)),NA(),IF(OR($A1495&lt;MIN(KW_TP!$A$2:$A$2501),$A1495&gt;MAX(KW_TP!$A$2:$A$2501)),NA(),INDEX(KW_TP!$C$2:$C$2501,MATCH($A1495,KW_TP!$A$2:$A$2501,1))))</f>
        <v/>
      </c>
    </row>
    <row r="1496">
      <c r="A1496" s="15">
        <f>IF(ISNUMBER(BBG_Data!A1496),BBG_Data!A1496,"")</f>
        <v/>
      </c>
      <c r="B1496" s="16">
        <f>IF(AND(ISNUMBER($A1496),ISNUMBER(BBG_Data!B1496)),BBG_Data!B1496,NA())</f>
        <v/>
      </c>
      <c r="C1496" s="16">
        <f>IF(AND(ISNUMBER($A1496),ISNUMBER(BBG_Data!C1496)),BBG_Data!C1496,NA())</f>
        <v/>
      </c>
      <c r="D1496" s="17">
        <f>IF(AND(ISNUMBER($A1496),ISNUMBER(BBG_Data!D1496)),BBG_Data!D1496,NA())</f>
        <v/>
      </c>
      <c r="E1496" s="17">
        <f>IF(AND(ISNUMBER($A1496),ISNUMBER(BBG_Data!E1496)),BBG_Data!E1496,NA())</f>
        <v/>
      </c>
      <c r="F1496" s="18">
        <f>IF(AND(ISNUMBER(B1496),ISNUMBER(B1495)),(B1496-B1495)*100,"")</f>
        <v/>
      </c>
      <c r="G1496" s="18">
        <f>IF(AND(ISNUMBER(C1496),ISNUMBER(C1495)),(C1496-C1495)*100,"")</f>
        <v/>
      </c>
      <c r="H1496" s="18">
        <f>IF(OR(NOT(ISNUMBER($A1496)),ROW()-2&lt;Settings!$B$11),NA(),IF(COUNT(OFFSET(F1496,1-Settings!$B$11,0,Settings!$B$11,1))&lt;Settings!$B$11,NA(),STDEV(OFFSET(F1496,1-Settings!$B$11,0,Settings!$B$11,1))*SQRT(Settings!$B$13)))</f>
        <v/>
      </c>
      <c r="I1496" s="18">
        <f>IF(OR(NOT(ISNUMBER($A1496)),ROW()-2&lt;Settings!$B$12),NA(),IF(COUNT(OFFSET(F1496,1-Settings!$B$12,0,Settings!$B$12,1))&lt;Settings!$B$12,NA(),STDEV(OFFSET(F1496,1-Settings!$B$12,0,Settings!$B$12,1))*SQRT(Settings!$B$13)))</f>
        <v/>
      </c>
      <c r="J1496" s="18">
        <f>IF(OR(NOT(ISNUMBER($A1496)),ROW()-2&lt;Settings!$B$11),NA(),IF(COUNT(OFFSET(G1496,1-Settings!$B$11,0,Settings!$B$11,1))&lt;Settings!$B$11,NA(),STDEV(OFFSET(G1496,1-Settings!$B$11,0,Settings!$B$11,1))*SQRT(Settings!$B$13)))</f>
        <v/>
      </c>
      <c r="K1496" s="18">
        <f>IF(OR(NOT(ISNUMBER($A1496)),ROW()-2&lt;Settings!$B$12),NA(),IF(COUNT(OFFSET(G1496,1-Settings!$B$12,0,Settings!$B$12,1))&lt;Settings!$B$12,NA(),STDEV(OFFSET(G1496,1-Settings!$B$12,0,Settings!$B$12,1))*SQRT(Settings!$B$13)))</f>
        <v/>
      </c>
      <c r="L1496" s="18">
        <f>IF(AND(ISNUMBER(D1496),ISNUMBER(H1496)),D1496-H1496,NA())</f>
        <v/>
      </c>
      <c r="M1496" s="18">
        <f>IF(AND(ISNUMBER(E1496),ISNUMBER(K1496)),E1496-K1496,NA())</f>
        <v/>
      </c>
      <c r="N1496" s="18">
        <f>IF(NOT(ISNUMBER($A1496)),NA(),IF(COUNT(OFFSET(G1496,1,0,Settings!$B$12,1))&lt;Settings!$B$12,NA(),STDEV(OFFSET(G1496,1,0,Settings!$B$12,1))*SQRT(Settings!$B$13)))</f>
        <v/>
      </c>
      <c r="O1496" s="18">
        <f>IF(AND(ISNUMBER(E1496),ISNUMBER(N1496)),E1496-N1496,NA())</f>
        <v/>
      </c>
      <c r="P1496" s="17">
        <f>IF(NOT(ISNUMBER($A1496)),NA(),IF(OR($A1496&lt;MIN(KW_TP!$A$2:$A$2501),$A1496&gt;MAX(KW_TP!$A$2:$A$2501)),NA(),INDEX(KW_TP!$C$2:$C$2501,MATCH($A1496,KW_TP!$A$2:$A$2501,1))))</f>
        <v/>
      </c>
    </row>
    <row r="1497">
      <c r="A1497" s="15">
        <f>IF(ISNUMBER(BBG_Data!A1497),BBG_Data!A1497,"")</f>
        <v/>
      </c>
      <c r="B1497" s="16">
        <f>IF(AND(ISNUMBER($A1497),ISNUMBER(BBG_Data!B1497)),BBG_Data!B1497,NA())</f>
        <v/>
      </c>
      <c r="C1497" s="16">
        <f>IF(AND(ISNUMBER($A1497),ISNUMBER(BBG_Data!C1497)),BBG_Data!C1497,NA())</f>
        <v/>
      </c>
      <c r="D1497" s="17">
        <f>IF(AND(ISNUMBER($A1497),ISNUMBER(BBG_Data!D1497)),BBG_Data!D1497,NA())</f>
        <v/>
      </c>
      <c r="E1497" s="17">
        <f>IF(AND(ISNUMBER($A1497),ISNUMBER(BBG_Data!E1497)),BBG_Data!E1497,NA())</f>
        <v/>
      </c>
      <c r="F1497" s="18">
        <f>IF(AND(ISNUMBER(B1497),ISNUMBER(B1496)),(B1497-B1496)*100,"")</f>
        <v/>
      </c>
      <c r="G1497" s="18">
        <f>IF(AND(ISNUMBER(C1497),ISNUMBER(C1496)),(C1497-C1496)*100,"")</f>
        <v/>
      </c>
      <c r="H1497" s="18">
        <f>IF(OR(NOT(ISNUMBER($A1497)),ROW()-2&lt;Settings!$B$11),NA(),IF(COUNT(OFFSET(F1497,1-Settings!$B$11,0,Settings!$B$11,1))&lt;Settings!$B$11,NA(),STDEV(OFFSET(F1497,1-Settings!$B$11,0,Settings!$B$11,1))*SQRT(Settings!$B$13)))</f>
        <v/>
      </c>
      <c r="I1497" s="18">
        <f>IF(OR(NOT(ISNUMBER($A1497)),ROW()-2&lt;Settings!$B$12),NA(),IF(COUNT(OFFSET(F1497,1-Settings!$B$12,0,Settings!$B$12,1))&lt;Settings!$B$12,NA(),STDEV(OFFSET(F1497,1-Settings!$B$12,0,Settings!$B$12,1))*SQRT(Settings!$B$13)))</f>
        <v/>
      </c>
      <c r="J1497" s="18">
        <f>IF(OR(NOT(ISNUMBER($A1497)),ROW()-2&lt;Settings!$B$11),NA(),IF(COUNT(OFFSET(G1497,1-Settings!$B$11,0,Settings!$B$11,1))&lt;Settings!$B$11,NA(),STDEV(OFFSET(G1497,1-Settings!$B$11,0,Settings!$B$11,1))*SQRT(Settings!$B$13)))</f>
        <v/>
      </c>
      <c r="K1497" s="18">
        <f>IF(OR(NOT(ISNUMBER($A1497)),ROW()-2&lt;Settings!$B$12),NA(),IF(COUNT(OFFSET(G1497,1-Settings!$B$12,0,Settings!$B$12,1))&lt;Settings!$B$12,NA(),STDEV(OFFSET(G1497,1-Settings!$B$12,0,Settings!$B$12,1))*SQRT(Settings!$B$13)))</f>
        <v/>
      </c>
      <c r="L1497" s="18">
        <f>IF(AND(ISNUMBER(D1497),ISNUMBER(H1497)),D1497-H1497,NA())</f>
        <v/>
      </c>
      <c r="M1497" s="18">
        <f>IF(AND(ISNUMBER(E1497),ISNUMBER(K1497)),E1497-K1497,NA())</f>
        <v/>
      </c>
      <c r="N1497" s="18">
        <f>IF(NOT(ISNUMBER($A1497)),NA(),IF(COUNT(OFFSET(G1497,1,0,Settings!$B$12,1))&lt;Settings!$B$12,NA(),STDEV(OFFSET(G1497,1,0,Settings!$B$12,1))*SQRT(Settings!$B$13)))</f>
        <v/>
      </c>
      <c r="O1497" s="18">
        <f>IF(AND(ISNUMBER(E1497),ISNUMBER(N1497)),E1497-N1497,NA())</f>
        <v/>
      </c>
      <c r="P1497" s="17">
        <f>IF(NOT(ISNUMBER($A1497)),NA(),IF(OR($A1497&lt;MIN(KW_TP!$A$2:$A$2501),$A1497&gt;MAX(KW_TP!$A$2:$A$2501)),NA(),INDEX(KW_TP!$C$2:$C$2501,MATCH($A1497,KW_TP!$A$2:$A$2501,1))))</f>
        <v/>
      </c>
    </row>
    <row r="1498">
      <c r="A1498" s="15">
        <f>IF(ISNUMBER(BBG_Data!A1498),BBG_Data!A1498,"")</f>
        <v/>
      </c>
      <c r="B1498" s="16">
        <f>IF(AND(ISNUMBER($A1498),ISNUMBER(BBG_Data!B1498)),BBG_Data!B1498,NA())</f>
        <v/>
      </c>
      <c r="C1498" s="16">
        <f>IF(AND(ISNUMBER($A1498),ISNUMBER(BBG_Data!C1498)),BBG_Data!C1498,NA())</f>
        <v/>
      </c>
      <c r="D1498" s="17">
        <f>IF(AND(ISNUMBER($A1498),ISNUMBER(BBG_Data!D1498)),BBG_Data!D1498,NA())</f>
        <v/>
      </c>
      <c r="E1498" s="17">
        <f>IF(AND(ISNUMBER($A1498),ISNUMBER(BBG_Data!E1498)),BBG_Data!E1498,NA())</f>
        <v/>
      </c>
      <c r="F1498" s="18">
        <f>IF(AND(ISNUMBER(B1498),ISNUMBER(B1497)),(B1498-B1497)*100,"")</f>
        <v/>
      </c>
      <c r="G1498" s="18">
        <f>IF(AND(ISNUMBER(C1498),ISNUMBER(C1497)),(C1498-C1497)*100,"")</f>
        <v/>
      </c>
      <c r="H1498" s="18">
        <f>IF(OR(NOT(ISNUMBER($A1498)),ROW()-2&lt;Settings!$B$11),NA(),IF(COUNT(OFFSET(F1498,1-Settings!$B$11,0,Settings!$B$11,1))&lt;Settings!$B$11,NA(),STDEV(OFFSET(F1498,1-Settings!$B$11,0,Settings!$B$11,1))*SQRT(Settings!$B$13)))</f>
        <v/>
      </c>
      <c r="I1498" s="18">
        <f>IF(OR(NOT(ISNUMBER($A1498)),ROW()-2&lt;Settings!$B$12),NA(),IF(COUNT(OFFSET(F1498,1-Settings!$B$12,0,Settings!$B$12,1))&lt;Settings!$B$12,NA(),STDEV(OFFSET(F1498,1-Settings!$B$12,0,Settings!$B$12,1))*SQRT(Settings!$B$13)))</f>
        <v/>
      </c>
      <c r="J1498" s="18">
        <f>IF(OR(NOT(ISNUMBER($A1498)),ROW()-2&lt;Settings!$B$11),NA(),IF(COUNT(OFFSET(G1498,1-Settings!$B$11,0,Settings!$B$11,1))&lt;Settings!$B$11,NA(),STDEV(OFFSET(G1498,1-Settings!$B$11,0,Settings!$B$11,1))*SQRT(Settings!$B$13)))</f>
        <v/>
      </c>
      <c r="K1498" s="18">
        <f>IF(OR(NOT(ISNUMBER($A1498)),ROW()-2&lt;Settings!$B$12),NA(),IF(COUNT(OFFSET(G1498,1-Settings!$B$12,0,Settings!$B$12,1))&lt;Settings!$B$12,NA(),STDEV(OFFSET(G1498,1-Settings!$B$12,0,Settings!$B$12,1))*SQRT(Settings!$B$13)))</f>
        <v/>
      </c>
      <c r="L1498" s="18">
        <f>IF(AND(ISNUMBER(D1498),ISNUMBER(H1498)),D1498-H1498,NA())</f>
        <v/>
      </c>
      <c r="M1498" s="18">
        <f>IF(AND(ISNUMBER(E1498),ISNUMBER(K1498)),E1498-K1498,NA())</f>
        <v/>
      </c>
      <c r="N1498" s="18">
        <f>IF(NOT(ISNUMBER($A1498)),NA(),IF(COUNT(OFFSET(G1498,1,0,Settings!$B$12,1))&lt;Settings!$B$12,NA(),STDEV(OFFSET(G1498,1,0,Settings!$B$12,1))*SQRT(Settings!$B$13)))</f>
        <v/>
      </c>
      <c r="O1498" s="18">
        <f>IF(AND(ISNUMBER(E1498),ISNUMBER(N1498)),E1498-N1498,NA())</f>
        <v/>
      </c>
      <c r="P1498" s="17">
        <f>IF(NOT(ISNUMBER($A1498)),NA(),IF(OR($A1498&lt;MIN(KW_TP!$A$2:$A$2501),$A1498&gt;MAX(KW_TP!$A$2:$A$2501)),NA(),INDEX(KW_TP!$C$2:$C$2501,MATCH($A1498,KW_TP!$A$2:$A$2501,1))))</f>
        <v/>
      </c>
    </row>
    <row r="1499">
      <c r="A1499" s="15">
        <f>IF(ISNUMBER(BBG_Data!A1499),BBG_Data!A1499,"")</f>
        <v/>
      </c>
      <c r="B1499" s="16">
        <f>IF(AND(ISNUMBER($A1499),ISNUMBER(BBG_Data!B1499)),BBG_Data!B1499,NA())</f>
        <v/>
      </c>
      <c r="C1499" s="16">
        <f>IF(AND(ISNUMBER($A1499),ISNUMBER(BBG_Data!C1499)),BBG_Data!C1499,NA())</f>
        <v/>
      </c>
      <c r="D1499" s="17">
        <f>IF(AND(ISNUMBER($A1499),ISNUMBER(BBG_Data!D1499)),BBG_Data!D1499,NA())</f>
        <v/>
      </c>
      <c r="E1499" s="17">
        <f>IF(AND(ISNUMBER($A1499),ISNUMBER(BBG_Data!E1499)),BBG_Data!E1499,NA())</f>
        <v/>
      </c>
      <c r="F1499" s="18">
        <f>IF(AND(ISNUMBER(B1499),ISNUMBER(B1498)),(B1499-B1498)*100,"")</f>
        <v/>
      </c>
      <c r="G1499" s="18">
        <f>IF(AND(ISNUMBER(C1499),ISNUMBER(C1498)),(C1499-C1498)*100,"")</f>
        <v/>
      </c>
      <c r="H1499" s="18">
        <f>IF(OR(NOT(ISNUMBER($A1499)),ROW()-2&lt;Settings!$B$11),NA(),IF(COUNT(OFFSET(F1499,1-Settings!$B$11,0,Settings!$B$11,1))&lt;Settings!$B$11,NA(),STDEV(OFFSET(F1499,1-Settings!$B$11,0,Settings!$B$11,1))*SQRT(Settings!$B$13)))</f>
        <v/>
      </c>
      <c r="I1499" s="18">
        <f>IF(OR(NOT(ISNUMBER($A1499)),ROW()-2&lt;Settings!$B$12),NA(),IF(COUNT(OFFSET(F1499,1-Settings!$B$12,0,Settings!$B$12,1))&lt;Settings!$B$12,NA(),STDEV(OFFSET(F1499,1-Settings!$B$12,0,Settings!$B$12,1))*SQRT(Settings!$B$13)))</f>
        <v/>
      </c>
      <c r="J1499" s="18">
        <f>IF(OR(NOT(ISNUMBER($A1499)),ROW()-2&lt;Settings!$B$11),NA(),IF(COUNT(OFFSET(G1499,1-Settings!$B$11,0,Settings!$B$11,1))&lt;Settings!$B$11,NA(),STDEV(OFFSET(G1499,1-Settings!$B$11,0,Settings!$B$11,1))*SQRT(Settings!$B$13)))</f>
        <v/>
      </c>
      <c r="K1499" s="18">
        <f>IF(OR(NOT(ISNUMBER($A1499)),ROW()-2&lt;Settings!$B$12),NA(),IF(COUNT(OFFSET(G1499,1-Settings!$B$12,0,Settings!$B$12,1))&lt;Settings!$B$12,NA(),STDEV(OFFSET(G1499,1-Settings!$B$12,0,Settings!$B$12,1))*SQRT(Settings!$B$13)))</f>
        <v/>
      </c>
      <c r="L1499" s="18">
        <f>IF(AND(ISNUMBER(D1499),ISNUMBER(H1499)),D1499-H1499,NA())</f>
        <v/>
      </c>
      <c r="M1499" s="18">
        <f>IF(AND(ISNUMBER(E1499),ISNUMBER(K1499)),E1499-K1499,NA())</f>
        <v/>
      </c>
      <c r="N1499" s="18">
        <f>IF(NOT(ISNUMBER($A1499)),NA(),IF(COUNT(OFFSET(G1499,1,0,Settings!$B$12,1))&lt;Settings!$B$12,NA(),STDEV(OFFSET(G1499,1,0,Settings!$B$12,1))*SQRT(Settings!$B$13)))</f>
        <v/>
      </c>
      <c r="O1499" s="18">
        <f>IF(AND(ISNUMBER(E1499),ISNUMBER(N1499)),E1499-N1499,NA())</f>
        <v/>
      </c>
      <c r="P1499" s="17">
        <f>IF(NOT(ISNUMBER($A1499)),NA(),IF(OR($A1499&lt;MIN(KW_TP!$A$2:$A$2501),$A1499&gt;MAX(KW_TP!$A$2:$A$2501)),NA(),INDEX(KW_TP!$C$2:$C$2501,MATCH($A1499,KW_TP!$A$2:$A$2501,1))))</f>
        <v/>
      </c>
    </row>
    <row r="1500">
      <c r="A1500" s="15">
        <f>IF(ISNUMBER(BBG_Data!A1500),BBG_Data!A1500,"")</f>
        <v/>
      </c>
      <c r="B1500" s="16">
        <f>IF(AND(ISNUMBER($A1500),ISNUMBER(BBG_Data!B1500)),BBG_Data!B1500,NA())</f>
        <v/>
      </c>
      <c r="C1500" s="16">
        <f>IF(AND(ISNUMBER($A1500),ISNUMBER(BBG_Data!C1500)),BBG_Data!C1500,NA())</f>
        <v/>
      </c>
      <c r="D1500" s="17">
        <f>IF(AND(ISNUMBER($A1500),ISNUMBER(BBG_Data!D1500)),BBG_Data!D1500,NA())</f>
        <v/>
      </c>
      <c r="E1500" s="17">
        <f>IF(AND(ISNUMBER($A1500),ISNUMBER(BBG_Data!E1500)),BBG_Data!E1500,NA())</f>
        <v/>
      </c>
      <c r="F1500" s="18">
        <f>IF(AND(ISNUMBER(B1500),ISNUMBER(B1499)),(B1500-B1499)*100,"")</f>
        <v/>
      </c>
      <c r="G1500" s="18">
        <f>IF(AND(ISNUMBER(C1500),ISNUMBER(C1499)),(C1500-C1499)*100,"")</f>
        <v/>
      </c>
      <c r="H1500" s="18">
        <f>IF(OR(NOT(ISNUMBER($A1500)),ROW()-2&lt;Settings!$B$11),NA(),IF(COUNT(OFFSET(F1500,1-Settings!$B$11,0,Settings!$B$11,1))&lt;Settings!$B$11,NA(),STDEV(OFFSET(F1500,1-Settings!$B$11,0,Settings!$B$11,1))*SQRT(Settings!$B$13)))</f>
        <v/>
      </c>
      <c r="I1500" s="18">
        <f>IF(OR(NOT(ISNUMBER($A1500)),ROW()-2&lt;Settings!$B$12),NA(),IF(COUNT(OFFSET(F1500,1-Settings!$B$12,0,Settings!$B$12,1))&lt;Settings!$B$12,NA(),STDEV(OFFSET(F1500,1-Settings!$B$12,0,Settings!$B$12,1))*SQRT(Settings!$B$13)))</f>
        <v/>
      </c>
      <c r="J1500" s="18">
        <f>IF(OR(NOT(ISNUMBER($A1500)),ROW()-2&lt;Settings!$B$11),NA(),IF(COUNT(OFFSET(G1500,1-Settings!$B$11,0,Settings!$B$11,1))&lt;Settings!$B$11,NA(),STDEV(OFFSET(G1500,1-Settings!$B$11,0,Settings!$B$11,1))*SQRT(Settings!$B$13)))</f>
        <v/>
      </c>
      <c r="K1500" s="18">
        <f>IF(OR(NOT(ISNUMBER($A1500)),ROW()-2&lt;Settings!$B$12),NA(),IF(COUNT(OFFSET(G1500,1-Settings!$B$12,0,Settings!$B$12,1))&lt;Settings!$B$12,NA(),STDEV(OFFSET(G1500,1-Settings!$B$12,0,Settings!$B$12,1))*SQRT(Settings!$B$13)))</f>
        <v/>
      </c>
      <c r="L1500" s="18">
        <f>IF(AND(ISNUMBER(D1500),ISNUMBER(H1500)),D1500-H1500,NA())</f>
        <v/>
      </c>
      <c r="M1500" s="18">
        <f>IF(AND(ISNUMBER(E1500),ISNUMBER(K1500)),E1500-K1500,NA())</f>
        <v/>
      </c>
      <c r="N1500" s="18">
        <f>IF(NOT(ISNUMBER($A1500)),NA(),IF(COUNT(OFFSET(G1500,1,0,Settings!$B$12,1))&lt;Settings!$B$12,NA(),STDEV(OFFSET(G1500,1,0,Settings!$B$12,1))*SQRT(Settings!$B$13)))</f>
        <v/>
      </c>
      <c r="O1500" s="18">
        <f>IF(AND(ISNUMBER(E1500),ISNUMBER(N1500)),E1500-N1500,NA())</f>
        <v/>
      </c>
      <c r="P1500" s="17">
        <f>IF(NOT(ISNUMBER($A1500)),NA(),IF(OR($A1500&lt;MIN(KW_TP!$A$2:$A$2501),$A1500&gt;MAX(KW_TP!$A$2:$A$2501)),NA(),INDEX(KW_TP!$C$2:$C$2501,MATCH($A1500,KW_TP!$A$2:$A$2501,1))))</f>
        <v/>
      </c>
    </row>
    <row r="1501">
      <c r="A1501" s="15">
        <f>IF(ISNUMBER(BBG_Data!A1501),BBG_Data!A1501,"")</f>
        <v/>
      </c>
      <c r="B1501" s="16">
        <f>IF(AND(ISNUMBER($A1501),ISNUMBER(BBG_Data!B1501)),BBG_Data!B1501,NA())</f>
        <v/>
      </c>
      <c r="C1501" s="16">
        <f>IF(AND(ISNUMBER($A1501),ISNUMBER(BBG_Data!C1501)),BBG_Data!C1501,NA())</f>
        <v/>
      </c>
      <c r="D1501" s="17">
        <f>IF(AND(ISNUMBER($A1501),ISNUMBER(BBG_Data!D1501)),BBG_Data!D1501,NA())</f>
        <v/>
      </c>
      <c r="E1501" s="17">
        <f>IF(AND(ISNUMBER($A1501),ISNUMBER(BBG_Data!E1501)),BBG_Data!E1501,NA())</f>
        <v/>
      </c>
      <c r="F1501" s="18">
        <f>IF(AND(ISNUMBER(B1501),ISNUMBER(B1500)),(B1501-B1500)*100,"")</f>
        <v/>
      </c>
      <c r="G1501" s="18">
        <f>IF(AND(ISNUMBER(C1501),ISNUMBER(C1500)),(C1501-C1500)*100,"")</f>
        <v/>
      </c>
      <c r="H1501" s="18">
        <f>IF(OR(NOT(ISNUMBER($A1501)),ROW()-2&lt;Settings!$B$11),NA(),IF(COUNT(OFFSET(F1501,1-Settings!$B$11,0,Settings!$B$11,1))&lt;Settings!$B$11,NA(),STDEV(OFFSET(F1501,1-Settings!$B$11,0,Settings!$B$11,1))*SQRT(Settings!$B$13)))</f>
        <v/>
      </c>
      <c r="I1501" s="18">
        <f>IF(OR(NOT(ISNUMBER($A1501)),ROW()-2&lt;Settings!$B$12),NA(),IF(COUNT(OFFSET(F1501,1-Settings!$B$12,0,Settings!$B$12,1))&lt;Settings!$B$12,NA(),STDEV(OFFSET(F1501,1-Settings!$B$12,0,Settings!$B$12,1))*SQRT(Settings!$B$13)))</f>
        <v/>
      </c>
      <c r="J1501" s="18">
        <f>IF(OR(NOT(ISNUMBER($A1501)),ROW()-2&lt;Settings!$B$11),NA(),IF(COUNT(OFFSET(G1501,1-Settings!$B$11,0,Settings!$B$11,1))&lt;Settings!$B$11,NA(),STDEV(OFFSET(G1501,1-Settings!$B$11,0,Settings!$B$11,1))*SQRT(Settings!$B$13)))</f>
        <v/>
      </c>
      <c r="K1501" s="18">
        <f>IF(OR(NOT(ISNUMBER($A1501)),ROW()-2&lt;Settings!$B$12),NA(),IF(COUNT(OFFSET(G1501,1-Settings!$B$12,0,Settings!$B$12,1))&lt;Settings!$B$12,NA(),STDEV(OFFSET(G1501,1-Settings!$B$12,0,Settings!$B$12,1))*SQRT(Settings!$B$13)))</f>
        <v/>
      </c>
      <c r="L1501" s="18">
        <f>IF(AND(ISNUMBER(D1501),ISNUMBER(H1501)),D1501-H1501,NA())</f>
        <v/>
      </c>
      <c r="M1501" s="18">
        <f>IF(AND(ISNUMBER(E1501),ISNUMBER(K1501)),E1501-K1501,NA())</f>
        <v/>
      </c>
      <c r="N1501" s="18">
        <f>IF(NOT(ISNUMBER($A1501)),NA(),IF(COUNT(OFFSET(G1501,1,0,Settings!$B$12,1))&lt;Settings!$B$12,NA(),STDEV(OFFSET(G1501,1,0,Settings!$B$12,1))*SQRT(Settings!$B$13)))</f>
        <v/>
      </c>
      <c r="O1501" s="18">
        <f>IF(AND(ISNUMBER(E1501),ISNUMBER(N1501)),E1501-N1501,NA())</f>
        <v/>
      </c>
      <c r="P1501" s="17">
        <f>IF(NOT(ISNUMBER($A1501)),NA(),IF(OR($A1501&lt;MIN(KW_TP!$A$2:$A$2501),$A1501&gt;MAX(KW_TP!$A$2:$A$2501)),NA(),INDEX(KW_TP!$C$2:$C$2501,MATCH($A1501,KW_TP!$A$2:$A$2501,1))))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4" t="inlineStr">
        <is>
          <t>最新數值摘要</t>
        </is>
      </c>
    </row>
    <row r="2">
      <c r="A2" s="5" t="inlineStr">
        <is>
          <t>指標</t>
        </is>
      </c>
      <c r="B2" s="5" t="inlineStr">
        <is>
          <t>數值</t>
        </is>
      </c>
      <c r="C2" s="5" t="inlineStr">
        <is>
          <t>說明</t>
        </is>
      </c>
    </row>
    <row r="3">
      <c r="A3" s="6" t="inlineStr">
        <is>
          <t>最新資料列（Calc 內序號）</t>
        </is>
      </c>
      <c r="B3" s="19">
        <f>MATCH(9.99E+307,Calc!$A$2:$A$1501)</f>
        <v/>
      </c>
      <c r="C3" s="6" t="inlineStr">
        <is>
          <t>Calc 中最後一個有日期的列。</t>
        </is>
      </c>
    </row>
    <row r="4">
      <c r="A4" s="6" t="inlineStr">
        <is>
          <t>最新日期</t>
        </is>
      </c>
      <c r="B4" s="15">
        <f>INDEX(Calc!$A$2:$A$1501,B3)</f>
        <v/>
      </c>
      <c r="C4" s="6" t="inlineStr"/>
    </row>
    <row r="5">
      <c r="A5" s="6" t="inlineStr">
        <is>
          <t>10Y 公債殖利率 (%)</t>
        </is>
      </c>
      <c r="B5" s="16">
        <f>IFERROR(INDEX(Calc!$B$2:$B$1501,$B$3),"n/a")</f>
        <v/>
      </c>
      <c r="C5" s="6" t="inlineStr"/>
    </row>
    <row r="6">
      <c r="A6" s="6" t="inlineStr">
        <is>
          <t>MOVE (bp)</t>
        </is>
      </c>
      <c r="B6" s="17">
        <f>IFERROR(INDEX(Calc!$D$2:$D$1501,$B$3),"n/a")</f>
        <v/>
      </c>
      <c r="C6" s="6" t="inlineStr"/>
    </row>
    <row r="7">
      <c r="A7" s="6" t="inlineStr">
        <is>
          <t>RV 公債 短期 (bp/y)</t>
        </is>
      </c>
      <c r="B7" s="17">
        <f>IFERROR(INDEX(Calc!$H$2:$H$1501,$B$3),"n/a")</f>
        <v/>
      </c>
      <c r="C7" s="6" t="inlineStr">
        <is>
          <t>對照 MOVE。</t>
        </is>
      </c>
    </row>
    <row r="8">
      <c r="A8" s="6" t="inlineStr">
        <is>
          <t>MOVE − RV 公債短期</t>
        </is>
      </c>
      <c r="B8" s="17">
        <f>IFERROR(INDEX(Calc!$L$2:$L$1501,$B$3),"n/a")</f>
        <v/>
      </c>
      <c r="C8" s="6" t="inlineStr">
        <is>
          <t>正值＝選擇權比實際波動貴。</t>
        </is>
      </c>
    </row>
    <row r="9">
      <c r="A9" s="6" t="inlineStr">
        <is>
          <t>Swaption IV (bp/y)</t>
        </is>
      </c>
      <c r="B9" s="17">
        <f>IFERROR(INDEX(Calc!$E$2:$E$1501,$B$3),"n/a")</f>
        <v/>
      </c>
      <c r="C9" s="6" t="inlineStr">
        <is>
          <t>需先在 Settings!B9 填 ticker。</t>
        </is>
      </c>
    </row>
    <row r="10">
      <c r="A10" s="6" t="inlineStr">
        <is>
          <t>RV Swap 長期 (bp/y)</t>
        </is>
      </c>
      <c r="B10" s="17">
        <f>IFERROR(INDEX(Calc!$K$2:$K$1501,$B$3),"n/a")</f>
        <v/>
      </c>
      <c r="C10" s="6" t="inlineStr">
        <is>
          <t>對照 3m10y Swaption。</t>
        </is>
      </c>
    </row>
    <row r="11">
      <c r="A11" s="6" t="inlineStr">
        <is>
          <t>Swaption IV − RV Swap 長期</t>
        </is>
      </c>
      <c r="B11" s="17">
        <f>IFERROR(INDEX(Calc!$M$2:$M$1501,$B$3),"n/a")</f>
        <v/>
      </c>
      <c r="C11" s="6" t="inlineStr">
        <is>
          <t>即時版 VRP 近似。</t>
        </is>
      </c>
    </row>
    <row r="12">
      <c r="A12" s="6" t="inlineStr">
        <is>
          <t>Kim-Wright TP 最新 (bp)</t>
        </is>
      </c>
      <c r="B12" s="17">
        <f>INDEX(KW_TP!$C$2:$C$2501,COUNT(KW_TP!$A$2:$A$2501))</f>
        <v/>
      </c>
      <c r="C12" s="6" t="inlineStr">
        <is>
          <t>KW_TP 分頁最後一筆。</t>
        </is>
      </c>
    </row>
    <row r="13">
      <c r="A13" s="6" t="inlineStr">
        <is>
          <t>Kim-Wright TP 最新日期</t>
        </is>
      </c>
      <c r="B13" s="15">
        <f>INDEX(KW_TP!$A$2:$A$2501,COUNT(KW_TP!$A$2:$A$2501))</f>
        <v/>
      </c>
      <c r="C13" s="6" t="inlineStr"/>
    </row>
    <row r="14">
      <c r="A14" s="6" t="inlineStr">
        <is>
          <t>Kim-Wright TP 今年以來變動 (bp)</t>
        </is>
      </c>
      <c r="B14" s="17">
        <f>B12-INDEX(KW_TP!$C$2:$C$2501,MATCH(DATE(YEAR(B13)-1,12,31),KW_TP!$A$2:$A$2501,1))</f>
        <v/>
      </c>
      <c r="C14" s="6" t="inlineStr">
        <is>
          <t>相對前一年最後一筆。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2026-10-03T06:40:16Z</dcterms:created>
  <dcterms:modified xsi:type="dcterms:W3CDTF">2026-10-03T06:40:17Z</dcterms:modified>
</cp:coreProperties>
</file>